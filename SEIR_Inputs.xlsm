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obynKing/Dropbox/Projects/Jugaad/COVID/"/>
    </mc:Choice>
  </mc:AlternateContent>
  <xr:revisionPtr revIDLastSave="0" documentId="13_ncr:1_{8CA40BE9-812E-484F-B95C-9E8B7D383A20}" xr6:coauthVersionLast="47" xr6:coauthVersionMax="47" xr10:uidLastSave="{00000000-0000-0000-0000-000000000000}"/>
  <bookViews>
    <workbookView xWindow="0" yWindow="500" windowWidth="19420" windowHeight="10420" xr2:uid="{00000000-000D-0000-FFFF-FFFF00000000}"/>
  </bookViews>
  <sheets>
    <sheet name="R0matrix" sheetId="56" r:id="rId1"/>
    <sheet name="Equations_Province" sheetId="6" r:id="rId2"/>
    <sheet name="Census_SEIR_Province" sheetId="8" r:id="rId3"/>
    <sheet name="Assumptions" sheetId="10" r:id="rId4"/>
    <sheet name="R0_estimation" sheetId="14" r:id="rId5"/>
    <sheet name="Hospitals" sheetId="46" r:id="rId6"/>
    <sheet name="Census" sheetId="11" r:id="rId7"/>
    <sheet name="Map" sheetId="13" r:id="rId8"/>
    <sheet name="National statistics" sheetId="51" r:id="rId9"/>
    <sheet name="Admissions" sheetId="49" r:id="rId10"/>
    <sheet name="Tests" sheetId="59" r:id="rId11"/>
  </sheets>
  <definedNames>
    <definedName name="_xlnm._FilterDatabase" localSheetId="6" hidden="1">Census!$B$1:$CJ$235</definedName>
    <definedName name="GSA">R0_estimation!$S$5:$S$14</definedName>
    <definedName name="GSB">R0_estimation!$W$5:$W$14</definedName>
    <definedName name="GSC">R0_estimation!$AA$5:$AA$14</definedName>
    <definedName name="GSD">R0_estimation!$AE$5:$AE$14</definedName>
    <definedName name="GSE">R0_estimation!$AI$5:$AI$14</definedName>
    <definedName name="GSF">R0_estimation!$AM$5:$AM$14</definedName>
    <definedName name="GSG">R0_estimation!$AQ$5:$AQ$14</definedName>
    <definedName name="TA">R0_estimation!$P$5:$P$14</definedName>
    <definedName name="TB">R0_estimation!$T$5:$T$14</definedName>
    <definedName name="TC">R0_estimation!$X$5:$X$14</definedName>
    <definedName name="TD">R0_estimation!$AB$5:$AB$14</definedName>
    <definedName name="TE">R0_estimation!$AF$5:$AF$14</definedName>
    <definedName name="TF">R0_estimation!$AJ$5:$AJ$14</definedName>
    <definedName name="TG">R0_estimation!$AN$5:$AN$14</definedName>
  </definedNames>
  <calcPr calcId="191029" calcMode="manual"/>
  <pivotCaches>
    <pivotCache cacheId="3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8" l="1"/>
  <c r="E19" i="8" s="1"/>
  <c r="F19" i="8" s="1"/>
  <c r="G19" i="8" s="1"/>
  <c r="H19" i="8" s="1"/>
  <c r="T15" i="8"/>
  <c r="S15" i="8"/>
  <c r="S17" i="8" s="1"/>
  <c r="S16" i="8"/>
  <c r="S24" i="8" s="1"/>
  <c r="F18" i="8"/>
  <c r="F22" i="8"/>
  <c r="D22" i="8"/>
  <c r="D23" i="8"/>
  <c r="E23" i="8" s="1"/>
  <c r="F23" i="8" s="1"/>
  <c r="G23" i="8" s="1"/>
  <c r="H23" i="8" s="1"/>
  <c r="I23" i="8" s="1"/>
  <c r="D16" i="8"/>
  <c r="D18" i="8"/>
  <c r="D17" i="8"/>
  <c r="E17" i="8" s="1"/>
  <c r="F17" i="8" s="1"/>
  <c r="E18" i="8"/>
  <c r="E16" i="8"/>
  <c r="F16" i="8" s="1"/>
  <c r="E20" i="8"/>
  <c r="F20" i="8" s="1"/>
  <c r="E21" i="8"/>
  <c r="F21" i="8" s="1"/>
  <c r="E22" i="8"/>
  <c r="E24" i="8"/>
  <c r="F24" i="8" s="1"/>
  <c r="D24" i="8"/>
  <c r="D20" i="8"/>
  <c r="D21" i="8"/>
  <c r="G21" i="8" l="1"/>
  <c r="H21" i="8" s="1"/>
  <c r="I21" i="8" s="1"/>
  <c r="G17" i="8"/>
  <c r="H17" i="8" s="1"/>
  <c r="I17" i="8" s="1"/>
  <c r="G20" i="8"/>
  <c r="H20" i="8" s="1"/>
  <c r="I20" i="8" s="1"/>
  <c r="G24" i="8"/>
  <c r="H24" i="8" s="1"/>
  <c r="I24" i="8" s="1"/>
  <c r="G16" i="8"/>
  <c r="H16" i="8" s="1"/>
  <c r="I16" i="8" s="1"/>
  <c r="J16" i="8" s="1"/>
  <c r="G22" i="8"/>
  <c r="H22" i="8" s="1"/>
  <c r="I22" i="8" s="1"/>
  <c r="G18" i="8"/>
  <c r="H18" i="8" s="1"/>
  <c r="I18" i="8" s="1"/>
  <c r="K16" i="8"/>
  <c r="I19" i="8"/>
  <c r="D27" i="8" l="1"/>
  <c r="L6" i="14"/>
  <c r="L7" i="14"/>
  <c r="L8" i="14"/>
  <c r="L9" i="14"/>
  <c r="L10" i="14"/>
  <c r="L11" i="14"/>
  <c r="L12" i="14"/>
  <c r="L13" i="14"/>
  <c r="L14" i="14"/>
  <c r="L5" i="14"/>
  <c r="AO3" i="14"/>
  <c r="AO2" i="14" s="1"/>
  <c r="AP2" i="14"/>
  <c r="D14" i="59"/>
  <c r="E14" i="59"/>
  <c r="F14" i="59"/>
  <c r="G14" i="59"/>
  <c r="H14" i="59"/>
  <c r="I14" i="59"/>
  <c r="J14" i="59"/>
  <c r="K14" i="59"/>
  <c r="L14" i="59"/>
  <c r="M14" i="59"/>
  <c r="N14" i="59"/>
  <c r="O14" i="59"/>
  <c r="P14" i="59"/>
  <c r="Q14" i="59"/>
  <c r="C14" i="59"/>
  <c r="E15" i="59"/>
  <c r="F15" i="59"/>
  <c r="G15" i="59"/>
  <c r="H15" i="59"/>
  <c r="I15" i="59"/>
  <c r="J15" i="59"/>
  <c r="K15" i="59"/>
  <c r="L15" i="59"/>
  <c r="L17" i="59" s="1"/>
  <c r="M15" i="59"/>
  <c r="N15" i="59"/>
  <c r="O15" i="59"/>
  <c r="P15" i="59"/>
  <c r="Q15" i="59"/>
  <c r="E16" i="59"/>
  <c r="E17" i="59" s="1"/>
  <c r="F16" i="59"/>
  <c r="F17" i="59" s="1"/>
  <c r="G16" i="59"/>
  <c r="H16" i="59"/>
  <c r="I16" i="59"/>
  <c r="I17" i="59" s="1"/>
  <c r="J16" i="59"/>
  <c r="J17" i="59" s="1"/>
  <c r="K16" i="59"/>
  <c r="L16" i="59"/>
  <c r="M16" i="59"/>
  <c r="M17" i="59" s="1"/>
  <c r="N16" i="59"/>
  <c r="N17" i="59" s="1"/>
  <c r="O16" i="59"/>
  <c r="P16" i="59"/>
  <c r="Q16" i="59"/>
  <c r="Q17" i="59" s="1"/>
  <c r="D16" i="59"/>
  <c r="D17" i="59" s="1"/>
  <c r="D15" i="59"/>
  <c r="C16" i="59"/>
  <c r="C15" i="59"/>
  <c r="D2" i="59"/>
  <c r="E2" i="59" s="1"/>
  <c r="F2" i="59" s="1"/>
  <c r="G2" i="59" s="1"/>
  <c r="H2" i="59" s="1"/>
  <c r="I2" i="59" s="1"/>
  <c r="J2" i="59" s="1"/>
  <c r="K2" i="59" s="1"/>
  <c r="L2" i="59" s="1"/>
  <c r="M2" i="59" s="1"/>
  <c r="N2" i="59" s="1"/>
  <c r="O2" i="59" s="1"/>
  <c r="P2" i="59" s="1"/>
  <c r="N119" i="49"/>
  <c r="B15" i="49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S119" i="49"/>
  <c r="BT173" i="51"/>
  <c r="BU173" i="51"/>
  <c r="BV173" i="51"/>
  <c r="BW173" i="51"/>
  <c r="BX173" i="51"/>
  <c r="BY173" i="51"/>
  <c r="BZ173" i="51"/>
  <c r="CA173" i="51"/>
  <c r="CB173" i="51"/>
  <c r="CN173" i="51"/>
  <c r="CO173" i="51"/>
  <c r="CP173" i="51"/>
  <c r="CQ173" i="51"/>
  <c r="CR173" i="51"/>
  <c r="CS173" i="51"/>
  <c r="CT173" i="51"/>
  <c r="CU173" i="51"/>
  <c r="CV173" i="51"/>
  <c r="AP173" i="51"/>
  <c r="AQ173" i="51"/>
  <c r="AR173" i="51"/>
  <c r="AS173" i="51"/>
  <c r="AT173" i="51"/>
  <c r="AU173" i="51"/>
  <c r="AV173" i="51"/>
  <c r="AW173" i="51"/>
  <c r="AX173" i="51"/>
  <c r="AE173" i="51"/>
  <c r="AN173" i="51"/>
  <c r="DF173" i="51" s="1"/>
  <c r="AM173" i="51"/>
  <c r="DE173" i="51" s="1"/>
  <c r="AL173" i="51"/>
  <c r="DD173" i="51" s="1"/>
  <c r="AK173" i="51"/>
  <c r="DC173" i="51" s="1"/>
  <c r="AJ173" i="51"/>
  <c r="DB173" i="51" s="1"/>
  <c r="AI173" i="51"/>
  <c r="DA173" i="51" s="1"/>
  <c r="AH173" i="51"/>
  <c r="CZ173" i="51" s="1"/>
  <c r="AG173" i="51"/>
  <c r="CY173" i="51" s="1"/>
  <c r="AF173" i="51"/>
  <c r="CX173" i="51" s="1"/>
  <c r="U173" i="51"/>
  <c r="K173" i="51"/>
  <c r="CC173" i="51" s="1"/>
  <c r="AF158" i="51"/>
  <c r="CX158" i="51" s="1"/>
  <c r="AG158" i="51"/>
  <c r="CY158" i="51" s="1"/>
  <c r="AH158" i="51"/>
  <c r="CZ158" i="51" s="1"/>
  <c r="AI158" i="51"/>
  <c r="DA158" i="51" s="1"/>
  <c r="AJ158" i="51"/>
  <c r="DB158" i="51" s="1"/>
  <c r="AK158" i="51"/>
  <c r="DC158" i="51" s="1"/>
  <c r="AL158" i="51"/>
  <c r="AM158" i="51"/>
  <c r="DE158" i="51" s="1"/>
  <c r="AN158" i="51"/>
  <c r="AP158" i="51"/>
  <c r="AQ158" i="51"/>
  <c r="AR158" i="51"/>
  <c r="AS158" i="51"/>
  <c r="AT158" i="51"/>
  <c r="AU158" i="51"/>
  <c r="AV158" i="51"/>
  <c r="AW158" i="51"/>
  <c r="AX158" i="51"/>
  <c r="BT158" i="51"/>
  <c r="BU158" i="51"/>
  <c r="BV158" i="51"/>
  <c r="BW158" i="51"/>
  <c r="BX158" i="51"/>
  <c r="BY158" i="51"/>
  <c r="BZ158" i="51"/>
  <c r="CA158" i="51"/>
  <c r="CB158" i="51"/>
  <c r="CN158" i="51"/>
  <c r="CO158" i="51"/>
  <c r="CP158" i="51"/>
  <c r="CQ158" i="51"/>
  <c r="CR158" i="51"/>
  <c r="CS158" i="51"/>
  <c r="CT158" i="51"/>
  <c r="CU158" i="51"/>
  <c r="CV158" i="51"/>
  <c r="DF158" i="51"/>
  <c r="AF159" i="51"/>
  <c r="AG159" i="51"/>
  <c r="CY159" i="51" s="1"/>
  <c r="AH159" i="51"/>
  <c r="CZ159" i="51" s="1"/>
  <c r="AI159" i="51"/>
  <c r="AJ159" i="51"/>
  <c r="AK159" i="51"/>
  <c r="AL159" i="51"/>
  <c r="DD159" i="51" s="1"/>
  <c r="AM159" i="51"/>
  <c r="DE159" i="51" s="1"/>
  <c r="AN159" i="51"/>
  <c r="AP159" i="51"/>
  <c r="AQ159" i="51"/>
  <c r="AR159" i="51"/>
  <c r="AS159" i="51"/>
  <c r="AT159" i="51"/>
  <c r="AU159" i="51"/>
  <c r="AV159" i="51"/>
  <c r="AW159" i="51"/>
  <c r="AX159" i="51"/>
  <c r="BT159" i="51"/>
  <c r="BU159" i="51"/>
  <c r="BV159" i="51"/>
  <c r="BW159" i="51"/>
  <c r="BX159" i="51"/>
  <c r="BY159" i="51"/>
  <c r="BZ159" i="51"/>
  <c r="CA159" i="51"/>
  <c r="CB159" i="51"/>
  <c r="CN159" i="51"/>
  <c r="CO159" i="51"/>
  <c r="CP159" i="51"/>
  <c r="CQ159" i="51"/>
  <c r="CR159" i="51"/>
  <c r="CS159" i="51"/>
  <c r="CT159" i="51"/>
  <c r="CU159" i="51"/>
  <c r="CV159" i="51"/>
  <c r="CX159" i="51"/>
  <c r="DB159" i="51"/>
  <c r="DC159" i="51"/>
  <c r="DF159" i="51"/>
  <c r="AF160" i="51"/>
  <c r="CX160" i="51" s="1"/>
  <c r="AG160" i="51"/>
  <c r="CY160" i="51" s="1"/>
  <c r="AH160" i="51"/>
  <c r="CZ160" i="51" s="1"/>
  <c r="AI160" i="51"/>
  <c r="DA160" i="51" s="1"/>
  <c r="AJ160" i="51"/>
  <c r="DB160" i="51" s="1"/>
  <c r="AK160" i="51"/>
  <c r="AL160" i="51"/>
  <c r="DD160" i="51" s="1"/>
  <c r="AM160" i="51"/>
  <c r="DE160" i="51" s="1"/>
  <c r="AN160" i="51"/>
  <c r="DF160" i="51" s="1"/>
  <c r="AP160" i="51"/>
  <c r="AQ160" i="51"/>
  <c r="AR160" i="51"/>
  <c r="AS160" i="51"/>
  <c r="AT160" i="51"/>
  <c r="AU160" i="51"/>
  <c r="AV160" i="51"/>
  <c r="AW160" i="51"/>
  <c r="AX160" i="51"/>
  <c r="BT160" i="51"/>
  <c r="BU160" i="51"/>
  <c r="BV160" i="51"/>
  <c r="BW160" i="51"/>
  <c r="BX160" i="51"/>
  <c r="BY160" i="51"/>
  <c r="BZ160" i="51"/>
  <c r="CA160" i="51"/>
  <c r="CB160" i="51"/>
  <c r="CN160" i="51"/>
  <c r="CO160" i="51"/>
  <c r="CP160" i="51"/>
  <c r="CQ160" i="51"/>
  <c r="CR160" i="51"/>
  <c r="CS160" i="51"/>
  <c r="CT160" i="51"/>
  <c r="CU160" i="51"/>
  <c r="CV160" i="51"/>
  <c r="AF161" i="51"/>
  <c r="CX161" i="51" s="1"/>
  <c r="AG161" i="51"/>
  <c r="CY161" i="51" s="1"/>
  <c r="AH161" i="51"/>
  <c r="CZ161" i="51" s="1"/>
  <c r="AI161" i="51"/>
  <c r="DA161" i="51" s="1"/>
  <c r="AJ161" i="51"/>
  <c r="DB161" i="51" s="1"/>
  <c r="AK161" i="51"/>
  <c r="AL161" i="51"/>
  <c r="DD161" i="51" s="1"/>
  <c r="AM161" i="51"/>
  <c r="DE161" i="51" s="1"/>
  <c r="AN161" i="51"/>
  <c r="DF161" i="51" s="1"/>
  <c r="AP161" i="51"/>
  <c r="AQ161" i="51"/>
  <c r="AR161" i="51"/>
  <c r="AS161" i="51"/>
  <c r="AT161" i="51"/>
  <c r="AU161" i="51"/>
  <c r="AV161" i="51"/>
  <c r="AW161" i="51"/>
  <c r="AX161" i="51"/>
  <c r="BT161" i="51"/>
  <c r="BU161" i="51"/>
  <c r="BV161" i="51"/>
  <c r="BW161" i="51"/>
  <c r="BX161" i="51"/>
  <c r="BY161" i="51"/>
  <c r="BZ161" i="51"/>
  <c r="CA161" i="51"/>
  <c r="CB161" i="51"/>
  <c r="CN161" i="51"/>
  <c r="CO161" i="51"/>
  <c r="CP161" i="51"/>
  <c r="CQ161" i="51"/>
  <c r="CR161" i="51"/>
  <c r="CS161" i="51"/>
  <c r="CT161" i="51"/>
  <c r="CU161" i="51"/>
  <c r="CV161" i="51"/>
  <c r="AF162" i="51"/>
  <c r="CX162" i="51" s="1"/>
  <c r="AG162" i="51"/>
  <c r="AH162" i="51"/>
  <c r="CZ162" i="51" s="1"/>
  <c r="AI162" i="51"/>
  <c r="DA162" i="51" s="1"/>
  <c r="AJ162" i="51"/>
  <c r="AK162" i="51"/>
  <c r="DC162" i="51" s="1"/>
  <c r="AL162" i="51"/>
  <c r="DD162" i="51" s="1"/>
  <c r="AM162" i="51"/>
  <c r="DE162" i="51" s="1"/>
  <c r="AN162" i="51"/>
  <c r="DF162" i="51" s="1"/>
  <c r="AP162" i="51"/>
  <c r="AQ162" i="51"/>
  <c r="AR162" i="51"/>
  <c r="AS162" i="51"/>
  <c r="AT162" i="51"/>
  <c r="AU162" i="51"/>
  <c r="AV162" i="51"/>
  <c r="AW162" i="51"/>
  <c r="AX162" i="51"/>
  <c r="BT162" i="51"/>
  <c r="BU162" i="51"/>
  <c r="BV162" i="51"/>
  <c r="BW162" i="51"/>
  <c r="BX162" i="51"/>
  <c r="BY162" i="51"/>
  <c r="BZ162" i="51"/>
  <c r="CA162" i="51"/>
  <c r="CB162" i="51"/>
  <c r="CN162" i="51"/>
  <c r="CO162" i="51"/>
  <c r="CP162" i="51"/>
  <c r="CQ162" i="51"/>
  <c r="CR162" i="51"/>
  <c r="CS162" i="51"/>
  <c r="CT162" i="51"/>
  <c r="CU162" i="51"/>
  <c r="CV162" i="51"/>
  <c r="CY162" i="51"/>
  <c r="DB162" i="51"/>
  <c r="AF163" i="51"/>
  <c r="CX163" i="51" s="1"/>
  <c r="AG163" i="51"/>
  <c r="CY163" i="51" s="1"/>
  <c r="AH163" i="51"/>
  <c r="CZ163" i="51" s="1"/>
  <c r="AI163" i="51"/>
  <c r="AJ163" i="51"/>
  <c r="DB163" i="51" s="1"/>
  <c r="AK163" i="51"/>
  <c r="AL163" i="51"/>
  <c r="DD163" i="51" s="1"/>
  <c r="AM163" i="51"/>
  <c r="DE163" i="51" s="1"/>
  <c r="AN163" i="51"/>
  <c r="DF163" i="51" s="1"/>
  <c r="AP163" i="51"/>
  <c r="AQ163" i="51"/>
  <c r="AR163" i="51"/>
  <c r="AS163" i="51"/>
  <c r="AT163" i="51"/>
  <c r="AU163" i="51"/>
  <c r="AV163" i="51"/>
  <c r="AW163" i="51"/>
  <c r="AX163" i="51"/>
  <c r="BT163" i="51"/>
  <c r="BU163" i="51"/>
  <c r="BV163" i="51"/>
  <c r="BW163" i="51"/>
  <c r="BX163" i="51"/>
  <c r="BY163" i="51"/>
  <c r="BZ163" i="51"/>
  <c r="CA163" i="51"/>
  <c r="CB163" i="51"/>
  <c r="CN163" i="51"/>
  <c r="CO163" i="51"/>
  <c r="CP163" i="51"/>
  <c r="CQ163" i="51"/>
  <c r="CR163" i="51"/>
  <c r="CS163" i="51"/>
  <c r="CT163" i="51"/>
  <c r="CU163" i="51"/>
  <c r="CV163" i="51"/>
  <c r="DC163" i="51"/>
  <c r="AF164" i="51"/>
  <c r="AG164" i="51"/>
  <c r="AH164" i="51"/>
  <c r="CZ164" i="51" s="1"/>
  <c r="AI164" i="51"/>
  <c r="DA164" i="51" s="1"/>
  <c r="AJ164" i="51"/>
  <c r="DB164" i="51" s="1"/>
  <c r="AK164" i="51"/>
  <c r="AL164" i="51"/>
  <c r="DD164" i="51" s="1"/>
  <c r="AM164" i="51"/>
  <c r="DE164" i="51" s="1"/>
  <c r="AN164" i="51"/>
  <c r="AP164" i="51"/>
  <c r="AQ164" i="51"/>
  <c r="AR164" i="51"/>
  <c r="AS164" i="51"/>
  <c r="AT164" i="51"/>
  <c r="AU164" i="51"/>
  <c r="AV164" i="51"/>
  <c r="AW164" i="51"/>
  <c r="AX164" i="51"/>
  <c r="BT164" i="51"/>
  <c r="BU164" i="51"/>
  <c r="BV164" i="51"/>
  <c r="BW164" i="51"/>
  <c r="BX164" i="51"/>
  <c r="BY164" i="51"/>
  <c r="BZ164" i="51"/>
  <c r="CA164" i="51"/>
  <c r="CB164" i="51"/>
  <c r="CN164" i="51"/>
  <c r="CO164" i="51"/>
  <c r="CP164" i="51"/>
  <c r="CQ164" i="51"/>
  <c r="CR164" i="51"/>
  <c r="CS164" i="51"/>
  <c r="CT164" i="51"/>
  <c r="CU164" i="51"/>
  <c r="CV164" i="51"/>
  <c r="CX164" i="51"/>
  <c r="CY164" i="51"/>
  <c r="DC164" i="51"/>
  <c r="DF164" i="51"/>
  <c r="AF165" i="51"/>
  <c r="CX165" i="51" s="1"/>
  <c r="AG165" i="51"/>
  <c r="AH165" i="51"/>
  <c r="CZ165" i="51" s="1"/>
  <c r="AI165" i="51"/>
  <c r="AJ165" i="51"/>
  <c r="DB165" i="51" s="1"/>
  <c r="AK165" i="51"/>
  <c r="DC165" i="51" s="1"/>
  <c r="AL165" i="51"/>
  <c r="DD165" i="51" s="1"/>
  <c r="AM165" i="51"/>
  <c r="DE165" i="51" s="1"/>
  <c r="AN165" i="51"/>
  <c r="AP165" i="51"/>
  <c r="AQ165" i="51"/>
  <c r="AR165" i="51"/>
  <c r="AS165" i="51"/>
  <c r="AT165" i="51"/>
  <c r="AU165" i="51"/>
  <c r="AV165" i="51"/>
  <c r="AW165" i="51"/>
  <c r="AX165" i="51"/>
  <c r="BT165" i="51"/>
  <c r="BU165" i="51"/>
  <c r="BV165" i="51"/>
  <c r="BW165" i="51"/>
  <c r="BX165" i="51"/>
  <c r="BY165" i="51"/>
  <c r="BZ165" i="51"/>
  <c r="CA165" i="51"/>
  <c r="CB165" i="51"/>
  <c r="CN165" i="51"/>
  <c r="CO165" i="51"/>
  <c r="CP165" i="51"/>
  <c r="CQ165" i="51"/>
  <c r="CR165" i="51"/>
  <c r="CS165" i="51"/>
  <c r="CT165" i="51"/>
  <c r="CU165" i="51"/>
  <c r="CV165" i="51"/>
  <c r="CY165" i="51"/>
  <c r="DF165" i="51"/>
  <c r="AF166" i="51"/>
  <c r="CX166" i="51" s="1"/>
  <c r="AG166" i="51"/>
  <c r="AH166" i="51"/>
  <c r="CZ166" i="51" s="1"/>
  <c r="AI166" i="51"/>
  <c r="AJ166" i="51"/>
  <c r="DB166" i="51" s="1"/>
  <c r="AK166" i="51"/>
  <c r="DC166" i="51" s="1"/>
  <c r="AL166" i="51"/>
  <c r="DD166" i="51" s="1"/>
  <c r="AM166" i="51"/>
  <c r="DE166" i="51" s="1"/>
  <c r="AN166" i="51"/>
  <c r="DF166" i="51" s="1"/>
  <c r="AP166" i="51"/>
  <c r="AQ166" i="51"/>
  <c r="AR166" i="51"/>
  <c r="AS166" i="51"/>
  <c r="AT166" i="51"/>
  <c r="AU166" i="51"/>
  <c r="AV166" i="51"/>
  <c r="AW166" i="51"/>
  <c r="AX166" i="51"/>
  <c r="BT166" i="51"/>
  <c r="BU166" i="51"/>
  <c r="BV166" i="51"/>
  <c r="BW166" i="51"/>
  <c r="BX166" i="51"/>
  <c r="BY166" i="51"/>
  <c r="BZ166" i="51"/>
  <c r="CA166" i="51"/>
  <c r="CB166" i="51"/>
  <c r="CN166" i="51"/>
  <c r="CO166" i="51"/>
  <c r="CP166" i="51"/>
  <c r="CQ166" i="51"/>
  <c r="CR166" i="51"/>
  <c r="CS166" i="51"/>
  <c r="CT166" i="51"/>
  <c r="CU166" i="51"/>
  <c r="CV166" i="51"/>
  <c r="CY166" i="51"/>
  <c r="DA166" i="51"/>
  <c r="AF167" i="51"/>
  <c r="AG167" i="51"/>
  <c r="CY167" i="51" s="1"/>
  <c r="AH167" i="51"/>
  <c r="AI167" i="51"/>
  <c r="DA167" i="51" s="1"/>
  <c r="AJ167" i="51"/>
  <c r="DB167" i="51" s="1"/>
  <c r="AK167" i="51"/>
  <c r="DC167" i="51" s="1"/>
  <c r="AL167" i="51"/>
  <c r="DD167" i="51" s="1"/>
  <c r="AM167" i="51"/>
  <c r="DE167" i="51" s="1"/>
  <c r="AN167" i="51"/>
  <c r="DF167" i="51" s="1"/>
  <c r="AP167" i="51"/>
  <c r="AQ167" i="51"/>
  <c r="AR167" i="51"/>
  <c r="AS167" i="51"/>
  <c r="AT167" i="51"/>
  <c r="AU167" i="51"/>
  <c r="AV167" i="51"/>
  <c r="AW167" i="51"/>
  <c r="AX167" i="51"/>
  <c r="BT167" i="51"/>
  <c r="BU167" i="51"/>
  <c r="BV167" i="51"/>
  <c r="BW167" i="51"/>
  <c r="BX167" i="51"/>
  <c r="BY167" i="51"/>
  <c r="BZ167" i="51"/>
  <c r="CA167" i="51"/>
  <c r="CB167" i="51"/>
  <c r="CN167" i="51"/>
  <c r="CO167" i="51"/>
  <c r="CP167" i="51"/>
  <c r="CQ167" i="51"/>
  <c r="CR167" i="51"/>
  <c r="CS167" i="51"/>
  <c r="CT167" i="51"/>
  <c r="CU167" i="51"/>
  <c r="CV167" i="51"/>
  <c r="CX167" i="51"/>
  <c r="CZ167" i="51"/>
  <c r="AF168" i="51"/>
  <c r="CX168" i="51" s="1"/>
  <c r="AG168" i="51"/>
  <c r="CY168" i="51" s="1"/>
  <c r="AH168" i="51"/>
  <c r="CZ168" i="51" s="1"/>
  <c r="AI168" i="51"/>
  <c r="DA168" i="51" s="1"/>
  <c r="AJ168" i="51"/>
  <c r="DB168" i="51" s="1"/>
  <c r="AK168" i="51"/>
  <c r="AL168" i="51"/>
  <c r="AM168" i="51"/>
  <c r="DE168" i="51" s="1"/>
  <c r="AN168" i="51"/>
  <c r="DF168" i="51" s="1"/>
  <c r="AP168" i="51"/>
  <c r="AQ168" i="51"/>
  <c r="AR168" i="51"/>
  <c r="AS168" i="51"/>
  <c r="AT168" i="51"/>
  <c r="AU168" i="51"/>
  <c r="AV168" i="51"/>
  <c r="AW168" i="51"/>
  <c r="AX168" i="51"/>
  <c r="BT168" i="51"/>
  <c r="BU168" i="51"/>
  <c r="BV168" i="51"/>
  <c r="BW168" i="51"/>
  <c r="BX168" i="51"/>
  <c r="BY168" i="51"/>
  <c r="BZ168" i="51"/>
  <c r="CA168" i="51"/>
  <c r="CB168" i="51"/>
  <c r="CN168" i="51"/>
  <c r="CO168" i="51"/>
  <c r="CP168" i="51"/>
  <c r="CQ168" i="51"/>
  <c r="CR168" i="51"/>
  <c r="CS168" i="51"/>
  <c r="CT168" i="51"/>
  <c r="CU168" i="51"/>
  <c r="CV168" i="51"/>
  <c r="DC168" i="51"/>
  <c r="AF169" i="51"/>
  <c r="CX169" i="51" s="1"/>
  <c r="AG169" i="51"/>
  <c r="AH169" i="51"/>
  <c r="CZ169" i="51" s="1"/>
  <c r="AI169" i="51"/>
  <c r="DA169" i="51" s="1"/>
  <c r="AJ169" i="51"/>
  <c r="DB169" i="51" s="1"/>
  <c r="AK169" i="51"/>
  <c r="DC169" i="51" s="1"/>
  <c r="AL169" i="51"/>
  <c r="DD169" i="51" s="1"/>
  <c r="AM169" i="51"/>
  <c r="DE169" i="51" s="1"/>
  <c r="AN169" i="51"/>
  <c r="DF169" i="51" s="1"/>
  <c r="AP169" i="51"/>
  <c r="AQ169" i="51"/>
  <c r="AR169" i="51"/>
  <c r="AS169" i="51"/>
  <c r="AT169" i="51"/>
  <c r="AU169" i="51"/>
  <c r="AV169" i="51"/>
  <c r="AW169" i="51"/>
  <c r="AX169" i="51"/>
  <c r="BT169" i="51"/>
  <c r="BU169" i="51"/>
  <c r="BV169" i="51"/>
  <c r="BW169" i="51"/>
  <c r="BX169" i="51"/>
  <c r="BY169" i="51"/>
  <c r="BZ169" i="51"/>
  <c r="CA169" i="51"/>
  <c r="CB169" i="51"/>
  <c r="CN169" i="51"/>
  <c r="CO169" i="51"/>
  <c r="CP169" i="51"/>
  <c r="CQ169" i="51"/>
  <c r="CR169" i="51"/>
  <c r="CS169" i="51"/>
  <c r="CT169" i="51"/>
  <c r="CU169" i="51"/>
  <c r="CV169" i="51"/>
  <c r="CY169" i="51"/>
  <c r="AF170" i="51"/>
  <c r="CX170" i="51" s="1"/>
  <c r="AG170" i="51"/>
  <c r="CY170" i="51" s="1"/>
  <c r="AH170" i="51"/>
  <c r="AI170" i="51"/>
  <c r="AJ170" i="51"/>
  <c r="DB170" i="51" s="1"/>
  <c r="AK170" i="51"/>
  <c r="DC170" i="51" s="1"/>
  <c r="AL170" i="51"/>
  <c r="AM170" i="51"/>
  <c r="DE170" i="51" s="1"/>
  <c r="AN170" i="51"/>
  <c r="DF170" i="51" s="1"/>
  <c r="AP170" i="51"/>
  <c r="AQ170" i="51"/>
  <c r="AR170" i="51"/>
  <c r="AS170" i="51"/>
  <c r="AT170" i="51"/>
  <c r="AU170" i="51"/>
  <c r="AV170" i="51"/>
  <c r="AW170" i="51"/>
  <c r="AX170" i="51"/>
  <c r="BT170" i="51"/>
  <c r="BU170" i="51"/>
  <c r="BV170" i="51"/>
  <c r="BW170" i="51"/>
  <c r="BX170" i="51"/>
  <c r="BY170" i="51"/>
  <c r="BZ170" i="51"/>
  <c r="CA170" i="51"/>
  <c r="CB170" i="51"/>
  <c r="CN170" i="51"/>
  <c r="CO170" i="51"/>
  <c r="CP170" i="51"/>
  <c r="CQ170" i="51"/>
  <c r="CR170" i="51"/>
  <c r="CS170" i="51"/>
  <c r="CT170" i="51"/>
  <c r="CU170" i="51"/>
  <c r="CV170" i="51"/>
  <c r="CZ170" i="51"/>
  <c r="DA170" i="51"/>
  <c r="AF171" i="51"/>
  <c r="AG171" i="51"/>
  <c r="AH171" i="51"/>
  <c r="CZ171" i="51" s="1"/>
  <c r="AI171" i="51"/>
  <c r="AJ171" i="51"/>
  <c r="DB171" i="51" s="1"/>
  <c r="AK171" i="51"/>
  <c r="DC171" i="51" s="1"/>
  <c r="AL171" i="51"/>
  <c r="DD171" i="51" s="1"/>
  <c r="AM171" i="51"/>
  <c r="DE171" i="51" s="1"/>
  <c r="AN171" i="51"/>
  <c r="DF171" i="51" s="1"/>
  <c r="AP171" i="51"/>
  <c r="AQ171" i="51"/>
  <c r="AR171" i="51"/>
  <c r="AS171" i="51"/>
  <c r="AT171" i="51"/>
  <c r="AU171" i="51"/>
  <c r="AV171" i="51"/>
  <c r="AW171" i="51"/>
  <c r="AX171" i="51"/>
  <c r="BT171" i="51"/>
  <c r="BU171" i="51"/>
  <c r="BV171" i="51"/>
  <c r="BW171" i="51"/>
  <c r="BX171" i="51"/>
  <c r="BY171" i="51"/>
  <c r="BZ171" i="51"/>
  <c r="CA171" i="51"/>
  <c r="CB171" i="51"/>
  <c r="CN171" i="51"/>
  <c r="CO171" i="51"/>
  <c r="CP171" i="51"/>
  <c r="CQ171" i="51"/>
  <c r="CR171" i="51"/>
  <c r="CS171" i="51"/>
  <c r="CT171" i="51"/>
  <c r="CU171" i="51"/>
  <c r="CV171" i="51"/>
  <c r="CX171" i="51"/>
  <c r="CY171" i="51"/>
  <c r="DA171" i="51"/>
  <c r="AF172" i="51"/>
  <c r="AG172" i="51"/>
  <c r="CY172" i="51" s="1"/>
  <c r="AH172" i="51"/>
  <c r="CZ172" i="51" s="1"/>
  <c r="AI172" i="51"/>
  <c r="DA172" i="51" s="1"/>
  <c r="AJ172" i="51"/>
  <c r="DB172" i="51" s="1"/>
  <c r="AK172" i="51"/>
  <c r="AL172" i="51"/>
  <c r="DD172" i="51" s="1"/>
  <c r="AM172" i="51"/>
  <c r="DE172" i="51" s="1"/>
  <c r="AN172" i="51"/>
  <c r="DF172" i="51" s="1"/>
  <c r="AP172" i="51"/>
  <c r="AQ172" i="51"/>
  <c r="AR172" i="51"/>
  <c r="AS172" i="51"/>
  <c r="AT172" i="51"/>
  <c r="AU172" i="51"/>
  <c r="AV172" i="51"/>
  <c r="AW172" i="51"/>
  <c r="AX172" i="51"/>
  <c r="BT172" i="51"/>
  <c r="BU172" i="51"/>
  <c r="BV172" i="51"/>
  <c r="BW172" i="51"/>
  <c r="BX172" i="51"/>
  <c r="BY172" i="51"/>
  <c r="BZ172" i="51"/>
  <c r="CA172" i="51"/>
  <c r="CB172" i="51"/>
  <c r="CN172" i="51"/>
  <c r="CO172" i="51"/>
  <c r="CP172" i="51"/>
  <c r="CQ172" i="51"/>
  <c r="CR172" i="51"/>
  <c r="CS172" i="51"/>
  <c r="CT172" i="51"/>
  <c r="CU172" i="51"/>
  <c r="CV172" i="51"/>
  <c r="DC172" i="51"/>
  <c r="AE158" i="51"/>
  <c r="AE159" i="51"/>
  <c r="AE160" i="51"/>
  <c r="AE161" i="51"/>
  <c r="AE162" i="51"/>
  <c r="AE163" i="51"/>
  <c r="AE164" i="51"/>
  <c r="AE165" i="51"/>
  <c r="AE166" i="51"/>
  <c r="AE167" i="51"/>
  <c r="AE168" i="51"/>
  <c r="AE169" i="51"/>
  <c r="AE170" i="51"/>
  <c r="AE171" i="51"/>
  <c r="AE172" i="51"/>
  <c r="U159" i="51"/>
  <c r="U160" i="51"/>
  <c r="U161" i="51"/>
  <c r="U162" i="51"/>
  <c r="U163" i="51"/>
  <c r="U164" i="51"/>
  <c r="U165" i="51"/>
  <c r="U166" i="51"/>
  <c r="U167" i="51"/>
  <c r="U168" i="51"/>
  <c r="U169" i="51"/>
  <c r="U170" i="51"/>
  <c r="U171" i="51"/>
  <c r="U172" i="51"/>
  <c r="K163" i="51"/>
  <c r="K164" i="51"/>
  <c r="K165" i="51"/>
  <c r="K166" i="51"/>
  <c r="K167" i="51"/>
  <c r="K168" i="51"/>
  <c r="K169" i="51"/>
  <c r="K170" i="51"/>
  <c r="K171" i="51"/>
  <c r="K172" i="51"/>
  <c r="P17" i="59" l="1"/>
  <c r="H17" i="59"/>
  <c r="AN3" i="14"/>
  <c r="C17" i="59"/>
  <c r="K17" i="59"/>
  <c r="O17" i="59"/>
  <c r="G17" i="59"/>
  <c r="CH173" i="51"/>
  <c r="CI172" i="51"/>
  <c r="CC168" i="51"/>
  <c r="AY172" i="51"/>
  <c r="CF171" i="51"/>
  <c r="CJ172" i="51"/>
  <c r="CC165" i="51"/>
  <c r="CF172" i="51"/>
  <c r="AO163" i="51"/>
  <c r="CK173" i="51"/>
  <c r="CC172" i="51"/>
  <c r="CC164" i="51"/>
  <c r="CG173" i="51"/>
  <c r="AO161" i="51"/>
  <c r="CJ173" i="51"/>
  <c r="AY173" i="51"/>
  <c r="AY170" i="51"/>
  <c r="CI173" i="51"/>
  <c r="W53" i="49"/>
  <c r="W56" i="49"/>
  <c r="AY161" i="51"/>
  <c r="AY160" i="51"/>
  <c r="CF173" i="51"/>
  <c r="AO172" i="51"/>
  <c r="CC171" i="51"/>
  <c r="CC163" i="51"/>
  <c r="CH172" i="51"/>
  <c r="CL171" i="51"/>
  <c r="CD171" i="51"/>
  <c r="DC161" i="51"/>
  <c r="CE173" i="51"/>
  <c r="AO165" i="51"/>
  <c r="CC170" i="51"/>
  <c r="CG172" i="51"/>
  <c r="CK171" i="51"/>
  <c r="AO171" i="51"/>
  <c r="AO170" i="51"/>
  <c r="AO169" i="51"/>
  <c r="AO168" i="51"/>
  <c r="AO167" i="51"/>
  <c r="DA163" i="51"/>
  <c r="AY159" i="51"/>
  <c r="CL173" i="51"/>
  <c r="CD173" i="51"/>
  <c r="CC169" i="51"/>
  <c r="CX172" i="51"/>
  <c r="CJ171" i="51"/>
  <c r="AY171" i="51"/>
  <c r="AY169" i="51"/>
  <c r="AY168" i="51"/>
  <c r="AY167" i="51"/>
  <c r="DA165" i="51"/>
  <c r="AO159" i="51"/>
  <c r="CE171" i="51"/>
  <c r="CE172" i="51"/>
  <c r="CI171" i="51"/>
  <c r="AO164" i="51"/>
  <c r="AO160" i="51"/>
  <c r="CC167" i="51"/>
  <c r="CL172" i="51"/>
  <c r="CD172" i="51"/>
  <c r="CH171" i="51"/>
  <c r="AO166" i="51"/>
  <c r="AY164" i="51"/>
  <c r="AY163" i="51"/>
  <c r="AO162" i="51"/>
  <c r="DA159" i="51"/>
  <c r="AO158" i="51"/>
  <c r="CC166" i="51"/>
  <c r="CK172" i="51"/>
  <c r="CG171" i="51"/>
  <c r="AY166" i="51"/>
  <c r="AY165" i="51"/>
  <c r="AY162" i="51"/>
  <c r="DC160" i="51"/>
  <c r="AY158" i="51"/>
  <c r="AO173" i="51"/>
  <c r="DD170" i="51"/>
  <c r="DD168" i="51"/>
  <c r="DD158" i="51"/>
  <c r="K162" i="51"/>
  <c r="K161" i="51"/>
  <c r="K160" i="51"/>
  <c r="CC160" i="51" s="1"/>
  <c r="K159" i="51"/>
  <c r="U158" i="51"/>
  <c r="K158" i="51"/>
  <c r="CC159" i="51" l="1"/>
  <c r="CC158" i="51"/>
  <c r="CC162" i="51"/>
  <c r="CC161" i="51"/>
  <c r="AN2" i="14"/>
  <c r="AL3" i="14"/>
  <c r="CM172" i="51"/>
  <c r="CM173" i="51"/>
  <c r="CM171" i="51"/>
  <c r="AP157" i="51"/>
  <c r="CD170" i="51" s="1"/>
  <c r="K154" i="51"/>
  <c r="K148" i="51"/>
  <c r="K149" i="51"/>
  <c r="K150" i="51"/>
  <c r="K151" i="51"/>
  <c r="K152" i="51"/>
  <c r="K153" i="51"/>
  <c r="K155" i="51"/>
  <c r="K156" i="51"/>
  <c r="K157" i="51"/>
  <c r="CX157" i="51"/>
  <c r="CV157" i="51"/>
  <c r="CU157" i="51"/>
  <c r="CT157" i="51"/>
  <c r="CS157" i="51"/>
  <c r="CR157" i="51"/>
  <c r="CQ157" i="51"/>
  <c r="CP157" i="51"/>
  <c r="CO157" i="51"/>
  <c r="CN157" i="51"/>
  <c r="CB157" i="51"/>
  <c r="CA157" i="51"/>
  <c r="BZ157" i="51"/>
  <c r="BY157" i="51"/>
  <c r="BX157" i="51"/>
  <c r="BW157" i="51"/>
  <c r="BV157" i="51"/>
  <c r="BU157" i="51"/>
  <c r="BT157" i="51"/>
  <c r="AX157" i="51"/>
  <c r="CL170" i="51" s="1"/>
  <c r="AW157" i="51"/>
  <c r="CK170" i="51" s="1"/>
  <c r="AV157" i="51"/>
  <c r="CJ170" i="51" s="1"/>
  <c r="AU157" i="51"/>
  <c r="CI170" i="51" s="1"/>
  <c r="AT157" i="51"/>
  <c r="CH170" i="51" s="1"/>
  <c r="AS157" i="51"/>
  <c r="CG170" i="51" s="1"/>
  <c r="AR157" i="51"/>
  <c r="CF170" i="51" s="1"/>
  <c r="AQ157" i="51"/>
  <c r="CE170" i="51" s="1"/>
  <c r="AN157" i="51"/>
  <c r="DF157" i="51" s="1"/>
  <c r="AM157" i="51"/>
  <c r="DE157" i="51" s="1"/>
  <c r="AL157" i="51"/>
  <c r="DD157" i="51" s="1"/>
  <c r="AK157" i="51"/>
  <c r="DC157" i="51" s="1"/>
  <c r="AJ157" i="51"/>
  <c r="DB157" i="51" s="1"/>
  <c r="AI157" i="51"/>
  <c r="DA157" i="51" s="1"/>
  <c r="AH157" i="51"/>
  <c r="CZ157" i="51" s="1"/>
  <c r="AG157" i="51"/>
  <c r="CY157" i="51" s="1"/>
  <c r="AF157" i="51"/>
  <c r="AE157" i="51"/>
  <c r="U157" i="51"/>
  <c r="CC157" i="51" s="1"/>
  <c r="CV156" i="51"/>
  <c r="CU156" i="51"/>
  <c r="CT156" i="51"/>
  <c r="CS156" i="51"/>
  <c r="CR156" i="51"/>
  <c r="CQ156" i="51"/>
  <c r="CP156" i="51"/>
  <c r="CO156" i="51"/>
  <c r="CN156" i="51"/>
  <c r="CB156" i="51"/>
  <c r="CA156" i="51"/>
  <c r="BZ156" i="51"/>
  <c r="BY156" i="51"/>
  <c r="BX156" i="51"/>
  <c r="BW156" i="51"/>
  <c r="BV156" i="51"/>
  <c r="BU156" i="51"/>
  <c r="BT156" i="51"/>
  <c r="AX156" i="51"/>
  <c r="CL169" i="51" s="1"/>
  <c r="AW156" i="51"/>
  <c r="AV156" i="51"/>
  <c r="AU156" i="51"/>
  <c r="CI169" i="51" s="1"/>
  <c r="AT156" i="51"/>
  <c r="CH169" i="51" s="1"/>
  <c r="AS156" i="51"/>
  <c r="AR156" i="51"/>
  <c r="AQ156" i="51"/>
  <c r="CE169" i="51" s="1"/>
  <c r="AP156" i="51"/>
  <c r="CD169" i="51" s="1"/>
  <c r="AN156" i="51"/>
  <c r="DF156" i="51" s="1"/>
  <c r="AM156" i="51"/>
  <c r="DE156" i="51" s="1"/>
  <c r="AL156" i="51"/>
  <c r="DD156" i="51" s="1"/>
  <c r="AK156" i="51"/>
  <c r="DC156" i="51" s="1"/>
  <c r="AJ156" i="51"/>
  <c r="DB156" i="51" s="1"/>
  <c r="AI156" i="51"/>
  <c r="DA156" i="51" s="1"/>
  <c r="AH156" i="51"/>
  <c r="CZ156" i="51" s="1"/>
  <c r="AG156" i="51"/>
  <c r="CY156" i="51" s="1"/>
  <c r="AF156" i="51"/>
  <c r="AE156" i="51"/>
  <c r="U156" i="51"/>
  <c r="CV155" i="51"/>
  <c r="CU155" i="51"/>
  <c r="CT155" i="51"/>
  <c r="CS155" i="51"/>
  <c r="CR155" i="51"/>
  <c r="CQ155" i="51"/>
  <c r="CP155" i="51"/>
  <c r="CO155" i="51"/>
  <c r="CN155" i="51"/>
  <c r="CB155" i="51"/>
  <c r="CA155" i="51"/>
  <c r="BZ155" i="51"/>
  <c r="BY155" i="51"/>
  <c r="BX155" i="51"/>
  <c r="BW155" i="51"/>
  <c r="BV155" i="51"/>
  <c r="BU155" i="51"/>
  <c r="BT155" i="51"/>
  <c r="AX155" i="51"/>
  <c r="AW155" i="51"/>
  <c r="AV155" i="51"/>
  <c r="CJ168" i="51" s="1"/>
  <c r="AU155" i="51"/>
  <c r="AT155" i="51"/>
  <c r="AS155" i="51"/>
  <c r="AR155" i="51"/>
  <c r="CF168" i="51" s="1"/>
  <c r="AQ155" i="51"/>
  <c r="AP155" i="51"/>
  <c r="AN155" i="51"/>
  <c r="DF155" i="51" s="1"/>
  <c r="AM155" i="51"/>
  <c r="DE155" i="51" s="1"/>
  <c r="AL155" i="51"/>
  <c r="DD155" i="51" s="1"/>
  <c r="AK155" i="51"/>
  <c r="DC155" i="51" s="1"/>
  <c r="AJ155" i="51"/>
  <c r="DB155" i="51" s="1"/>
  <c r="AI155" i="51"/>
  <c r="DA155" i="51" s="1"/>
  <c r="AH155" i="51"/>
  <c r="CZ155" i="51" s="1"/>
  <c r="AG155" i="51"/>
  <c r="AF155" i="51"/>
  <c r="CX155" i="51" s="1"/>
  <c r="AE155" i="51"/>
  <c r="U155" i="51"/>
  <c r="CC155" i="51" s="1"/>
  <c r="CV154" i="51"/>
  <c r="CU154" i="51"/>
  <c r="CT154" i="51"/>
  <c r="CS154" i="51"/>
  <c r="CR154" i="51"/>
  <c r="CQ154" i="51"/>
  <c r="CP154" i="51"/>
  <c r="CO154" i="51"/>
  <c r="CN154" i="51"/>
  <c r="CB154" i="51"/>
  <c r="CA154" i="51"/>
  <c r="BZ154" i="51"/>
  <c r="BY154" i="51"/>
  <c r="BX154" i="51"/>
  <c r="BW154" i="51"/>
  <c r="BV154" i="51"/>
  <c r="BU154" i="51"/>
  <c r="BT154" i="51"/>
  <c r="AX154" i="51"/>
  <c r="AW154" i="51"/>
  <c r="AV154" i="51"/>
  <c r="CJ167" i="51" s="1"/>
  <c r="AU154" i="51"/>
  <c r="AT154" i="51"/>
  <c r="AS154" i="51"/>
  <c r="AR154" i="51"/>
  <c r="CF167" i="51" s="1"/>
  <c r="AQ154" i="51"/>
  <c r="AP154" i="51"/>
  <c r="AN154" i="51"/>
  <c r="DF154" i="51" s="1"/>
  <c r="AM154" i="51"/>
  <c r="DE154" i="51" s="1"/>
  <c r="AL154" i="51"/>
  <c r="DD154" i="51" s="1"/>
  <c r="AK154" i="51"/>
  <c r="DC154" i="51" s="1"/>
  <c r="AJ154" i="51"/>
  <c r="DB154" i="51" s="1"/>
  <c r="AI154" i="51"/>
  <c r="DA154" i="51" s="1"/>
  <c r="AH154" i="51"/>
  <c r="CZ154" i="51" s="1"/>
  <c r="AG154" i="51"/>
  <c r="CY154" i="51" s="1"/>
  <c r="AF154" i="51"/>
  <c r="CX154" i="51" s="1"/>
  <c r="AE154" i="51"/>
  <c r="U154" i="51"/>
  <c r="CV153" i="51"/>
  <c r="CU153" i="51"/>
  <c r="CT153" i="51"/>
  <c r="CS153" i="51"/>
  <c r="CR153" i="51"/>
  <c r="CQ153" i="51"/>
  <c r="CP153" i="51"/>
  <c r="CO153" i="51"/>
  <c r="CN153" i="51"/>
  <c r="CB153" i="51"/>
  <c r="CA153" i="51"/>
  <c r="BZ153" i="51"/>
  <c r="BY153" i="51"/>
  <c r="BX153" i="51"/>
  <c r="BW153" i="51"/>
  <c r="BV153" i="51"/>
  <c r="BU153" i="51"/>
  <c r="BT153" i="51"/>
  <c r="AX153" i="51"/>
  <c r="CL166" i="51" s="1"/>
  <c r="AW153" i="51"/>
  <c r="AV153" i="51"/>
  <c r="AU153" i="51"/>
  <c r="CI166" i="51" s="1"/>
  <c r="AT153" i="51"/>
  <c r="CH166" i="51" s="1"/>
  <c r="AS153" i="51"/>
  <c r="AR153" i="51"/>
  <c r="AQ153" i="51"/>
  <c r="CE166" i="51" s="1"/>
  <c r="AP153" i="51"/>
  <c r="CD166" i="51" s="1"/>
  <c r="AN153" i="51"/>
  <c r="DF153" i="51" s="1"/>
  <c r="AM153" i="51"/>
  <c r="DE153" i="51" s="1"/>
  <c r="AL153" i="51"/>
  <c r="DD153" i="51" s="1"/>
  <c r="AK153" i="51"/>
  <c r="DC153" i="51" s="1"/>
  <c r="AJ153" i="51"/>
  <c r="DB153" i="51" s="1"/>
  <c r="AI153" i="51"/>
  <c r="DA153" i="51" s="1"/>
  <c r="AH153" i="51"/>
  <c r="CZ153" i="51" s="1"/>
  <c r="AG153" i="51"/>
  <c r="CY153" i="51" s="1"/>
  <c r="AF153" i="51"/>
  <c r="AE153" i="51"/>
  <c r="U153" i="51"/>
  <c r="CV152" i="51"/>
  <c r="CU152" i="51"/>
  <c r="CT152" i="51"/>
  <c r="CS152" i="51"/>
  <c r="CR152" i="51"/>
  <c r="CQ152" i="51"/>
  <c r="CP152" i="51"/>
  <c r="CO152" i="51"/>
  <c r="CN152" i="51"/>
  <c r="CB152" i="51"/>
  <c r="CA152" i="51"/>
  <c r="BZ152" i="51"/>
  <c r="BY152" i="51"/>
  <c r="BX152" i="51"/>
  <c r="BW152" i="51"/>
  <c r="BV152" i="51"/>
  <c r="BU152" i="51"/>
  <c r="BT152" i="51"/>
  <c r="AX152" i="51"/>
  <c r="AW152" i="51"/>
  <c r="AV152" i="51"/>
  <c r="CJ165" i="51" s="1"/>
  <c r="AU152" i="51"/>
  <c r="AT152" i="51"/>
  <c r="AS152" i="51"/>
  <c r="AR152" i="51"/>
  <c r="CF165" i="51" s="1"/>
  <c r="AQ152" i="51"/>
  <c r="AP152" i="51"/>
  <c r="AN152" i="51"/>
  <c r="DF152" i="51" s="1"/>
  <c r="AM152" i="51"/>
  <c r="DE152" i="51" s="1"/>
  <c r="AL152" i="51"/>
  <c r="DD152" i="51" s="1"/>
  <c r="AK152" i="51"/>
  <c r="DC152" i="51" s="1"/>
  <c r="AJ152" i="51"/>
  <c r="DB152" i="51" s="1"/>
  <c r="AI152" i="51"/>
  <c r="DA152" i="51" s="1"/>
  <c r="AH152" i="51"/>
  <c r="CZ152" i="51" s="1"/>
  <c r="AG152" i="51"/>
  <c r="CY152" i="51" s="1"/>
  <c r="AF152" i="51"/>
  <c r="AE152" i="51"/>
  <c r="U152" i="51"/>
  <c r="CC152" i="51" s="1"/>
  <c r="CV151" i="51"/>
  <c r="CU151" i="51"/>
  <c r="CT151" i="51"/>
  <c r="CS151" i="51"/>
  <c r="CR151" i="51"/>
  <c r="CQ151" i="51"/>
  <c r="CP151" i="51"/>
  <c r="CO151" i="51"/>
  <c r="CN151" i="51"/>
  <c r="CB151" i="51"/>
  <c r="CA151" i="51"/>
  <c r="BZ151" i="51"/>
  <c r="BY151" i="51"/>
  <c r="BX151" i="51"/>
  <c r="BW151" i="51"/>
  <c r="BV151" i="51"/>
  <c r="BU151" i="51"/>
  <c r="BT151" i="51"/>
  <c r="AX151" i="51"/>
  <c r="CL164" i="51" s="1"/>
  <c r="AW151" i="51"/>
  <c r="AV151" i="51"/>
  <c r="AU151" i="51"/>
  <c r="CI164" i="51" s="1"/>
  <c r="AT151" i="51"/>
  <c r="CH164" i="51" s="1"/>
  <c r="AS151" i="51"/>
  <c r="AR151" i="51"/>
  <c r="AQ151" i="51"/>
  <c r="CE164" i="51" s="1"/>
  <c r="AP151" i="51"/>
  <c r="CD164" i="51" s="1"/>
  <c r="AN151" i="51"/>
  <c r="DF151" i="51" s="1"/>
  <c r="AM151" i="51"/>
  <c r="DE151" i="51" s="1"/>
  <c r="AL151" i="51"/>
  <c r="DD151" i="51" s="1"/>
  <c r="AK151" i="51"/>
  <c r="DC151" i="51" s="1"/>
  <c r="AJ151" i="51"/>
  <c r="DB151" i="51" s="1"/>
  <c r="AI151" i="51"/>
  <c r="DA151" i="51" s="1"/>
  <c r="AH151" i="51"/>
  <c r="CZ151" i="51" s="1"/>
  <c r="AG151" i="51"/>
  <c r="CY151" i="51" s="1"/>
  <c r="AF151" i="51"/>
  <c r="CX151" i="51" s="1"/>
  <c r="AE151" i="51"/>
  <c r="U151" i="51"/>
  <c r="CV150" i="51"/>
  <c r="CU150" i="51"/>
  <c r="CT150" i="51"/>
  <c r="CS150" i="51"/>
  <c r="CR150" i="51"/>
  <c r="CQ150" i="51"/>
  <c r="CP150" i="51"/>
  <c r="CO150" i="51"/>
  <c r="CN150" i="51"/>
  <c r="CB150" i="51"/>
  <c r="CA150" i="51"/>
  <c r="BZ150" i="51"/>
  <c r="BY150" i="51"/>
  <c r="BX150" i="51"/>
  <c r="BW150" i="51"/>
  <c r="BV150" i="51"/>
  <c r="BU150" i="51"/>
  <c r="BT150" i="51"/>
  <c r="AX150" i="51"/>
  <c r="CL163" i="51" s="1"/>
  <c r="AW150" i="51"/>
  <c r="AV150" i="51"/>
  <c r="AU150" i="51"/>
  <c r="AT150" i="51"/>
  <c r="AS150" i="51"/>
  <c r="AR150" i="51"/>
  <c r="AQ150" i="51"/>
  <c r="AP150" i="51"/>
  <c r="CD163" i="51" s="1"/>
  <c r="AN150" i="51"/>
  <c r="DF150" i="51" s="1"/>
  <c r="AM150" i="51"/>
  <c r="DE150" i="51" s="1"/>
  <c r="AL150" i="51"/>
  <c r="DD150" i="51" s="1"/>
  <c r="AK150" i="51"/>
  <c r="DC150" i="51" s="1"/>
  <c r="AJ150" i="51"/>
  <c r="DB150" i="51" s="1"/>
  <c r="AI150" i="51"/>
  <c r="DA150" i="51" s="1"/>
  <c r="AH150" i="51"/>
  <c r="CZ150" i="51" s="1"/>
  <c r="AG150" i="51"/>
  <c r="CY150" i="51" s="1"/>
  <c r="AF150" i="51"/>
  <c r="CX150" i="51" s="1"/>
  <c r="AE150" i="51"/>
  <c r="U150" i="51"/>
  <c r="CC150" i="51" s="1"/>
  <c r="CE163" i="51" l="1"/>
  <c r="CF163" i="51"/>
  <c r="CJ163" i="51"/>
  <c r="CF164" i="51"/>
  <c r="CJ164" i="51"/>
  <c r="CG165" i="51"/>
  <c r="CK165" i="51"/>
  <c r="CF166" i="51"/>
  <c r="CJ166" i="51"/>
  <c r="CG167" i="51"/>
  <c r="CK167" i="51"/>
  <c r="CG168" i="51"/>
  <c r="CK168" i="51"/>
  <c r="CF169" i="51"/>
  <c r="CJ169" i="51"/>
  <c r="CG163" i="51"/>
  <c r="CK163" i="51"/>
  <c r="CG164" i="51"/>
  <c r="CK164" i="51"/>
  <c r="CD165" i="51"/>
  <c r="CH165" i="51"/>
  <c r="CL165" i="51"/>
  <c r="AO153" i="51"/>
  <c r="CG166" i="51"/>
  <c r="CK166" i="51"/>
  <c r="CD167" i="51"/>
  <c r="CH167" i="51"/>
  <c r="CL167" i="51"/>
  <c r="AO155" i="51"/>
  <c r="CD168" i="51"/>
  <c r="CH168" i="51"/>
  <c r="CL168" i="51"/>
  <c r="AO156" i="51"/>
  <c r="CG169" i="51"/>
  <c r="CK169" i="51"/>
  <c r="CI163" i="51"/>
  <c r="CH163" i="51"/>
  <c r="CE165" i="51"/>
  <c r="CI165" i="51"/>
  <c r="CC154" i="51"/>
  <c r="CE167" i="51"/>
  <c r="CI167" i="51"/>
  <c r="CE168" i="51"/>
  <c r="CI168" i="51"/>
  <c r="AL2" i="14"/>
  <c r="AK3" i="14"/>
  <c r="AY153" i="51"/>
  <c r="AO151" i="51"/>
  <c r="CC151" i="51"/>
  <c r="AO152" i="51"/>
  <c r="AY152" i="51"/>
  <c r="AO154" i="51"/>
  <c r="AY156" i="51"/>
  <c r="CC153" i="51"/>
  <c r="AY154" i="51"/>
  <c r="CM167" i="51" s="1"/>
  <c r="CY155" i="51"/>
  <c r="AO157" i="51"/>
  <c r="CX153" i="51"/>
  <c r="AO150" i="51"/>
  <c r="AY157" i="51"/>
  <c r="CM170" i="51" s="1"/>
  <c r="CC156" i="51"/>
  <c r="AY155" i="51"/>
  <c r="CX152" i="51"/>
  <c r="CX156" i="51"/>
  <c r="AY150" i="51"/>
  <c r="AY151" i="51"/>
  <c r="CM169" i="51" l="1"/>
  <c r="CM165" i="51"/>
  <c r="CM166" i="51"/>
  <c r="CM164" i="51"/>
  <c r="CM163" i="51"/>
  <c r="CM168" i="51"/>
  <c r="AK2" i="14"/>
  <c r="AJ3" i="14"/>
  <c r="AJ2" i="14" l="1"/>
  <c r="AH3" i="14"/>
  <c r="AG3" i="14" s="1"/>
  <c r="AF3" i="14" s="1"/>
  <c r="S19" i="8"/>
  <c r="K19" i="8" s="1"/>
  <c r="T16" i="8"/>
  <c r="T18" i="8"/>
  <c r="N18" i="8" s="1"/>
  <c r="O18" i="8" s="1"/>
  <c r="P18" i="8" s="1"/>
  <c r="Q18" i="8" s="1"/>
  <c r="T19" i="8"/>
  <c r="N19" i="8" s="1"/>
  <c r="O19" i="8" s="1"/>
  <c r="P19" i="8" s="1"/>
  <c r="Q19" i="8" s="1"/>
  <c r="T24" i="8"/>
  <c r="N24" i="8" s="1"/>
  <c r="O24" i="8" s="1"/>
  <c r="P24" i="8" s="1"/>
  <c r="Q24" i="8" s="1"/>
  <c r="T22" i="8"/>
  <c r="N22" i="8" s="1"/>
  <c r="O22" i="8" s="1"/>
  <c r="P22" i="8" s="1"/>
  <c r="Q22" i="8" s="1"/>
  <c r="S20" i="8"/>
  <c r="K20" i="8" s="1"/>
  <c r="N16" i="8" l="1"/>
  <c r="S18" i="8"/>
  <c r="T21" i="8"/>
  <c r="N21" i="8" s="1"/>
  <c r="O21" i="8" s="1"/>
  <c r="P21" i="8" s="1"/>
  <c r="Q21" i="8" s="1"/>
  <c r="T20" i="8"/>
  <c r="N20" i="8" s="1"/>
  <c r="O20" i="8" s="1"/>
  <c r="P20" i="8" s="1"/>
  <c r="Q20" i="8" s="1"/>
  <c r="K17" i="8"/>
  <c r="J3" i="56" s="1"/>
  <c r="T17" i="8"/>
  <c r="N17" i="8" s="1"/>
  <c r="O17" i="8" s="1"/>
  <c r="P17" i="8" s="1"/>
  <c r="Q17" i="8" s="1"/>
  <c r="T23" i="8"/>
  <c r="N23" i="8" s="1"/>
  <c r="O23" i="8" s="1"/>
  <c r="P23" i="8" s="1"/>
  <c r="Q23" i="8" s="1"/>
  <c r="K24" i="8"/>
  <c r="L24" i="8" s="1"/>
  <c r="L19" i="8"/>
  <c r="M19" i="8" s="1"/>
  <c r="O16" i="8"/>
  <c r="P16" i="8" s="1"/>
  <c r="Q16" i="8" s="1"/>
  <c r="K18" i="8"/>
  <c r="J5" i="56"/>
  <c r="S23" i="8"/>
  <c r="S22" i="8"/>
  <c r="K22" i="8" s="1"/>
  <c r="S21" i="8"/>
  <c r="K21" i="8" s="1"/>
  <c r="P29" i="8"/>
  <c r="P30" i="8"/>
  <c r="P35" i="8"/>
  <c r="S14" i="8"/>
  <c r="C35" i="8"/>
  <c r="C34" i="8"/>
  <c r="C33" i="8"/>
  <c r="C32" i="8"/>
  <c r="C31" i="8"/>
  <c r="C30" i="8"/>
  <c r="C29" i="8"/>
  <c r="C28" i="8"/>
  <c r="D14" i="8"/>
  <c r="C17" i="8"/>
  <c r="C18" i="8"/>
  <c r="C19" i="8"/>
  <c r="C20" i="8"/>
  <c r="C21" i="8"/>
  <c r="C22" i="8"/>
  <c r="C23" i="8"/>
  <c r="C24" i="8"/>
  <c r="C16" i="8"/>
  <c r="B10" i="56"/>
  <c r="B9" i="56"/>
  <c r="B8" i="56"/>
  <c r="B7" i="56"/>
  <c r="B6" i="56"/>
  <c r="B5" i="56"/>
  <c r="B4" i="56"/>
  <c r="B3" i="56"/>
  <c r="B2" i="56"/>
  <c r="E14" i="8" l="1"/>
  <c r="F14" i="8" s="1"/>
  <c r="G14" i="8" s="1"/>
  <c r="H14" i="8" s="1"/>
  <c r="I14" i="8" s="1"/>
  <c r="J14" i="8" s="1"/>
  <c r="K14" i="8" s="1"/>
  <c r="L14" i="8" s="1"/>
  <c r="M14" i="8" s="1"/>
  <c r="N14" i="8" s="1"/>
  <c r="O14" i="8" s="1"/>
  <c r="P14" i="8" s="1"/>
  <c r="Q14" i="8" s="1"/>
  <c r="L21" i="8"/>
  <c r="M21" i="8" s="1"/>
  <c r="P32" i="8"/>
  <c r="P34" i="8"/>
  <c r="P31" i="8"/>
  <c r="K5" i="56"/>
  <c r="L16" i="8"/>
  <c r="K2" i="56" s="1"/>
  <c r="L20" i="8"/>
  <c r="M20" i="8" s="1"/>
  <c r="L17" i="8"/>
  <c r="L22" i="8"/>
  <c r="K23" i="8"/>
  <c r="L23" i="8" s="1"/>
  <c r="M23" i="8" s="1"/>
  <c r="J8" i="56"/>
  <c r="M24" i="8"/>
  <c r="L10" i="56" s="1"/>
  <c r="K10" i="56"/>
  <c r="L18" i="8"/>
  <c r="K6" i="56"/>
  <c r="L5" i="56"/>
  <c r="K7" i="56"/>
  <c r="M3" i="56"/>
  <c r="N3" i="56"/>
  <c r="K33" i="8"/>
  <c r="P28" i="8"/>
  <c r="P27" i="8"/>
  <c r="P33" i="8"/>
  <c r="K28" i="8"/>
  <c r="Q34" i="8"/>
  <c r="Q33" i="8"/>
  <c r="Q32" i="8"/>
  <c r="Q31" i="8"/>
  <c r="Q30" i="8"/>
  <c r="Q29" i="8"/>
  <c r="Q27" i="8"/>
  <c r="Q28" i="8"/>
  <c r="Q35" i="8"/>
  <c r="M16" i="8" l="1"/>
  <c r="L2" i="56" s="1"/>
  <c r="K9" i="56"/>
  <c r="M18" i="8"/>
  <c r="L4" i="56" s="1"/>
  <c r="K4" i="56"/>
  <c r="M22" i="8"/>
  <c r="L8" i="56" s="1"/>
  <c r="K8" i="56"/>
  <c r="M17" i="8"/>
  <c r="L3" i="56" s="1"/>
  <c r="K3" i="56"/>
  <c r="N8" i="56"/>
  <c r="M8" i="56"/>
  <c r="L7" i="56"/>
  <c r="N4" i="56"/>
  <c r="M4" i="56"/>
  <c r="N2" i="56"/>
  <c r="M2" i="56"/>
  <c r="N5" i="56"/>
  <c r="M5" i="56"/>
  <c r="L6" i="56"/>
  <c r="L9" i="56"/>
  <c r="N10" i="56"/>
  <c r="M10" i="56"/>
  <c r="L33" i="8"/>
  <c r="K30" i="8"/>
  <c r="L30" i="8"/>
  <c r="L27" i="8"/>
  <c r="L35" i="8"/>
  <c r="L29" i="8"/>
  <c r="L34" i="8"/>
  <c r="L31" i="8"/>
  <c r="L28" i="8"/>
  <c r="L32" i="8"/>
  <c r="D2" i="10"/>
  <c r="E2" i="10" s="1"/>
  <c r="I6" i="14"/>
  <c r="I7" i="14"/>
  <c r="I8" i="14"/>
  <c r="I9" i="14"/>
  <c r="I10" i="14"/>
  <c r="I11" i="14"/>
  <c r="I12" i="14"/>
  <c r="I13" i="14"/>
  <c r="I14" i="14"/>
  <c r="I5" i="14"/>
  <c r="N132" i="49"/>
  <c r="O132" i="49"/>
  <c r="P132" i="49"/>
  <c r="Q132" i="49"/>
  <c r="R132" i="49"/>
  <c r="S132" i="49"/>
  <c r="N133" i="49"/>
  <c r="O133" i="49"/>
  <c r="P133" i="49"/>
  <c r="Q133" i="49"/>
  <c r="R133" i="49"/>
  <c r="S133" i="49"/>
  <c r="N134" i="49"/>
  <c r="O134" i="49"/>
  <c r="P134" i="49"/>
  <c r="Q134" i="49"/>
  <c r="R134" i="49"/>
  <c r="S134" i="49"/>
  <c r="N135" i="49"/>
  <c r="O135" i="49"/>
  <c r="P135" i="49"/>
  <c r="Q135" i="49"/>
  <c r="R135" i="49"/>
  <c r="S135" i="49"/>
  <c r="N136" i="49"/>
  <c r="O136" i="49"/>
  <c r="P136" i="49"/>
  <c r="Q136" i="49"/>
  <c r="R136" i="49"/>
  <c r="S136" i="49"/>
  <c r="N137" i="49"/>
  <c r="O137" i="49"/>
  <c r="P137" i="49"/>
  <c r="Q137" i="49"/>
  <c r="R137" i="49"/>
  <c r="S137" i="49"/>
  <c r="N138" i="49"/>
  <c r="O138" i="49"/>
  <c r="P138" i="49"/>
  <c r="Q138" i="49"/>
  <c r="R138" i="49"/>
  <c r="S138" i="49"/>
  <c r="N139" i="49"/>
  <c r="O139" i="49"/>
  <c r="P139" i="49"/>
  <c r="Q139" i="49"/>
  <c r="R139" i="49"/>
  <c r="S139" i="49"/>
  <c r="O131" i="49"/>
  <c r="P131" i="49"/>
  <c r="Q131" i="49"/>
  <c r="R131" i="49"/>
  <c r="S131" i="49"/>
  <c r="N131" i="49"/>
  <c r="R96" i="49"/>
  <c r="S96" i="49"/>
  <c r="R97" i="49"/>
  <c r="S97" i="49"/>
  <c r="R98" i="49"/>
  <c r="S98" i="49"/>
  <c r="R99" i="49"/>
  <c r="S99" i="49"/>
  <c r="R100" i="49"/>
  <c r="S100" i="49"/>
  <c r="R101" i="49"/>
  <c r="S101" i="49"/>
  <c r="R102" i="49"/>
  <c r="S102" i="49"/>
  <c r="R103" i="49"/>
  <c r="S103" i="49"/>
  <c r="R104" i="49"/>
  <c r="S104" i="49"/>
  <c r="R107" i="49"/>
  <c r="S107" i="49"/>
  <c r="R108" i="49"/>
  <c r="S108" i="49"/>
  <c r="R109" i="49"/>
  <c r="S109" i="49"/>
  <c r="R110" i="49"/>
  <c r="S110" i="49"/>
  <c r="R111" i="49"/>
  <c r="S111" i="49"/>
  <c r="R112" i="49"/>
  <c r="S112" i="49"/>
  <c r="R113" i="49"/>
  <c r="S113" i="49"/>
  <c r="R114" i="49"/>
  <c r="S114" i="49"/>
  <c r="R115" i="49"/>
  <c r="S115" i="49"/>
  <c r="R119" i="49"/>
  <c r="R120" i="49"/>
  <c r="S120" i="49"/>
  <c r="R121" i="49"/>
  <c r="S121" i="49"/>
  <c r="R122" i="49"/>
  <c r="S122" i="49"/>
  <c r="R123" i="49"/>
  <c r="S123" i="49"/>
  <c r="R124" i="49"/>
  <c r="S124" i="49"/>
  <c r="R125" i="49"/>
  <c r="S125" i="49"/>
  <c r="R126" i="49"/>
  <c r="S126" i="49"/>
  <c r="R127" i="49"/>
  <c r="S127" i="49"/>
  <c r="R21" i="49"/>
  <c r="T6" i="51"/>
  <c r="S6" i="51"/>
  <c r="R6" i="51"/>
  <c r="Q6" i="51"/>
  <c r="P6" i="51"/>
  <c r="O6" i="51"/>
  <c r="N6" i="51"/>
  <c r="M6" i="51"/>
  <c r="L6" i="51"/>
  <c r="CX8" i="51"/>
  <c r="CY8" i="51"/>
  <c r="CZ8" i="51"/>
  <c r="DA8" i="51"/>
  <c r="DB8" i="51"/>
  <c r="DC8" i="51"/>
  <c r="DD8" i="51"/>
  <c r="DE8" i="51"/>
  <c r="DF8" i="51"/>
  <c r="CX9" i="51"/>
  <c r="CY9" i="51"/>
  <c r="CZ9" i="51"/>
  <c r="DA9" i="51"/>
  <c r="DB9" i="51"/>
  <c r="DC9" i="51"/>
  <c r="DD9" i="51"/>
  <c r="DE9" i="51"/>
  <c r="DF9" i="51"/>
  <c r="CX10" i="51"/>
  <c r="CY10" i="51"/>
  <c r="CZ10" i="51"/>
  <c r="DA10" i="51"/>
  <c r="DB10" i="51"/>
  <c r="DC10" i="51"/>
  <c r="DD10" i="51"/>
  <c r="DE10" i="51"/>
  <c r="DF10" i="51"/>
  <c r="CX11" i="51"/>
  <c r="CY11" i="51"/>
  <c r="CZ11" i="51"/>
  <c r="DA11" i="51"/>
  <c r="DB11" i="51"/>
  <c r="DC11" i="51"/>
  <c r="DD11" i="51"/>
  <c r="DE11" i="51"/>
  <c r="DF11" i="51"/>
  <c r="CX12" i="51"/>
  <c r="CY12" i="51"/>
  <c r="CZ12" i="51"/>
  <c r="DA12" i="51"/>
  <c r="DB12" i="51"/>
  <c r="DC12" i="51"/>
  <c r="DD12" i="51"/>
  <c r="DE12" i="51"/>
  <c r="DF12" i="51"/>
  <c r="CX13" i="51"/>
  <c r="CY13" i="51"/>
  <c r="CZ13" i="51"/>
  <c r="DA13" i="51"/>
  <c r="DB13" i="51"/>
  <c r="DC13" i="51"/>
  <c r="DD13" i="51"/>
  <c r="DE13" i="51"/>
  <c r="DF13" i="51"/>
  <c r="CX14" i="51"/>
  <c r="CY14" i="51"/>
  <c r="CZ14" i="51"/>
  <c r="DA14" i="51"/>
  <c r="DB14" i="51"/>
  <c r="DC14" i="51"/>
  <c r="DD14" i="51"/>
  <c r="DE14" i="51"/>
  <c r="DF14" i="51"/>
  <c r="CX15" i="51"/>
  <c r="CY15" i="51"/>
  <c r="CZ15" i="51"/>
  <c r="DA15" i="51"/>
  <c r="DB15" i="51"/>
  <c r="DC15" i="51"/>
  <c r="DD15" i="51"/>
  <c r="DE15" i="51"/>
  <c r="DF15" i="51"/>
  <c r="CX16" i="51"/>
  <c r="CY16" i="51"/>
  <c r="CZ16" i="51"/>
  <c r="DA16" i="51"/>
  <c r="DB16" i="51"/>
  <c r="DC16" i="51"/>
  <c r="DD16" i="51"/>
  <c r="DE16" i="51"/>
  <c r="DF16" i="51"/>
  <c r="CX17" i="51"/>
  <c r="CY17" i="51"/>
  <c r="CZ17" i="51"/>
  <c r="DA17" i="51"/>
  <c r="DB17" i="51"/>
  <c r="DC17" i="51"/>
  <c r="DD17" i="51"/>
  <c r="DE17" i="51"/>
  <c r="DF17" i="51"/>
  <c r="CX18" i="51"/>
  <c r="CY18" i="51"/>
  <c r="CZ18" i="51"/>
  <c r="DA18" i="51"/>
  <c r="DB18" i="51"/>
  <c r="DC18" i="51"/>
  <c r="DD18" i="51"/>
  <c r="DE18" i="51"/>
  <c r="DF18" i="51"/>
  <c r="CX19" i="51"/>
  <c r="CY19" i="51"/>
  <c r="CZ19" i="51"/>
  <c r="DA19" i="51"/>
  <c r="DB19" i="51"/>
  <c r="DC19" i="51"/>
  <c r="DD19" i="51"/>
  <c r="DE19" i="51"/>
  <c r="DF19" i="51"/>
  <c r="CX20" i="51"/>
  <c r="CY20" i="51"/>
  <c r="CZ20" i="51"/>
  <c r="DA20" i="51"/>
  <c r="DB20" i="51"/>
  <c r="DC20" i="51"/>
  <c r="DD20" i="51"/>
  <c r="DE20" i="51"/>
  <c r="DF20" i="51"/>
  <c r="CX21" i="51"/>
  <c r="CY21" i="51"/>
  <c r="CZ21" i="51"/>
  <c r="DA21" i="51"/>
  <c r="DB21" i="51"/>
  <c r="DC21" i="51"/>
  <c r="DD21" i="51"/>
  <c r="DE21" i="51"/>
  <c r="DF21" i="51"/>
  <c r="CX22" i="51"/>
  <c r="CY22" i="51"/>
  <c r="CZ22" i="51"/>
  <c r="DA22" i="51"/>
  <c r="DB22" i="51"/>
  <c r="DC22" i="51"/>
  <c r="DD22" i="51"/>
  <c r="DE22" i="51"/>
  <c r="DF22" i="51"/>
  <c r="CX23" i="51"/>
  <c r="CY23" i="51"/>
  <c r="CZ23" i="51"/>
  <c r="DA23" i="51"/>
  <c r="DB23" i="51"/>
  <c r="DC23" i="51"/>
  <c r="DD23" i="51"/>
  <c r="DE23" i="51"/>
  <c r="DF23" i="51"/>
  <c r="CX24" i="51"/>
  <c r="CY24" i="51"/>
  <c r="CZ24" i="51"/>
  <c r="DA24" i="51"/>
  <c r="DB24" i="51"/>
  <c r="DC24" i="51"/>
  <c r="DD24" i="51"/>
  <c r="DE24" i="51"/>
  <c r="DF24" i="51"/>
  <c r="CX25" i="51"/>
  <c r="CY25" i="51"/>
  <c r="CZ25" i="51"/>
  <c r="DA25" i="51"/>
  <c r="DB25" i="51"/>
  <c r="DC25" i="51"/>
  <c r="DD25" i="51"/>
  <c r="DE25" i="51"/>
  <c r="DF25" i="51"/>
  <c r="CX26" i="51"/>
  <c r="CY26" i="51"/>
  <c r="CZ26" i="51"/>
  <c r="DA26" i="51"/>
  <c r="DB26" i="51"/>
  <c r="DC26" i="51"/>
  <c r="DD26" i="51"/>
  <c r="DE26" i="51"/>
  <c r="DF26" i="51"/>
  <c r="CX27" i="51"/>
  <c r="CY27" i="51"/>
  <c r="CZ27" i="51"/>
  <c r="DA27" i="51"/>
  <c r="DB27" i="51"/>
  <c r="DC27" i="51"/>
  <c r="DD27" i="51"/>
  <c r="DE27" i="51"/>
  <c r="DF27" i="51"/>
  <c r="CX28" i="51"/>
  <c r="CY28" i="51"/>
  <c r="CZ28" i="51"/>
  <c r="DA28" i="51"/>
  <c r="DB28" i="51"/>
  <c r="DC28" i="51"/>
  <c r="DD28" i="51"/>
  <c r="DE28" i="51"/>
  <c r="DF28" i="51"/>
  <c r="CX29" i="51"/>
  <c r="CY29" i="51"/>
  <c r="CZ29" i="51"/>
  <c r="DA29" i="51"/>
  <c r="DB29" i="51"/>
  <c r="DC29" i="51"/>
  <c r="DD29" i="51"/>
  <c r="DE29" i="51"/>
  <c r="DF29" i="51"/>
  <c r="CX30" i="51"/>
  <c r="CY30" i="51"/>
  <c r="CZ30" i="51"/>
  <c r="DA30" i="51"/>
  <c r="DB30" i="51"/>
  <c r="DC30" i="51"/>
  <c r="DD30" i="51"/>
  <c r="DE30" i="51"/>
  <c r="DF30" i="51"/>
  <c r="CX31" i="51"/>
  <c r="CY31" i="51"/>
  <c r="CZ31" i="51"/>
  <c r="DA31" i="51"/>
  <c r="DB31" i="51"/>
  <c r="DC31" i="51"/>
  <c r="DD31" i="51"/>
  <c r="DE31" i="51"/>
  <c r="DF31" i="51"/>
  <c r="CX32" i="51"/>
  <c r="CY32" i="51"/>
  <c r="CZ32" i="51"/>
  <c r="DA32" i="51"/>
  <c r="DB32" i="51"/>
  <c r="DC32" i="51"/>
  <c r="DD32" i="51"/>
  <c r="DE32" i="51"/>
  <c r="DF32" i="51"/>
  <c r="CX33" i="51"/>
  <c r="CY33" i="51"/>
  <c r="CZ33" i="51"/>
  <c r="DA33" i="51"/>
  <c r="DB33" i="51"/>
  <c r="DC33" i="51"/>
  <c r="DD33" i="51"/>
  <c r="DE33" i="51"/>
  <c r="DF33" i="51"/>
  <c r="CX34" i="51"/>
  <c r="CY34" i="51"/>
  <c r="CZ34" i="51"/>
  <c r="DA34" i="51"/>
  <c r="DB34" i="51"/>
  <c r="DC34" i="51"/>
  <c r="DD34" i="51"/>
  <c r="DE34" i="51"/>
  <c r="DF34" i="51"/>
  <c r="CX35" i="51"/>
  <c r="CY35" i="51"/>
  <c r="CZ35" i="51"/>
  <c r="DA35" i="51"/>
  <c r="DB35" i="51"/>
  <c r="DC35" i="51"/>
  <c r="DD35" i="51"/>
  <c r="DE35" i="51"/>
  <c r="DF35" i="51"/>
  <c r="CX36" i="51"/>
  <c r="CY36" i="51"/>
  <c r="CZ36" i="51"/>
  <c r="DA36" i="51"/>
  <c r="DB36" i="51"/>
  <c r="DC36" i="51"/>
  <c r="DD36" i="51"/>
  <c r="DE36" i="51"/>
  <c r="DF36" i="51"/>
  <c r="CX37" i="51"/>
  <c r="CY37" i="51"/>
  <c r="CZ37" i="51"/>
  <c r="DA37" i="51"/>
  <c r="DB37" i="51"/>
  <c r="DC37" i="51"/>
  <c r="DD37" i="51"/>
  <c r="DE37" i="51"/>
  <c r="DF37" i="51"/>
  <c r="CX38" i="51"/>
  <c r="CY38" i="51"/>
  <c r="CZ38" i="51"/>
  <c r="DA38" i="51"/>
  <c r="DB38" i="51"/>
  <c r="DC38" i="51"/>
  <c r="DD38" i="51"/>
  <c r="DE38" i="51"/>
  <c r="DF38" i="51"/>
  <c r="CX39" i="51"/>
  <c r="CY39" i="51"/>
  <c r="CZ39" i="51"/>
  <c r="DA39" i="51"/>
  <c r="DB39" i="51"/>
  <c r="DC39" i="51"/>
  <c r="DD39" i="51"/>
  <c r="DE39" i="51"/>
  <c r="DF39" i="51"/>
  <c r="CX40" i="51"/>
  <c r="CY40" i="51"/>
  <c r="CZ40" i="51"/>
  <c r="DA40" i="51"/>
  <c r="DB40" i="51"/>
  <c r="DC40" i="51"/>
  <c r="DD40" i="51"/>
  <c r="DE40" i="51"/>
  <c r="DF40" i="51"/>
  <c r="CX41" i="51"/>
  <c r="CY41" i="51"/>
  <c r="CZ41" i="51"/>
  <c r="DA41" i="51"/>
  <c r="DB41" i="51"/>
  <c r="DC41" i="51"/>
  <c r="DD41" i="51"/>
  <c r="DE41" i="51"/>
  <c r="DF41" i="51"/>
  <c r="CX42" i="51"/>
  <c r="CY42" i="51"/>
  <c r="CZ42" i="51"/>
  <c r="DA42" i="51"/>
  <c r="DB42" i="51"/>
  <c r="DC42" i="51"/>
  <c r="DD42" i="51"/>
  <c r="DE42" i="51"/>
  <c r="DF42" i="51"/>
  <c r="CX43" i="51"/>
  <c r="CY43" i="51"/>
  <c r="CZ43" i="51"/>
  <c r="DA43" i="51"/>
  <c r="DB43" i="51"/>
  <c r="DC43" i="51"/>
  <c r="DD43" i="51"/>
  <c r="DE43" i="51"/>
  <c r="DF43" i="51"/>
  <c r="CX44" i="51"/>
  <c r="CY44" i="51"/>
  <c r="CZ44" i="51"/>
  <c r="DA44" i="51"/>
  <c r="DB44" i="51"/>
  <c r="DC44" i="51"/>
  <c r="DD44" i="51"/>
  <c r="DE44" i="51"/>
  <c r="DF44" i="51"/>
  <c r="CX45" i="51"/>
  <c r="CY45" i="51"/>
  <c r="CZ45" i="51"/>
  <c r="DA45" i="51"/>
  <c r="DB45" i="51"/>
  <c r="DC45" i="51"/>
  <c r="DD45" i="51"/>
  <c r="DE45" i="51"/>
  <c r="DF45" i="51"/>
  <c r="CX46" i="51"/>
  <c r="CY46" i="51"/>
  <c r="CZ46" i="51"/>
  <c r="DA46" i="51"/>
  <c r="DB46" i="51"/>
  <c r="DC46" i="51"/>
  <c r="DD46" i="51"/>
  <c r="DE46" i="51"/>
  <c r="DF46" i="51"/>
  <c r="CX47" i="51"/>
  <c r="CY47" i="51"/>
  <c r="CZ47" i="51"/>
  <c r="DA47" i="51"/>
  <c r="DB47" i="51"/>
  <c r="DC47" i="51"/>
  <c r="DD47" i="51"/>
  <c r="DE47" i="51"/>
  <c r="DF47" i="51"/>
  <c r="CX48" i="51"/>
  <c r="CY48" i="51"/>
  <c r="CZ48" i="51"/>
  <c r="DA48" i="51"/>
  <c r="DB48" i="51"/>
  <c r="DC48" i="51"/>
  <c r="DD48" i="51"/>
  <c r="DE48" i="51"/>
  <c r="DF48" i="51"/>
  <c r="CX49" i="51"/>
  <c r="CY49" i="51"/>
  <c r="CZ49" i="51"/>
  <c r="DA49" i="51"/>
  <c r="DB49" i="51"/>
  <c r="DC49" i="51"/>
  <c r="DD49" i="51"/>
  <c r="DE49" i="51"/>
  <c r="DF49" i="51"/>
  <c r="CX50" i="51"/>
  <c r="CY50" i="51"/>
  <c r="CZ50" i="51"/>
  <c r="DA50" i="51"/>
  <c r="DB50" i="51"/>
  <c r="DC50" i="51"/>
  <c r="DD50" i="51"/>
  <c r="DE50" i="51"/>
  <c r="DF50" i="51"/>
  <c r="CX51" i="51"/>
  <c r="CY51" i="51"/>
  <c r="CZ51" i="51"/>
  <c r="DA51" i="51"/>
  <c r="DB51" i="51"/>
  <c r="DC51" i="51"/>
  <c r="DD51" i="51"/>
  <c r="DE51" i="51"/>
  <c r="DF51" i="51"/>
  <c r="CX52" i="51"/>
  <c r="CY52" i="51"/>
  <c r="CZ52" i="51"/>
  <c r="DA52" i="51"/>
  <c r="DB52" i="51"/>
  <c r="DC52" i="51"/>
  <c r="DD52" i="51"/>
  <c r="DE52" i="51"/>
  <c r="DF52" i="51"/>
  <c r="CX53" i="51"/>
  <c r="CY53" i="51"/>
  <c r="CZ53" i="51"/>
  <c r="DA53" i="51"/>
  <c r="DB53" i="51"/>
  <c r="DC53" i="51"/>
  <c r="DD53" i="51"/>
  <c r="DE53" i="51"/>
  <c r="DF53" i="51"/>
  <c r="CX54" i="51"/>
  <c r="CY54" i="51"/>
  <c r="CZ54" i="51"/>
  <c r="DA54" i="51"/>
  <c r="DB54" i="51"/>
  <c r="DC54" i="51"/>
  <c r="DD54" i="51"/>
  <c r="DE54" i="51"/>
  <c r="DF54" i="51"/>
  <c r="CX55" i="51"/>
  <c r="CY55" i="51"/>
  <c r="CZ55" i="51"/>
  <c r="DA55" i="51"/>
  <c r="DB55" i="51"/>
  <c r="DC55" i="51"/>
  <c r="DD55" i="51"/>
  <c r="DE55" i="51"/>
  <c r="DF55" i="51"/>
  <c r="CX56" i="51"/>
  <c r="CY56" i="51"/>
  <c r="CZ56" i="51"/>
  <c r="DA56" i="51"/>
  <c r="DB56" i="51"/>
  <c r="DC56" i="51"/>
  <c r="DD56" i="51"/>
  <c r="DE56" i="51"/>
  <c r="DF56" i="51"/>
  <c r="CX57" i="51"/>
  <c r="CY57" i="51"/>
  <c r="CZ57" i="51"/>
  <c r="DA57" i="51"/>
  <c r="DB57" i="51"/>
  <c r="DC57" i="51"/>
  <c r="DD57" i="51"/>
  <c r="DE57" i="51"/>
  <c r="DF57" i="51"/>
  <c r="CX58" i="51"/>
  <c r="CY58" i="51"/>
  <c r="CZ58" i="51"/>
  <c r="DA58" i="51"/>
  <c r="DB58" i="51"/>
  <c r="DC58" i="51"/>
  <c r="DD58" i="51"/>
  <c r="DE58" i="51"/>
  <c r="DF58" i="51"/>
  <c r="CX59" i="51"/>
  <c r="CY59" i="51"/>
  <c r="CZ59" i="51"/>
  <c r="DA59" i="51"/>
  <c r="DB59" i="51"/>
  <c r="DC59" i="51"/>
  <c r="DD59" i="51"/>
  <c r="DE59" i="51"/>
  <c r="DF59" i="51"/>
  <c r="CX60" i="51"/>
  <c r="CY60" i="51"/>
  <c r="CZ60" i="51"/>
  <c r="DA60" i="51"/>
  <c r="DB60" i="51"/>
  <c r="DC60" i="51"/>
  <c r="DD60" i="51"/>
  <c r="DE60" i="51"/>
  <c r="DF60" i="51"/>
  <c r="CX61" i="51"/>
  <c r="CY61" i="51"/>
  <c r="CZ61" i="51"/>
  <c r="DA61" i="51"/>
  <c r="DB61" i="51"/>
  <c r="DC61" i="51"/>
  <c r="DD61" i="51"/>
  <c r="DE61" i="51"/>
  <c r="DF61" i="51"/>
  <c r="CX62" i="51"/>
  <c r="CY62" i="51"/>
  <c r="CZ62" i="51"/>
  <c r="DA62" i="51"/>
  <c r="DB62" i="51"/>
  <c r="DC62" i="51"/>
  <c r="DD62" i="51"/>
  <c r="DE62" i="51"/>
  <c r="DF62" i="51"/>
  <c r="CX63" i="51"/>
  <c r="CY63" i="51"/>
  <c r="CZ63" i="51"/>
  <c r="DA63" i="51"/>
  <c r="DB63" i="51"/>
  <c r="DC63" i="51"/>
  <c r="DD63" i="51"/>
  <c r="DE63" i="51"/>
  <c r="DF63" i="51"/>
  <c r="CX64" i="51"/>
  <c r="CY64" i="51"/>
  <c r="CZ64" i="51"/>
  <c r="DA64" i="51"/>
  <c r="DB64" i="51"/>
  <c r="DC64" i="51"/>
  <c r="DD64" i="51"/>
  <c r="DE64" i="51"/>
  <c r="DF64" i="51"/>
  <c r="CX65" i="51"/>
  <c r="CY65" i="51"/>
  <c r="CZ65" i="51"/>
  <c r="DA65" i="51"/>
  <c r="DB65" i="51"/>
  <c r="DC65" i="51"/>
  <c r="DD65" i="51"/>
  <c r="DE65" i="51"/>
  <c r="DF65" i="51"/>
  <c r="CX66" i="51"/>
  <c r="CY66" i="51"/>
  <c r="CZ66" i="51"/>
  <c r="DA66" i="51"/>
  <c r="DB66" i="51"/>
  <c r="DC66" i="51"/>
  <c r="DD66" i="51"/>
  <c r="DE66" i="51"/>
  <c r="DF66" i="51"/>
  <c r="CX67" i="51"/>
  <c r="CY67" i="51"/>
  <c r="CZ67" i="51"/>
  <c r="DA67" i="51"/>
  <c r="DB67" i="51"/>
  <c r="DC67" i="51"/>
  <c r="DD67" i="51"/>
  <c r="DE67" i="51"/>
  <c r="DF67" i="51"/>
  <c r="CX68" i="51"/>
  <c r="CY68" i="51"/>
  <c r="CZ68" i="51"/>
  <c r="DA68" i="51"/>
  <c r="DB68" i="51"/>
  <c r="DC68" i="51"/>
  <c r="DD68" i="51"/>
  <c r="DE68" i="51"/>
  <c r="DF68" i="51"/>
  <c r="CX69" i="51"/>
  <c r="CY69" i="51"/>
  <c r="CZ69" i="51"/>
  <c r="DA69" i="51"/>
  <c r="DB69" i="51"/>
  <c r="DC69" i="51"/>
  <c r="DD69" i="51"/>
  <c r="DE69" i="51"/>
  <c r="DF69" i="51"/>
  <c r="CX70" i="51"/>
  <c r="CY70" i="51"/>
  <c r="CZ70" i="51"/>
  <c r="DA70" i="51"/>
  <c r="DB70" i="51"/>
  <c r="DC70" i="51"/>
  <c r="DD70" i="51"/>
  <c r="DE70" i="51"/>
  <c r="DF70" i="51"/>
  <c r="CX71" i="51"/>
  <c r="CY71" i="51"/>
  <c r="CZ71" i="51"/>
  <c r="DA71" i="51"/>
  <c r="DB71" i="51"/>
  <c r="DC71" i="51"/>
  <c r="DD71" i="51"/>
  <c r="DE71" i="51"/>
  <c r="DF71" i="51"/>
  <c r="CX72" i="51"/>
  <c r="CY72" i="51"/>
  <c r="CZ72" i="51"/>
  <c r="DA72" i="51"/>
  <c r="DB72" i="51"/>
  <c r="DC72" i="51"/>
  <c r="DD72" i="51"/>
  <c r="DE72" i="51"/>
  <c r="DF72" i="51"/>
  <c r="CX73" i="51"/>
  <c r="CY73" i="51"/>
  <c r="CZ73" i="51"/>
  <c r="DA73" i="51"/>
  <c r="DB73" i="51"/>
  <c r="DC73" i="51"/>
  <c r="DD73" i="51"/>
  <c r="DE73" i="51"/>
  <c r="DF73" i="51"/>
  <c r="CX74" i="51"/>
  <c r="CY74" i="51"/>
  <c r="CZ74" i="51"/>
  <c r="DA74" i="51"/>
  <c r="DB74" i="51"/>
  <c r="DC74" i="51"/>
  <c r="DD74" i="51"/>
  <c r="DE74" i="51"/>
  <c r="DF74" i="51"/>
  <c r="CX75" i="51"/>
  <c r="CY75" i="51"/>
  <c r="CZ75" i="51"/>
  <c r="DA75" i="51"/>
  <c r="DB75" i="51"/>
  <c r="DC75" i="51"/>
  <c r="DD75" i="51"/>
  <c r="DE75" i="51"/>
  <c r="DF75" i="51"/>
  <c r="CX76" i="51"/>
  <c r="CY76" i="51"/>
  <c r="CZ76" i="51"/>
  <c r="DA76" i="51"/>
  <c r="DB76" i="51"/>
  <c r="DC76" i="51"/>
  <c r="DD76" i="51"/>
  <c r="DE76" i="51"/>
  <c r="DF76" i="51"/>
  <c r="CX77" i="51"/>
  <c r="CY77" i="51"/>
  <c r="CZ77" i="51"/>
  <c r="DA77" i="51"/>
  <c r="DB77" i="51"/>
  <c r="DC77" i="51"/>
  <c r="DD77" i="51"/>
  <c r="DE77" i="51"/>
  <c r="DF77" i="51"/>
  <c r="CX78" i="51"/>
  <c r="CY78" i="51"/>
  <c r="CZ78" i="51"/>
  <c r="DA78" i="51"/>
  <c r="DB78" i="51"/>
  <c r="DC78" i="51"/>
  <c r="DD78" i="51"/>
  <c r="DE78" i="51"/>
  <c r="DF78" i="51"/>
  <c r="CX79" i="51"/>
  <c r="CY79" i="51"/>
  <c r="CZ79" i="51"/>
  <c r="DA79" i="51"/>
  <c r="DB79" i="51"/>
  <c r="DC79" i="51"/>
  <c r="DD79" i="51"/>
  <c r="DE79" i="51"/>
  <c r="DF79" i="51"/>
  <c r="CY7" i="51"/>
  <c r="CZ7" i="51"/>
  <c r="DA7" i="51"/>
  <c r="DB7" i="51"/>
  <c r="DC7" i="51"/>
  <c r="DD7" i="51"/>
  <c r="DE7" i="51"/>
  <c r="DF7" i="51"/>
  <c r="CX7" i="51"/>
  <c r="DG5" i="51"/>
  <c r="DG1" i="51"/>
  <c r="DF1" i="51"/>
  <c r="DE1" i="51"/>
  <c r="DD1" i="51"/>
  <c r="DC1" i="51"/>
  <c r="DB1" i="51"/>
  <c r="DA1" i="51"/>
  <c r="CZ1" i="51"/>
  <c r="CY1" i="51"/>
  <c r="CX1" i="51"/>
  <c r="CN20" i="51"/>
  <c r="CO20" i="51"/>
  <c r="CP20" i="51"/>
  <c r="CQ20" i="51"/>
  <c r="CR20" i="51"/>
  <c r="CS20" i="51"/>
  <c r="CT20" i="51"/>
  <c r="CU20" i="51"/>
  <c r="CV20" i="51"/>
  <c r="CN21" i="51"/>
  <c r="CO21" i="51"/>
  <c r="CP21" i="51"/>
  <c r="CQ21" i="51"/>
  <c r="CR21" i="51"/>
  <c r="CS21" i="51"/>
  <c r="CT21" i="51"/>
  <c r="CU21" i="51"/>
  <c r="CV21" i="51"/>
  <c r="CN22" i="51"/>
  <c r="CO22" i="51"/>
  <c r="CP22" i="51"/>
  <c r="CQ22" i="51"/>
  <c r="CR22" i="51"/>
  <c r="CS22" i="51"/>
  <c r="CT22" i="51"/>
  <c r="CU22" i="51"/>
  <c r="CV22" i="51"/>
  <c r="CN23" i="51"/>
  <c r="CO23" i="51"/>
  <c r="CP23" i="51"/>
  <c r="CQ23" i="51"/>
  <c r="CR23" i="51"/>
  <c r="CS23" i="51"/>
  <c r="CT23" i="51"/>
  <c r="CU23" i="51"/>
  <c r="CV23" i="51"/>
  <c r="CN24" i="51"/>
  <c r="CO24" i="51"/>
  <c r="CP24" i="51"/>
  <c r="CQ24" i="51"/>
  <c r="CR24" i="51"/>
  <c r="CS24" i="51"/>
  <c r="CT24" i="51"/>
  <c r="CU24" i="51"/>
  <c r="CV24" i="51"/>
  <c r="CN25" i="51"/>
  <c r="CO25" i="51"/>
  <c r="CP25" i="51"/>
  <c r="CQ25" i="51"/>
  <c r="CR25" i="51"/>
  <c r="CS25" i="51"/>
  <c r="CT25" i="51"/>
  <c r="CU25" i="51"/>
  <c r="CV25" i="51"/>
  <c r="CN26" i="51"/>
  <c r="CO26" i="51"/>
  <c r="CP26" i="51"/>
  <c r="CQ26" i="51"/>
  <c r="CR26" i="51"/>
  <c r="CS26" i="51"/>
  <c r="CT26" i="51"/>
  <c r="CU26" i="51"/>
  <c r="CV26" i="51"/>
  <c r="CN27" i="51"/>
  <c r="CO27" i="51"/>
  <c r="CP27" i="51"/>
  <c r="CQ27" i="51"/>
  <c r="CR27" i="51"/>
  <c r="CS27" i="51"/>
  <c r="CT27" i="51"/>
  <c r="CU27" i="51"/>
  <c r="CV27" i="51"/>
  <c r="CN28" i="51"/>
  <c r="CO28" i="51"/>
  <c r="CP28" i="51"/>
  <c r="CQ28" i="51"/>
  <c r="CR28" i="51"/>
  <c r="CS28" i="51"/>
  <c r="CT28" i="51"/>
  <c r="CU28" i="51"/>
  <c r="CV28" i="51"/>
  <c r="CN29" i="51"/>
  <c r="CO29" i="51"/>
  <c r="CP29" i="51"/>
  <c r="CQ29" i="51"/>
  <c r="CR29" i="51"/>
  <c r="CS29" i="51"/>
  <c r="CT29" i="51"/>
  <c r="CU29" i="51"/>
  <c r="CV29" i="51"/>
  <c r="CN30" i="51"/>
  <c r="CO30" i="51"/>
  <c r="CP30" i="51"/>
  <c r="CQ30" i="51"/>
  <c r="CR30" i="51"/>
  <c r="CS30" i="51"/>
  <c r="CT30" i="51"/>
  <c r="CU30" i="51"/>
  <c r="CV30" i="51"/>
  <c r="CN31" i="51"/>
  <c r="CO31" i="51"/>
  <c r="CP31" i="51"/>
  <c r="CQ31" i="51"/>
  <c r="CR31" i="51"/>
  <c r="CS31" i="51"/>
  <c r="CT31" i="51"/>
  <c r="CU31" i="51"/>
  <c r="CV31" i="51"/>
  <c r="CN32" i="51"/>
  <c r="CO32" i="51"/>
  <c r="CP32" i="51"/>
  <c r="CQ32" i="51"/>
  <c r="CR32" i="51"/>
  <c r="CS32" i="51"/>
  <c r="CT32" i="51"/>
  <c r="CU32" i="51"/>
  <c r="CV32" i="51"/>
  <c r="CN33" i="51"/>
  <c r="CO33" i="51"/>
  <c r="CP33" i="51"/>
  <c r="CQ33" i="51"/>
  <c r="CR33" i="51"/>
  <c r="CS33" i="51"/>
  <c r="CT33" i="51"/>
  <c r="CU33" i="51"/>
  <c r="CV33" i="51"/>
  <c r="CN34" i="51"/>
  <c r="CO34" i="51"/>
  <c r="CP34" i="51"/>
  <c r="CQ34" i="51"/>
  <c r="CR34" i="51"/>
  <c r="CS34" i="51"/>
  <c r="CT34" i="51"/>
  <c r="CU34" i="51"/>
  <c r="CV34" i="51"/>
  <c r="CN35" i="51"/>
  <c r="CO35" i="51"/>
  <c r="CP35" i="51"/>
  <c r="CQ35" i="51"/>
  <c r="CR35" i="51"/>
  <c r="CS35" i="51"/>
  <c r="CT35" i="51"/>
  <c r="CU35" i="51"/>
  <c r="CV35" i="51"/>
  <c r="CN36" i="51"/>
  <c r="CO36" i="51"/>
  <c r="CP36" i="51"/>
  <c r="CQ36" i="51"/>
  <c r="CR36" i="51"/>
  <c r="CS36" i="51"/>
  <c r="CT36" i="51"/>
  <c r="CU36" i="51"/>
  <c r="CV36" i="51"/>
  <c r="CN37" i="51"/>
  <c r="CO37" i="51"/>
  <c r="CP37" i="51"/>
  <c r="CQ37" i="51"/>
  <c r="CR37" i="51"/>
  <c r="CS37" i="51"/>
  <c r="CT37" i="51"/>
  <c r="CU37" i="51"/>
  <c r="CV37" i="51"/>
  <c r="CN38" i="51"/>
  <c r="CO38" i="51"/>
  <c r="CP38" i="51"/>
  <c r="CQ38" i="51"/>
  <c r="CR38" i="51"/>
  <c r="CS38" i="51"/>
  <c r="CT38" i="51"/>
  <c r="CU38" i="51"/>
  <c r="CV38" i="51"/>
  <c r="CN39" i="51"/>
  <c r="CO39" i="51"/>
  <c r="CP39" i="51"/>
  <c r="CQ39" i="51"/>
  <c r="CR39" i="51"/>
  <c r="CS39" i="51"/>
  <c r="CT39" i="51"/>
  <c r="CU39" i="51"/>
  <c r="CV39" i="51"/>
  <c r="CN40" i="51"/>
  <c r="CO40" i="51"/>
  <c r="CP40" i="51"/>
  <c r="CQ40" i="51"/>
  <c r="CR40" i="51"/>
  <c r="CS40" i="51"/>
  <c r="CT40" i="51"/>
  <c r="CU40" i="51"/>
  <c r="CV40" i="51"/>
  <c r="CN41" i="51"/>
  <c r="CO41" i="51"/>
  <c r="CP41" i="51"/>
  <c r="CQ41" i="51"/>
  <c r="CR41" i="51"/>
  <c r="CS41" i="51"/>
  <c r="CT41" i="51"/>
  <c r="CU41" i="51"/>
  <c r="CV41" i="51"/>
  <c r="CN42" i="51"/>
  <c r="CO42" i="51"/>
  <c r="CP42" i="51"/>
  <c r="CQ42" i="51"/>
  <c r="CR42" i="51"/>
  <c r="CS42" i="51"/>
  <c r="CT42" i="51"/>
  <c r="CU42" i="51"/>
  <c r="CV42" i="51"/>
  <c r="CN43" i="51"/>
  <c r="CO43" i="51"/>
  <c r="CP43" i="51"/>
  <c r="CQ43" i="51"/>
  <c r="CR43" i="51"/>
  <c r="CS43" i="51"/>
  <c r="CT43" i="51"/>
  <c r="CU43" i="51"/>
  <c r="CV43" i="51"/>
  <c r="CN44" i="51"/>
  <c r="CO44" i="51"/>
  <c r="CP44" i="51"/>
  <c r="CQ44" i="51"/>
  <c r="CR44" i="51"/>
  <c r="CS44" i="51"/>
  <c r="CT44" i="51"/>
  <c r="CU44" i="51"/>
  <c r="CV44" i="51"/>
  <c r="CN45" i="51"/>
  <c r="CO45" i="51"/>
  <c r="CP45" i="51"/>
  <c r="CQ45" i="51"/>
  <c r="CR45" i="51"/>
  <c r="CS45" i="51"/>
  <c r="CT45" i="51"/>
  <c r="CU45" i="51"/>
  <c r="CV45" i="51"/>
  <c r="CN46" i="51"/>
  <c r="CO46" i="51"/>
  <c r="CP46" i="51"/>
  <c r="CQ46" i="51"/>
  <c r="CR46" i="51"/>
  <c r="CS46" i="51"/>
  <c r="CT46" i="51"/>
  <c r="CU46" i="51"/>
  <c r="CV46" i="51"/>
  <c r="CN47" i="51"/>
  <c r="CO47" i="51"/>
  <c r="CP47" i="51"/>
  <c r="CQ47" i="51"/>
  <c r="CR47" i="51"/>
  <c r="CS47" i="51"/>
  <c r="CT47" i="51"/>
  <c r="CU47" i="51"/>
  <c r="CV47" i="51"/>
  <c r="CN48" i="51"/>
  <c r="CO48" i="51"/>
  <c r="CP48" i="51"/>
  <c r="CQ48" i="51"/>
  <c r="CR48" i="51"/>
  <c r="CS48" i="51"/>
  <c r="CT48" i="51"/>
  <c r="CU48" i="51"/>
  <c r="CV48" i="51"/>
  <c r="CN49" i="51"/>
  <c r="CO49" i="51"/>
  <c r="CP49" i="51"/>
  <c r="CQ49" i="51"/>
  <c r="CR49" i="51"/>
  <c r="CS49" i="51"/>
  <c r="CT49" i="51"/>
  <c r="CU49" i="51"/>
  <c r="CV49" i="51"/>
  <c r="CN50" i="51"/>
  <c r="CO50" i="51"/>
  <c r="CP50" i="51"/>
  <c r="CQ50" i="51"/>
  <c r="CR50" i="51"/>
  <c r="CS50" i="51"/>
  <c r="CT50" i="51"/>
  <c r="CU50" i="51"/>
  <c r="CV50" i="51"/>
  <c r="CN51" i="51"/>
  <c r="CO51" i="51"/>
  <c r="CP51" i="51"/>
  <c r="CQ51" i="51"/>
  <c r="CR51" i="51"/>
  <c r="CS51" i="51"/>
  <c r="CT51" i="51"/>
  <c r="CU51" i="51"/>
  <c r="CV51" i="51"/>
  <c r="CN52" i="51"/>
  <c r="CO52" i="51"/>
  <c r="CP52" i="51"/>
  <c r="CQ52" i="51"/>
  <c r="CR52" i="51"/>
  <c r="CS52" i="51"/>
  <c r="CT52" i="51"/>
  <c r="CU52" i="51"/>
  <c r="CV52" i="51"/>
  <c r="CN53" i="51"/>
  <c r="CO53" i="51"/>
  <c r="CP53" i="51"/>
  <c r="CQ53" i="51"/>
  <c r="CR53" i="51"/>
  <c r="CS53" i="51"/>
  <c r="CT53" i="51"/>
  <c r="CU53" i="51"/>
  <c r="CV53" i="51"/>
  <c r="CN54" i="51"/>
  <c r="CO54" i="51"/>
  <c r="CP54" i="51"/>
  <c r="CQ54" i="51"/>
  <c r="CR54" i="51"/>
  <c r="CS54" i="51"/>
  <c r="CT54" i="51"/>
  <c r="CU54" i="51"/>
  <c r="CV54" i="51"/>
  <c r="CN55" i="51"/>
  <c r="CO55" i="51"/>
  <c r="CP55" i="51"/>
  <c r="CQ55" i="51"/>
  <c r="CR55" i="51"/>
  <c r="CS55" i="51"/>
  <c r="CT55" i="51"/>
  <c r="CU55" i="51"/>
  <c r="CV55" i="51"/>
  <c r="CN56" i="51"/>
  <c r="CO56" i="51"/>
  <c r="CP56" i="51"/>
  <c r="CQ56" i="51"/>
  <c r="CR56" i="51"/>
  <c r="CS56" i="51"/>
  <c r="CT56" i="51"/>
  <c r="CU56" i="51"/>
  <c r="CV56" i="51"/>
  <c r="CN57" i="51"/>
  <c r="CO57" i="51"/>
  <c r="CP57" i="51"/>
  <c r="CQ57" i="51"/>
  <c r="CR57" i="51"/>
  <c r="CS57" i="51"/>
  <c r="CT57" i="51"/>
  <c r="CU57" i="51"/>
  <c r="CV57" i="51"/>
  <c r="CN58" i="51"/>
  <c r="CO58" i="51"/>
  <c r="CP58" i="51"/>
  <c r="CQ58" i="51"/>
  <c r="CR58" i="51"/>
  <c r="CS58" i="51"/>
  <c r="CT58" i="51"/>
  <c r="CU58" i="51"/>
  <c r="CV58" i="51"/>
  <c r="CN59" i="51"/>
  <c r="CO59" i="51"/>
  <c r="CP59" i="51"/>
  <c r="CQ59" i="51"/>
  <c r="CR59" i="51"/>
  <c r="CS59" i="51"/>
  <c r="CT59" i="51"/>
  <c r="CU59" i="51"/>
  <c r="CV59" i="51"/>
  <c r="CN60" i="51"/>
  <c r="CO60" i="51"/>
  <c r="CP60" i="51"/>
  <c r="CQ60" i="51"/>
  <c r="CR60" i="51"/>
  <c r="CS60" i="51"/>
  <c r="CT60" i="51"/>
  <c r="CU60" i="51"/>
  <c r="CV60" i="51"/>
  <c r="CN61" i="51"/>
  <c r="CO61" i="51"/>
  <c r="CP61" i="51"/>
  <c r="CQ61" i="51"/>
  <c r="CR61" i="51"/>
  <c r="CS61" i="51"/>
  <c r="CT61" i="51"/>
  <c r="CU61" i="51"/>
  <c r="CV61" i="51"/>
  <c r="CN62" i="51"/>
  <c r="CO62" i="51"/>
  <c r="CP62" i="51"/>
  <c r="CQ62" i="51"/>
  <c r="CR62" i="51"/>
  <c r="CS62" i="51"/>
  <c r="CT62" i="51"/>
  <c r="CU62" i="51"/>
  <c r="CV62" i="51"/>
  <c r="CN63" i="51"/>
  <c r="CO63" i="51"/>
  <c r="CP63" i="51"/>
  <c r="CQ63" i="51"/>
  <c r="CR63" i="51"/>
  <c r="CS63" i="51"/>
  <c r="CT63" i="51"/>
  <c r="CU63" i="51"/>
  <c r="CV63" i="51"/>
  <c r="CN64" i="51"/>
  <c r="CO64" i="51"/>
  <c r="CP64" i="51"/>
  <c r="CQ64" i="51"/>
  <c r="CR64" i="51"/>
  <c r="CS64" i="51"/>
  <c r="CT64" i="51"/>
  <c r="CU64" i="51"/>
  <c r="CV64" i="51"/>
  <c r="CN65" i="51"/>
  <c r="CO65" i="51"/>
  <c r="CP65" i="51"/>
  <c r="CQ65" i="51"/>
  <c r="CR65" i="51"/>
  <c r="CS65" i="51"/>
  <c r="CT65" i="51"/>
  <c r="CU65" i="51"/>
  <c r="CV65" i="51"/>
  <c r="CN66" i="51"/>
  <c r="CO66" i="51"/>
  <c r="CP66" i="51"/>
  <c r="CQ66" i="51"/>
  <c r="CR66" i="51"/>
  <c r="CS66" i="51"/>
  <c r="CT66" i="51"/>
  <c r="CU66" i="51"/>
  <c r="CV66" i="51"/>
  <c r="CN67" i="51"/>
  <c r="CO67" i="51"/>
  <c r="CP67" i="51"/>
  <c r="CQ67" i="51"/>
  <c r="CR67" i="51"/>
  <c r="CS67" i="51"/>
  <c r="CT67" i="51"/>
  <c r="CU67" i="51"/>
  <c r="CV67" i="51"/>
  <c r="CN68" i="51"/>
  <c r="CO68" i="51"/>
  <c r="CP68" i="51"/>
  <c r="CQ68" i="51"/>
  <c r="CR68" i="51"/>
  <c r="CS68" i="51"/>
  <c r="CT68" i="51"/>
  <c r="CU68" i="51"/>
  <c r="CV68" i="51"/>
  <c r="CN69" i="51"/>
  <c r="CO69" i="51"/>
  <c r="CP69" i="51"/>
  <c r="CQ69" i="51"/>
  <c r="CR69" i="51"/>
  <c r="CS69" i="51"/>
  <c r="CT69" i="51"/>
  <c r="CU69" i="51"/>
  <c r="CV69" i="51"/>
  <c r="CN70" i="51"/>
  <c r="CO70" i="51"/>
  <c r="CP70" i="51"/>
  <c r="CQ70" i="51"/>
  <c r="CR70" i="51"/>
  <c r="CS70" i="51"/>
  <c r="CT70" i="51"/>
  <c r="CU70" i="51"/>
  <c r="CV70" i="51"/>
  <c r="CN71" i="51"/>
  <c r="CO71" i="51"/>
  <c r="CP71" i="51"/>
  <c r="CQ71" i="51"/>
  <c r="CR71" i="51"/>
  <c r="CS71" i="51"/>
  <c r="CT71" i="51"/>
  <c r="CU71" i="51"/>
  <c r="CV71" i="51"/>
  <c r="CN72" i="51"/>
  <c r="CO72" i="51"/>
  <c r="CP72" i="51"/>
  <c r="CQ72" i="51"/>
  <c r="CR72" i="51"/>
  <c r="CS72" i="51"/>
  <c r="CT72" i="51"/>
  <c r="CU72" i="51"/>
  <c r="CV72" i="51"/>
  <c r="CN73" i="51"/>
  <c r="CO73" i="51"/>
  <c r="CP73" i="51"/>
  <c r="CQ73" i="51"/>
  <c r="CR73" i="51"/>
  <c r="CS73" i="51"/>
  <c r="CT73" i="51"/>
  <c r="CU73" i="51"/>
  <c r="CV73" i="51"/>
  <c r="CN74" i="51"/>
  <c r="CO74" i="51"/>
  <c r="CP74" i="51"/>
  <c r="CQ74" i="51"/>
  <c r="CR74" i="51"/>
  <c r="CS74" i="51"/>
  <c r="CT74" i="51"/>
  <c r="CU74" i="51"/>
  <c r="CV74" i="51"/>
  <c r="CN75" i="51"/>
  <c r="CO75" i="51"/>
  <c r="CP75" i="51"/>
  <c r="CQ75" i="51"/>
  <c r="CR75" i="51"/>
  <c r="CS75" i="51"/>
  <c r="CT75" i="51"/>
  <c r="CU75" i="51"/>
  <c r="CV75" i="51"/>
  <c r="CN76" i="51"/>
  <c r="CO76" i="51"/>
  <c r="CP76" i="51"/>
  <c r="CQ76" i="51"/>
  <c r="CR76" i="51"/>
  <c r="CS76" i="51"/>
  <c r="CT76" i="51"/>
  <c r="CU76" i="51"/>
  <c r="CV76" i="51"/>
  <c r="CN77" i="51"/>
  <c r="CO77" i="51"/>
  <c r="CP77" i="51"/>
  <c r="CQ77" i="51"/>
  <c r="CR77" i="51"/>
  <c r="CS77" i="51"/>
  <c r="CT77" i="51"/>
  <c r="CU77" i="51"/>
  <c r="CV77" i="51"/>
  <c r="CN78" i="51"/>
  <c r="CO78" i="51"/>
  <c r="CP78" i="51"/>
  <c r="CQ78" i="51"/>
  <c r="CR78" i="51"/>
  <c r="CS78" i="51"/>
  <c r="CT78" i="51"/>
  <c r="CU78" i="51"/>
  <c r="CV78" i="51"/>
  <c r="CN79" i="51"/>
  <c r="CO79" i="51"/>
  <c r="CP79" i="51"/>
  <c r="CQ79" i="51"/>
  <c r="CR79" i="51"/>
  <c r="CS79" i="51"/>
  <c r="CT79" i="51"/>
  <c r="CU79" i="51"/>
  <c r="CV79" i="51"/>
  <c r="CN80" i="51"/>
  <c r="CO80" i="51"/>
  <c r="CP80" i="51"/>
  <c r="CQ80" i="51"/>
  <c r="CR80" i="51"/>
  <c r="CS80" i="51"/>
  <c r="CT80" i="51"/>
  <c r="CU80" i="51"/>
  <c r="CV80" i="51"/>
  <c r="CN81" i="51"/>
  <c r="CO81" i="51"/>
  <c r="CP81" i="51"/>
  <c r="CQ81" i="51"/>
  <c r="CR81" i="51"/>
  <c r="CS81" i="51"/>
  <c r="CT81" i="51"/>
  <c r="CU81" i="51"/>
  <c r="CV81" i="51"/>
  <c r="CN82" i="51"/>
  <c r="CO82" i="51"/>
  <c r="CP82" i="51"/>
  <c r="CQ82" i="51"/>
  <c r="CR82" i="51"/>
  <c r="CS82" i="51"/>
  <c r="CT82" i="51"/>
  <c r="CU82" i="51"/>
  <c r="CV82" i="51"/>
  <c r="CN83" i="51"/>
  <c r="CO83" i="51"/>
  <c r="CP83" i="51"/>
  <c r="CQ83" i="51"/>
  <c r="CR83" i="51"/>
  <c r="CS83" i="51"/>
  <c r="CT83" i="51"/>
  <c r="CU83" i="51"/>
  <c r="CV83" i="51"/>
  <c r="CN84" i="51"/>
  <c r="CO84" i="51"/>
  <c r="CP84" i="51"/>
  <c r="CQ84" i="51"/>
  <c r="CR84" i="51"/>
  <c r="CS84" i="51"/>
  <c r="CT84" i="51"/>
  <c r="CU84" i="51"/>
  <c r="CV84" i="51"/>
  <c r="CN85" i="51"/>
  <c r="CO85" i="51"/>
  <c r="CP85" i="51"/>
  <c r="CQ85" i="51"/>
  <c r="CR85" i="51"/>
  <c r="CS85" i="51"/>
  <c r="CT85" i="51"/>
  <c r="CU85" i="51"/>
  <c r="CV85" i="51"/>
  <c r="CN86" i="51"/>
  <c r="CO86" i="51"/>
  <c r="CP86" i="51"/>
  <c r="CQ86" i="51"/>
  <c r="CR86" i="51"/>
  <c r="CS86" i="51"/>
  <c r="CT86" i="51"/>
  <c r="CU86" i="51"/>
  <c r="CV86" i="51"/>
  <c r="CN87" i="51"/>
  <c r="CO87" i="51"/>
  <c r="CP87" i="51"/>
  <c r="CQ87" i="51"/>
  <c r="CR87" i="51"/>
  <c r="CS87" i="51"/>
  <c r="CT87" i="51"/>
  <c r="CU87" i="51"/>
  <c r="CV87" i="51"/>
  <c r="CN88" i="51"/>
  <c r="CO88" i="51"/>
  <c r="CP88" i="51"/>
  <c r="CQ88" i="51"/>
  <c r="CR88" i="51"/>
  <c r="CS88" i="51"/>
  <c r="CT88" i="51"/>
  <c r="CU88" i="51"/>
  <c r="CV88" i="51"/>
  <c r="CN89" i="51"/>
  <c r="CO89" i="51"/>
  <c r="CP89" i="51"/>
  <c r="CQ89" i="51"/>
  <c r="CR89" i="51"/>
  <c r="CS89" i="51"/>
  <c r="CT89" i="51"/>
  <c r="CU89" i="51"/>
  <c r="CV89" i="51"/>
  <c r="CN90" i="51"/>
  <c r="CO90" i="51"/>
  <c r="CP90" i="51"/>
  <c r="CQ90" i="51"/>
  <c r="CR90" i="51"/>
  <c r="CS90" i="51"/>
  <c r="CT90" i="51"/>
  <c r="CU90" i="51"/>
  <c r="CV90" i="51"/>
  <c r="CN91" i="51"/>
  <c r="CO91" i="51"/>
  <c r="CP91" i="51"/>
  <c r="CQ91" i="51"/>
  <c r="CR91" i="51"/>
  <c r="CS91" i="51"/>
  <c r="CT91" i="51"/>
  <c r="CU91" i="51"/>
  <c r="CV91" i="51"/>
  <c r="CN92" i="51"/>
  <c r="CO92" i="51"/>
  <c r="CP92" i="51"/>
  <c r="CQ92" i="51"/>
  <c r="CR92" i="51"/>
  <c r="CS92" i="51"/>
  <c r="CT92" i="51"/>
  <c r="CU92" i="51"/>
  <c r="CV92" i="51"/>
  <c r="CN93" i="51"/>
  <c r="CO93" i="51"/>
  <c r="CP93" i="51"/>
  <c r="CQ93" i="51"/>
  <c r="CR93" i="51"/>
  <c r="CS93" i="51"/>
  <c r="CT93" i="51"/>
  <c r="CU93" i="51"/>
  <c r="CV93" i="51"/>
  <c r="CN94" i="51"/>
  <c r="CO94" i="51"/>
  <c r="CP94" i="51"/>
  <c r="CQ94" i="51"/>
  <c r="CR94" i="51"/>
  <c r="CS94" i="51"/>
  <c r="CT94" i="51"/>
  <c r="CU94" i="51"/>
  <c r="CV94" i="51"/>
  <c r="CN95" i="51"/>
  <c r="CO95" i="51"/>
  <c r="CP95" i="51"/>
  <c r="CQ95" i="51"/>
  <c r="CR95" i="51"/>
  <c r="CS95" i="51"/>
  <c r="CT95" i="51"/>
  <c r="CU95" i="51"/>
  <c r="CV95" i="51"/>
  <c r="CN96" i="51"/>
  <c r="CO96" i="51"/>
  <c r="CP96" i="51"/>
  <c r="CQ96" i="51"/>
  <c r="CR96" i="51"/>
  <c r="CS96" i="51"/>
  <c r="CT96" i="51"/>
  <c r="CU96" i="51"/>
  <c r="CV96" i="51"/>
  <c r="CN97" i="51"/>
  <c r="CO97" i="51"/>
  <c r="CP97" i="51"/>
  <c r="CQ97" i="51"/>
  <c r="CR97" i="51"/>
  <c r="CS97" i="51"/>
  <c r="CT97" i="51"/>
  <c r="CU97" i="51"/>
  <c r="CV97" i="51"/>
  <c r="CN98" i="51"/>
  <c r="CO98" i="51"/>
  <c r="CP98" i="51"/>
  <c r="CQ98" i="51"/>
  <c r="CR98" i="51"/>
  <c r="CS98" i="51"/>
  <c r="CT98" i="51"/>
  <c r="CU98" i="51"/>
  <c r="CV98" i="51"/>
  <c r="CN99" i="51"/>
  <c r="CO99" i="51"/>
  <c r="CP99" i="51"/>
  <c r="CQ99" i="51"/>
  <c r="CR99" i="51"/>
  <c r="CS99" i="51"/>
  <c r="CT99" i="51"/>
  <c r="CU99" i="51"/>
  <c r="CV99" i="51"/>
  <c r="CN100" i="51"/>
  <c r="CO100" i="51"/>
  <c r="CP100" i="51"/>
  <c r="CQ100" i="51"/>
  <c r="CR100" i="51"/>
  <c r="CS100" i="51"/>
  <c r="CT100" i="51"/>
  <c r="CU100" i="51"/>
  <c r="CV100" i="51"/>
  <c r="CN101" i="51"/>
  <c r="CO101" i="51"/>
  <c r="CP101" i="51"/>
  <c r="CQ101" i="51"/>
  <c r="CR101" i="51"/>
  <c r="CS101" i="51"/>
  <c r="CT101" i="51"/>
  <c r="CU101" i="51"/>
  <c r="CV101" i="51"/>
  <c r="CN102" i="51"/>
  <c r="CO102" i="51"/>
  <c r="CP102" i="51"/>
  <c r="CQ102" i="51"/>
  <c r="CR102" i="51"/>
  <c r="CS102" i="51"/>
  <c r="CT102" i="51"/>
  <c r="CU102" i="51"/>
  <c r="CV102" i="51"/>
  <c r="CN103" i="51"/>
  <c r="CO103" i="51"/>
  <c r="CP103" i="51"/>
  <c r="CQ103" i="51"/>
  <c r="CR103" i="51"/>
  <c r="CS103" i="51"/>
  <c r="CT103" i="51"/>
  <c r="CU103" i="51"/>
  <c r="CV103" i="51"/>
  <c r="CN104" i="51"/>
  <c r="CO104" i="51"/>
  <c r="CP104" i="51"/>
  <c r="CQ104" i="51"/>
  <c r="CR104" i="51"/>
  <c r="CS104" i="51"/>
  <c r="CT104" i="51"/>
  <c r="CU104" i="51"/>
  <c r="CV104" i="51"/>
  <c r="CN105" i="51"/>
  <c r="CO105" i="51"/>
  <c r="CP105" i="51"/>
  <c r="CQ105" i="51"/>
  <c r="CR105" i="51"/>
  <c r="CS105" i="51"/>
  <c r="CT105" i="51"/>
  <c r="CU105" i="51"/>
  <c r="CV105" i="51"/>
  <c r="CN106" i="51"/>
  <c r="CO106" i="51"/>
  <c r="CP106" i="51"/>
  <c r="CQ106" i="51"/>
  <c r="CR106" i="51"/>
  <c r="CS106" i="51"/>
  <c r="CT106" i="51"/>
  <c r="CU106" i="51"/>
  <c r="CV106" i="51"/>
  <c r="CN107" i="51"/>
  <c r="CO107" i="51"/>
  <c r="CP107" i="51"/>
  <c r="CQ107" i="51"/>
  <c r="CR107" i="51"/>
  <c r="CS107" i="51"/>
  <c r="CT107" i="51"/>
  <c r="CU107" i="51"/>
  <c r="CV107" i="51"/>
  <c r="CN108" i="51"/>
  <c r="CO108" i="51"/>
  <c r="CP108" i="51"/>
  <c r="CQ108" i="51"/>
  <c r="CR108" i="51"/>
  <c r="CS108" i="51"/>
  <c r="CT108" i="51"/>
  <c r="CU108" i="51"/>
  <c r="CV108" i="51"/>
  <c r="CN109" i="51"/>
  <c r="CO109" i="51"/>
  <c r="CP109" i="51"/>
  <c r="CQ109" i="51"/>
  <c r="CR109" i="51"/>
  <c r="CS109" i="51"/>
  <c r="CT109" i="51"/>
  <c r="CU109" i="51"/>
  <c r="CV109" i="51"/>
  <c r="CN110" i="51"/>
  <c r="CO110" i="51"/>
  <c r="CP110" i="51"/>
  <c r="CQ110" i="51"/>
  <c r="CR110" i="51"/>
  <c r="CS110" i="51"/>
  <c r="CT110" i="51"/>
  <c r="CU110" i="51"/>
  <c r="CV110" i="51"/>
  <c r="CN111" i="51"/>
  <c r="CO111" i="51"/>
  <c r="CP111" i="51"/>
  <c r="CQ111" i="51"/>
  <c r="CR111" i="51"/>
  <c r="CS111" i="51"/>
  <c r="CT111" i="51"/>
  <c r="CU111" i="51"/>
  <c r="CV111" i="51"/>
  <c r="CN112" i="51"/>
  <c r="CO112" i="51"/>
  <c r="CP112" i="51"/>
  <c r="CQ112" i="51"/>
  <c r="CR112" i="51"/>
  <c r="CS112" i="51"/>
  <c r="CT112" i="51"/>
  <c r="CU112" i="51"/>
  <c r="CV112" i="51"/>
  <c r="CN113" i="51"/>
  <c r="CO113" i="51"/>
  <c r="CP113" i="51"/>
  <c r="CQ113" i="51"/>
  <c r="CR113" i="51"/>
  <c r="CS113" i="51"/>
  <c r="CT113" i="51"/>
  <c r="CU113" i="51"/>
  <c r="CV113" i="51"/>
  <c r="CN114" i="51"/>
  <c r="CO114" i="51"/>
  <c r="CP114" i="51"/>
  <c r="CQ114" i="51"/>
  <c r="CR114" i="51"/>
  <c r="CS114" i="51"/>
  <c r="CT114" i="51"/>
  <c r="CU114" i="51"/>
  <c r="CV114" i="51"/>
  <c r="CN115" i="51"/>
  <c r="CO115" i="51"/>
  <c r="CP115" i="51"/>
  <c r="CQ115" i="51"/>
  <c r="CR115" i="51"/>
  <c r="CS115" i="51"/>
  <c r="CT115" i="51"/>
  <c r="CU115" i="51"/>
  <c r="CV115" i="51"/>
  <c r="CN116" i="51"/>
  <c r="CO116" i="51"/>
  <c r="CP116" i="51"/>
  <c r="CQ116" i="51"/>
  <c r="CR116" i="51"/>
  <c r="CS116" i="51"/>
  <c r="CT116" i="51"/>
  <c r="CU116" i="51"/>
  <c r="CV116" i="51"/>
  <c r="CN117" i="51"/>
  <c r="CO117" i="51"/>
  <c r="CP117" i="51"/>
  <c r="CQ117" i="51"/>
  <c r="CR117" i="51"/>
  <c r="CS117" i="51"/>
  <c r="CT117" i="51"/>
  <c r="CU117" i="51"/>
  <c r="CV117" i="51"/>
  <c r="CN118" i="51"/>
  <c r="CO118" i="51"/>
  <c r="CP118" i="51"/>
  <c r="CQ118" i="51"/>
  <c r="CR118" i="51"/>
  <c r="CS118" i="51"/>
  <c r="CT118" i="51"/>
  <c r="CU118" i="51"/>
  <c r="CV118" i="51"/>
  <c r="CN119" i="51"/>
  <c r="CO119" i="51"/>
  <c r="CP119" i="51"/>
  <c r="CQ119" i="51"/>
  <c r="CR119" i="51"/>
  <c r="CS119" i="51"/>
  <c r="CT119" i="51"/>
  <c r="CU119" i="51"/>
  <c r="CV119" i="51"/>
  <c r="CN120" i="51"/>
  <c r="CO120" i="51"/>
  <c r="CP120" i="51"/>
  <c r="CQ120" i="51"/>
  <c r="CR120" i="51"/>
  <c r="CS120" i="51"/>
  <c r="CT120" i="51"/>
  <c r="CU120" i="51"/>
  <c r="CV120" i="51"/>
  <c r="CN121" i="51"/>
  <c r="CO121" i="51"/>
  <c r="CP121" i="51"/>
  <c r="CQ121" i="51"/>
  <c r="CR121" i="51"/>
  <c r="CS121" i="51"/>
  <c r="CT121" i="51"/>
  <c r="CU121" i="51"/>
  <c r="CV121" i="51"/>
  <c r="CN122" i="51"/>
  <c r="CO122" i="51"/>
  <c r="CP122" i="51"/>
  <c r="CQ122" i="51"/>
  <c r="CR122" i="51"/>
  <c r="CS122" i="51"/>
  <c r="CT122" i="51"/>
  <c r="CU122" i="51"/>
  <c r="CV122" i="51"/>
  <c r="CN123" i="51"/>
  <c r="CO123" i="51"/>
  <c r="CP123" i="51"/>
  <c r="CQ123" i="51"/>
  <c r="CR123" i="51"/>
  <c r="CS123" i="51"/>
  <c r="CT123" i="51"/>
  <c r="CU123" i="51"/>
  <c r="CV123" i="51"/>
  <c r="CN124" i="51"/>
  <c r="CO124" i="51"/>
  <c r="CP124" i="51"/>
  <c r="CQ124" i="51"/>
  <c r="CR124" i="51"/>
  <c r="CS124" i="51"/>
  <c r="CT124" i="51"/>
  <c r="CU124" i="51"/>
  <c r="CV124" i="51"/>
  <c r="CN125" i="51"/>
  <c r="CO125" i="51"/>
  <c r="CP125" i="51"/>
  <c r="CQ125" i="51"/>
  <c r="CR125" i="51"/>
  <c r="CS125" i="51"/>
  <c r="CT125" i="51"/>
  <c r="CU125" i="51"/>
  <c r="CV125" i="51"/>
  <c r="CN126" i="51"/>
  <c r="CO126" i="51"/>
  <c r="CP126" i="51"/>
  <c r="CQ126" i="51"/>
  <c r="CR126" i="51"/>
  <c r="CS126" i="51"/>
  <c r="CT126" i="51"/>
  <c r="CU126" i="51"/>
  <c r="CV126" i="51"/>
  <c r="CN127" i="51"/>
  <c r="CO127" i="51"/>
  <c r="CP127" i="51"/>
  <c r="CQ127" i="51"/>
  <c r="CR127" i="51"/>
  <c r="CS127" i="51"/>
  <c r="CT127" i="51"/>
  <c r="CU127" i="51"/>
  <c r="CV127" i="51"/>
  <c r="CN128" i="51"/>
  <c r="CO128" i="51"/>
  <c r="CP128" i="51"/>
  <c r="CQ128" i="51"/>
  <c r="CR128" i="51"/>
  <c r="CS128" i="51"/>
  <c r="CT128" i="51"/>
  <c r="CU128" i="51"/>
  <c r="CV128" i="51"/>
  <c r="CN129" i="51"/>
  <c r="CO129" i="51"/>
  <c r="CP129" i="51"/>
  <c r="CQ129" i="51"/>
  <c r="CR129" i="51"/>
  <c r="CS129" i="51"/>
  <c r="CT129" i="51"/>
  <c r="CU129" i="51"/>
  <c r="CV129" i="51"/>
  <c r="CN130" i="51"/>
  <c r="CO130" i="51"/>
  <c r="CP130" i="51"/>
  <c r="CQ130" i="51"/>
  <c r="CR130" i="51"/>
  <c r="CS130" i="51"/>
  <c r="CT130" i="51"/>
  <c r="CU130" i="51"/>
  <c r="CV130" i="51"/>
  <c r="CN131" i="51"/>
  <c r="CO131" i="51"/>
  <c r="CP131" i="51"/>
  <c r="CQ131" i="51"/>
  <c r="CR131" i="51"/>
  <c r="CS131" i="51"/>
  <c r="CT131" i="51"/>
  <c r="CU131" i="51"/>
  <c r="CV131" i="51"/>
  <c r="CN132" i="51"/>
  <c r="CO132" i="51"/>
  <c r="CP132" i="51"/>
  <c r="CQ132" i="51"/>
  <c r="CR132" i="51"/>
  <c r="CS132" i="51"/>
  <c r="CT132" i="51"/>
  <c r="CU132" i="51"/>
  <c r="CV132" i="51"/>
  <c r="CN133" i="51"/>
  <c r="CO133" i="51"/>
  <c r="CP133" i="51"/>
  <c r="CQ133" i="51"/>
  <c r="CR133" i="51"/>
  <c r="CS133" i="51"/>
  <c r="CT133" i="51"/>
  <c r="CU133" i="51"/>
  <c r="CV133" i="51"/>
  <c r="CN134" i="51"/>
  <c r="CO134" i="51"/>
  <c r="CP134" i="51"/>
  <c r="CQ134" i="51"/>
  <c r="CR134" i="51"/>
  <c r="CS134" i="51"/>
  <c r="CT134" i="51"/>
  <c r="CU134" i="51"/>
  <c r="CV134" i="51"/>
  <c r="CN135" i="51"/>
  <c r="CO135" i="51"/>
  <c r="CP135" i="51"/>
  <c r="CQ135" i="51"/>
  <c r="CR135" i="51"/>
  <c r="CS135" i="51"/>
  <c r="CT135" i="51"/>
  <c r="CU135" i="51"/>
  <c r="CV135" i="51"/>
  <c r="CN136" i="51"/>
  <c r="CO136" i="51"/>
  <c r="CP136" i="51"/>
  <c r="CQ136" i="51"/>
  <c r="CR136" i="51"/>
  <c r="CS136" i="51"/>
  <c r="CT136" i="51"/>
  <c r="CU136" i="51"/>
  <c r="CV136" i="51"/>
  <c r="CN137" i="51"/>
  <c r="CO137" i="51"/>
  <c r="CP137" i="51"/>
  <c r="CQ137" i="51"/>
  <c r="CR137" i="51"/>
  <c r="CS137" i="51"/>
  <c r="CT137" i="51"/>
  <c r="CU137" i="51"/>
  <c r="CV137" i="51"/>
  <c r="CN138" i="51"/>
  <c r="CO138" i="51"/>
  <c r="CP138" i="51"/>
  <c r="CQ138" i="51"/>
  <c r="CR138" i="51"/>
  <c r="CS138" i="51"/>
  <c r="CT138" i="51"/>
  <c r="CU138" i="51"/>
  <c r="CV138" i="51"/>
  <c r="CN139" i="51"/>
  <c r="CO139" i="51"/>
  <c r="CP139" i="51"/>
  <c r="CQ139" i="51"/>
  <c r="CR139" i="51"/>
  <c r="CS139" i="51"/>
  <c r="CT139" i="51"/>
  <c r="CU139" i="51"/>
  <c r="CV139" i="51"/>
  <c r="CN140" i="51"/>
  <c r="CO140" i="51"/>
  <c r="CP140" i="51"/>
  <c r="CQ140" i="51"/>
  <c r="CR140" i="51"/>
  <c r="CS140" i="51"/>
  <c r="CT140" i="51"/>
  <c r="CU140" i="51"/>
  <c r="CV140" i="51"/>
  <c r="CN141" i="51"/>
  <c r="CO141" i="51"/>
  <c r="CP141" i="51"/>
  <c r="CQ141" i="51"/>
  <c r="CR141" i="51"/>
  <c r="CS141" i="51"/>
  <c r="CT141" i="51"/>
  <c r="CU141" i="51"/>
  <c r="CV141" i="51"/>
  <c r="CN142" i="51"/>
  <c r="CO142" i="51"/>
  <c r="CP142" i="51"/>
  <c r="CQ142" i="51"/>
  <c r="CR142" i="51"/>
  <c r="CS142" i="51"/>
  <c r="CT142" i="51"/>
  <c r="CU142" i="51"/>
  <c r="CV142" i="51"/>
  <c r="CN143" i="51"/>
  <c r="CO143" i="51"/>
  <c r="CP143" i="51"/>
  <c r="CQ143" i="51"/>
  <c r="CR143" i="51"/>
  <c r="CS143" i="51"/>
  <c r="CT143" i="51"/>
  <c r="CU143" i="51"/>
  <c r="CV143" i="51"/>
  <c r="CN144" i="51"/>
  <c r="CO144" i="51"/>
  <c r="CP144" i="51"/>
  <c r="CQ144" i="51"/>
  <c r="CR144" i="51"/>
  <c r="CS144" i="51"/>
  <c r="CT144" i="51"/>
  <c r="CU144" i="51"/>
  <c r="CV144" i="51"/>
  <c r="CN145" i="51"/>
  <c r="CO145" i="51"/>
  <c r="CP145" i="51"/>
  <c r="CQ145" i="51"/>
  <c r="CR145" i="51"/>
  <c r="CS145" i="51"/>
  <c r="CT145" i="51"/>
  <c r="CU145" i="51"/>
  <c r="CV145" i="51"/>
  <c r="CN146" i="51"/>
  <c r="CO146" i="51"/>
  <c r="CP146" i="51"/>
  <c r="CQ146" i="51"/>
  <c r="CR146" i="51"/>
  <c r="CS146" i="51"/>
  <c r="CT146" i="51"/>
  <c r="CU146" i="51"/>
  <c r="CV146" i="51"/>
  <c r="CN147" i="51"/>
  <c r="CO147" i="51"/>
  <c r="CP147" i="51"/>
  <c r="CQ147" i="51"/>
  <c r="CR147" i="51"/>
  <c r="CS147" i="51"/>
  <c r="CT147" i="51"/>
  <c r="CU147" i="51"/>
  <c r="CV147" i="51"/>
  <c r="CN148" i="51"/>
  <c r="CO148" i="51"/>
  <c r="CP148" i="51"/>
  <c r="CQ148" i="51"/>
  <c r="CR148" i="51"/>
  <c r="CS148" i="51"/>
  <c r="CT148" i="51"/>
  <c r="CU148" i="51"/>
  <c r="CV148" i="51"/>
  <c r="CN149" i="51"/>
  <c r="CO149" i="51"/>
  <c r="CP149" i="51"/>
  <c r="CQ149" i="51"/>
  <c r="CR149" i="51"/>
  <c r="CS149" i="51"/>
  <c r="CT149" i="51"/>
  <c r="CU149" i="51"/>
  <c r="CV149" i="51"/>
  <c r="CN8" i="51"/>
  <c r="CO8" i="51"/>
  <c r="CP8" i="51"/>
  <c r="CQ8" i="51"/>
  <c r="CR8" i="51"/>
  <c r="CS8" i="51"/>
  <c r="CT8" i="51"/>
  <c r="CU8" i="51"/>
  <c r="CV8" i="51"/>
  <c r="CN9" i="51"/>
  <c r="CO9" i="51"/>
  <c r="CP9" i="51"/>
  <c r="CQ9" i="51"/>
  <c r="CR9" i="51"/>
  <c r="CS9" i="51"/>
  <c r="CT9" i="51"/>
  <c r="CU9" i="51"/>
  <c r="CV9" i="51"/>
  <c r="CN10" i="51"/>
  <c r="CO10" i="51"/>
  <c r="CP10" i="51"/>
  <c r="CQ10" i="51"/>
  <c r="CR10" i="51"/>
  <c r="CS10" i="51"/>
  <c r="CT10" i="51"/>
  <c r="CU10" i="51"/>
  <c r="CV10" i="51"/>
  <c r="CN11" i="51"/>
  <c r="CO11" i="51"/>
  <c r="CP11" i="51"/>
  <c r="CQ11" i="51"/>
  <c r="CR11" i="51"/>
  <c r="CS11" i="51"/>
  <c r="CT11" i="51"/>
  <c r="CU11" i="51"/>
  <c r="CV11" i="51"/>
  <c r="CN12" i="51"/>
  <c r="CO12" i="51"/>
  <c r="CP12" i="51"/>
  <c r="CQ12" i="51"/>
  <c r="CR12" i="51"/>
  <c r="CS12" i="51"/>
  <c r="CT12" i="51"/>
  <c r="CU12" i="51"/>
  <c r="CV12" i="51"/>
  <c r="CN13" i="51"/>
  <c r="CO13" i="51"/>
  <c r="CP13" i="51"/>
  <c r="CQ13" i="51"/>
  <c r="CR13" i="51"/>
  <c r="CS13" i="51"/>
  <c r="CT13" i="51"/>
  <c r="CU13" i="51"/>
  <c r="CV13" i="51"/>
  <c r="CN14" i="51"/>
  <c r="CO14" i="51"/>
  <c r="CP14" i="51"/>
  <c r="CQ14" i="51"/>
  <c r="CR14" i="51"/>
  <c r="CS14" i="51"/>
  <c r="CT14" i="51"/>
  <c r="CU14" i="51"/>
  <c r="CV14" i="51"/>
  <c r="CN15" i="51"/>
  <c r="CO15" i="51"/>
  <c r="CP15" i="51"/>
  <c r="CQ15" i="51"/>
  <c r="CR15" i="51"/>
  <c r="CS15" i="51"/>
  <c r="CT15" i="51"/>
  <c r="CU15" i="51"/>
  <c r="CV15" i="51"/>
  <c r="CN16" i="51"/>
  <c r="CO16" i="51"/>
  <c r="CP16" i="51"/>
  <c r="CQ16" i="51"/>
  <c r="CR16" i="51"/>
  <c r="CS16" i="51"/>
  <c r="CT16" i="51"/>
  <c r="CU16" i="51"/>
  <c r="CV16" i="51"/>
  <c r="CN17" i="51"/>
  <c r="CO17" i="51"/>
  <c r="CP17" i="51"/>
  <c r="CQ17" i="51"/>
  <c r="CR17" i="51"/>
  <c r="CS17" i="51"/>
  <c r="CT17" i="51"/>
  <c r="CU17" i="51"/>
  <c r="CV17" i="51"/>
  <c r="CN18" i="51"/>
  <c r="CO18" i="51"/>
  <c r="CP18" i="51"/>
  <c r="CQ18" i="51"/>
  <c r="CR18" i="51"/>
  <c r="CS18" i="51"/>
  <c r="CT18" i="51"/>
  <c r="CU18" i="51"/>
  <c r="CV18" i="51"/>
  <c r="CN19" i="51"/>
  <c r="CO19" i="51"/>
  <c r="CP19" i="51"/>
  <c r="CQ19" i="51"/>
  <c r="CR19" i="51"/>
  <c r="CS19" i="51"/>
  <c r="CT19" i="51"/>
  <c r="CU19" i="51"/>
  <c r="CV19" i="51"/>
  <c r="CO7" i="51"/>
  <c r="CP7" i="51"/>
  <c r="CQ7" i="51"/>
  <c r="CR7" i="51"/>
  <c r="CS7" i="51"/>
  <c r="CT7" i="51"/>
  <c r="CU7" i="51"/>
  <c r="CV7" i="51"/>
  <c r="CN7" i="51"/>
  <c r="CW5" i="51"/>
  <c r="CW1" i="51"/>
  <c r="CV1" i="51"/>
  <c r="CU1" i="51"/>
  <c r="CT1" i="51"/>
  <c r="CS1" i="51"/>
  <c r="CR1" i="51"/>
  <c r="CQ1" i="51"/>
  <c r="CP1" i="51"/>
  <c r="CO1" i="51"/>
  <c r="CN1" i="51"/>
  <c r="CE16" i="14"/>
  <c r="BV16" i="14"/>
  <c r="BM16" i="14"/>
  <c r="BD16" i="14"/>
  <c r="AU16" i="14"/>
  <c r="AL16" i="14"/>
  <c r="AC16" i="14"/>
  <c r="T16" i="14"/>
  <c r="K16" i="14"/>
  <c r="A138" i="14"/>
  <c r="CM5" i="51"/>
  <c r="CM1" i="51"/>
  <c r="CC7" i="51"/>
  <c r="CC5" i="51"/>
  <c r="CC1" i="51"/>
  <c r="BS79" i="51"/>
  <c r="BS78" i="51"/>
  <c r="BS77" i="51"/>
  <c r="BS76" i="51"/>
  <c r="BS75" i="51"/>
  <c r="BS74" i="51"/>
  <c r="BS73" i="51"/>
  <c r="BS72" i="51"/>
  <c r="BS71" i="51"/>
  <c r="BS70" i="51"/>
  <c r="BS69" i="51"/>
  <c r="BS68" i="51"/>
  <c r="BS67" i="51"/>
  <c r="BS66" i="51"/>
  <c r="BS65" i="51"/>
  <c r="BS64" i="51"/>
  <c r="BS63" i="51"/>
  <c r="BS62" i="51"/>
  <c r="BS61" i="51"/>
  <c r="BS60" i="51"/>
  <c r="BS59" i="51"/>
  <c r="BS58" i="51"/>
  <c r="BS57" i="51"/>
  <c r="BS56" i="51"/>
  <c r="BS55" i="51"/>
  <c r="BS54" i="51"/>
  <c r="BS53" i="51"/>
  <c r="BS52" i="51"/>
  <c r="BS51" i="51"/>
  <c r="BS50" i="51"/>
  <c r="BS49" i="51"/>
  <c r="BS48" i="51"/>
  <c r="BS47" i="51"/>
  <c r="BS46" i="51"/>
  <c r="BS45" i="51"/>
  <c r="BS44" i="51"/>
  <c r="BS43" i="51"/>
  <c r="BS42" i="51"/>
  <c r="BS41" i="51"/>
  <c r="BS40" i="51"/>
  <c r="BS39" i="51"/>
  <c r="BS38" i="51"/>
  <c r="BS37" i="51"/>
  <c r="BS36" i="51"/>
  <c r="BS35" i="51"/>
  <c r="BS34" i="51"/>
  <c r="BS33" i="51"/>
  <c r="BS32" i="51"/>
  <c r="BS31" i="51"/>
  <c r="BS30" i="51"/>
  <c r="BS29" i="51"/>
  <c r="BS28" i="51"/>
  <c r="BS27" i="51"/>
  <c r="BS26" i="51"/>
  <c r="BS25" i="51"/>
  <c r="BS24" i="51"/>
  <c r="BS23" i="51"/>
  <c r="BS22" i="51"/>
  <c r="BS21" i="51"/>
  <c r="BS20" i="51"/>
  <c r="BS19" i="51"/>
  <c r="BS18" i="51"/>
  <c r="BS17" i="51"/>
  <c r="BS16" i="51"/>
  <c r="BS15" i="51"/>
  <c r="BS14" i="51"/>
  <c r="BS13" i="51"/>
  <c r="BS12" i="51"/>
  <c r="BS11" i="51"/>
  <c r="BS10" i="51"/>
  <c r="BS9" i="51"/>
  <c r="BS8" i="51"/>
  <c r="BS7" i="51"/>
  <c r="BS5" i="51"/>
  <c r="BS1" i="51"/>
  <c r="BI79" i="51"/>
  <c r="BI78" i="51"/>
  <c r="BI77" i="51"/>
  <c r="BI76" i="51"/>
  <c r="BI75" i="51"/>
  <c r="BI74" i="51"/>
  <c r="BI73" i="51"/>
  <c r="BI72" i="51"/>
  <c r="BI71" i="51"/>
  <c r="BI70" i="51"/>
  <c r="BI69" i="51"/>
  <c r="BI68" i="51"/>
  <c r="BI67" i="51"/>
  <c r="BI66" i="51"/>
  <c r="BI65" i="51"/>
  <c r="BI64" i="51"/>
  <c r="BI63" i="51"/>
  <c r="BI62" i="51"/>
  <c r="BI61" i="51"/>
  <c r="BI60" i="51"/>
  <c r="BI59" i="51"/>
  <c r="BI58" i="51"/>
  <c r="BI57" i="51"/>
  <c r="BI56" i="51"/>
  <c r="BI55" i="51"/>
  <c r="BI54" i="51"/>
  <c r="BI53" i="51"/>
  <c r="BI52" i="51"/>
  <c r="BI51" i="51"/>
  <c r="BI50" i="51"/>
  <c r="BI49" i="51"/>
  <c r="BI48" i="51"/>
  <c r="BI47" i="51"/>
  <c r="BI46" i="51"/>
  <c r="BI45" i="51"/>
  <c r="BI44" i="51"/>
  <c r="BI43" i="51"/>
  <c r="BI42" i="51"/>
  <c r="BI41" i="51"/>
  <c r="BI40" i="51"/>
  <c r="BI39" i="51"/>
  <c r="BI38" i="51"/>
  <c r="BI37" i="51"/>
  <c r="BI36" i="51"/>
  <c r="BI35" i="51"/>
  <c r="BI34" i="51"/>
  <c r="BI33" i="51"/>
  <c r="BI32" i="51"/>
  <c r="BI31" i="51"/>
  <c r="BI30" i="51"/>
  <c r="BI29" i="51"/>
  <c r="BI28" i="51"/>
  <c r="BI27" i="51"/>
  <c r="BI26" i="51"/>
  <c r="BI25" i="51"/>
  <c r="BI24" i="51"/>
  <c r="BI23" i="51"/>
  <c r="BI22" i="51"/>
  <c r="BI21" i="51"/>
  <c r="BI20" i="51"/>
  <c r="BI19" i="51"/>
  <c r="BI18" i="51"/>
  <c r="BI17" i="51"/>
  <c r="BI16" i="51"/>
  <c r="BI15" i="51"/>
  <c r="BI14" i="51"/>
  <c r="BI13" i="51"/>
  <c r="BI12" i="51"/>
  <c r="BI11" i="51"/>
  <c r="BI10" i="51"/>
  <c r="BI9" i="51"/>
  <c r="BI8" i="51"/>
  <c r="BI7" i="51"/>
  <c r="BI5" i="51"/>
  <c r="BI1" i="51"/>
  <c r="AY7" i="51"/>
  <c r="AY5" i="51"/>
  <c r="AY1" i="51"/>
  <c r="AO79" i="51"/>
  <c r="AO78" i="51"/>
  <c r="AO77" i="51"/>
  <c r="DG77" i="51" s="1"/>
  <c r="AO76" i="51"/>
  <c r="AO75" i="51"/>
  <c r="AO74" i="51"/>
  <c r="AO73" i="51"/>
  <c r="DG73" i="51" s="1"/>
  <c r="AO72" i="51"/>
  <c r="AO71" i="51"/>
  <c r="AO70" i="51"/>
  <c r="AO69" i="51"/>
  <c r="DG69" i="51" s="1"/>
  <c r="AO68" i="51"/>
  <c r="AO67" i="51"/>
  <c r="AO66" i="51"/>
  <c r="AO65" i="51"/>
  <c r="DG65" i="51" s="1"/>
  <c r="AO64" i="51"/>
  <c r="AO63" i="51"/>
  <c r="AO62" i="51"/>
  <c r="AO61" i="51"/>
  <c r="DG61" i="51" s="1"/>
  <c r="AO60" i="51"/>
  <c r="AO59" i="51"/>
  <c r="AO58" i="51"/>
  <c r="AO57" i="51"/>
  <c r="DG57" i="51" s="1"/>
  <c r="AO56" i="51"/>
  <c r="AO55" i="51"/>
  <c r="AO54" i="51"/>
  <c r="AO53" i="51"/>
  <c r="DG53" i="51" s="1"/>
  <c r="AO52" i="51"/>
  <c r="AO51" i="51"/>
  <c r="AO50" i="51"/>
  <c r="AO49" i="51"/>
  <c r="DG49" i="51" s="1"/>
  <c r="AO48" i="51"/>
  <c r="AO47" i="51"/>
  <c r="AO46" i="51"/>
  <c r="AO45" i="51"/>
  <c r="DG45" i="51" s="1"/>
  <c r="AO44" i="51"/>
  <c r="AO43" i="51"/>
  <c r="AO42" i="51"/>
  <c r="AO41" i="51"/>
  <c r="DG41" i="51" s="1"/>
  <c r="AO40" i="51"/>
  <c r="AO39" i="51"/>
  <c r="AO38" i="51"/>
  <c r="AO37" i="51"/>
  <c r="DG37" i="51" s="1"/>
  <c r="AO36" i="51"/>
  <c r="AO35" i="51"/>
  <c r="AO34" i="51"/>
  <c r="AO33" i="51"/>
  <c r="DG33" i="51" s="1"/>
  <c r="AO32" i="51"/>
  <c r="AO31" i="51"/>
  <c r="AO30" i="51"/>
  <c r="AO29" i="51"/>
  <c r="DG29" i="51" s="1"/>
  <c r="AO28" i="51"/>
  <c r="AO27" i="51"/>
  <c r="AO26" i="51"/>
  <c r="AO25" i="51"/>
  <c r="DG25" i="51" s="1"/>
  <c r="AO24" i="51"/>
  <c r="AO23" i="51"/>
  <c r="AO22" i="51"/>
  <c r="AO21" i="51"/>
  <c r="DG21" i="51" s="1"/>
  <c r="AO20" i="51"/>
  <c r="AO19" i="51"/>
  <c r="AO18" i="51"/>
  <c r="AO17" i="51"/>
  <c r="DG17" i="51" s="1"/>
  <c r="AO16" i="51"/>
  <c r="AO15" i="51"/>
  <c r="AO14" i="51"/>
  <c r="AO13" i="51"/>
  <c r="DG13" i="51" s="1"/>
  <c r="AO12" i="51"/>
  <c r="AO11" i="51"/>
  <c r="AO10" i="51"/>
  <c r="AO9" i="51"/>
  <c r="DG9" i="51" s="1"/>
  <c r="AO8" i="51"/>
  <c r="AO7" i="51"/>
  <c r="AO5" i="51"/>
  <c r="AO1" i="51"/>
  <c r="AE80" i="51"/>
  <c r="AE149" i="51"/>
  <c r="AE148" i="51"/>
  <c r="AE147" i="51"/>
  <c r="AE146" i="51"/>
  <c r="AE145" i="51"/>
  <c r="AE144" i="51"/>
  <c r="AE143" i="51"/>
  <c r="AE142" i="51"/>
  <c r="AE141" i="51"/>
  <c r="AE140" i="51"/>
  <c r="AE139" i="51"/>
  <c r="AE138" i="51"/>
  <c r="AE137" i="51"/>
  <c r="AE136" i="51"/>
  <c r="AE135" i="51"/>
  <c r="AE134" i="51"/>
  <c r="AE133" i="51"/>
  <c r="AE132" i="51"/>
  <c r="AE131" i="51"/>
  <c r="AE130" i="51"/>
  <c r="AE129" i="51"/>
  <c r="AE128" i="51"/>
  <c r="AE127" i="51"/>
  <c r="AE126" i="51"/>
  <c r="AE125" i="51"/>
  <c r="AE124" i="51"/>
  <c r="AE123" i="51"/>
  <c r="AE122" i="51"/>
  <c r="AE121" i="51"/>
  <c r="AE120" i="51"/>
  <c r="AE119" i="51"/>
  <c r="AE118" i="51"/>
  <c r="AE117" i="51"/>
  <c r="AE116" i="51"/>
  <c r="AE115" i="51"/>
  <c r="AE114" i="51"/>
  <c r="AE113" i="51"/>
  <c r="AE112" i="51"/>
  <c r="AE111" i="51"/>
  <c r="AE110" i="51"/>
  <c r="AE109" i="51"/>
  <c r="AE108" i="51"/>
  <c r="AE107" i="51"/>
  <c r="AE106" i="51"/>
  <c r="AE105" i="51"/>
  <c r="AE104" i="51"/>
  <c r="AE103" i="51"/>
  <c r="AE102" i="51"/>
  <c r="AE101" i="51"/>
  <c r="AE100" i="51"/>
  <c r="AE99" i="51"/>
  <c r="AE98" i="51"/>
  <c r="AE97" i="51"/>
  <c r="AE96" i="51"/>
  <c r="AE95" i="51"/>
  <c r="AE94" i="51"/>
  <c r="AE93" i="51"/>
  <c r="AE92" i="51"/>
  <c r="AE91" i="51"/>
  <c r="AE90" i="51"/>
  <c r="AE89" i="51"/>
  <c r="AE88" i="51"/>
  <c r="AE87" i="51"/>
  <c r="AE86" i="51"/>
  <c r="AE85" i="51"/>
  <c r="AE84" i="51"/>
  <c r="AE83" i="51"/>
  <c r="AE82" i="51"/>
  <c r="AE81" i="51"/>
  <c r="AE79" i="51"/>
  <c r="AE78" i="51"/>
  <c r="AE77" i="51"/>
  <c r="AE76" i="51"/>
  <c r="AE75" i="51"/>
  <c r="AE74" i="51"/>
  <c r="AE73" i="51"/>
  <c r="AE72" i="51"/>
  <c r="AE71" i="51"/>
  <c r="AE70" i="51"/>
  <c r="AE69" i="51"/>
  <c r="AE68" i="51"/>
  <c r="AE67" i="51"/>
  <c r="AE66" i="51"/>
  <c r="AE65" i="51"/>
  <c r="AE64" i="51"/>
  <c r="AE63" i="51"/>
  <c r="AE62" i="51"/>
  <c r="AE61" i="51"/>
  <c r="AE60" i="51"/>
  <c r="AE59" i="51"/>
  <c r="AE58" i="51"/>
  <c r="AE57" i="51"/>
  <c r="AE56" i="51"/>
  <c r="AE55" i="51"/>
  <c r="AE54" i="51"/>
  <c r="AE53" i="51"/>
  <c r="AE52" i="51"/>
  <c r="AE51" i="51"/>
  <c r="AE50" i="51"/>
  <c r="AE49" i="51"/>
  <c r="AE48" i="51"/>
  <c r="AE47" i="51"/>
  <c r="AE46" i="51"/>
  <c r="AE45" i="51"/>
  <c r="AE44" i="51"/>
  <c r="AE43" i="51"/>
  <c r="AE42" i="51"/>
  <c r="AE41" i="51"/>
  <c r="AE40" i="51"/>
  <c r="AE39" i="51"/>
  <c r="AE38" i="51"/>
  <c r="AE37" i="51"/>
  <c r="AE36" i="51"/>
  <c r="AE35" i="51"/>
  <c r="AE34" i="51"/>
  <c r="AE33" i="51"/>
  <c r="AE32" i="51"/>
  <c r="AE31" i="51"/>
  <c r="AE30" i="51"/>
  <c r="AE29" i="51"/>
  <c r="AE28" i="51"/>
  <c r="AE27" i="51"/>
  <c r="AE26" i="51"/>
  <c r="AE25" i="51"/>
  <c r="AE24" i="51"/>
  <c r="AE23" i="51"/>
  <c r="AE22" i="51"/>
  <c r="AE21" i="51"/>
  <c r="AE20" i="51"/>
  <c r="AE19" i="51"/>
  <c r="AE18" i="51"/>
  <c r="AE17" i="51"/>
  <c r="AE16" i="51"/>
  <c r="AE15" i="51"/>
  <c r="AE14" i="51"/>
  <c r="AE13" i="51"/>
  <c r="AE12" i="51"/>
  <c r="AE11" i="51"/>
  <c r="AE10" i="51"/>
  <c r="AE9" i="51"/>
  <c r="AE8" i="51"/>
  <c r="AE7" i="51"/>
  <c r="AE5" i="51"/>
  <c r="AE1" i="51"/>
  <c r="U149" i="51"/>
  <c r="U148" i="51"/>
  <c r="U147" i="51"/>
  <c r="U146" i="51"/>
  <c r="U145" i="51"/>
  <c r="U144" i="51"/>
  <c r="U143" i="51"/>
  <c r="U142" i="51"/>
  <c r="U141" i="51"/>
  <c r="U140" i="51"/>
  <c r="U139" i="51"/>
  <c r="U138" i="51"/>
  <c r="U137" i="51"/>
  <c r="U136" i="51"/>
  <c r="U135" i="51"/>
  <c r="U134" i="51"/>
  <c r="U133" i="51"/>
  <c r="U132" i="51"/>
  <c r="U131" i="51"/>
  <c r="U130" i="51"/>
  <c r="U129" i="51"/>
  <c r="U128" i="51"/>
  <c r="U127" i="51"/>
  <c r="U126" i="51"/>
  <c r="U125" i="51"/>
  <c r="U124" i="51"/>
  <c r="U123" i="51"/>
  <c r="U122" i="51"/>
  <c r="U121" i="51"/>
  <c r="U120" i="51"/>
  <c r="U119" i="51"/>
  <c r="U118" i="51"/>
  <c r="U117" i="51"/>
  <c r="U116" i="51"/>
  <c r="U115" i="51"/>
  <c r="U114" i="51"/>
  <c r="U113" i="51"/>
  <c r="U112" i="51"/>
  <c r="U111" i="51"/>
  <c r="U110" i="51"/>
  <c r="U109" i="51"/>
  <c r="U108" i="51"/>
  <c r="U107" i="51"/>
  <c r="U106" i="51"/>
  <c r="U105" i="51"/>
  <c r="U104" i="51"/>
  <c r="U103" i="51"/>
  <c r="U102" i="51"/>
  <c r="U101" i="51"/>
  <c r="U100" i="51"/>
  <c r="U99" i="51"/>
  <c r="U98" i="51"/>
  <c r="U97" i="51"/>
  <c r="U96" i="51"/>
  <c r="U95" i="51"/>
  <c r="U94" i="51"/>
  <c r="U93" i="51"/>
  <c r="U92" i="51"/>
  <c r="U91" i="51"/>
  <c r="U90" i="51"/>
  <c r="U89" i="51"/>
  <c r="U88" i="51"/>
  <c r="U87" i="51"/>
  <c r="U86" i="51"/>
  <c r="U85" i="51"/>
  <c r="U84" i="51"/>
  <c r="U83" i="51"/>
  <c r="U82" i="51"/>
  <c r="U81" i="51"/>
  <c r="U80" i="51"/>
  <c r="U79" i="51"/>
  <c r="U78" i="51"/>
  <c r="U77" i="51"/>
  <c r="U76" i="51"/>
  <c r="U75" i="51"/>
  <c r="U74" i="51"/>
  <c r="U73" i="51"/>
  <c r="U72" i="51"/>
  <c r="U71" i="51"/>
  <c r="U70" i="51"/>
  <c r="U69" i="51"/>
  <c r="U68" i="51"/>
  <c r="U67" i="51"/>
  <c r="U66" i="51"/>
  <c r="U65" i="51"/>
  <c r="U64" i="51"/>
  <c r="U63" i="51"/>
  <c r="U62" i="51"/>
  <c r="U61" i="51"/>
  <c r="U60" i="51"/>
  <c r="U59" i="51"/>
  <c r="U58" i="51"/>
  <c r="U57" i="51"/>
  <c r="U56" i="51"/>
  <c r="U55" i="51"/>
  <c r="U54" i="51"/>
  <c r="U53" i="51"/>
  <c r="U52" i="51"/>
  <c r="U51" i="51"/>
  <c r="U50" i="51"/>
  <c r="U49" i="51"/>
  <c r="U48" i="51"/>
  <c r="U47" i="51"/>
  <c r="U46" i="51"/>
  <c r="U45" i="51"/>
  <c r="U44" i="51"/>
  <c r="U43" i="51"/>
  <c r="U42" i="51"/>
  <c r="U41" i="51"/>
  <c r="U40" i="51"/>
  <c r="U39" i="51"/>
  <c r="U38" i="51"/>
  <c r="U37" i="51"/>
  <c r="U36" i="51"/>
  <c r="U35" i="51"/>
  <c r="U34" i="51"/>
  <c r="U33" i="51"/>
  <c r="U32" i="51"/>
  <c r="U31" i="51"/>
  <c r="U30" i="51"/>
  <c r="U29" i="51"/>
  <c r="U28" i="51"/>
  <c r="U27" i="51"/>
  <c r="U26" i="51"/>
  <c r="U25" i="51"/>
  <c r="U24" i="51"/>
  <c r="U23" i="51"/>
  <c r="U22" i="51"/>
  <c r="U21" i="51"/>
  <c r="U20" i="51"/>
  <c r="U19" i="51"/>
  <c r="U18" i="51"/>
  <c r="U17" i="51"/>
  <c r="U16" i="51"/>
  <c r="U15" i="51"/>
  <c r="U14" i="51"/>
  <c r="U13" i="51"/>
  <c r="U12" i="51"/>
  <c r="U11" i="51"/>
  <c r="U10" i="51"/>
  <c r="U9" i="51"/>
  <c r="U8" i="51"/>
  <c r="U7" i="51"/>
  <c r="U6" i="51" s="1"/>
  <c r="U5" i="51"/>
  <c r="U1" i="51"/>
  <c r="K8" i="51"/>
  <c r="K9" i="51"/>
  <c r="K10" i="51"/>
  <c r="K11" i="51"/>
  <c r="K12" i="51"/>
  <c r="K13" i="51"/>
  <c r="K14" i="51"/>
  <c r="K15" i="51"/>
  <c r="K16" i="51"/>
  <c r="K17" i="51"/>
  <c r="K18" i="51"/>
  <c r="K19" i="51"/>
  <c r="K20" i="51"/>
  <c r="K21" i="51"/>
  <c r="K22" i="51"/>
  <c r="K23" i="51"/>
  <c r="K24" i="51"/>
  <c r="K25" i="51"/>
  <c r="K26" i="51"/>
  <c r="K27" i="51"/>
  <c r="K28" i="51"/>
  <c r="K29" i="51"/>
  <c r="K30" i="51"/>
  <c r="K31" i="51"/>
  <c r="K32" i="51"/>
  <c r="K33" i="51"/>
  <c r="K34" i="51"/>
  <c r="K35" i="51"/>
  <c r="K36" i="51"/>
  <c r="K37" i="51"/>
  <c r="K38" i="51"/>
  <c r="K39" i="51"/>
  <c r="K40" i="51"/>
  <c r="K41" i="51"/>
  <c r="K42" i="51"/>
  <c r="K43" i="51"/>
  <c r="K44" i="51"/>
  <c r="K45" i="51"/>
  <c r="K46" i="51"/>
  <c r="K47" i="51"/>
  <c r="K48" i="51"/>
  <c r="K49" i="51"/>
  <c r="K50" i="51"/>
  <c r="K51" i="51"/>
  <c r="K52" i="51"/>
  <c r="K53" i="51"/>
  <c r="K54" i="51"/>
  <c r="K55" i="51"/>
  <c r="K56" i="51"/>
  <c r="K57" i="51"/>
  <c r="K58" i="51"/>
  <c r="K59" i="51"/>
  <c r="K60" i="51"/>
  <c r="K61" i="51"/>
  <c r="K62" i="51"/>
  <c r="K63" i="51"/>
  <c r="K64" i="51"/>
  <c r="K65" i="51"/>
  <c r="K66" i="51"/>
  <c r="K67" i="51"/>
  <c r="K68" i="51"/>
  <c r="K69" i="51"/>
  <c r="K70" i="51"/>
  <c r="K71" i="51"/>
  <c r="K72" i="51"/>
  <c r="K73" i="51"/>
  <c r="K74" i="51"/>
  <c r="K75" i="51"/>
  <c r="K76" i="51"/>
  <c r="K77" i="51"/>
  <c r="K78" i="51"/>
  <c r="K79" i="51"/>
  <c r="K80" i="51"/>
  <c r="K81" i="51"/>
  <c r="K82" i="51"/>
  <c r="K83" i="51"/>
  <c r="K84" i="51"/>
  <c r="K85" i="51"/>
  <c r="K86" i="51"/>
  <c r="K87" i="51"/>
  <c r="K88" i="51"/>
  <c r="K89" i="51"/>
  <c r="K90" i="51"/>
  <c r="K91" i="51"/>
  <c r="K92" i="51"/>
  <c r="K93" i="51"/>
  <c r="K94" i="51"/>
  <c r="K95" i="51"/>
  <c r="K96" i="51"/>
  <c r="K97" i="51"/>
  <c r="K98" i="51"/>
  <c r="K99" i="51"/>
  <c r="K100" i="51"/>
  <c r="K101" i="51"/>
  <c r="K102" i="51"/>
  <c r="K103" i="51"/>
  <c r="K104" i="51"/>
  <c r="K105" i="51"/>
  <c r="K106" i="51"/>
  <c r="K107" i="51"/>
  <c r="K108" i="51"/>
  <c r="K109" i="51"/>
  <c r="K110" i="51"/>
  <c r="K111" i="51"/>
  <c r="K112" i="51"/>
  <c r="K113" i="51"/>
  <c r="K114" i="51"/>
  <c r="K115" i="51"/>
  <c r="K116" i="51"/>
  <c r="K117" i="51"/>
  <c r="K118" i="51"/>
  <c r="K119" i="51"/>
  <c r="K120" i="51"/>
  <c r="K121" i="51"/>
  <c r="K122" i="51"/>
  <c r="K123" i="51"/>
  <c r="K124" i="51"/>
  <c r="K125" i="51"/>
  <c r="K126" i="51"/>
  <c r="K127" i="51"/>
  <c r="K128" i="51"/>
  <c r="K129" i="51"/>
  <c r="K130" i="51"/>
  <c r="K131" i="51"/>
  <c r="K132" i="51"/>
  <c r="K133" i="51"/>
  <c r="K134" i="51"/>
  <c r="K135" i="51"/>
  <c r="K136" i="51"/>
  <c r="K137" i="51"/>
  <c r="K138" i="51"/>
  <c r="K139" i="51"/>
  <c r="K140" i="51"/>
  <c r="K141" i="51"/>
  <c r="K142" i="51"/>
  <c r="K143" i="51"/>
  <c r="K144" i="51"/>
  <c r="K145" i="51"/>
  <c r="K146" i="51"/>
  <c r="K147" i="51"/>
  <c r="K7" i="51"/>
  <c r="K5" i="51"/>
  <c r="K3" i="51"/>
  <c r="K1" i="51" s="1"/>
  <c r="CL1" i="51"/>
  <c r="CK1" i="51"/>
  <c r="CJ1" i="51"/>
  <c r="CI1" i="51"/>
  <c r="CH1" i="51"/>
  <c r="CG1" i="51"/>
  <c r="CF1" i="51"/>
  <c r="CE1" i="51"/>
  <c r="CD1" i="51"/>
  <c r="AP80" i="51"/>
  <c r="AQ80" i="51"/>
  <c r="AR80" i="51"/>
  <c r="AS80" i="51"/>
  <c r="AT80" i="51"/>
  <c r="AU80" i="51"/>
  <c r="AV80" i="51"/>
  <c r="AW80" i="51"/>
  <c r="AX80" i="51"/>
  <c r="AP81" i="51"/>
  <c r="AQ81" i="51"/>
  <c r="AR81" i="51"/>
  <c r="AS81" i="51"/>
  <c r="AT81" i="51"/>
  <c r="AU81" i="51"/>
  <c r="AV81" i="51"/>
  <c r="AW81" i="51"/>
  <c r="AX81" i="51"/>
  <c r="AP82" i="51"/>
  <c r="AQ82" i="51"/>
  <c r="AR82" i="51"/>
  <c r="AS82" i="51"/>
  <c r="AT82" i="51"/>
  <c r="AU82" i="51"/>
  <c r="AV82" i="51"/>
  <c r="AW82" i="51"/>
  <c r="AX82" i="51"/>
  <c r="AP83" i="51"/>
  <c r="AQ83" i="51"/>
  <c r="AR83" i="51"/>
  <c r="AS83" i="51"/>
  <c r="AT83" i="51"/>
  <c r="AU83" i="51"/>
  <c r="AV83" i="51"/>
  <c r="AW83" i="51"/>
  <c r="AX83" i="51"/>
  <c r="AP84" i="51"/>
  <c r="AQ84" i="51"/>
  <c r="AR84" i="51"/>
  <c r="AS84" i="51"/>
  <c r="AT84" i="51"/>
  <c r="AU84" i="51"/>
  <c r="AV84" i="51"/>
  <c r="AW84" i="51"/>
  <c r="AX84" i="51"/>
  <c r="AP85" i="51"/>
  <c r="AQ85" i="51"/>
  <c r="AR85" i="51"/>
  <c r="AS85" i="51"/>
  <c r="AT85" i="51"/>
  <c r="AU85" i="51"/>
  <c r="AV85" i="51"/>
  <c r="AW85" i="51"/>
  <c r="AX85" i="51"/>
  <c r="AP86" i="51"/>
  <c r="AQ86" i="51"/>
  <c r="AR86" i="51"/>
  <c r="AS86" i="51"/>
  <c r="AT86" i="51"/>
  <c r="AU86" i="51"/>
  <c r="AV86" i="51"/>
  <c r="AW86" i="51"/>
  <c r="AX86" i="51"/>
  <c r="AP87" i="51"/>
  <c r="AQ87" i="51"/>
  <c r="AR87" i="51"/>
  <c r="AS87" i="51"/>
  <c r="AT87" i="51"/>
  <c r="AU87" i="51"/>
  <c r="AV87" i="51"/>
  <c r="AW87" i="51"/>
  <c r="AX87" i="51"/>
  <c r="AP88" i="51"/>
  <c r="AQ88" i="51"/>
  <c r="AR88" i="51"/>
  <c r="AS88" i="51"/>
  <c r="AT88" i="51"/>
  <c r="AU88" i="51"/>
  <c r="AV88" i="51"/>
  <c r="AW88" i="51"/>
  <c r="AX88" i="51"/>
  <c r="AP89" i="51"/>
  <c r="AQ89" i="51"/>
  <c r="AR89" i="51"/>
  <c r="AS89" i="51"/>
  <c r="AT89" i="51"/>
  <c r="AU89" i="51"/>
  <c r="AV89" i="51"/>
  <c r="AW89" i="51"/>
  <c r="AX89" i="51"/>
  <c r="AP90" i="51"/>
  <c r="AQ90" i="51"/>
  <c r="AR90" i="51"/>
  <c r="AS90" i="51"/>
  <c r="AT90" i="51"/>
  <c r="AU90" i="51"/>
  <c r="AV90" i="51"/>
  <c r="AW90" i="51"/>
  <c r="AX90" i="51"/>
  <c r="AP91" i="51"/>
  <c r="AQ91" i="51"/>
  <c r="AR91" i="51"/>
  <c r="AS91" i="51"/>
  <c r="AT91" i="51"/>
  <c r="AU91" i="51"/>
  <c r="AV91" i="51"/>
  <c r="AW91" i="51"/>
  <c r="AX91" i="51"/>
  <c r="AP92" i="51"/>
  <c r="AQ92" i="51"/>
  <c r="AR92" i="51"/>
  <c r="AS92" i="51"/>
  <c r="AT92" i="51"/>
  <c r="AU92" i="51"/>
  <c r="AV92" i="51"/>
  <c r="AW92" i="51"/>
  <c r="AX92" i="51"/>
  <c r="AP93" i="51"/>
  <c r="AQ93" i="51"/>
  <c r="AR93" i="51"/>
  <c r="AS93" i="51"/>
  <c r="AT93" i="51"/>
  <c r="AU93" i="51"/>
  <c r="AV93" i="51"/>
  <c r="AW93" i="51"/>
  <c r="AX93" i="51"/>
  <c r="AP94" i="51"/>
  <c r="AQ94" i="51"/>
  <c r="AR94" i="51"/>
  <c r="AS94" i="51"/>
  <c r="AT94" i="51"/>
  <c r="AU94" i="51"/>
  <c r="AV94" i="51"/>
  <c r="AW94" i="51"/>
  <c r="AX94" i="51"/>
  <c r="AP95" i="51"/>
  <c r="AQ95" i="51"/>
  <c r="AR95" i="51"/>
  <c r="AS95" i="51"/>
  <c r="AT95" i="51"/>
  <c r="AU95" i="51"/>
  <c r="AV95" i="51"/>
  <c r="AW95" i="51"/>
  <c r="AX95" i="51"/>
  <c r="AP96" i="51"/>
  <c r="AQ96" i="51"/>
  <c r="AR96" i="51"/>
  <c r="AS96" i="51"/>
  <c r="AT96" i="51"/>
  <c r="AU96" i="51"/>
  <c r="AV96" i="51"/>
  <c r="AW96" i="51"/>
  <c r="AX96" i="51"/>
  <c r="AP97" i="51"/>
  <c r="AQ97" i="51"/>
  <c r="AR97" i="51"/>
  <c r="AS97" i="51"/>
  <c r="AT97" i="51"/>
  <c r="AU97" i="51"/>
  <c r="AV97" i="51"/>
  <c r="AW97" i="51"/>
  <c r="AX97" i="51"/>
  <c r="AP98" i="51"/>
  <c r="AQ98" i="51"/>
  <c r="AR98" i="51"/>
  <c r="AS98" i="51"/>
  <c r="AT98" i="51"/>
  <c r="AU98" i="51"/>
  <c r="AV98" i="51"/>
  <c r="AW98" i="51"/>
  <c r="AX98" i="51"/>
  <c r="AP99" i="51"/>
  <c r="AQ99" i="51"/>
  <c r="AR99" i="51"/>
  <c r="AS99" i="51"/>
  <c r="AT99" i="51"/>
  <c r="AU99" i="51"/>
  <c r="AV99" i="51"/>
  <c r="AW99" i="51"/>
  <c r="AX99" i="51"/>
  <c r="AP100" i="51"/>
  <c r="AQ100" i="51"/>
  <c r="AR100" i="51"/>
  <c r="AS100" i="51"/>
  <c r="AT100" i="51"/>
  <c r="AU100" i="51"/>
  <c r="AV100" i="51"/>
  <c r="AW100" i="51"/>
  <c r="AX100" i="51"/>
  <c r="AP101" i="51"/>
  <c r="AQ101" i="51"/>
  <c r="AR101" i="51"/>
  <c r="AS101" i="51"/>
  <c r="AT101" i="51"/>
  <c r="AU101" i="51"/>
  <c r="AV101" i="51"/>
  <c r="AW101" i="51"/>
  <c r="AX101" i="51"/>
  <c r="AP102" i="51"/>
  <c r="AQ102" i="51"/>
  <c r="AR102" i="51"/>
  <c r="AS102" i="51"/>
  <c r="AT102" i="51"/>
  <c r="AU102" i="51"/>
  <c r="AV102" i="51"/>
  <c r="AW102" i="51"/>
  <c r="AX102" i="51"/>
  <c r="AP103" i="51"/>
  <c r="AQ103" i="51"/>
  <c r="AR103" i="51"/>
  <c r="AS103" i="51"/>
  <c r="AT103" i="51"/>
  <c r="AU103" i="51"/>
  <c r="AV103" i="51"/>
  <c r="AW103" i="51"/>
  <c r="AX103" i="51"/>
  <c r="AP104" i="51"/>
  <c r="AQ104" i="51"/>
  <c r="AR104" i="51"/>
  <c r="AS104" i="51"/>
  <c r="AT104" i="51"/>
  <c r="AU104" i="51"/>
  <c r="AV104" i="51"/>
  <c r="AW104" i="51"/>
  <c r="AX104" i="51"/>
  <c r="AP105" i="51"/>
  <c r="AQ105" i="51"/>
  <c r="AR105" i="51"/>
  <c r="AS105" i="51"/>
  <c r="AT105" i="51"/>
  <c r="AU105" i="51"/>
  <c r="AV105" i="51"/>
  <c r="AW105" i="51"/>
  <c r="AX105" i="51"/>
  <c r="AP106" i="51"/>
  <c r="AQ106" i="51"/>
  <c r="AR106" i="51"/>
  <c r="AS106" i="51"/>
  <c r="AT106" i="51"/>
  <c r="AU106" i="51"/>
  <c r="AV106" i="51"/>
  <c r="AW106" i="51"/>
  <c r="AX106" i="51"/>
  <c r="AP107" i="51"/>
  <c r="AQ107" i="51"/>
  <c r="AR107" i="51"/>
  <c r="AS107" i="51"/>
  <c r="AT107" i="51"/>
  <c r="AU107" i="51"/>
  <c r="AV107" i="51"/>
  <c r="AW107" i="51"/>
  <c r="AX107" i="51"/>
  <c r="AP108" i="51"/>
  <c r="AQ108" i="51"/>
  <c r="AR108" i="51"/>
  <c r="AS108" i="51"/>
  <c r="AT108" i="51"/>
  <c r="AU108" i="51"/>
  <c r="AV108" i="51"/>
  <c r="AW108" i="51"/>
  <c r="AX108" i="51"/>
  <c r="AP109" i="51"/>
  <c r="AQ109" i="51"/>
  <c r="AR109" i="51"/>
  <c r="AS109" i="51"/>
  <c r="AT109" i="51"/>
  <c r="AU109" i="51"/>
  <c r="AV109" i="51"/>
  <c r="AW109" i="51"/>
  <c r="AX109" i="51"/>
  <c r="AP110" i="51"/>
  <c r="AQ110" i="51"/>
  <c r="AR110" i="51"/>
  <c r="AS110" i="51"/>
  <c r="AT110" i="51"/>
  <c r="AU110" i="51"/>
  <c r="AV110" i="51"/>
  <c r="AW110" i="51"/>
  <c r="AX110" i="51"/>
  <c r="AP111" i="51"/>
  <c r="AQ111" i="51"/>
  <c r="AR111" i="51"/>
  <c r="AS111" i="51"/>
  <c r="AT111" i="51"/>
  <c r="AU111" i="51"/>
  <c r="AV111" i="51"/>
  <c r="AW111" i="51"/>
  <c r="AX111" i="51"/>
  <c r="AP112" i="51"/>
  <c r="AQ112" i="51"/>
  <c r="AR112" i="51"/>
  <c r="AS112" i="51"/>
  <c r="AT112" i="51"/>
  <c r="AU112" i="51"/>
  <c r="AV112" i="51"/>
  <c r="AW112" i="51"/>
  <c r="AX112" i="51"/>
  <c r="AP113" i="51"/>
  <c r="AQ113" i="51"/>
  <c r="AR113" i="51"/>
  <c r="AS113" i="51"/>
  <c r="AT113" i="51"/>
  <c r="AU113" i="51"/>
  <c r="AV113" i="51"/>
  <c r="AW113" i="51"/>
  <c r="AX113" i="51"/>
  <c r="AP114" i="51"/>
  <c r="AQ114" i="51"/>
  <c r="AR114" i="51"/>
  <c r="AS114" i="51"/>
  <c r="AT114" i="51"/>
  <c r="AU114" i="51"/>
  <c r="AV114" i="51"/>
  <c r="AW114" i="51"/>
  <c r="AX114" i="51"/>
  <c r="AP115" i="51"/>
  <c r="AQ115" i="51"/>
  <c r="AR115" i="51"/>
  <c r="AS115" i="51"/>
  <c r="AT115" i="51"/>
  <c r="AU115" i="51"/>
  <c r="AV115" i="51"/>
  <c r="AW115" i="51"/>
  <c r="AX115" i="51"/>
  <c r="AP116" i="51"/>
  <c r="AQ116" i="51"/>
  <c r="AR116" i="51"/>
  <c r="AS116" i="51"/>
  <c r="AT116" i="51"/>
  <c r="AU116" i="51"/>
  <c r="AV116" i="51"/>
  <c r="AW116" i="51"/>
  <c r="AX116" i="51"/>
  <c r="AP117" i="51"/>
  <c r="AQ117" i="51"/>
  <c r="AR117" i="51"/>
  <c r="AS117" i="51"/>
  <c r="AT117" i="51"/>
  <c r="AU117" i="51"/>
  <c r="AV117" i="51"/>
  <c r="AW117" i="51"/>
  <c r="AX117" i="51"/>
  <c r="AP118" i="51"/>
  <c r="AQ118" i="51"/>
  <c r="AR118" i="51"/>
  <c r="AS118" i="51"/>
  <c r="AT118" i="51"/>
  <c r="AU118" i="51"/>
  <c r="AV118" i="51"/>
  <c r="AW118" i="51"/>
  <c r="AX118" i="51"/>
  <c r="AP119" i="51"/>
  <c r="AQ119" i="51"/>
  <c r="AR119" i="51"/>
  <c r="AS119" i="51"/>
  <c r="AT119" i="51"/>
  <c r="AU119" i="51"/>
  <c r="AV119" i="51"/>
  <c r="AW119" i="51"/>
  <c r="AX119" i="51"/>
  <c r="AP120" i="51"/>
  <c r="AQ120" i="51"/>
  <c r="AR120" i="51"/>
  <c r="AS120" i="51"/>
  <c r="AT120" i="51"/>
  <c r="AU120" i="51"/>
  <c r="AV120" i="51"/>
  <c r="AW120" i="51"/>
  <c r="AX120" i="51"/>
  <c r="AP121" i="51"/>
  <c r="AQ121" i="51"/>
  <c r="AR121" i="51"/>
  <c r="AS121" i="51"/>
  <c r="AT121" i="51"/>
  <c r="AU121" i="51"/>
  <c r="AV121" i="51"/>
  <c r="AW121" i="51"/>
  <c r="AX121" i="51"/>
  <c r="AP122" i="51"/>
  <c r="AQ122" i="51"/>
  <c r="AR122" i="51"/>
  <c r="AS122" i="51"/>
  <c r="AT122" i="51"/>
  <c r="AU122" i="51"/>
  <c r="AV122" i="51"/>
  <c r="AW122" i="51"/>
  <c r="AX122" i="51"/>
  <c r="AP123" i="51"/>
  <c r="AQ123" i="51"/>
  <c r="AR123" i="51"/>
  <c r="AS123" i="51"/>
  <c r="AT123" i="51"/>
  <c r="AU123" i="51"/>
  <c r="AV123" i="51"/>
  <c r="AW123" i="51"/>
  <c r="AX123" i="51"/>
  <c r="AP124" i="51"/>
  <c r="AQ124" i="51"/>
  <c r="AR124" i="51"/>
  <c r="AS124" i="51"/>
  <c r="AT124" i="51"/>
  <c r="AU124" i="51"/>
  <c r="AV124" i="51"/>
  <c r="AW124" i="51"/>
  <c r="AX124" i="51"/>
  <c r="AP125" i="51"/>
  <c r="AQ125" i="51"/>
  <c r="AR125" i="51"/>
  <c r="AS125" i="51"/>
  <c r="AT125" i="51"/>
  <c r="AU125" i="51"/>
  <c r="AV125" i="51"/>
  <c r="AW125" i="51"/>
  <c r="AX125" i="51"/>
  <c r="AP126" i="51"/>
  <c r="AQ126" i="51"/>
  <c r="AR126" i="51"/>
  <c r="AS126" i="51"/>
  <c r="AT126" i="51"/>
  <c r="AU126" i="51"/>
  <c r="AV126" i="51"/>
  <c r="AW126" i="51"/>
  <c r="AX126" i="51"/>
  <c r="AP127" i="51"/>
  <c r="AQ127" i="51"/>
  <c r="AR127" i="51"/>
  <c r="AS127" i="51"/>
  <c r="AT127" i="51"/>
  <c r="AU127" i="51"/>
  <c r="AV127" i="51"/>
  <c r="AW127" i="51"/>
  <c r="AX127" i="51"/>
  <c r="AP128" i="51"/>
  <c r="AQ128" i="51"/>
  <c r="AR128" i="51"/>
  <c r="AS128" i="51"/>
  <c r="AT128" i="51"/>
  <c r="AU128" i="51"/>
  <c r="AV128" i="51"/>
  <c r="AW128" i="51"/>
  <c r="AX128" i="51"/>
  <c r="AP129" i="51"/>
  <c r="AQ129" i="51"/>
  <c r="AR129" i="51"/>
  <c r="AS129" i="51"/>
  <c r="AT129" i="51"/>
  <c r="AU129" i="51"/>
  <c r="AV129" i="51"/>
  <c r="AW129" i="51"/>
  <c r="AX129" i="51"/>
  <c r="AP130" i="51"/>
  <c r="AQ130" i="51"/>
  <c r="AR130" i="51"/>
  <c r="AS130" i="51"/>
  <c r="AT130" i="51"/>
  <c r="AU130" i="51"/>
  <c r="AV130" i="51"/>
  <c r="AW130" i="51"/>
  <c r="AX130" i="51"/>
  <c r="AP131" i="51"/>
  <c r="AQ131" i="51"/>
  <c r="AR131" i="51"/>
  <c r="AS131" i="51"/>
  <c r="AT131" i="51"/>
  <c r="AU131" i="51"/>
  <c r="AV131" i="51"/>
  <c r="AW131" i="51"/>
  <c r="AX131" i="51"/>
  <c r="AP132" i="51"/>
  <c r="AQ132" i="51"/>
  <c r="AR132" i="51"/>
  <c r="AS132" i="51"/>
  <c r="AT132" i="51"/>
  <c r="AU132" i="51"/>
  <c r="AV132" i="51"/>
  <c r="AW132" i="51"/>
  <c r="AX132" i="51"/>
  <c r="AP133" i="51"/>
  <c r="AQ133" i="51"/>
  <c r="AR133" i="51"/>
  <c r="AS133" i="51"/>
  <c r="AT133" i="51"/>
  <c r="AU133" i="51"/>
  <c r="AV133" i="51"/>
  <c r="AW133" i="51"/>
  <c r="AX133" i="51"/>
  <c r="AP134" i="51"/>
  <c r="AQ134" i="51"/>
  <c r="AR134" i="51"/>
  <c r="AS134" i="51"/>
  <c r="AT134" i="51"/>
  <c r="AU134" i="51"/>
  <c r="AV134" i="51"/>
  <c r="AW134" i="51"/>
  <c r="AX134" i="51"/>
  <c r="AP135" i="51"/>
  <c r="AQ135" i="51"/>
  <c r="AR135" i="51"/>
  <c r="AS135" i="51"/>
  <c r="AT135" i="51"/>
  <c r="AU135" i="51"/>
  <c r="AV135" i="51"/>
  <c r="AW135" i="51"/>
  <c r="AX135" i="51"/>
  <c r="AP136" i="51"/>
  <c r="AQ136" i="51"/>
  <c r="AR136" i="51"/>
  <c r="AS136" i="51"/>
  <c r="AT136" i="51"/>
  <c r="AU136" i="51"/>
  <c r="AV136" i="51"/>
  <c r="AW136" i="51"/>
  <c r="AX136" i="51"/>
  <c r="AP137" i="51"/>
  <c r="AQ137" i="51"/>
  <c r="AR137" i="51"/>
  <c r="AS137" i="51"/>
  <c r="AT137" i="51"/>
  <c r="AU137" i="51"/>
  <c r="AV137" i="51"/>
  <c r="AW137" i="51"/>
  <c r="AX137" i="51"/>
  <c r="AP138" i="51"/>
  <c r="AQ138" i="51"/>
  <c r="AR138" i="51"/>
  <c r="AS138" i="51"/>
  <c r="AT138" i="51"/>
  <c r="AU138" i="51"/>
  <c r="AV138" i="51"/>
  <c r="AW138" i="51"/>
  <c r="AX138" i="51"/>
  <c r="AP139" i="51"/>
  <c r="AQ139" i="51"/>
  <c r="AR139" i="51"/>
  <c r="AS139" i="51"/>
  <c r="AT139" i="51"/>
  <c r="AU139" i="51"/>
  <c r="AV139" i="51"/>
  <c r="AW139" i="51"/>
  <c r="AX139" i="51"/>
  <c r="AP140" i="51"/>
  <c r="AQ140" i="51"/>
  <c r="AR140" i="51"/>
  <c r="AS140" i="51"/>
  <c r="AT140" i="51"/>
  <c r="AU140" i="51"/>
  <c r="AV140" i="51"/>
  <c r="AW140" i="51"/>
  <c r="AX140" i="51"/>
  <c r="AP141" i="51"/>
  <c r="AQ141" i="51"/>
  <c r="AR141" i="51"/>
  <c r="AS141" i="51"/>
  <c r="AT141" i="51"/>
  <c r="AU141" i="51"/>
  <c r="AV141" i="51"/>
  <c r="AW141" i="51"/>
  <c r="AX141" i="51"/>
  <c r="AP142" i="51"/>
  <c r="AQ142" i="51"/>
  <c r="AR142" i="51"/>
  <c r="AS142" i="51"/>
  <c r="AT142" i="51"/>
  <c r="AU142" i="51"/>
  <c r="AV142" i="51"/>
  <c r="AW142" i="51"/>
  <c r="AX142" i="51"/>
  <c r="AP143" i="51"/>
  <c r="AQ143" i="51"/>
  <c r="AR143" i="51"/>
  <c r="AS143" i="51"/>
  <c r="AT143" i="51"/>
  <c r="AU143" i="51"/>
  <c r="AV143" i="51"/>
  <c r="AW143" i="51"/>
  <c r="AX143" i="51"/>
  <c r="AP144" i="51"/>
  <c r="AQ144" i="51"/>
  <c r="AR144" i="51"/>
  <c r="AS144" i="51"/>
  <c r="AT144" i="51"/>
  <c r="AU144" i="51"/>
  <c r="AV144" i="51"/>
  <c r="AW144" i="51"/>
  <c r="AX144" i="51"/>
  <c r="AP145" i="51"/>
  <c r="AQ145" i="51"/>
  <c r="AR145" i="51"/>
  <c r="AS145" i="51"/>
  <c r="AT145" i="51"/>
  <c r="AU145" i="51"/>
  <c r="AV145" i="51"/>
  <c r="AW145" i="51"/>
  <c r="AX145" i="51"/>
  <c r="AP146" i="51"/>
  <c r="AQ146" i="51"/>
  <c r="AR146" i="51"/>
  <c r="AS146" i="51"/>
  <c r="CG159" i="51" s="1"/>
  <c r="AT146" i="51"/>
  <c r="AU146" i="51"/>
  <c r="AV146" i="51"/>
  <c r="AW146" i="51"/>
  <c r="CK159" i="51" s="1"/>
  <c r="AX146" i="51"/>
  <c r="AP147" i="51"/>
  <c r="AQ147" i="51"/>
  <c r="AR147" i="51"/>
  <c r="CF160" i="51" s="1"/>
  <c r="AS147" i="51"/>
  <c r="AT147" i="51"/>
  <c r="AU147" i="51"/>
  <c r="AV147" i="51"/>
  <c r="CJ160" i="51" s="1"/>
  <c r="AW147" i="51"/>
  <c r="AX147" i="51"/>
  <c r="AP148" i="51"/>
  <c r="AQ148" i="51"/>
  <c r="CE161" i="51" s="1"/>
  <c r="AR148" i="51"/>
  <c r="AS148" i="51"/>
  <c r="AT148" i="51"/>
  <c r="AU148" i="51"/>
  <c r="CI161" i="51" s="1"/>
  <c r="AV148" i="51"/>
  <c r="AW148" i="51"/>
  <c r="AX148" i="51"/>
  <c r="AP149" i="51"/>
  <c r="CD162" i="51" s="1"/>
  <c r="AQ149" i="51"/>
  <c r="CE162" i="51" s="1"/>
  <c r="AR149" i="51"/>
  <c r="CF162" i="51" s="1"/>
  <c r="AS149" i="51"/>
  <c r="CG162" i="51" s="1"/>
  <c r="AT149" i="51"/>
  <c r="CH162" i="51" s="1"/>
  <c r="AU149" i="51"/>
  <c r="CI162" i="51" s="1"/>
  <c r="AV149" i="51"/>
  <c r="CJ162" i="51" s="1"/>
  <c r="AW149" i="51"/>
  <c r="CK162" i="51" s="1"/>
  <c r="AX149" i="51"/>
  <c r="CL162" i="51" s="1"/>
  <c r="AP74" i="51"/>
  <c r="AX79" i="51"/>
  <c r="AW79" i="51"/>
  <c r="AV79" i="51"/>
  <c r="AU79" i="51"/>
  <c r="AT79" i="51"/>
  <c r="AS79" i="51"/>
  <c r="AR79" i="51"/>
  <c r="AQ79" i="51"/>
  <c r="AP79" i="51"/>
  <c r="A79" i="51"/>
  <c r="A78" i="51" s="1"/>
  <c r="A77" i="51" s="1"/>
  <c r="A76" i="51" s="1"/>
  <c r="A75" i="51" s="1"/>
  <c r="A74" i="51" s="1"/>
  <c r="A73" i="51" s="1"/>
  <c r="A72" i="51" s="1"/>
  <c r="A71" i="51" s="1"/>
  <c r="A70" i="51" s="1"/>
  <c r="A69" i="51" s="1"/>
  <c r="A68" i="51" s="1"/>
  <c r="A67" i="51" s="1"/>
  <c r="A66" i="51" s="1"/>
  <c r="A65" i="51" s="1"/>
  <c r="A64" i="51" s="1"/>
  <c r="A63" i="51" s="1"/>
  <c r="A62" i="51" s="1"/>
  <c r="A61" i="51" s="1"/>
  <c r="A60" i="51" s="1"/>
  <c r="A59" i="51" s="1"/>
  <c r="A58" i="51" s="1"/>
  <c r="A57" i="51" s="1"/>
  <c r="A56" i="51" s="1"/>
  <c r="A55" i="51" s="1"/>
  <c r="A54" i="51" s="1"/>
  <c r="A53" i="51" s="1"/>
  <c r="A52" i="51" s="1"/>
  <c r="A51" i="51" s="1"/>
  <c r="A50" i="51" s="1"/>
  <c r="A49" i="51" s="1"/>
  <c r="A48" i="51" s="1"/>
  <c r="A47" i="51" s="1"/>
  <c r="A46" i="51" s="1"/>
  <c r="A45" i="51" s="1"/>
  <c r="A44" i="51" s="1"/>
  <c r="A43" i="51" s="1"/>
  <c r="A42" i="51" s="1"/>
  <c r="A41" i="51" s="1"/>
  <c r="A40" i="51" s="1"/>
  <c r="A39" i="51" s="1"/>
  <c r="A38" i="51" s="1"/>
  <c r="A37" i="51" s="1"/>
  <c r="A36" i="51" s="1"/>
  <c r="A35" i="51" s="1"/>
  <c r="A34" i="51" s="1"/>
  <c r="A33" i="51" s="1"/>
  <c r="A32" i="51" s="1"/>
  <c r="A31" i="51" s="1"/>
  <c r="A30" i="51" s="1"/>
  <c r="A29" i="51" s="1"/>
  <c r="A28" i="51" s="1"/>
  <c r="A27" i="51" s="1"/>
  <c r="A26" i="51" s="1"/>
  <c r="A25" i="51" s="1"/>
  <c r="A24" i="51" s="1"/>
  <c r="A23" i="51" s="1"/>
  <c r="A22" i="51" s="1"/>
  <c r="A21" i="51" s="1"/>
  <c r="A20" i="51" s="1"/>
  <c r="A19" i="51" s="1"/>
  <c r="A18" i="51" s="1"/>
  <c r="A17" i="51" s="1"/>
  <c r="A16" i="51" s="1"/>
  <c r="A15" i="51" s="1"/>
  <c r="A14" i="51" s="1"/>
  <c r="A13" i="51" s="1"/>
  <c r="A12" i="51" s="1"/>
  <c r="A11" i="51" s="1"/>
  <c r="A10" i="51" s="1"/>
  <c r="A9" i="51" s="1"/>
  <c r="A8" i="51" s="1"/>
  <c r="A7" i="51" s="1"/>
  <c r="AX78" i="51"/>
  <c r="AW78" i="51"/>
  <c r="AV78" i="51"/>
  <c r="AU78" i="51"/>
  <c r="AT78" i="51"/>
  <c r="AS78" i="51"/>
  <c r="AR78" i="51"/>
  <c r="AQ78" i="51"/>
  <c r="AP78" i="51"/>
  <c r="AX77" i="51"/>
  <c r="AW77" i="51"/>
  <c r="AV77" i="51"/>
  <c r="AU77" i="51"/>
  <c r="AT77" i="51"/>
  <c r="AS77" i="51"/>
  <c r="AR77" i="51"/>
  <c r="AQ77" i="51"/>
  <c r="AP77" i="51"/>
  <c r="AX76" i="51"/>
  <c r="AW76" i="51"/>
  <c r="AV76" i="51"/>
  <c r="AU76" i="51"/>
  <c r="AT76" i="51"/>
  <c r="AS76" i="51"/>
  <c r="AR76" i="51"/>
  <c r="AQ76" i="51"/>
  <c r="AP76" i="51"/>
  <c r="AX75" i="51"/>
  <c r="AW75" i="51"/>
  <c r="AV75" i="51"/>
  <c r="AU75" i="51"/>
  <c r="AT75" i="51"/>
  <c r="AS75" i="51"/>
  <c r="AR75" i="51"/>
  <c r="AQ75" i="51"/>
  <c r="AP75" i="51"/>
  <c r="AX74" i="51"/>
  <c r="AW74" i="51"/>
  <c r="AV74" i="51"/>
  <c r="AU74" i="51"/>
  <c r="AT74" i="51"/>
  <c r="AS74" i="51"/>
  <c r="AR74" i="51"/>
  <c r="AQ74" i="51"/>
  <c r="AX73" i="51"/>
  <c r="AW73" i="51"/>
  <c r="AV73" i="51"/>
  <c r="AU73" i="51"/>
  <c r="AT73" i="51"/>
  <c r="AS73" i="51"/>
  <c r="AR73" i="51"/>
  <c r="AQ73" i="51"/>
  <c r="AP73" i="51"/>
  <c r="AX72" i="51"/>
  <c r="AW72" i="51"/>
  <c r="AV72" i="51"/>
  <c r="AU72" i="51"/>
  <c r="AT72" i="51"/>
  <c r="AS72" i="51"/>
  <c r="AR72" i="51"/>
  <c r="AQ72" i="51"/>
  <c r="AP72" i="51"/>
  <c r="AX71" i="51"/>
  <c r="AW71" i="51"/>
  <c r="AV71" i="51"/>
  <c r="AU71" i="51"/>
  <c r="AT71" i="51"/>
  <c r="AS71" i="51"/>
  <c r="AR71" i="51"/>
  <c r="AQ71" i="51"/>
  <c r="AP71" i="51"/>
  <c r="AX70" i="51"/>
  <c r="AW70" i="51"/>
  <c r="AV70" i="51"/>
  <c r="AU70" i="51"/>
  <c r="AT70" i="51"/>
  <c r="AS70" i="51"/>
  <c r="AR70" i="51"/>
  <c r="AQ70" i="51"/>
  <c r="AP70" i="51"/>
  <c r="AX69" i="51"/>
  <c r="AW69" i="51"/>
  <c r="AV69" i="51"/>
  <c r="AU69" i="51"/>
  <c r="AT69" i="51"/>
  <c r="AS69" i="51"/>
  <c r="AR69" i="51"/>
  <c r="AQ69" i="51"/>
  <c r="AP69" i="51"/>
  <c r="AX68" i="51"/>
  <c r="AW68" i="51"/>
  <c r="AV68" i="51"/>
  <c r="AU68" i="51"/>
  <c r="AT68" i="51"/>
  <c r="AS68" i="51"/>
  <c r="AR68" i="51"/>
  <c r="AQ68" i="51"/>
  <c r="AP68" i="51"/>
  <c r="AX67" i="51"/>
  <c r="AW67" i="51"/>
  <c r="AV67" i="51"/>
  <c r="AU67" i="51"/>
  <c r="AT67" i="51"/>
  <c r="AS67" i="51"/>
  <c r="AR67" i="51"/>
  <c r="AQ67" i="51"/>
  <c r="AP67" i="51"/>
  <c r="AX66" i="51"/>
  <c r="AW66" i="51"/>
  <c r="AV66" i="51"/>
  <c r="AU66" i="51"/>
  <c r="AT66" i="51"/>
  <c r="AS66" i="51"/>
  <c r="AR66" i="51"/>
  <c r="AQ66" i="51"/>
  <c r="AP66" i="51"/>
  <c r="AX65" i="51"/>
  <c r="AW65" i="51"/>
  <c r="AV65" i="51"/>
  <c r="AU65" i="51"/>
  <c r="AT65" i="51"/>
  <c r="AS65" i="51"/>
  <c r="AR65" i="51"/>
  <c r="AQ65" i="51"/>
  <c r="AP65" i="51"/>
  <c r="AX64" i="51"/>
  <c r="AW64" i="51"/>
  <c r="AV64" i="51"/>
  <c r="AU64" i="51"/>
  <c r="AT64" i="51"/>
  <c r="AS64" i="51"/>
  <c r="AR64" i="51"/>
  <c r="AQ64" i="51"/>
  <c r="AP64" i="51"/>
  <c r="AX63" i="51"/>
  <c r="AW63" i="51"/>
  <c r="AV63" i="51"/>
  <c r="AU63" i="51"/>
  <c r="AT63" i="51"/>
  <c r="AS63" i="51"/>
  <c r="AR63" i="51"/>
  <c r="AQ63" i="51"/>
  <c r="AP63" i="51"/>
  <c r="AX62" i="51"/>
  <c r="AW62" i="51"/>
  <c r="AV62" i="51"/>
  <c r="AU62" i="51"/>
  <c r="AT62" i="51"/>
  <c r="AS62" i="51"/>
  <c r="AR62" i="51"/>
  <c r="AQ62" i="51"/>
  <c r="AP62" i="51"/>
  <c r="AX61" i="51"/>
  <c r="AW61" i="51"/>
  <c r="AV61" i="51"/>
  <c r="AU61" i="51"/>
  <c r="AT61" i="51"/>
  <c r="AS61" i="51"/>
  <c r="AR61" i="51"/>
  <c r="AQ61" i="51"/>
  <c r="AP61" i="51"/>
  <c r="AX60" i="51"/>
  <c r="AW60" i="51"/>
  <c r="AV60" i="51"/>
  <c r="AU60" i="51"/>
  <c r="AT60" i="51"/>
  <c r="AS60" i="51"/>
  <c r="AR60" i="51"/>
  <c r="AQ60" i="51"/>
  <c r="AP60" i="51"/>
  <c r="AX59" i="51"/>
  <c r="AW59" i="51"/>
  <c r="AV59" i="51"/>
  <c r="AU59" i="51"/>
  <c r="AT59" i="51"/>
  <c r="AS59" i="51"/>
  <c r="AR59" i="51"/>
  <c r="AQ59" i="51"/>
  <c r="AP59" i="51"/>
  <c r="AX58" i="51"/>
  <c r="AW58" i="51"/>
  <c r="AV58" i="51"/>
  <c r="AU58" i="51"/>
  <c r="AT58" i="51"/>
  <c r="AS58" i="51"/>
  <c r="AR58" i="51"/>
  <c r="AQ58" i="51"/>
  <c r="AP58" i="51"/>
  <c r="AX57" i="51"/>
  <c r="AW57" i="51"/>
  <c r="AV57" i="51"/>
  <c r="AU57" i="51"/>
  <c r="AT57" i="51"/>
  <c r="AS57" i="51"/>
  <c r="AR57" i="51"/>
  <c r="AQ57" i="51"/>
  <c r="AP57" i="51"/>
  <c r="AX56" i="51"/>
  <c r="AW56" i="51"/>
  <c r="AV56" i="51"/>
  <c r="AU56" i="51"/>
  <c r="AT56" i="51"/>
  <c r="AS56" i="51"/>
  <c r="AR56" i="51"/>
  <c r="AQ56" i="51"/>
  <c r="AP56" i="51"/>
  <c r="AX55" i="51"/>
  <c r="AW55" i="51"/>
  <c r="AV55" i="51"/>
  <c r="AU55" i="51"/>
  <c r="AT55" i="51"/>
  <c r="AS55" i="51"/>
  <c r="AR55" i="51"/>
  <c r="AQ55" i="51"/>
  <c r="AP55" i="51"/>
  <c r="AX54" i="51"/>
  <c r="AW54" i="51"/>
  <c r="AV54" i="51"/>
  <c r="AU54" i="51"/>
  <c r="AT54" i="51"/>
  <c r="AS54" i="51"/>
  <c r="AR54" i="51"/>
  <c r="AQ54" i="51"/>
  <c r="AP54" i="51"/>
  <c r="AX53" i="51"/>
  <c r="AW53" i="51"/>
  <c r="AV53" i="51"/>
  <c r="AU53" i="51"/>
  <c r="AT53" i="51"/>
  <c r="AS53" i="51"/>
  <c r="AR53" i="51"/>
  <c r="AQ53" i="51"/>
  <c r="AP53" i="51"/>
  <c r="AX52" i="51"/>
  <c r="AW52" i="51"/>
  <c r="AV52" i="51"/>
  <c r="AU52" i="51"/>
  <c r="AT52" i="51"/>
  <c r="AS52" i="51"/>
  <c r="AR52" i="51"/>
  <c r="AQ52" i="51"/>
  <c r="AP52" i="51"/>
  <c r="AX51" i="51"/>
  <c r="AW51" i="51"/>
  <c r="AV51" i="51"/>
  <c r="AU51" i="51"/>
  <c r="AT51" i="51"/>
  <c r="AS51" i="51"/>
  <c r="AR51" i="51"/>
  <c r="AQ51" i="51"/>
  <c r="AP51" i="51"/>
  <c r="AX50" i="51"/>
  <c r="AW50" i="51"/>
  <c r="AV50" i="51"/>
  <c r="AU50" i="51"/>
  <c r="AT50" i="51"/>
  <c r="AS50" i="51"/>
  <c r="AR50" i="51"/>
  <c r="AQ50" i="51"/>
  <c r="AP50" i="51"/>
  <c r="AX49" i="51"/>
  <c r="AW49" i="51"/>
  <c r="AV49" i="51"/>
  <c r="AU49" i="51"/>
  <c r="AT49" i="51"/>
  <c r="AS49" i="51"/>
  <c r="AR49" i="51"/>
  <c r="AQ49" i="51"/>
  <c r="AP49" i="51"/>
  <c r="AX48" i="51"/>
  <c r="AW48" i="51"/>
  <c r="AV48" i="51"/>
  <c r="AU48" i="51"/>
  <c r="AT48" i="51"/>
  <c r="AS48" i="51"/>
  <c r="AR48" i="51"/>
  <c r="AQ48" i="51"/>
  <c r="AP48" i="51"/>
  <c r="AX47" i="51"/>
  <c r="AW47" i="51"/>
  <c r="AV47" i="51"/>
  <c r="AU47" i="51"/>
  <c r="AT47" i="51"/>
  <c r="AS47" i="51"/>
  <c r="AR47" i="51"/>
  <c r="AQ47" i="51"/>
  <c r="AP47" i="51"/>
  <c r="AX46" i="51"/>
  <c r="AW46" i="51"/>
  <c r="AV46" i="51"/>
  <c r="AU46" i="51"/>
  <c r="AT46" i="51"/>
  <c r="AS46" i="51"/>
  <c r="AR46" i="51"/>
  <c r="AQ46" i="51"/>
  <c r="AP46" i="51"/>
  <c r="AX45" i="51"/>
  <c r="AW45" i="51"/>
  <c r="AV45" i="51"/>
  <c r="AU45" i="51"/>
  <c r="AT45" i="51"/>
  <c r="AS45" i="51"/>
  <c r="AR45" i="51"/>
  <c r="AQ45" i="51"/>
  <c r="AP45" i="51"/>
  <c r="AX44" i="51"/>
  <c r="AW44" i="51"/>
  <c r="AV44" i="51"/>
  <c r="AU44" i="51"/>
  <c r="AT44" i="51"/>
  <c r="AS44" i="51"/>
  <c r="AR44" i="51"/>
  <c r="AQ44" i="51"/>
  <c r="AP44" i="51"/>
  <c r="AX43" i="51"/>
  <c r="AW43" i="51"/>
  <c r="AV43" i="51"/>
  <c r="AU43" i="51"/>
  <c r="AT43" i="51"/>
  <c r="AS43" i="51"/>
  <c r="AR43" i="51"/>
  <c r="AQ43" i="51"/>
  <c r="AP43" i="51"/>
  <c r="AX42" i="51"/>
  <c r="AW42" i="51"/>
  <c r="AV42" i="51"/>
  <c r="AU42" i="51"/>
  <c r="AT42" i="51"/>
  <c r="AS42" i="51"/>
  <c r="AR42" i="51"/>
  <c r="AQ42" i="51"/>
  <c r="AP42" i="51"/>
  <c r="AX41" i="51"/>
  <c r="AW41" i="51"/>
  <c r="AV41" i="51"/>
  <c r="AU41" i="51"/>
  <c r="AT41" i="51"/>
  <c r="AS41" i="51"/>
  <c r="AR41" i="51"/>
  <c r="AQ41" i="51"/>
  <c r="AP41" i="51"/>
  <c r="AX40" i="51"/>
  <c r="AW40" i="51"/>
  <c r="AV40" i="51"/>
  <c r="AU40" i="51"/>
  <c r="AT40" i="51"/>
  <c r="AS40" i="51"/>
  <c r="AR40" i="51"/>
  <c r="AQ40" i="51"/>
  <c r="AP40" i="51"/>
  <c r="AX39" i="51"/>
  <c r="AW39" i="51"/>
  <c r="AV39" i="51"/>
  <c r="AU39" i="51"/>
  <c r="AT39" i="51"/>
  <c r="AS39" i="51"/>
  <c r="AR39" i="51"/>
  <c r="AQ39" i="51"/>
  <c r="AP39" i="51"/>
  <c r="AX38" i="51"/>
  <c r="AW38" i="51"/>
  <c r="AV38" i="51"/>
  <c r="AU38" i="51"/>
  <c r="AT38" i="51"/>
  <c r="AS38" i="51"/>
  <c r="AR38" i="51"/>
  <c r="AQ38" i="51"/>
  <c r="AP38" i="51"/>
  <c r="AX37" i="51"/>
  <c r="AW37" i="51"/>
  <c r="AV37" i="51"/>
  <c r="AU37" i="51"/>
  <c r="AT37" i="51"/>
  <c r="AS37" i="51"/>
  <c r="AR37" i="51"/>
  <c r="AQ37" i="51"/>
  <c r="AP37" i="51"/>
  <c r="AX36" i="51"/>
  <c r="AW36" i="51"/>
  <c r="AV36" i="51"/>
  <c r="AU36" i="51"/>
  <c r="AT36" i="51"/>
  <c r="AS36" i="51"/>
  <c r="AR36" i="51"/>
  <c r="AQ36" i="51"/>
  <c r="AP36" i="51"/>
  <c r="AX35" i="51"/>
  <c r="AW35" i="51"/>
  <c r="AV35" i="51"/>
  <c r="AU35" i="51"/>
  <c r="AT35" i="51"/>
  <c r="AS35" i="51"/>
  <c r="AR35" i="51"/>
  <c r="AQ35" i="51"/>
  <c r="AP35" i="51"/>
  <c r="AX34" i="51"/>
  <c r="AW34" i="51"/>
  <c r="AV34" i="51"/>
  <c r="AU34" i="51"/>
  <c r="AT34" i="51"/>
  <c r="AS34" i="51"/>
  <c r="AR34" i="51"/>
  <c r="AQ34" i="51"/>
  <c r="AP34" i="51"/>
  <c r="AX33" i="51"/>
  <c r="AW33" i="51"/>
  <c r="AV33" i="51"/>
  <c r="AU33" i="51"/>
  <c r="AT33" i="51"/>
  <c r="AS33" i="51"/>
  <c r="AR33" i="51"/>
  <c r="AQ33" i="51"/>
  <c r="AP33" i="51"/>
  <c r="AX32" i="51"/>
  <c r="AW32" i="51"/>
  <c r="AV32" i="51"/>
  <c r="AU32" i="51"/>
  <c r="AT32" i="51"/>
  <c r="AS32" i="51"/>
  <c r="AR32" i="51"/>
  <c r="AQ32" i="51"/>
  <c r="AP32" i="51"/>
  <c r="AX31" i="51"/>
  <c r="AW31" i="51"/>
  <c r="AV31" i="51"/>
  <c r="AU31" i="51"/>
  <c r="AT31" i="51"/>
  <c r="AS31" i="51"/>
  <c r="AR31" i="51"/>
  <c r="AQ31" i="51"/>
  <c r="AP31" i="51"/>
  <c r="AX30" i="51"/>
  <c r="AW30" i="51"/>
  <c r="AV30" i="51"/>
  <c r="AU30" i="51"/>
  <c r="AT30" i="51"/>
  <c r="AS30" i="51"/>
  <c r="AR30" i="51"/>
  <c r="AQ30" i="51"/>
  <c r="AP30" i="51"/>
  <c r="AX29" i="51"/>
  <c r="AW29" i="51"/>
  <c r="AV29" i="51"/>
  <c r="AU29" i="51"/>
  <c r="AT29" i="51"/>
  <c r="AS29" i="51"/>
  <c r="AR29" i="51"/>
  <c r="AQ29" i="51"/>
  <c r="AP29" i="51"/>
  <c r="AX28" i="51"/>
  <c r="AW28" i="51"/>
  <c r="AV28" i="51"/>
  <c r="AU28" i="51"/>
  <c r="AT28" i="51"/>
  <c r="AS28" i="51"/>
  <c r="AR28" i="51"/>
  <c r="AQ28" i="51"/>
  <c r="AP28" i="51"/>
  <c r="AX27" i="51"/>
  <c r="AW27" i="51"/>
  <c r="AV27" i="51"/>
  <c r="AU27" i="51"/>
  <c r="AT27" i="51"/>
  <c r="AS27" i="51"/>
  <c r="AR27" i="51"/>
  <c r="AQ27" i="51"/>
  <c r="AP27" i="51"/>
  <c r="AX26" i="51"/>
  <c r="AW26" i="51"/>
  <c r="AV26" i="51"/>
  <c r="AU26" i="51"/>
  <c r="AT26" i="51"/>
  <c r="AS26" i="51"/>
  <c r="AR26" i="51"/>
  <c r="AQ26" i="51"/>
  <c r="AP26" i="51"/>
  <c r="AX25" i="51"/>
  <c r="AW25" i="51"/>
  <c r="AV25" i="51"/>
  <c r="AU25" i="51"/>
  <c r="AT25" i="51"/>
  <c r="AS25" i="51"/>
  <c r="AR25" i="51"/>
  <c r="AQ25" i="51"/>
  <c r="AP25" i="51"/>
  <c r="AX24" i="51"/>
  <c r="AW24" i="51"/>
  <c r="AV24" i="51"/>
  <c r="AU24" i="51"/>
  <c r="AT24" i="51"/>
  <c r="AS24" i="51"/>
  <c r="AR24" i="51"/>
  <c r="AQ24" i="51"/>
  <c r="AP24" i="51"/>
  <c r="AX23" i="51"/>
  <c r="AW23" i="51"/>
  <c r="AV23" i="51"/>
  <c r="AU23" i="51"/>
  <c r="AT23" i="51"/>
  <c r="AS23" i="51"/>
  <c r="AR23" i="51"/>
  <c r="AQ23" i="51"/>
  <c r="AP23" i="51"/>
  <c r="AX22" i="51"/>
  <c r="AW22" i="51"/>
  <c r="AV22" i="51"/>
  <c r="AU22" i="51"/>
  <c r="AT22" i="51"/>
  <c r="AS22" i="51"/>
  <c r="AR22" i="51"/>
  <c r="AQ22" i="51"/>
  <c r="AP22" i="51"/>
  <c r="AX21" i="51"/>
  <c r="AW21" i="51"/>
  <c r="AV21" i="51"/>
  <c r="AU21" i="51"/>
  <c r="AT21" i="51"/>
  <c r="AS21" i="51"/>
  <c r="AR21" i="51"/>
  <c r="AQ21" i="51"/>
  <c r="AP21" i="51"/>
  <c r="AX20" i="51"/>
  <c r="AW20" i="51"/>
  <c r="AV20" i="51"/>
  <c r="AU20" i="51"/>
  <c r="AT20" i="51"/>
  <c r="AS20" i="51"/>
  <c r="AR20" i="51"/>
  <c r="AQ20" i="51"/>
  <c r="AP20" i="51"/>
  <c r="AX19" i="51"/>
  <c r="AW19" i="51"/>
  <c r="AV19" i="51"/>
  <c r="AU19" i="51"/>
  <c r="AT19" i="51"/>
  <c r="AS19" i="51"/>
  <c r="AR19" i="51"/>
  <c r="AQ19" i="51"/>
  <c r="AP19" i="51"/>
  <c r="AX18" i="51"/>
  <c r="AW18" i="51"/>
  <c r="AV18" i="51"/>
  <c r="AU18" i="51"/>
  <c r="AT18" i="51"/>
  <c r="AS18" i="51"/>
  <c r="AR18" i="51"/>
  <c r="AQ18" i="51"/>
  <c r="AP18" i="51"/>
  <c r="AX17" i="51"/>
  <c r="AW17" i="51"/>
  <c r="AV17" i="51"/>
  <c r="AU17" i="51"/>
  <c r="AT17" i="51"/>
  <c r="AS17" i="51"/>
  <c r="AR17" i="51"/>
  <c r="AQ17" i="51"/>
  <c r="AP17" i="51"/>
  <c r="AX16" i="51"/>
  <c r="AW16" i="51"/>
  <c r="AV16" i="51"/>
  <c r="AU16" i="51"/>
  <c r="AT16" i="51"/>
  <c r="AS16" i="51"/>
  <c r="AR16" i="51"/>
  <c r="AQ16" i="51"/>
  <c r="AP16" i="51"/>
  <c r="AX15" i="51"/>
  <c r="AW15" i="51"/>
  <c r="AV15" i="51"/>
  <c r="AU15" i="51"/>
  <c r="AT15" i="51"/>
  <c r="AS15" i="51"/>
  <c r="AR15" i="51"/>
  <c r="AQ15" i="51"/>
  <c r="AP15" i="51"/>
  <c r="AX14" i="51"/>
  <c r="AW14" i="51"/>
  <c r="AV14" i="51"/>
  <c r="AU14" i="51"/>
  <c r="AT14" i="51"/>
  <c r="AS14" i="51"/>
  <c r="AR14" i="51"/>
  <c r="AQ14" i="51"/>
  <c r="AP14" i="51"/>
  <c r="AX13" i="51"/>
  <c r="AW13" i="51"/>
  <c r="AV13" i="51"/>
  <c r="AU13" i="51"/>
  <c r="AT13" i="51"/>
  <c r="AS13" i="51"/>
  <c r="AR13" i="51"/>
  <c r="AQ13" i="51"/>
  <c r="AP13" i="51"/>
  <c r="AX12" i="51"/>
  <c r="AW12" i="51"/>
  <c r="AV12" i="51"/>
  <c r="AU12" i="51"/>
  <c r="AT12" i="51"/>
  <c r="AS12" i="51"/>
  <c r="AR12" i="51"/>
  <c r="AQ12" i="51"/>
  <c r="AP12" i="51"/>
  <c r="AX11" i="51"/>
  <c r="AW11" i="51"/>
  <c r="AV11" i="51"/>
  <c r="AU11" i="51"/>
  <c r="AT11" i="51"/>
  <c r="AS11" i="51"/>
  <c r="AR11" i="51"/>
  <c r="AQ11" i="51"/>
  <c r="AP11" i="51"/>
  <c r="AX10" i="51"/>
  <c r="AW10" i="51"/>
  <c r="AV10" i="51"/>
  <c r="AU10" i="51"/>
  <c r="AT10" i="51"/>
  <c r="AS10" i="51"/>
  <c r="AR10" i="51"/>
  <c r="AQ10" i="51"/>
  <c r="AP10" i="51"/>
  <c r="AX9" i="51"/>
  <c r="AW9" i="51"/>
  <c r="AV9" i="51"/>
  <c r="AU9" i="51"/>
  <c r="AT9" i="51"/>
  <c r="AS9" i="51"/>
  <c r="AR9" i="51"/>
  <c r="AQ9" i="51"/>
  <c r="AP9" i="51"/>
  <c r="AX8" i="51"/>
  <c r="AW8" i="51"/>
  <c r="AV8" i="51"/>
  <c r="AU8" i="51"/>
  <c r="AU6" i="51" s="1"/>
  <c r="AT8" i="51"/>
  <c r="AS8" i="51"/>
  <c r="AR8" i="51"/>
  <c r="AQ8" i="51"/>
  <c r="AQ6" i="51" s="1"/>
  <c r="AP8" i="51"/>
  <c r="BT139" i="51"/>
  <c r="BU139" i="51"/>
  <c r="BV139" i="51"/>
  <c r="BW139" i="51"/>
  <c r="BX139" i="51"/>
  <c r="BY139" i="51"/>
  <c r="BZ139" i="51"/>
  <c r="CA139" i="51"/>
  <c r="CB139" i="51"/>
  <c r="BT140" i="51"/>
  <c r="BU140" i="51"/>
  <c r="BV140" i="51"/>
  <c r="BW140" i="51"/>
  <c r="BX140" i="51"/>
  <c r="BY140" i="51"/>
  <c r="BZ140" i="51"/>
  <c r="CA140" i="51"/>
  <c r="CB140" i="51"/>
  <c r="BT141" i="51"/>
  <c r="BU141" i="51"/>
  <c r="BV141" i="51"/>
  <c r="BW141" i="51"/>
  <c r="BX141" i="51"/>
  <c r="BY141" i="51"/>
  <c r="BZ141" i="51"/>
  <c r="CA141" i="51"/>
  <c r="CB141" i="51"/>
  <c r="BT142" i="51"/>
  <c r="BU142" i="51"/>
  <c r="BV142" i="51"/>
  <c r="BW142" i="51"/>
  <c r="BX142" i="51"/>
  <c r="BY142" i="51"/>
  <c r="BZ142" i="51"/>
  <c r="CA142" i="51"/>
  <c r="CB142" i="51"/>
  <c r="BT143" i="51"/>
  <c r="BU143" i="51"/>
  <c r="BV143" i="51"/>
  <c r="BW143" i="51"/>
  <c r="BX143" i="51"/>
  <c r="BY143" i="51"/>
  <c r="BZ143" i="51"/>
  <c r="CA143" i="51"/>
  <c r="CB143" i="51"/>
  <c r="BT144" i="51"/>
  <c r="BU144" i="51"/>
  <c r="BV144" i="51"/>
  <c r="BW144" i="51"/>
  <c r="BX144" i="51"/>
  <c r="BY144" i="51"/>
  <c r="BZ144" i="51"/>
  <c r="CA144" i="51"/>
  <c r="CB144" i="51"/>
  <c r="BT145" i="51"/>
  <c r="BU145" i="51"/>
  <c r="BV145" i="51"/>
  <c r="BW145" i="51"/>
  <c r="BX145" i="51"/>
  <c r="BY145" i="51"/>
  <c r="BZ145" i="51"/>
  <c r="CA145" i="51"/>
  <c r="CB145" i="51"/>
  <c r="BT146" i="51"/>
  <c r="BU146" i="51"/>
  <c r="BV146" i="51"/>
  <c r="BW146" i="51"/>
  <c r="BX146" i="51"/>
  <c r="BY146" i="51"/>
  <c r="BZ146" i="51"/>
  <c r="CA146" i="51"/>
  <c r="CB146" i="51"/>
  <c r="BT147" i="51"/>
  <c r="BU147" i="51"/>
  <c r="BV147" i="51"/>
  <c r="BW147" i="51"/>
  <c r="BX147" i="51"/>
  <c r="BY147" i="51"/>
  <c r="BZ147" i="51"/>
  <c r="CA147" i="51"/>
  <c r="CB147" i="51"/>
  <c r="BT148" i="51"/>
  <c r="BU148" i="51"/>
  <c r="BV148" i="51"/>
  <c r="BW148" i="51"/>
  <c r="BX148" i="51"/>
  <c r="BY148" i="51"/>
  <c r="BZ148" i="51"/>
  <c r="CA148" i="51"/>
  <c r="CB148" i="51"/>
  <c r="BT149" i="51"/>
  <c r="BU149" i="51"/>
  <c r="BV149" i="51"/>
  <c r="BW149" i="51"/>
  <c r="BX149" i="51"/>
  <c r="BY149" i="51"/>
  <c r="BZ149" i="51"/>
  <c r="CA149" i="51"/>
  <c r="CB149" i="51"/>
  <c r="BT138" i="51"/>
  <c r="CB138" i="51"/>
  <c r="CA138" i="51"/>
  <c r="BZ138" i="51"/>
  <c r="BY138" i="51"/>
  <c r="BX138" i="51"/>
  <c r="BW138" i="51"/>
  <c r="BV138" i="51"/>
  <c r="BU138" i="51"/>
  <c r="CB137" i="51"/>
  <c r="CA137" i="51"/>
  <c r="BZ137" i="51"/>
  <c r="BY137" i="51"/>
  <c r="BX137" i="51"/>
  <c r="BW137" i="51"/>
  <c r="BV137" i="51"/>
  <c r="BU137" i="51"/>
  <c r="BT137" i="51"/>
  <c r="CB136" i="51"/>
  <c r="CA136" i="51"/>
  <c r="BZ136" i="51"/>
  <c r="BY136" i="51"/>
  <c r="BX136" i="51"/>
  <c r="BW136" i="51"/>
  <c r="BV136" i="51"/>
  <c r="BU136" i="51"/>
  <c r="BT136" i="51"/>
  <c r="CB135" i="51"/>
  <c r="CA135" i="51"/>
  <c r="BZ135" i="51"/>
  <c r="BY135" i="51"/>
  <c r="BX135" i="51"/>
  <c r="BW135" i="51"/>
  <c r="BV135" i="51"/>
  <c r="BU135" i="51"/>
  <c r="BT135" i="51"/>
  <c r="CB134" i="51"/>
  <c r="CA134" i="51"/>
  <c r="BZ134" i="51"/>
  <c r="BY134" i="51"/>
  <c r="BX134" i="51"/>
  <c r="BW134" i="51"/>
  <c r="BV134" i="51"/>
  <c r="BU134" i="51"/>
  <c r="BT134" i="51"/>
  <c r="CB133" i="51"/>
  <c r="CA133" i="51"/>
  <c r="BZ133" i="51"/>
  <c r="BY133" i="51"/>
  <c r="BX133" i="51"/>
  <c r="BW133" i="51"/>
  <c r="BV133" i="51"/>
  <c r="BU133" i="51"/>
  <c r="BT133" i="51"/>
  <c r="CB132" i="51"/>
  <c r="CA132" i="51"/>
  <c r="BZ132" i="51"/>
  <c r="BY132" i="51"/>
  <c r="BX132" i="51"/>
  <c r="BW132" i="51"/>
  <c r="BV132" i="51"/>
  <c r="BU132" i="51"/>
  <c r="BT132" i="51"/>
  <c r="CB131" i="51"/>
  <c r="CA131" i="51"/>
  <c r="BZ131" i="51"/>
  <c r="BY131" i="51"/>
  <c r="BX131" i="51"/>
  <c r="BW131" i="51"/>
  <c r="BV131" i="51"/>
  <c r="BU131" i="51"/>
  <c r="BT131" i="51"/>
  <c r="CB130" i="51"/>
  <c r="CA130" i="51"/>
  <c r="BZ130" i="51"/>
  <c r="BY130" i="51"/>
  <c r="BX130" i="51"/>
  <c r="BW130" i="51"/>
  <c r="BV130" i="51"/>
  <c r="BU130" i="51"/>
  <c r="BT130" i="51"/>
  <c r="CB129" i="51"/>
  <c r="CA129" i="51"/>
  <c r="BZ129" i="51"/>
  <c r="BY129" i="51"/>
  <c r="BX129" i="51"/>
  <c r="BW129" i="51"/>
  <c r="BV129" i="51"/>
  <c r="BU129" i="51"/>
  <c r="BT129" i="51"/>
  <c r="CB128" i="51"/>
  <c r="CA128" i="51"/>
  <c r="BZ128" i="51"/>
  <c r="BY128" i="51"/>
  <c r="BX128" i="51"/>
  <c r="BW128" i="51"/>
  <c r="BV128" i="51"/>
  <c r="BU128" i="51"/>
  <c r="BT128" i="51"/>
  <c r="CB127" i="51"/>
  <c r="CA127" i="51"/>
  <c r="BZ127" i="51"/>
  <c r="BY127" i="51"/>
  <c r="BX127" i="51"/>
  <c r="BW127" i="51"/>
  <c r="BV127" i="51"/>
  <c r="BU127" i="51"/>
  <c r="BT127" i="51"/>
  <c r="CB126" i="51"/>
  <c r="CA126" i="51"/>
  <c r="BZ126" i="51"/>
  <c r="BY126" i="51"/>
  <c r="BX126" i="51"/>
  <c r="BW126" i="51"/>
  <c r="BV126" i="51"/>
  <c r="BU126" i="51"/>
  <c r="BT126" i="51"/>
  <c r="CB125" i="51"/>
  <c r="CA125" i="51"/>
  <c r="BZ125" i="51"/>
  <c r="BY125" i="51"/>
  <c r="BX125" i="51"/>
  <c r="BW125" i="51"/>
  <c r="BV125" i="51"/>
  <c r="BU125" i="51"/>
  <c r="BT125" i="51"/>
  <c r="CB124" i="51"/>
  <c r="CA124" i="51"/>
  <c r="BZ124" i="51"/>
  <c r="BY124" i="51"/>
  <c r="BX124" i="51"/>
  <c r="BW124" i="51"/>
  <c r="BV124" i="51"/>
  <c r="BU124" i="51"/>
  <c r="BT124" i="51"/>
  <c r="CB123" i="51"/>
  <c r="CA123" i="51"/>
  <c r="BZ123" i="51"/>
  <c r="BY123" i="51"/>
  <c r="BX123" i="51"/>
  <c r="BW123" i="51"/>
  <c r="BV123" i="51"/>
  <c r="BU123" i="51"/>
  <c r="BT123" i="51"/>
  <c r="CB122" i="51"/>
  <c r="CA122" i="51"/>
  <c r="BZ122" i="51"/>
  <c r="BY122" i="51"/>
  <c r="BX122" i="51"/>
  <c r="BW122" i="51"/>
  <c r="BV122" i="51"/>
  <c r="BU122" i="51"/>
  <c r="BT122" i="51"/>
  <c r="CB121" i="51"/>
  <c r="CA121" i="51"/>
  <c r="BZ121" i="51"/>
  <c r="BY121" i="51"/>
  <c r="BX121" i="51"/>
  <c r="BW121" i="51"/>
  <c r="BV121" i="51"/>
  <c r="BU121" i="51"/>
  <c r="BT121" i="51"/>
  <c r="CB120" i="51"/>
  <c r="CA120" i="51"/>
  <c r="BZ120" i="51"/>
  <c r="BY120" i="51"/>
  <c r="BX120" i="51"/>
  <c r="BW120" i="51"/>
  <c r="BV120" i="51"/>
  <c r="BU120" i="51"/>
  <c r="BT120" i="51"/>
  <c r="CB119" i="51"/>
  <c r="CA119" i="51"/>
  <c r="BZ119" i="51"/>
  <c r="BY119" i="51"/>
  <c r="BX119" i="51"/>
  <c r="BW119" i="51"/>
  <c r="BV119" i="51"/>
  <c r="BU119" i="51"/>
  <c r="BT119" i="51"/>
  <c r="CB118" i="51"/>
  <c r="CA118" i="51"/>
  <c r="BZ118" i="51"/>
  <c r="BY118" i="51"/>
  <c r="BX118" i="51"/>
  <c r="BW118" i="51"/>
  <c r="BV118" i="51"/>
  <c r="BU118" i="51"/>
  <c r="BT118" i="51"/>
  <c r="CB117" i="51"/>
  <c r="CA117" i="51"/>
  <c r="BZ117" i="51"/>
  <c r="BY117" i="51"/>
  <c r="BX117" i="51"/>
  <c r="BW117" i="51"/>
  <c r="BV117" i="51"/>
  <c r="BU117" i="51"/>
  <c r="BT117" i="51"/>
  <c r="CB116" i="51"/>
  <c r="CA116" i="51"/>
  <c r="BZ116" i="51"/>
  <c r="BY116" i="51"/>
  <c r="BX116" i="51"/>
  <c r="BW116" i="51"/>
  <c r="BV116" i="51"/>
  <c r="BU116" i="51"/>
  <c r="BT116" i="51"/>
  <c r="CB115" i="51"/>
  <c r="CA115" i="51"/>
  <c r="BZ115" i="51"/>
  <c r="BY115" i="51"/>
  <c r="BX115" i="51"/>
  <c r="BW115" i="51"/>
  <c r="BV115" i="51"/>
  <c r="BU115" i="51"/>
  <c r="BT115" i="51"/>
  <c r="CB114" i="51"/>
  <c r="CA114" i="51"/>
  <c r="BZ114" i="51"/>
  <c r="BY114" i="51"/>
  <c r="BX114" i="51"/>
  <c r="BW114" i="51"/>
  <c r="BV114" i="51"/>
  <c r="BU114" i="51"/>
  <c r="BT114" i="51"/>
  <c r="CB113" i="51"/>
  <c r="CA113" i="51"/>
  <c r="BZ113" i="51"/>
  <c r="BY113" i="51"/>
  <c r="BX113" i="51"/>
  <c r="BW113" i="51"/>
  <c r="BV113" i="51"/>
  <c r="BU113" i="51"/>
  <c r="BT113" i="51"/>
  <c r="CB112" i="51"/>
  <c r="CA112" i="51"/>
  <c r="BZ112" i="51"/>
  <c r="BY112" i="51"/>
  <c r="BX112" i="51"/>
  <c r="BW112" i="51"/>
  <c r="BV112" i="51"/>
  <c r="BU112" i="51"/>
  <c r="BT112" i="51"/>
  <c r="CB111" i="51"/>
  <c r="CA111" i="51"/>
  <c r="BZ111" i="51"/>
  <c r="BY111" i="51"/>
  <c r="BX111" i="51"/>
  <c r="BW111" i="51"/>
  <c r="BV111" i="51"/>
  <c r="BU111" i="51"/>
  <c r="BT111" i="51"/>
  <c r="CB110" i="51"/>
  <c r="CA110" i="51"/>
  <c r="BZ110" i="51"/>
  <c r="BY110" i="51"/>
  <c r="BX110" i="51"/>
  <c r="BW110" i="51"/>
  <c r="BV110" i="51"/>
  <c r="BU110" i="51"/>
  <c r="BT110" i="51"/>
  <c r="CB109" i="51"/>
  <c r="CA109" i="51"/>
  <c r="BZ109" i="51"/>
  <c r="BY109" i="51"/>
  <c r="BX109" i="51"/>
  <c r="BW109" i="51"/>
  <c r="BV109" i="51"/>
  <c r="BU109" i="51"/>
  <c r="BT109" i="51"/>
  <c r="CB108" i="51"/>
  <c r="CA108" i="51"/>
  <c r="BZ108" i="51"/>
  <c r="BY108" i="51"/>
  <c r="BX108" i="51"/>
  <c r="BW108" i="51"/>
  <c r="BV108" i="51"/>
  <c r="BU108" i="51"/>
  <c r="BT108" i="51"/>
  <c r="CB107" i="51"/>
  <c r="CA107" i="51"/>
  <c r="BZ107" i="51"/>
  <c r="BY107" i="51"/>
  <c r="BX107" i="51"/>
  <c r="BW107" i="51"/>
  <c r="BV107" i="51"/>
  <c r="BU107" i="51"/>
  <c r="BT107" i="51"/>
  <c r="CB106" i="51"/>
  <c r="CA106" i="51"/>
  <c r="BZ106" i="51"/>
  <c r="BY106" i="51"/>
  <c r="BX106" i="51"/>
  <c r="BW106" i="51"/>
  <c r="BV106" i="51"/>
  <c r="BU106" i="51"/>
  <c r="BT106" i="51"/>
  <c r="CB105" i="51"/>
  <c r="CA105" i="51"/>
  <c r="BZ105" i="51"/>
  <c r="BY105" i="51"/>
  <c r="BX105" i="51"/>
  <c r="BW105" i="51"/>
  <c r="BV105" i="51"/>
  <c r="BU105" i="51"/>
  <c r="BT105" i="51"/>
  <c r="CB104" i="51"/>
  <c r="CA104" i="51"/>
  <c r="BZ104" i="51"/>
  <c r="BY104" i="51"/>
  <c r="BX104" i="51"/>
  <c r="BW104" i="51"/>
  <c r="BV104" i="51"/>
  <c r="BU104" i="51"/>
  <c r="BT104" i="51"/>
  <c r="CB103" i="51"/>
  <c r="CA103" i="51"/>
  <c r="BZ103" i="51"/>
  <c r="BY103" i="51"/>
  <c r="BX103" i="51"/>
  <c r="BW103" i="51"/>
  <c r="BV103" i="51"/>
  <c r="BU103" i="51"/>
  <c r="BT103" i="51"/>
  <c r="CB102" i="51"/>
  <c r="CA102" i="51"/>
  <c r="BZ102" i="51"/>
  <c r="BY102" i="51"/>
  <c r="BX102" i="51"/>
  <c r="BW102" i="51"/>
  <c r="BV102" i="51"/>
  <c r="BU102" i="51"/>
  <c r="BT102" i="51"/>
  <c r="CB101" i="51"/>
  <c r="CA101" i="51"/>
  <c r="BZ101" i="51"/>
  <c r="BY101" i="51"/>
  <c r="BX101" i="51"/>
  <c r="BW101" i="51"/>
  <c r="BV101" i="51"/>
  <c r="BU101" i="51"/>
  <c r="BT101" i="51"/>
  <c r="CB100" i="51"/>
  <c r="CA100" i="51"/>
  <c r="BZ100" i="51"/>
  <c r="BY100" i="51"/>
  <c r="BX100" i="51"/>
  <c r="BW100" i="51"/>
  <c r="BV100" i="51"/>
  <c r="BU100" i="51"/>
  <c r="BT100" i="51"/>
  <c r="CB99" i="51"/>
  <c r="CA99" i="51"/>
  <c r="BZ99" i="51"/>
  <c r="BY99" i="51"/>
  <c r="BX99" i="51"/>
  <c r="BW99" i="51"/>
  <c r="BV99" i="51"/>
  <c r="BU99" i="51"/>
  <c r="BT99" i="51"/>
  <c r="CB98" i="51"/>
  <c r="CA98" i="51"/>
  <c r="BZ98" i="51"/>
  <c r="BY98" i="51"/>
  <c r="BX98" i="51"/>
  <c r="BW98" i="51"/>
  <c r="BV98" i="51"/>
  <c r="BU98" i="51"/>
  <c r="BT98" i="51"/>
  <c r="CB97" i="51"/>
  <c r="CA97" i="51"/>
  <c r="BZ97" i="51"/>
  <c r="BY97" i="51"/>
  <c r="BX97" i="51"/>
  <c r="BW97" i="51"/>
  <c r="BV97" i="51"/>
  <c r="BU97" i="51"/>
  <c r="BT97" i="51"/>
  <c r="CB96" i="51"/>
  <c r="CA96" i="51"/>
  <c r="BZ96" i="51"/>
  <c r="BY96" i="51"/>
  <c r="BX96" i="51"/>
  <c r="BW96" i="51"/>
  <c r="BV96" i="51"/>
  <c r="BU96" i="51"/>
  <c r="BT96" i="51"/>
  <c r="CB95" i="51"/>
  <c r="CA95" i="51"/>
  <c r="BZ95" i="51"/>
  <c r="BY95" i="51"/>
  <c r="BX95" i="51"/>
  <c r="BW95" i="51"/>
  <c r="BV95" i="51"/>
  <c r="BU95" i="51"/>
  <c r="BT95" i="51"/>
  <c r="CB94" i="51"/>
  <c r="CA94" i="51"/>
  <c r="BZ94" i="51"/>
  <c r="BY94" i="51"/>
  <c r="BX94" i="51"/>
  <c r="BW94" i="51"/>
  <c r="BV94" i="51"/>
  <c r="BU94" i="51"/>
  <c r="BT94" i="51"/>
  <c r="CB93" i="51"/>
  <c r="CA93" i="51"/>
  <c r="BZ93" i="51"/>
  <c r="BY93" i="51"/>
  <c r="BX93" i="51"/>
  <c r="BW93" i="51"/>
  <c r="BV93" i="51"/>
  <c r="BU93" i="51"/>
  <c r="BT93" i="51"/>
  <c r="CB92" i="51"/>
  <c r="CA92" i="51"/>
  <c r="BZ92" i="51"/>
  <c r="BY92" i="51"/>
  <c r="BX92" i="51"/>
  <c r="BW92" i="51"/>
  <c r="BV92" i="51"/>
  <c r="BU92" i="51"/>
  <c r="BT92" i="51"/>
  <c r="CB91" i="51"/>
  <c r="CA91" i="51"/>
  <c r="BZ91" i="51"/>
  <c r="BY91" i="51"/>
  <c r="BX91" i="51"/>
  <c r="BW91" i="51"/>
  <c r="BV91" i="51"/>
  <c r="BU91" i="51"/>
  <c r="BT91" i="51"/>
  <c r="CB90" i="51"/>
  <c r="CA90" i="51"/>
  <c r="BZ90" i="51"/>
  <c r="BY90" i="51"/>
  <c r="BX90" i="51"/>
  <c r="BW90" i="51"/>
  <c r="BV90" i="51"/>
  <c r="BU90" i="51"/>
  <c r="BT90" i="51"/>
  <c r="CB89" i="51"/>
  <c r="CA89" i="51"/>
  <c r="BZ89" i="51"/>
  <c r="BY89" i="51"/>
  <c r="BX89" i="51"/>
  <c r="BW89" i="51"/>
  <c r="BV89" i="51"/>
  <c r="BU89" i="51"/>
  <c r="BT89" i="51"/>
  <c r="CB88" i="51"/>
  <c r="CA88" i="51"/>
  <c r="BZ88" i="51"/>
  <c r="BY88" i="51"/>
  <c r="BX88" i="51"/>
  <c r="BW88" i="51"/>
  <c r="BV88" i="51"/>
  <c r="BU88" i="51"/>
  <c r="BT88" i="51"/>
  <c r="CB87" i="51"/>
  <c r="CA87" i="51"/>
  <c r="BZ87" i="51"/>
  <c r="BY87" i="51"/>
  <c r="BX87" i="51"/>
  <c r="BW87" i="51"/>
  <c r="BV87" i="51"/>
  <c r="BU87" i="51"/>
  <c r="BT87" i="51"/>
  <c r="CB86" i="51"/>
  <c r="CA86" i="51"/>
  <c r="BZ86" i="51"/>
  <c r="BY86" i="51"/>
  <c r="BX86" i="51"/>
  <c r="BW86" i="51"/>
  <c r="BV86" i="51"/>
  <c r="BU86" i="51"/>
  <c r="BT86" i="51"/>
  <c r="CB85" i="51"/>
  <c r="CA85" i="51"/>
  <c r="BZ85" i="51"/>
  <c r="BY85" i="51"/>
  <c r="BX85" i="51"/>
  <c r="BW85" i="51"/>
  <c r="BV85" i="51"/>
  <c r="BU85" i="51"/>
  <c r="BT85" i="51"/>
  <c r="CB84" i="51"/>
  <c r="CA84" i="51"/>
  <c r="BZ84" i="51"/>
  <c r="BY84" i="51"/>
  <c r="BX84" i="51"/>
  <c r="BW84" i="51"/>
  <c r="BV84" i="51"/>
  <c r="BU84" i="51"/>
  <c r="BT84" i="51"/>
  <c r="CB83" i="51"/>
  <c r="CA83" i="51"/>
  <c r="BZ83" i="51"/>
  <c r="BY83" i="51"/>
  <c r="BX83" i="51"/>
  <c r="BW83" i="51"/>
  <c r="BV83" i="51"/>
  <c r="BU83" i="51"/>
  <c r="BT83" i="51"/>
  <c r="CB82" i="51"/>
  <c r="CA82" i="51"/>
  <c r="BZ82" i="51"/>
  <c r="BY82" i="51"/>
  <c r="BX82" i="51"/>
  <c r="BW82" i="51"/>
  <c r="BV82" i="51"/>
  <c r="BU82" i="51"/>
  <c r="BT82" i="51"/>
  <c r="CB81" i="51"/>
  <c r="CA81" i="51"/>
  <c r="BZ81" i="51"/>
  <c r="BY81" i="51"/>
  <c r="BX81" i="51"/>
  <c r="BW81" i="51"/>
  <c r="BV81" i="51"/>
  <c r="BU81" i="51"/>
  <c r="BT81" i="51"/>
  <c r="CB80" i="51"/>
  <c r="CA80" i="51"/>
  <c r="BZ80" i="51"/>
  <c r="BY80" i="51"/>
  <c r="BX80" i="51"/>
  <c r="BW80" i="51"/>
  <c r="BV80" i="51"/>
  <c r="BU80" i="51"/>
  <c r="BT80" i="51"/>
  <c r="CB1" i="51"/>
  <c r="CA1" i="51"/>
  <c r="BZ1" i="51"/>
  <c r="BY1" i="51"/>
  <c r="BX1" i="51"/>
  <c r="BW1" i="51"/>
  <c r="BV1" i="51"/>
  <c r="BU1" i="51"/>
  <c r="BT1" i="51"/>
  <c r="BR1" i="51"/>
  <c r="BQ1" i="51"/>
  <c r="BP1" i="51"/>
  <c r="BO1" i="51"/>
  <c r="BN1" i="51"/>
  <c r="BM1" i="51"/>
  <c r="BL1" i="51"/>
  <c r="BK1" i="51"/>
  <c r="BJ1" i="51"/>
  <c r="CL158" i="51" l="1"/>
  <c r="CI157" i="51"/>
  <c r="CF156" i="51"/>
  <c r="CL154" i="51"/>
  <c r="CI153" i="51"/>
  <c r="CF152" i="51"/>
  <c r="CH150" i="51"/>
  <c r="CW168" i="51"/>
  <c r="CW163" i="51"/>
  <c r="CW170" i="51"/>
  <c r="CW164" i="51"/>
  <c r="CW165" i="51"/>
  <c r="CW166" i="51"/>
  <c r="CW171" i="51"/>
  <c r="CW169" i="51"/>
  <c r="CW172" i="51"/>
  <c r="CW167" i="51"/>
  <c r="CW173" i="51"/>
  <c r="CW160" i="51"/>
  <c r="CW158" i="51"/>
  <c r="CW153" i="51"/>
  <c r="CW150" i="51"/>
  <c r="CW162" i="51"/>
  <c r="CW159" i="51"/>
  <c r="CW161" i="51"/>
  <c r="CW155" i="51"/>
  <c r="CW152" i="51"/>
  <c r="CW154" i="51"/>
  <c r="CW157" i="51"/>
  <c r="CW151" i="51"/>
  <c r="CW156" i="51"/>
  <c r="CW149" i="51"/>
  <c r="E18" i="14"/>
  <c r="CW148" i="51"/>
  <c r="CW137" i="51"/>
  <c r="CW125" i="51"/>
  <c r="CW113" i="51"/>
  <c r="CW101" i="51"/>
  <c r="CW89" i="51"/>
  <c r="CW77" i="51"/>
  <c r="CW65" i="51"/>
  <c r="CW53" i="51"/>
  <c r="CW45" i="51"/>
  <c r="CW37" i="51"/>
  <c r="CW29" i="51"/>
  <c r="CW21" i="51"/>
  <c r="CW13" i="51"/>
  <c r="AR6" i="51"/>
  <c r="AV6" i="51"/>
  <c r="CL161" i="51"/>
  <c r="CH161" i="51"/>
  <c r="CD161" i="51"/>
  <c r="CI160" i="51"/>
  <c r="CE160" i="51"/>
  <c r="CJ159" i="51"/>
  <c r="CF159" i="51"/>
  <c r="CK158" i="51"/>
  <c r="CG158" i="51"/>
  <c r="CL157" i="51"/>
  <c r="CH157" i="51"/>
  <c r="CD157" i="51"/>
  <c r="CI156" i="51"/>
  <c r="CE156" i="51"/>
  <c r="CJ155" i="51"/>
  <c r="CF155" i="51"/>
  <c r="CK154" i="51"/>
  <c r="CG154" i="51"/>
  <c r="CL153" i="51"/>
  <c r="CH153" i="51"/>
  <c r="CD153" i="51"/>
  <c r="CI152" i="51"/>
  <c r="CE152" i="51"/>
  <c r="CJ151" i="51"/>
  <c r="CF151" i="51"/>
  <c r="CK150" i="51"/>
  <c r="CG150" i="51"/>
  <c r="CW7" i="51"/>
  <c r="CC144" i="51"/>
  <c r="CW144" i="51"/>
  <c r="CW140" i="51"/>
  <c r="CC136" i="51"/>
  <c r="CW136" i="51"/>
  <c r="CW132" i="51"/>
  <c r="CC128" i="51"/>
  <c r="CW128" i="51"/>
  <c r="CW124" i="51"/>
  <c r="CC120" i="51"/>
  <c r="CW120" i="51"/>
  <c r="CW116" i="51"/>
  <c r="CC112" i="51"/>
  <c r="CW112" i="51"/>
  <c r="CW108" i="51"/>
  <c r="CC104" i="51"/>
  <c r="CW104" i="51"/>
  <c r="CW100" i="51"/>
  <c r="CC96" i="51"/>
  <c r="CW96" i="51"/>
  <c r="CW92" i="51"/>
  <c r="CC88" i="51"/>
  <c r="CW88" i="51"/>
  <c r="CW84" i="51"/>
  <c r="CW80" i="51"/>
  <c r="CW76" i="51"/>
  <c r="CW72" i="51"/>
  <c r="CW68" i="51"/>
  <c r="CW64" i="51"/>
  <c r="CW60" i="51"/>
  <c r="CW56" i="51"/>
  <c r="CW52" i="51"/>
  <c r="CW48" i="51"/>
  <c r="CW44" i="51"/>
  <c r="CW40" i="51"/>
  <c r="CW36" i="51"/>
  <c r="CW32" i="51"/>
  <c r="CW28" i="51"/>
  <c r="CW24" i="51"/>
  <c r="CW20" i="51"/>
  <c r="CW16" i="51"/>
  <c r="CW12" i="51"/>
  <c r="CW8" i="51"/>
  <c r="DG158" i="51"/>
  <c r="DG162" i="51"/>
  <c r="DG166" i="51"/>
  <c r="DG159" i="51"/>
  <c r="DG172" i="51"/>
  <c r="DG169" i="51"/>
  <c r="DG160" i="51"/>
  <c r="DG168" i="51"/>
  <c r="DG161" i="51"/>
  <c r="DG173" i="51"/>
  <c r="DG171" i="51"/>
  <c r="DG164" i="51"/>
  <c r="DG163" i="51"/>
  <c r="DG170" i="51"/>
  <c r="DG165" i="51"/>
  <c r="DG167" i="51"/>
  <c r="DG150" i="51"/>
  <c r="DG155" i="51"/>
  <c r="DG153" i="51"/>
  <c r="DG157" i="51"/>
  <c r="DG151" i="51"/>
  <c r="DG154" i="51"/>
  <c r="DG152" i="51"/>
  <c r="DG156" i="51"/>
  <c r="DG10" i="51"/>
  <c r="DG14" i="51"/>
  <c r="DG18" i="51"/>
  <c r="DG22" i="51"/>
  <c r="DG26" i="51"/>
  <c r="DG30" i="51"/>
  <c r="DG34" i="51"/>
  <c r="DG38" i="51"/>
  <c r="DG42" i="51"/>
  <c r="DG46" i="51"/>
  <c r="DG50" i="51"/>
  <c r="DG54" i="51"/>
  <c r="DG58" i="51"/>
  <c r="DG62" i="51"/>
  <c r="DG66" i="51"/>
  <c r="DG70" i="51"/>
  <c r="DG74" i="51"/>
  <c r="DG78" i="51"/>
  <c r="CD158" i="51"/>
  <c r="CJ156" i="51"/>
  <c r="CG155" i="51"/>
  <c r="CD154" i="51"/>
  <c r="CJ152" i="51"/>
  <c r="CG151" i="51"/>
  <c r="CD150" i="51"/>
  <c r="CW141" i="51"/>
  <c r="CW129" i="51"/>
  <c r="CW117" i="51"/>
  <c r="CW105" i="51"/>
  <c r="CW93" i="51"/>
  <c r="CW81" i="51"/>
  <c r="CW73" i="51"/>
  <c r="CW61" i="51"/>
  <c r="CW57" i="51"/>
  <c r="CW49" i="51"/>
  <c r="CW41" i="51"/>
  <c r="CW33" i="51"/>
  <c r="CW25" i="51"/>
  <c r="CW17" i="51"/>
  <c r="CW9" i="51"/>
  <c r="AS6" i="51"/>
  <c r="AW6" i="51"/>
  <c r="CK161" i="51"/>
  <c r="CG161" i="51"/>
  <c r="CL160" i="51"/>
  <c r="CH160" i="51"/>
  <c r="CD160" i="51"/>
  <c r="CI159" i="51"/>
  <c r="CE159" i="51"/>
  <c r="CJ158" i="51"/>
  <c r="CF158" i="51"/>
  <c r="CK157" i="51"/>
  <c r="CG157" i="51"/>
  <c r="CL156" i="51"/>
  <c r="CH156" i="51"/>
  <c r="CD156" i="51"/>
  <c r="CI155" i="51"/>
  <c r="CE155" i="51"/>
  <c r="CJ154" i="51"/>
  <c r="CF154" i="51"/>
  <c r="CK153" i="51"/>
  <c r="CG153" i="51"/>
  <c r="CL152" i="51"/>
  <c r="CH152" i="51"/>
  <c r="CD152" i="51"/>
  <c r="CI151" i="51"/>
  <c r="CE151" i="51"/>
  <c r="CJ150" i="51"/>
  <c r="CF150" i="51"/>
  <c r="CW147" i="51"/>
  <c r="CW143" i="51"/>
  <c r="CW139" i="51"/>
  <c r="CW135" i="51"/>
  <c r="CW131" i="51"/>
  <c r="CW127" i="51"/>
  <c r="CW123" i="51"/>
  <c r="CW119" i="51"/>
  <c r="CW115" i="51"/>
  <c r="CW111" i="51"/>
  <c r="CW107" i="51"/>
  <c r="CW103" i="51"/>
  <c r="CW99" i="51"/>
  <c r="CW95" i="51"/>
  <c r="CW91" i="51"/>
  <c r="CW87" i="51"/>
  <c r="CW83" i="51"/>
  <c r="CW79" i="51"/>
  <c r="CW75" i="51"/>
  <c r="CW71" i="51"/>
  <c r="CW67" i="51"/>
  <c r="CW63" i="51"/>
  <c r="CW59" i="51"/>
  <c r="CW55" i="51"/>
  <c r="CW51" i="51"/>
  <c r="CW47" i="51"/>
  <c r="CW43" i="51"/>
  <c r="CW39" i="51"/>
  <c r="CW35" i="51"/>
  <c r="CW31" i="51"/>
  <c r="CW27" i="51"/>
  <c r="CW23" i="51"/>
  <c r="CW19" i="51"/>
  <c r="CW15" i="51"/>
  <c r="CW11" i="51"/>
  <c r="DG7" i="51"/>
  <c r="DG11" i="51"/>
  <c r="DG15" i="51"/>
  <c r="DG19" i="51"/>
  <c r="DG23" i="51"/>
  <c r="DG27" i="51"/>
  <c r="DG31" i="51"/>
  <c r="DG35" i="51"/>
  <c r="DG39" i="51"/>
  <c r="DG43" i="51"/>
  <c r="DG47" i="51"/>
  <c r="DG51" i="51"/>
  <c r="DG55" i="51"/>
  <c r="DG59" i="51"/>
  <c r="DG63" i="51"/>
  <c r="DG67" i="51"/>
  <c r="DG71" i="51"/>
  <c r="DG75" i="51"/>
  <c r="DG79" i="51"/>
  <c r="CH158" i="51"/>
  <c r="CE157" i="51"/>
  <c r="CK155" i="51"/>
  <c r="CH154" i="51"/>
  <c r="CE153" i="51"/>
  <c r="CK151" i="51"/>
  <c r="CL150" i="51"/>
  <c r="CW145" i="51"/>
  <c r="CW133" i="51"/>
  <c r="CW121" i="51"/>
  <c r="CW109" i="51"/>
  <c r="CW97" i="51"/>
  <c r="CW85" i="51"/>
  <c r="CW69" i="51"/>
  <c r="AP6" i="51"/>
  <c r="AT6" i="51"/>
  <c r="AX6" i="51"/>
  <c r="CJ161" i="51"/>
  <c r="CF161" i="51"/>
  <c r="CK160" i="51"/>
  <c r="CG160" i="51"/>
  <c r="CL159" i="51"/>
  <c r="CH159" i="51"/>
  <c r="CD159" i="51"/>
  <c r="CI158" i="51"/>
  <c r="CE158" i="51"/>
  <c r="CJ157" i="51"/>
  <c r="CF157" i="51"/>
  <c r="CK156" i="51"/>
  <c r="CG156" i="51"/>
  <c r="CL155" i="51"/>
  <c r="CH155" i="51"/>
  <c r="CD155" i="51"/>
  <c r="CI154" i="51"/>
  <c r="CE154" i="51"/>
  <c r="CJ153" i="51"/>
  <c r="CF153" i="51"/>
  <c r="CK152" i="51"/>
  <c r="CG152" i="51"/>
  <c r="CL151" i="51"/>
  <c r="CH151" i="51"/>
  <c r="CD151" i="51"/>
  <c r="CI150" i="51"/>
  <c r="CE150" i="51"/>
  <c r="CW146" i="51"/>
  <c r="CW142" i="51"/>
  <c r="CW138" i="51"/>
  <c r="CW134" i="51"/>
  <c r="CW130" i="51"/>
  <c r="CW126" i="51"/>
  <c r="CW122" i="51"/>
  <c r="CW118" i="51"/>
  <c r="CW114" i="51"/>
  <c r="CW110" i="51"/>
  <c r="CW106" i="51"/>
  <c r="CW102" i="51"/>
  <c r="CW98" i="51"/>
  <c r="CW94" i="51"/>
  <c r="CW90" i="51"/>
  <c r="CW86" i="51"/>
  <c r="CW82" i="51"/>
  <c r="CW78" i="51"/>
  <c r="CW74" i="51"/>
  <c r="CW70" i="51"/>
  <c r="CW66" i="51"/>
  <c r="CW62" i="51"/>
  <c r="CW58" i="51"/>
  <c r="CW54" i="51"/>
  <c r="CW50" i="51"/>
  <c r="CW46" i="51"/>
  <c r="CW42" i="51"/>
  <c r="CW38" i="51"/>
  <c r="CW34" i="51"/>
  <c r="CW30" i="51"/>
  <c r="CW26" i="51"/>
  <c r="CW22" i="51"/>
  <c r="CW18" i="51"/>
  <c r="CW14" i="51"/>
  <c r="CW10" i="51"/>
  <c r="DG8" i="51"/>
  <c r="DG12" i="51"/>
  <c r="DG16" i="51"/>
  <c r="DG20" i="51"/>
  <c r="DG24" i="51"/>
  <c r="DG28" i="51"/>
  <c r="DG32" i="51"/>
  <c r="DG36" i="51"/>
  <c r="DG40" i="51"/>
  <c r="DG44" i="51"/>
  <c r="DG48" i="51"/>
  <c r="DG52" i="51"/>
  <c r="DG56" i="51"/>
  <c r="DG60" i="51"/>
  <c r="DG64" i="51"/>
  <c r="DG68" i="51"/>
  <c r="DG72" i="51"/>
  <c r="DG76" i="51"/>
  <c r="AX18" i="14"/>
  <c r="BG18" i="14"/>
  <c r="BP18" i="14"/>
  <c r="BY18" i="14"/>
  <c r="N18" i="14"/>
  <c r="CH18" i="14"/>
  <c r="W18" i="14"/>
  <c r="AF18" i="14"/>
  <c r="AO18" i="14"/>
  <c r="A139" i="14"/>
  <c r="P140" i="49"/>
  <c r="O140" i="49"/>
  <c r="N140" i="49"/>
  <c r="S128" i="49"/>
  <c r="S140" i="49"/>
  <c r="R140" i="49"/>
  <c r="R128" i="49"/>
  <c r="Q140" i="49"/>
  <c r="K31" i="8"/>
  <c r="J6" i="56"/>
  <c r="N9" i="56"/>
  <c r="M9" i="56"/>
  <c r="J7" i="56"/>
  <c r="K32" i="8"/>
  <c r="N7" i="56"/>
  <c r="M7" i="56"/>
  <c r="N6" i="56"/>
  <c r="M6" i="56"/>
  <c r="M35" i="8"/>
  <c r="M27" i="8"/>
  <c r="M29" i="8"/>
  <c r="M33" i="8"/>
  <c r="M30" i="8"/>
  <c r="M28" i="8"/>
  <c r="M31" i="8"/>
  <c r="M32" i="8"/>
  <c r="M34" i="8"/>
  <c r="F2" i="10"/>
  <c r="S21" i="49"/>
  <c r="T83" i="49" s="1"/>
  <c r="CC12" i="51"/>
  <c r="CC20" i="51"/>
  <c r="CC28" i="51"/>
  <c r="CC36" i="51"/>
  <c r="CC44" i="51"/>
  <c r="CC52" i="51"/>
  <c r="CC60" i="51"/>
  <c r="CC68" i="51"/>
  <c r="CC76" i="51"/>
  <c r="CC11" i="51"/>
  <c r="CC19" i="51"/>
  <c r="CC27" i="51"/>
  <c r="CC35" i="51"/>
  <c r="CC43" i="51"/>
  <c r="CC51" i="51"/>
  <c r="CC59" i="51"/>
  <c r="CC67" i="51"/>
  <c r="CC75" i="51"/>
  <c r="CC13" i="51"/>
  <c r="CC21" i="51"/>
  <c r="CC29" i="51"/>
  <c r="CC37" i="51"/>
  <c r="CC45" i="51"/>
  <c r="CC53" i="51"/>
  <c r="CC61" i="51"/>
  <c r="CC69" i="51"/>
  <c r="CC77" i="51"/>
  <c r="CC14" i="51"/>
  <c r="CC22" i="51"/>
  <c r="CC30" i="51"/>
  <c r="CC38" i="51"/>
  <c r="CC46" i="51"/>
  <c r="CC54" i="51"/>
  <c r="CC62" i="51"/>
  <c r="CC70" i="51"/>
  <c r="CC78" i="51"/>
  <c r="CC15" i="51"/>
  <c r="CC23" i="51"/>
  <c r="CC31" i="51"/>
  <c r="CC39" i="51"/>
  <c r="CC47" i="51"/>
  <c r="CC55" i="51"/>
  <c r="CC63" i="51"/>
  <c r="CC71" i="51"/>
  <c r="CC79" i="51"/>
  <c r="CC87" i="51"/>
  <c r="CC95" i="51"/>
  <c r="CC103" i="51"/>
  <c r="CC111" i="51"/>
  <c r="CC119" i="51"/>
  <c r="CC127" i="51"/>
  <c r="CC135" i="51"/>
  <c r="CC143" i="51"/>
  <c r="CC8" i="51"/>
  <c r="CC16" i="51"/>
  <c r="CC24" i="51"/>
  <c r="CC32" i="51"/>
  <c r="CC40" i="51"/>
  <c r="CC48" i="51"/>
  <c r="CC56" i="51"/>
  <c r="CC64" i="51"/>
  <c r="CC72" i="51"/>
  <c r="CC80" i="51"/>
  <c r="CC9" i="51"/>
  <c r="CC17" i="51"/>
  <c r="CC25" i="51"/>
  <c r="CC33" i="51"/>
  <c r="CC41" i="51"/>
  <c r="CC49" i="51"/>
  <c r="CC57" i="51"/>
  <c r="CC65" i="51"/>
  <c r="CC73" i="51"/>
  <c r="CC10" i="51"/>
  <c r="CC18" i="51"/>
  <c r="CC26" i="51"/>
  <c r="CC34" i="51"/>
  <c r="CC42" i="51"/>
  <c r="CC50" i="51"/>
  <c r="CC58" i="51"/>
  <c r="CC66" i="51"/>
  <c r="CC74" i="51"/>
  <c r="CC81" i="51"/>
  <c r="CC89" i="51"/>
  <c r="CC97" i="51"/>
  <c r="CC105" i="51"/>
  <c r="CC113" i="51"/>
  <c r="CC121" i="51"/>
  <c r="CC129" i="51"/>
  <c r="CC137" i="51"/>
  <c r="CC145" i="51"/>
  <c r="CC98" i="51"/>
  <c r="CC138" i="51"/>
  <c r="CC83" i="51"/>
  <c r="CC91" i="51"/>
  <c r="CC99" i="51"/>
  <c r="CC107" i="51"/>
  <c r="CC115" i="51"/>
  <c r="CC123" i="51"/>
  <c r="CC131" i="51"/>
  <c r="CC139" i="51"/>
  <c r="CC147" i="51"/>
  <c r="CC90" i="51"/>
  <c r="CC114" i="51"/>
  <c r="CC146" i="51"/>
  <c r="CC84" i="51"/>
  <c r="CC92" i="51"/>
  <c r="CC100" i="51"/>
  <c r="CC108" i="51"/>
  <c r="CC116" i="51"/>
  <c r="CC124" i="51"/>
  <c r="CC132" i="51"/>
  <c r="CC140" i="51"/>
  <c r="CC148" i="51"/>
  <c r="CC122" i="51"/>
  <c r="CC85" i="51"/>
  <c r="CC93" i="51"/>
  <c r="CC101" i="51"/>
  <c r="CC109" i="51"/>
  <c r="CC117" i="51"/>
  <c r="CC125" i="51"/>
  <c r="CC133" i="51"/>
  <c r="CC141" i="51"/>
  <c r="CC149" i="51"/>
  <c r="CC82" i="51"/>
  <c r="CC106" i="51"/>
  <c r="CC130" i="51"/>
  <c r="CC86" i="51"/>
  <c r="CC94" i="51"/>
  <c r="CC102" i="51"/>
  <c r="CC110" i="51"/>
  <c r="CC118" i="51"/>
  <c r="CC126" i="51"/>
  <c r="CC134" i="51"/>
  <c r="CC142" i="51"/>
  <c r="AY12" i="51"/>
  <c r="AY28" i="51"/>
  <c r="AY36" i="51"/>
  <c r="AY44" i="51"/>
  <c r="AY52" i="51"/>
  <c r="AY60" i="51"/>
  <c r="AY68" i="51"/>
  <c r="AY77" i="51"/>
  <c r="AY146" i="51"/>
  <c r="AY130" i="51"/>
  <c r="AY114" i="51"/>
  <c r="AY106" i="51"/>
  <c r="AY90" i="51"/>
  <c r="AY82" i="51"/>
  <c r="AY14" i="51"/>
  <c r="AY22" i="51"/>
  <c r="AY30" i="51"/>
  <c r="AY38" i="51"/>
  <c r="AY46" i="51"/>
  <c r="AY54" i="51"/>
  <c r="AY62" i="51"/>
  <c r="AY70" i="51"/>
  <c r="AY20" i="51"/>
  <c r="AY45" i="51"/>
  <c r="AY61" i="51"/>
  <c r="AY15" i="51"/>
  <c r="AY23" i="51"/>
  <c r="AY31" i="51"/>
  <c r="AY39" i="51"/>
  <c r="AY47" i="51"/>
  <c r="AY55" i="51"/>
  <c r="AY63" i="51"/>
  <c r="AY71" i="51"/>
  <c r="AY79" i="51"/>
  <c r="AY143" i="51"/>
  <c r="AY135" i="51"/>
  <c r="AY127" i="51"/>
  <c r="AY119" i="51"/>
  <c r="AY111" i="51"/>
  <c r="AY103" i="51"/>
  <c r="AY95" i="51"/>
  <c r="AY87" i="51"/>
  <c r="AY8" i="51"/>
  <c r="AY6" i="51" s="1"/>
  <c r="AY16" i="51"/>
  <c r="AY24" i="51"/>
  <c r="AY32" i="51"/>
  <c r="AY40" i="51"/>
  <c r="AY48" i="51"/>
  <c r="AY56" i="51"/>
  <c r="AY64" i="51"/>
  <c r="AY72" i="51"/>
  <c r="AY74" i="51"/>
  <c r="AY144" i="51"/>
  <c r="AY142" i="51"/>
  <c r="AY136" i="51"/>
  <c r="AY134" i="51"/>
  <c r="AY128" i="51"/>
  <c r="AY126" i="51"/>
  <c r="AY120" i="51"/>
  <c r="AY118" i="51"/>
  <c r="AY112" i="51"/>
  <c r="AY110" i="51"/>
  <c r="AY104" i="51"/>
  <c r="AY102" i="51"/>
  <c r="AY96" i="51"/>
  <c r="AY94" i="51"/>
  <c r="AY88" i="51"/>
  <c r="AY86" i="51"/>
  <c r="AY80" i="51"/>
  <c r="AY138" i="51"/>
  <c r="AY29" i="51"/>
  <c r="AY37" i="51"/>
  <c r="AY53" i="51"/>
  <c r="AY69" i="51"/>
  <c r="AY9" i="51"/>
  <c r="AY17" i="51"/>
  <c r="AY25" i="51"/>
  <c r="AY33" i="51"/>
  <c r="AY41" i="51"/>
  <c r="AY49" i="51"/>
  <c r="AY57" i="51"/>
  <c r="AY65" i="51"/>
  <c r="AY73" i="51"/>
  <c r="AY149" i="51"/>
  <c r="CM162" i="51" s="1"/>
  <c r="AY145" i="51"/>
  <c r="AY141" i="51"/>
  <c r="AY137" i="51"/>
  <c r="AY133" i="51"/>
  <c r="AY129" i="51"/>
  <c r="AY125" i="51"/>
  <c r="AY121" i="51"/>
  <c r="AY117" i="51"/>
  <c r="AY113" i="51"/>
  <c r="AY109" i="51"/>
  <c r="AY105" i="51"/>
  <c r="AY101" i="51"/>
  <c r="AY97" i="51"/>
  <c r="AY93" i="51"/>
  <c r="AY89" i="51"/>
  <c r="AY85" i="51"/>
  <c r="AY81" i="51"/>
  <c r="AY122" i="51"/>
  <c r="AY98" i="51"/>
  <c r="AY21" i="51"/>
  <c r="AY78" i="51"/>
  <c r="AY10" i="51"/>
  <c r="AY18" i="51"/>
  <c r="AY26" i="51"/>
  <c r="AY34" i="51"/>
  <c r="AY42" i="51"/>
  <c r="AY50" i="51"/>
  <c r="AY58" i="51"/>
  <c r="AY66" i="51"/>
  <c r="AY75" i="51"/>
  <c r="AY148" i="51"/>
  <c r="CM161" i="51" s="1"/>
  <c r="AY140" i="51"/>
  <c r="AY132" i="51"/>
  <c r="AY124" i="51"/>
  <c r="AY116" i="51"/>
  <c r="AY108" i="51"/>
  <c r="AY100" i="51"/>
  <c r="AY92" i="51"/>
  <c r="AY84" i="51"/>
  <c r="AY13" i="51"/>
  <c r="AY11" i="51"/>
  <c r="AY19" i="51"/>
  <c r="AY27" i="51"/>
  <c r="AY35" i="51"/>
  <c r="AY43" i="51"/>
  <c r="AY51" i="51"/>
  <c r="AY59" i="51"/>
  <c r="AY67" i="51"/>
  <c r="AY76" i="51"/>
  <c r="AY147" i="51"/>
  <c r="AY139" i="51"/>
  <c r="CM152" i="51" s="1"/>
  <c r="AY131" i="51"/>
  <c r="AY123" i="51"/>
  <c r="AY115" i="51"/>
  <c r="AY107" i="51"/>
  <c r="AY99" i="51"/>
  <c r="AY91" i="51"/>
  <c r="AY83" i="51"/>
  <c r="CG20" i="51"/>
  <c r="CD136" i="51"/>
  <c r="CI123" i="51"/>
  <c r="CE103" i="51"/>
  <c r="CE32" i="51"/>
  <c r="CG30" i="51"/>
  <c r="CD33" i="51"/>
  <c r="CL91" i="51"/>
  <c r="CF117" i="51"/>
  <c r="CF90" i="51"/>
  <c r="CH29" i="51"/>
  <c r="CJ35" i="51"/>
  <c r="CD91" i="51"/>
  <c r="CL121" i="51"/>
  <c r="CF102" i="51"/>
  <c r="CF31" i="51"/>
  <c r="CK34" i="51"/>
  <c r="CJ92" i="51"/>
  <c r="CH116" i="51"/>
  <c r="CL33" i="51"/>
  <c r="CI36" i="51"/>
  <c r="CH37" i="51"/>
  <c r="CG38" i="51"/>
  <c r="CF39" i="51"/>
  <c r="CE40" i="51"/>
  <c r="CD41" i="51"/>
  <c r="CL41" i="51"/>
  <c r="CK42" i="51"/>
  <c r="CJ43" i="51"/>
  <c r="CI44" i="51"/>
  <c r="CH45" i="51"/>
  <c r="CG46" i="51"/>
  <c r="CF47" i="51"/>
  <c r="CE48" i="51"/>
  <c r="CD49" i="51"/>
  <c r="CL49" i="51"/>
  <c r="CK50" i="51"/>
  <c r="CF141" i="51"/>
  <c r="CG140" i="51"/>
  <c r="CK104" i="51"/>
  <c r="CL97" i="51"/>
  <c r="CD84" i="51"/>
  <c r="CL84" i="51"/>
  <c r="CJ86" i="51"/>
  <c r="CJ87" i="51"/>
  <c r="CH89" i="51"/>
  <c r="CD121" i="51"/>
  <c r="CJ107" i="51"/>
  <c r="CD22" i="51"/>
  <c r="CL22" i="51"/>
  <c r="CK23" i="51"/>
  <c r="CJ24" i="51"/>
  <c r="CI25" i="51"/>
  <c r="CH26" i="51"/>
  <c r="CG27" i="51"/>
  <c r="CF28" i="51"/>
  <c r="CE29" i="51"/>
  <c r="CD30" i="51"/>
  <c r="CL30" i="51"/>
  <c r="CK31" i="51"/>
  <c r="CJ32" i="51"/>
  <c r="CI33" i="51"/>
  <c r="CD38" i="51"/>
  <c r="CH66" i="51"/>
  <c r="CF91" i="51"/>
  <c r="CD92" i="51"/>
  <c r="CL92" i="51"/>
  <c r="CI149" i="51"/>
  <c r="CJ147" i="51"/>
  <c r="CK145" i="51"/>
  <c r="CF135" i="51"/>
  <c r="CH133" i="51"/>
  <c r="CL128" i="51"/>
  <c r="CD129" i="51"/>
  <c r="CJ149" i="51"/>
  <c r="CG149" i="51"/>
  <c r="CH148" i="51"/>
  <c r="CJ148" i="51"/>
  <c r="CL144" i="51"/>
  <c r="CF143" i="51"/>
  <c r="CI138" i="51"/>
  <c r="CJ138" i="51"/>
  <c r="CK137" i="51"/>
  <c r="CI131" i="51"/>
  <c r="CE126" i="51"/>
  <c r="CJ51" i="51"/>
  <c r="CI52" i="51"/>
  <c r="CH53" i="51"/>
  <c r="CG54" i="51"/>
  <c r="CF55" i="51"/>
  <c r="CE56" i="51"/>
  <c r="CD57" i="51"/>
  <c r="CL57" i="51"/>
  <c r="CK58" i="51"/>
  <c r="CJ59" i="51"/>
  <c r="CI60" i="51"/>
  <c r="CH61" i="51"/>
  <c r="CG62" i="51"/>
  <c r="CF63" i="51"/>
  <c r="CE64" i="51"/>
  <c r="CD65" i="51"/>
  <c r="CL65" i="51"/>
  <c r="CK66" i="51"/>
  <c r="CJ67" i="51"/>
  <c r="CI68" i="51"/>
  <c r="CH69" i="51"/>
  <c r="CG70" i="51"/>
  <c r="CF71" i="51"/>
  <c r="CE72" i="51"/>
  <c r="CD73" i="51"/>
  <c r="CL73" i="51"/>
  <c r="CK74" i="51"/>
  <c r="CJ75" i="51"/>
  <c r="CI76" i="51"/>
  <c r="CH77" i="51"/>
  <c r="CG78" i="51"/>
  <c r="CF79" i="51"/>
  <c r="CE80" i="51"/>
  <c r="CD81" i="51"/>
  <c r="CL81" i="51"/>
  <c r="CK82" i="51"/>
  <c r="CJ83" i="51"/>
  <c r="CI84" i="51"/>
  <c r="CH85" i="51"/>
  <c r="CG86" i="51"/>
  <c r="CG87" i="51"/>
  <c r="CE89" i="51"/>
  <c r="CK90" i="51"/>
  <c r="CI91" i="51"/>
  <c r="CG92" i="51"/>
  <c r="CH149" i="51"/>
  <c r="CI148" i="51"/>
  <c r="CK146" i="51"/>
  <c r="CL145" i="51"/>
  <c r="CD145" i="51"/>
  <c r="CE144" i="51"/>
  <c r="CH141" i="51"/>
  <c r="CJ139" i="51"/>
  <c r="CK138" i="51"/>
  <c r="CL137" i="51"/>
  <c r="CD137" i="51"/>
  <c r="CG134" i="51"/>
  <c r="CI132" i="51"/>
  <c r="CJ131" i="51"/>
  <c r="CK130" i="51"/>
  <c r="CL129" i="51"/>
  <c r="CF127" i="51"/>
  <c r="CH125" i="51"/>
  <c r="CI124" i="51"/>
  <c r="CJ123" i="51"/>
  <c r="CK122" i="51"/>
  <c r="CE120" i="51"/>
  <c r="CG118" i="51"/>
  <c r="CH117" i="51"/>
  <c r="CI116" i="51"/>
  <c r="CJ115" i="51"/>
  <c r="CD113" i="51"/>
  <c r="CF111" i="51"/>
  <c r="CG110" i="51"/>
  <c r="CH109" i="51"/>
  <c r="CI108" i="51"/>
  <c r="CL105" i="51"/>
  <c r="CE104" i="51"/>
  <c r="CF103" i="51"/>
  <c r="CG102" i="51"/>
  <c r="CH101" i="51"/>
  <c r="CK98" i="51"/>
  <c r="CD97" i="51"/>
  <c r="CI20" i="51"/>
  <c r="CH92" i="51"/>
  <c r="CF21" i="51"/>
  <c r="CF20" i="51"/>
  <c r="CE22" i="51"/>
  <c r="CD23" i="51"/>
  <c r="CL23" i="51"/>
  <c r="CK24" i="51"/>
  <c r="CJ25" i="51"/>
  <c r="CI26" i="51"/>
  <c r="CH27" i="51"/>
  <c r="CG28" i="51"/>
  <c r="CF29" i="51"/>
  <c r="CE30" i="51"/>
  <c r="CD31" i="51"/>
  <c r="CL31" i="51"/>
  <c r="CK32" i="51"/>
  <c r="CJ33" i="51"/>
  <c r="CI34" i="51"/>
  <c r="CH35" i="51"/>
  <c r="CG36" i="51"/>
  <c r="CF37" i="51"/>
  <c r="CE38" i="51"/>
  <c r="CD39" i="51"/>
  <c r="CL39" i="51"/>
  <c r="CK40" i="51"/>
  <c r="CJ41" i="51"/>
  <c r="CI42" i="51"/>
  <c r="CH43" i="51"/>
  <c r="CG44" i="51"/>
  <c r="CF45" i="51"/>
  <c r="CE46" i="51"/>
  <c r="CE45" i="51"/>
  <c r="CD47" i="51"/>
  <c r="CL47" i="51"/>
  <c r="CK48" i="51"/>
  <c r="CJ49" i="51"/>
  <c r="CI50" i="51"/>
  <c r="CH51" i="51"/>
  <c r="CG52" i="51"/>
  <c r="CF53" i="51"/>
  <c r="CE54" i="51"/>
  <c r="CD55" i="51"/>
  <c r="CL55" i="51"/>
  <c r="CE78" i="51"/>
  <c r="CG21" i="51"/>
  <c r="CF22" i="51"/>
  <c r="CE23" i="51"/>
  <c r="CD24" i="51"/>
  <c r="CL24" i="51"/>
  <c r="CK25" i="51"/>
  <c r="CJ26" i="51"/>
  <c r="CI27" i="51"/>
  <c r="CH28" i="51"/>
  <c r="CG29" i="51"/>
  <c r="CF30" i="51"/>
  <c r="CE31" i="51"/>
  <c r="CD32" i="51"/>
  <c r="CL32" i="51"/>
  <c r="CK33" i="51"/>
  <c r="CJ34" i="51"/>
  <c r="CI35" i="51"/>
  <c r="CH36" i="51"/>
  <c r="CG37" i="51"/>
  <c r="CF38" i="51"/>
  <c r="CE39" i="51"/>
  <c r="CD40" i="51"/>
  <c r="CL40" i="51"/>
  <c r="CK41" i="51"/>
  <c r="CJ42" i="51"/>
  <c r="CI43" i="51"/>
  <c r="CD56" i="51"/>
  <c r="CL56" i="51"/>
  <c r="CK57" i="51"/>
  <c r="CJ58" i="51"/>
  <c r="CI59" i="51"/>
  <c r="CH60" i="51"/>
  <c r="CG61" i="51"/>
  <c r="CF62" i="51"/>
  <c r="CE63" i="51"/>
  <c r="CD64" i="51"/>
  <c r="CL64" i="51"/>
  <c r="CL63" i="51"/>
  <c r="CK65" i="51"/>
  <c r="CJ66" i="51"/>
  <c r="CI67" i="51"/>
  <c r="CH68" i="51"/>
  <c r="CG69" i="51"/>
  <c r="CF70" i="51"/>
  <c r="CE71" i="51"/>
  <c r="CD72" i="51"/>
  <c r="CL25" i="51"/>
  <c r="CI21" i="51"/>
  <c r="CH22" i="51"/>
  <c r="CG23" i="51"/>
  <c r="CF24" i="51"/>
  <c r="CE25" i="51"/>
  <c r="CD26" i="51"/>
  <c r="CL26" i="51"/>
  <c r="CK27" i="51"/>
  <c r="CJ28" i="51"/>
  <c r="CI29" i="51"/>
  <c r="CH30" i="51"/>
  <c r="CG31" i="51"/>
  <c r="CF32" i="51"/>
  <c r="CE33" i="51"/>
  <c r="CD34" i="51"/>
  <c r="CL34" i="51"/>
  <c r="CK35" i="51"/>
  <c r="CJ36" i="51"/>
  <c r="CI37" i="51"/>
  <c r="CH38" i="51"/>
  <c r="CG39" i="51"/>
  <c r="CE21" i="51"/>
  <c r="CE20" i="51"/>
  <c r="CF23" i="51"/>
  <c r="CE24" i="51"/>
  <c r="CI28" i="51"/>
  <c r="CH83" i="51"/>
  <c r="CH21" i="51"/>
  <c r="CH20" i="51"/>
  <c r="CK26" i="51"/>
  <c r="CF88" i="51"/>
  <c r="CF85" i="51"/>
  <c r="CK21" i="51"/>
  <c r="CK20" i="51"/>
  <c r="CJ22" i="51"/>
  <c r="CI23" i="51"/>
  <c r="CH24" i="51"/>
  <c r="CG25" i="51"/>
  <c r="CF26" i="51"/>
  <c r="CE27" i="51"/>
  <c r="CD28" i="51"/>
  <c r="CL28" i="51"/>
  <c r="CK29" i="51"/>
  <c r="CJ30" i="51"/>
  <c r="CI31" i="51"/>
  <c r="CH32" i="51"/>
  <c r="CG33" i="51"/>
  <c r="CF34" i="51"/>
  <c r="CE35" i="51"/>
  <c r="CD36" i="51"/>
  <c r="CL36" i="51"/>
  <c r="CK37" i="51"/>
  <c r="CJ38" i="51"/>
  <c r="CI39" i="51"/>
  <c r="CH40" i="51"/>
  <c r="CG41" i="51"/>
  <c r="CH56" i="51"/>
  <c r="CG57" i="51"/>
  <c r="CF58" i="51"/>
  <c r="CE59" i="51"/>
  <c r="CD60" i="51"/>
  <c r="CL60" i="51"/>
  <c r="CK61" i="51"/>
  <c r="CJ62" i="51"/>
  <c r="CI63" i="51"/>
  <c r="CH64" i="51"/>
  <c r="CG65" i="51"/>
  <c r="CF66" i="51"/>
  <c r="CE67" i="51"/>
  <c r="CD68" i="51"/>
  <c r="CL68" i="51"/>
  <c r="CK69" i="51"/>
  <c r="CJ70" i="51"/>
  <c r="CI71" i="51"/>
  <c r="CH72" i="51"/>
  <c r="CG73" i="51"/>
  <c r="CF74" i="51"/>
  <c r="CE75" i="51"/>
  <c r="CD76" i="51"/>
  <c r="CL76" i="51"/>
  <c r="CK77" i="51"/>
  <c r="CJ78" i="51"/>
  <c r="CI79" i="51"/>
  <c r="CH80" i="51"/>
  <c r="CG81" i="51"/>
  <c r="CF82" i="51"/>
  <c r="CE83" i="51"/>
  <c r="CK85" i="51"/>
  <c r="CK78" i="51"/>
  <c r="CG22" i="51"/>
  <c r="CD25" i="51"/>
  <c r="CJ27" i="51"/>
  <c r="CI48" i="51"/>
  <c r="CF69" i="51"/>
  <c r="CF40" i="51"/>
  <c r="CE41" i="51"/>
  <c r="CD42" i="51"/>
  <c r="CL42" i="51"/>
  <c r="CK43" i="51"/>
  <c r="CJ44" i="51"/>
  <c r="CI45" i="51"/>
  <c r="CH46" i="51"/>
  <c r="CG47" i="51"/>
  <c r="CF48" i="51"/>
  <c r="CE49" i="51"/>
  <c r="CD50" i="51"/>
  <c r="CL50" i="51"/>
  <c r="CK51" i="51"/>
  <c r="CJ52" i="51"/>
  <c r="CI53" i="51"/>
  <c r="CH54" i="51"/>
  <c r="CG55" i="51"/>
  <c r="CF56" i="51"/>
  <c r="CE57" i="51"/>
  <c r="CD58" i="51"/>
  <c r="CL58" i="51"/>
  <c r="CK59" i="51"/>
  <c r="CJ60" i="51"/>
  <c r="CI61" i="51"/>
  <c r="CH62" i="51"/>
  <c r="CG63" i="51"/>
  <c r="CF64" i="51"/>
  <c r="CE65" i="51"/>
  <c r="CD66" i="51"/>
  <c r="CL66" i="51"/>
  <c r="CK67" i="51"/>
  <c r="CJ68" i="51"/>
  <c r="CI69" i="51"/>
  <c r="CH70" i="51"/>
  <c r="CG71" i="51"/>
  <c r="CF72" i="51"/>
  <c r="CE73" i="51"/>
  <c r="CD74" i="51"/>
  <c r="CL74" i="51"/>
  <c r="CK75" i="51"/>
  <c r="CJ76" i="51"/>
  <c r="CI77" i="51"/>
  <c r="CH78" i="51"/>
  <c r="CG79" i="51"/>
  <c r="CF80" i="51"/>
  <c r="CE81" i="51"/>
  <c r="CD82" i="51"/>
  <c r="CL82" i="51"/>
  <c r="CK83" i="51"/>
  <c r="CJ84" i="51"/>
  <c r="CI85" i="51"/>
  <c r="CH86" i="51"/>
  <c r="CH87" i="51"/>
  <c r="CG88" i="51"/>
  <c r="CF89" i="51"/>
  <c r="CD90" i="51"/>
  <c r="CL90" i="51"/>
  <c r="CJ91" i="51"/>
  <c r="CI147" i="51"/>
  <c r="CJ146" i="51"/>
  <c r="CD144" i="51"/>
  <c r="CF142" i="51"/>
  <c r="CG141" i="51"/>
  <c r="CH140" i="51"/>
  <c r="CI139" i="51"/>
  <c r="CL136" i="51"/>
  <c r="CE135" i="51"/>
  <c r="CF134" i="51"/>
  <c r="CG133" i="51"/>
  <c r="CH132" i="51"/>
  <c r="CK129" i="51"/>
  <c r="CD128" i="51"/>
  <c r="CE127" i="51"/>
  <c r="CF126" i="51"/>
  <c r="CG125" i="51"/>
  <c r="CJ122" i="51"/>
  <c r="CL120" i="51"/>
  <c r="CD120" i="51"/>
  <c r="CE119" i="51"/>
  <c r="CF118" i="51"/>
  <c r="CI115" i="51"/>
  <c r="CK113" i="51"/>
  <c r="CL112" i="51"/>
  <c r="CD112" i="51"/>
  <c r="CE111" i="51"/>
  <c r="CH108" i="51"/>
  <c r="CJ106" i="51"/>
  <c r="CK105" i="51"/>
  <c r="CL104" i="51"/>
  <c r="CD104" i="51"/>
  <c r="CG101" i="51"/>
  <c r="CI99" i="51"/>
  <c r="CJ98" i="51"/>
  <c r="CK97" i="51"/>
  <c r="CL96" i="51"/>
  <c r="CJ21" i="51"/>
  <c r="CJ20" i="51"/>
  <c r="CI22" i="51"/>
  <c r="CH23" i="51"/>
  <c r="CG24" i="51"/>
  <c r="CF25" i="51"/>
  <c r="CE26" i="51"/>
  <c r="CD27" i="51"/>
  <c r="CL27" i="51"/>
  <c r="CK28" i="51"/>
  <c r="CJ29" i="51"/>
  <c r="CI30" i="51"/>
  <c r="CH31" i="51"/>
  <c r="CG32" i="51"/>
  <c r="CF33" i="51"/>
  <c r="CE34" i="51"/>
  <c r="CD35" i="51"/>
  <c r="CL35" i="51"/>
  <c r="CK36" i="51"/>
  <c r="CJ37" i="51"/>
  <c r="CI38" i="51"/>
  <c r="CH39" i="51"/>
  <c r="CG40" i="51"/>
  <c r="CF41" i="51"/>
  <c r="CE42" i="51"/>
  <c r="CD43" i="51"/>
  <c r="CL43" i="51"/>
  <c r="CK44" i="51"/>
  <c r="CJ45" i="51"/>
  <c r="CI46" i="51"/>
  <c r="CH47" i="51"/>
  <c r="CG48" i="51"/>
  <c r="CF49" i="51"/>
  <c r="CE50" i="51"/>
  <c r="CD51" i="51"/>
  <c r="CL51" i="51"/>
  <c r="CK52" i="51"/>
  <c r="CJ53" i="51"/>
  <c r="CI54" i="51"/>
  <c r="CH55" i="51"/>
  <c r="CH147" i="51"/>
  <c r="CJ145" i="51"/>
  <c r="CE134" i="51"/>
  <c r="CF133" i="51"/>
  <c r="CH131" i="51"/>
  <c r="CL119" i="51"/>
  <c r="CD119" i="51"/>
  <c r="CJ105" i="51"/>
  <c r="CD103" i="51"/>
  <c r="CK147" i="51"/>
  <c r="CI88" i="51"/>
  <c r="CE149" i="51"/>
  <c r="CF148" i="51"/>
  <c r="CG147" i="51"/>
  <c r="CH146" i="51"/>
  <c r="CI145" i="51"/>
  <c r="CJ144" i="51"/>
  <c r="CK143" i="51"/>
  <c r="CL142" i="51"/>
  <c r="CD142" i="51"/>
  <c r="CE141" i="51"/>
  <c r="CF140" i="51"/>
  <c r="CG139" i="51"/>
  <c r="CH138" i="51"/>
  <c r="CI137" i="51"/>
  <c r="CJ136" i="51"/>
  <c r="CK135" i="51"/>
  <c r="CL134" i="51"/>
  <c r="CD134" i="51"/>
  <c r="CE133" i="51"/>
  <c r="CF132" i="51"/>
  <c r="CG131" i="51"/>
  <c r="CH130" i="51"/>
  <c r="CI129" i="51"/>
  <c r="CJ128" i="51"/>
  <c r="CK127" i="51"/>
  <c r="CL126" i="51"/>
  <c r="CD126" i="51"/>
  <c r="CE125" i="51"/>
  <c r="CF124" i="51"/>
  <c r="CG123" i="51"/>
  <c r="CH122" i="51"/>
  <c r="CI121" i="51"/>
  <c r="CJ120" i="51"/>
  <c r="CK119" i="51"/>
  <c r="CL118" i="51"/>
  <c r="CD118" i="51"/>
  <c r="CE117" i="51"/>
  <c r="CF116" i="51"/>
  <c r="CG115" i="51"/>
  <c r="CH114" i="51"/>
  <c r="CI113" i="51"/>
  <c r="CJ112" i="51"/>
  <c r="CK111" i="51"/>
  <c r="CL110" i="51"/>
  <c r="CD110" i="51"/>
  <c r="CE109" i="51"/>
  <c r="CF108" i="51"/>
  <c r="CG107" i="51"/>
  <c r="CH106" i="51"/>
  <c r="CI105" i="51"/>
  <c r="CJ104" i="51"/>
  <c r="CK103" i="51"/>
  <c r="CL102" i="51"/>
  <c r="CD102" i="51"/>
  <c r="CE101" i="51"/>
  <c r="CF100" i="51"/>
  <c r="CG99" i="51"/>
  <c r="CH98" i="51"/>
  <c r="CI97" i="51"/>
  <c r="CJ96" i="51"/>
  <c r="CK95" i="51"/>
  <c r="CL94" i="51"/>
  <c r="CD94" i="51"/>
  <c r="CE93" i="51"/>
  <c r="CJ114" i="51"/>
  <c r="CJ97" i="51"/>
  <c r="CD21" i="51"/>
  <c r="CD20" i="51"/>
  <c r="CL21" i="51"/>
  <c r="CL20" i="51"/>
  <c r="CK22" i="51"/>
  <c r="CJ23" i="51"/>
  <c r="CI24" i="51"/>
  <c r="CH25" i="51"/>
  <c r="CG26" i="51"/>
  <c r="CF27" i="51"/>
  <c r="CE28" i="51"/>
  <c r="CD29" i="51"/>
  <c r="CL29" i="51"/>
  <c r="CK30" i="51"/>
  <c r="CJ31" i="51"/>
  <c r="CI32" i="51"/>
  <c r="CH33" i="51"/>
  <c r="CG34" i="51"/>
  <c r="CF35" i="51"/>
  <c r="CE36" i="51"/>
  <c r="CD37" i="51"/>
  <c r="CL37" i="51"/>
  <c r="CK38" i="51"/>
  <c r="CJ39" i="51"/>
  <c r="CI40" i="51"/>
  <c r="CH41" i="51"/>
  <c r="CG42" i="51"/>
  <c r="CF43" i="51"/>
  <c r="CE44" i="51"/>
  <c r="CD45" i="51"/>
  <c r="CL45" i="51"/>
  <c r="CK46" i="51"/>
  <c r="CJ47" i="51"/>
  <c r="CH49" i="51"/>
  <c r="CG50" i="51"/>
  <c r="CF51" i="51"/>
  <c r="CE52" i="51"/>
  <c r="CD53" i="51"/>
  <c r="CL53" i="51"/>
  <c r="CK54" i="51"/>
  <c r="CJ55" i="51"/>
  <c r="CF59" i="51"/>
  <c r="CJ71" i="51"/>
  <c r="CF83" i="51"/>
  <c r="CG90" i="51"/>
  <c r="CF110" i="51"/>
  <c r="CD95" i="51"/>
  <c r="CH34" i="51"/>
  <c r="CG35" i="51"/>
  <c r="CF36" i="51"/>
  <c r="CE37" i="51"/>
  <c r="CL38" i="51"/>
  <c r="CK39" i="51"/>
  <c r="CJ40" i="51"/>
  <c r="CI41" i="51"/>
  <c r="CH42" i="51"/>
  <c r="CG43" i="51"/>
  <c r="CJ48" i="51"/>
  <c r="CJ56" i="51"/>
  <c r="CI57" i="51"/>
  <c r="CH58" i="51"/>
  <c r="CG59" i="51"/>
  <c r="CF60" i="51"/>
  <c r="CE61" i="51"/>
  <c r="CD62" i="51"/>
  <c r="CL62" i="51"/>
  <c r="CK63" i="51"/>
  <c r="CJ64" i="51"/>
  <c r="CI65" i="51"/>
  <c r="CG67" i="51"/>
  <c r="CF68" i="51"/>
  <c r="CE69" i="51"/>
  <c r="CD70" i="51"/>
  <c r="CL70" i="51"/>
  <c r="CK71" i="51"/>
  <c r="CJ72" i="51"/>
  <c r="CI73" i="51"/>
  <c r="CH74" i="51"/>
  <c r="CG75" i="51"/>
  <c r="CF76" i="51"/>
  <c r="CE77" i="51"/>
  <c r="CD78" i="51"/>
  <c r="CL78" i="51"/>
  <c r="CK79" i="51"/>
  <c r="CJ80" i="51"/>
  <c r="CI81" i="51"/>
  <c r="CH82" i="51"/>
  <c r="CG83" i="51"/>
  <c r="CF84" i="51"/>
  <c r="CE85" i="51"/>
  <c r="CD86" i="51"/>
  <c r="CL86" i="51"/>
  <c r="CL87" i="51"/>
  <c r="CK88" i="51"/>
  <c r="CJ89" i="51"/>
  <c r="CH90" i="51"/>
  <c r="CK149" i="51"/>
  <c r="CK148" i="51"/>
  <c r="CL148" i="51"/>
  <c r="CD148" i="51"/>
  <c r="CE147" i="51"/>
  <c r="CF146" i="51"/>
  <c r="CG145" i="51"/>
  <c r="CH144" i="51"/>
  <c r="CI143" i="51"/>
  <c r="CJ142" i="51"/>
  <c r="CK141" i="51"/>
  <c r="CL140" i="51"/>
  <c r="CD140" i="51"/>
  <c r="CE139" i="51"/>
  <c r="CF138" i="51"/>
  <c r="CG137" i="51"/>
  <c r="CH136" i="51"/>
  <c r="CI135" i="51"/>
  <c r="CJ134" i="51"/>
  <c r="CK133" i="51"/>
  <c r="CL132" i="51"/>
  <c r="CD132" i="51"/>
  <c r="CE131" i="51"/>
  <c r="CF130" i="51"/>
  <c r="CG126" i="51"/>
  <c r="CK121" i="51"/>
  <c r="CK114" i="51"/>
  <c r="CL113" i="51"/>
  <c r="CG109" i="51"/>
  <c r="CI107" i="51"/>
  <c r="CI100" i="51"/>
  <c r="CG95" i="51"/>
  <c r="CI93" i="51"/>
  <c r="CG142" i="51"/>
  <c r="CD127" i="51"/>
  <c r="CE110" i="51"/>
  <c r="CF42" i="51"/>
  <c r="CE43" i="51"/>
  <c r="CD44" i="51"/>
  <c r="CL44" i="51"/>
  <c r="CK45" i="51"/>
  <c r="CJ46" i="51"/>
  <c r="CI47" i="51"/>
  <c r="CH48" i="51"/>
  <c r="CG49" i="51"/>
  <c r="CF50" i="51"/>
  <c r="CE51" i="51"/>
  <c r="CD52" i="51"/>
  <c r="CL52" i="51"/>
  <c r="CK53" i="51"/>
  <c r="CJ54" i="51"/>
  <c r="CI55" i="51"/>
  <c r="CG56" i="51"/>
  <c r="CF57" i="51"/>
  <c r="CE58" i="51"/>
  <c r="CD59" i="51"/>
  <c r="CL59" i="51"/>
  <c r="CK60" i="51"/>
  <c r="CJ61" i="51"/>
  <c r="CI62" i="51"/>
  <c r="CH63" i="51"/>
  <c r="CG64" i="51"/>
  <c r="CF65" i="51"/>
  <c r="CE66" i="51"/>
  <c r="CD67" i="51"/>
  <c r="CL67" i="51"/>
  <c r="CK68" i="51"/>
  <c r="CJ69" i="51"/>
  <c r="CI70" i="51"/>
  <c r="CH71" i="51"/>
  <c r="CG72" i="51"/>
  <c r="CF73" i="51"/>
  <c r="CE74" i="51"/>
  <c r="CD75" i="51"/>
  <c r="CL75" i="51"/>
  <c r="CK76" i="51"/>
  <c r="CJ77" i="51"/>
  <c r="CI78" i="51"/>
  <c r="CH79" i="51"/>
  <c r="CG80" i="51"/>
  <c r="CF81" i="51"/>
  <c r="CE82" i="51"/>
  <c r="CD83" i="51"/>
  <c r="CL83" i="51"/>
  <c r="CK84" i="51"/>
  <c r="CJ85" i="51"/>
  <c r="CI86" i="51"/>
  <c r="CI87" i="51"/>
  <c r="CH88" i="51"/>
  <c r="CG89" i="51"/>
  <c r="CE90" i="51"/>
  <c r="CK91" i="51"/>
  <c r="CI92" i="51"/>
  <c r="CF149" i="51"/>
  <c r="CG148" i="51"/>
  <c r="CI146" i="51"/>
  <c r="CK144" i="51"/>
  <c r="CL143" i="51"/>
  <c r="CD143" i="51"/>
  <c r="CE142" i="51"/>
  <c r="CH139" i="51"/>
  <c r="CJ137" i="51"/>
  <c r="CK136" i="51"/>
  <c r="CL135" i="51"/>
  <c r="CD135" i="51"/>
  <c r="CG132" i="51"/>
  <c r="CI130" i="51"/>
  <c r="CJ129" i="51"/>
  <c r="CK128" i="51"/>
  <c r="CL127" i="51"/>
  <c r="CF125" i="51"/>
  <c r="CH123" i="51"/>
  <c r="CI122" i="51"/>
  <c r="CJ121" i="51"/>
  <c r="CK120" i="51"/>
  <c r="CE118" i="51"/>
  <c r="CG116" i="51"/>
  <c r="CH115" i="51"/>
  <c r="CI114" i="51"/>
  <c r="CJ113" i="51"/>
  <c r="CD111" i="51"/>
  <c r="CF109" i="51"/>
  <c r="CG108" i="51"/>
  <c r="CH107" i="51"/>
  <c r="CI106" i="51"/>
  <c r="CL103" i="51"/>
  <c r="CE102" i="51"/>
  <c r="CF101" i="51"/>
  <c r="CG100" i="51"/>
  <c r="CH99" i="51"/>
  <c r="CK96" i="51"/>
  <c r="CL95" i="51"/>
  <c r="CE94" i="51"/>
  <c r="CF93" i="51"/>
  <c r="CI140" i="51"/>
  <c r="CE128" i="51"/>
  <c r="CF44" i="51"/>
  <c r="CD46" i="51"/>
  <c r="CL46" i="51"/>
  <c r="CK47" i="51"/>
  <c r="CI49" i="51"/>
  <c r="CH50" i="51"/>
  <c r="CG51" i="51"/>
  <c r="CF52" i="51"/>
  <c r="CE53" i="51"/>
  <c r="CD54" i="51"/>
  <c r="CL54" i="51"/>
  <c r="CK55" i="51"/>
  <c r="CI56" i="51"/>
  <c r="CH57" i="51"/>
  <c r="CG58" i="51"/>
  <c r="CE60" i="51"/>
  <c r="CD61" i="51"/>
  <c r="CL61" i="51"/>
  <c r="CK62" i="51"/>
  <c r="CJ63" i="51"/>
  <c r="CI64" i="51"/>
  <c r="CH65" i="51"/>
  <c r="CG66" i="51"/>
  <c r="CF67" i="51"/>
  <c r="CE68" i="51"/>
  <c r="CD69" i="51"/>
  <c r="CL69" i="51"/>
  <c r="CK70" i="51"/>
  <c r="CI72" i="51"/>
  <c r="CH73" i="51"/>
  <c r="CG74" i="51"/>
  <c r="CF75" i="51"/>
  <c r="CE76" i="51"/>
  <c r="CD77" i="51"/>
  <c r="CL77" i="51"/>
  <c r="CJ79" i="51"/>
  <c r="CI80" i="51"/>
  <c r="CH81" i="51"/>
  <c r="CG82" i="51"/>
  <c r="CE84" i="51"/>
  <c r="CD85" i="51"/>
  <c r="CL85" i="51"/>
  <c r="CK86" i="51"/>
  <c r="CK87" i="51"/>
  <c r="CJ88" i="51"/>
  <c r="CI89" i="51"/>
  <c r="CE91" i="51"/>
  <c r="CK92" i="51"/>
  <c r="CL149" i="51"/>
  <c r="CD149" i="51"/>
  <c r="CE148" i="51"/>
  <c r="CF147" i="51"/>
  <c r="CG146" i="51"/>
  <c r="CH145" i="51"/>
  <c r="CI144" i="51"/>
  <c r="CJ143" i="51"/>
  <c r="CK142" i="51"/>
  <c r="CL141" i="51"/>
  <c r="CD141" i="51"/>
  <c r="CE140" i="51"/>
  <c r="CF139" i="51"/>
  <c r="CJ95" i="51"/>
  <c r="CL93" i="51"/>
  <c r="CG129" i="51"/>
  <c r="CH128" i="51"/>
  <c r="CI127" i="51"/>
  <c r="CJ126" i="51"/>
  <c r="CK125" i="51"/>
  <c r="CL124" i="51"/>
  <c r="CD124" i="51"/>
  <c r="CE123" i="51"/>
  <c r="CF122" i="51"/>
  <c r="CG121" i="51"/>
  <c r="CH120" i="51"/>
  <c r="CI119" i="51"/>
  <c r="CJ118" i="51"/>
  <c r="CK117" i="51"/>
  <c r="CL116" i="51"/>
  <c r="CD116" i="51"/>
  <c r="CE115" i="51"/>
  <c r="CF114" i="51"/>
  <c r="CG113" i="51"/>
  <c r="CH112" i="51"/>
  <c r="CI111" i="51"/>
  <c r="CJ110" i="51"/>
  <c r="CK109" i="51"/>
  <c r="CL108" i="51"/>
  <c r="CD108" i="51"/>
  <c r="CE107" i="51"/>
  <c r="CF106" i="51"/>
  <c r="CG105" i="51"/>
  <c r="CH104" i="51"/>
  <c r="CI103" i="51"/>
  <c r="CJ102" i="51"/>
  <c r="CK101" i="51"/>
  <c r="CL100" i="51"/>
  <c r="CD100" i="51"/>
  <c r="CE99" i="51"/>
  <c r="CF98" i="51"/>
  <c r="CG97" i="51"/>
  <c r="CH96" i="51"/>
  <c r="CI95" i="51"/>
  <c r="CJ94" i="51"/>
  <c r="CK93" i="51"/>
  <c r="CF119" i="51"/>
  <c r="CK112" i="51"/>
  <c r="CK106" i="51"/>
  <c r="CH100" i="51"/>
  <c r="CH44" i="51"/>
  <c r="CG45" i="51"/>
  <c r="CF46" i="51"/>
  <c r="CE47" i="51"/>
  <c r="CD48" i="51"/>
  <c r="CL48" i="51"/>
  <c r="CK49" i="51"/>
  <c r="CJ50" i="51"/>
  <c r="CI51" i="51"/>
  <c r="CH52" i="51"/>
  <c r="CG53" i="51"/>
  <c r="CF54" i="51"/>
  <c r="CE55" i="51"/>
  <c r="CK56" i="51"/>
  <c r="CJ57" i="51"/>
  <c r="CI58" i="51"/>
  <c r="CH59" i="51"/>
  <c r="CG60" i="51"/>
  <c r="CF61" i="51"/>
  <c r="CE62" i="51"/>
  <c r="CD63" i="51"/>
  <c r="CK64" i="51"/>
  <c r="CJ65" i="51"/>
  <c r="CI66" i="51"/>
  <c r="CH67" i="51"/>
  <c r="CG68" i="51"/>
  <c r="CE70" i="51"/>
  <c r="CD71" i="51"/>
  <c r="CL71" i="51"/>
  <c r="CK72" i="51"/>
  <c r="CJ73" i="51"/>
  <c r="CI74" i="51"/>
  <c r="CH75" i="51"/>
  <c r="CG76" i="51"/>
  <c r="CF77" i="51"/>
  <c r="CD79" i="51"/>
  <c r="CL79" i="51"/>
  <c r="CK80" i="51"/>
  <c r="CJ81" i="51"/>
  <c r="CI82" i="51"/>
  <c r="CG84" i="51"/>
  <c r="CE86" i="51"/>
  <c r="CE87" i="51"/>
  <c r="CD88" i="51"/>
  <c r="CL88" i="51"/>
  <c r="CK89" i="51"/>
  <c r="CI90" i="51"/>
  <c r="CG91" i="51"/>
  <c r="CE92" i="51"/>
  <c r="CD87" i="51"/>
  <c r="CL147" i="51"/>
  <c r="CD147" i="51"/>
  <c r="CE146" i="51"/>
  <c r="CF145" i="51"/>
  <c r="CG144" i="51"/>
  <c r="CH143" i="51"/>
  <c r="CI142" i="51"/>
  <c r="CJ141" i="51"/>
  <c r="CK140" i="51"/>
  <c r="CL139" i="51"/>
  <c r="CD139" i="51"/>
  <c r="CE138" i="51"/>
  <c r="CF137" i="51"/>
  <c r="CG136" i="51"/>
  <c r="CH135" i="51"/>
  <c r="CI134" i="51"/>
  <c r="CJ133" i="51"/>
  <c r="CK132" i="51"/>
  <c r="CL131" i="51"/>
  <c r="CD131" i="51"/>
  <c r="CE130" i="51"/>
  <c r="CH124" i="51"/>
  <c r="CE112" i="51"/>
  <c r="CJ99" i="51"/>
  <c r="CL72" i="51"/>
  <c r="CK73" i="51"/>
  <c r="CJ74" i="51"/>
  <c r="CI75" i="51"/>
  <c r="CH76" i="51"/>
  <c r="CG77" i="51"/>
  <c r="CF78" i="51"/>
  <c r="CE79" i="51"/>
  <c r="CD80" i="51"/>
  <c r="CL80" i="51"/>
  <c r="CK81" i="51"/>
  <c r="CJ82" i="51"/>
  <c r="CI83" i="51"/>
  <c r="CH84" i="51"/>
  <c r="CG85" i="51"/>
  <c r="CF86" i="51"/>
  <c r="CF87" i="51"/>
  <c r="CE88" i="51"/>
  <c r="CD89" i="51"/>
  <c r="CL89" i="51"/>
  <c r="CJ90" i="51"/>
  <c r="CH91" i="51"/>
  <c r="CF92" i="51"/>
  <c r="CL146" i="51"/>
  <c r="CD146" i="51"/>
  <c r="CE145" i="51"/>
  <c r="CF144" i="51"/>
  <c r="CG143" i="51"/>
  <c r="CH142" i="51"/>
  <c r="CI141" i="51"/>
  <c r="CJ140" i="51"/>
  <c r="CK139" i="51"/>
  <c r="CL138" i="51"/>
  <c r="CD138" i="51"/>
  <c r="CE137" i="51"/>
  <c r="CF136" i="51"/>
  <c r="CG135" i="51"/>
  <c r="CH134" i="51"/>
  <c r="CI133" i="51"/>
  <c r="CJ132" i="51"/>
  <c r="CK131" i="51"/>
  <c r="CL130" i="51"/>
  <c r="CD130" i="51"/>
  <c r="CE129" i="51"/>
  <c r="CF128" i="51"/>
  <c r="CE143" i="51"/>
  <c r="CE136" i="51"/>
  <c r="CJ130" i="51"/>
  <c r="CG124" i="51"/>
  <c r="CG117" i="51"/>
  <c r="CL111" i="51"/>
  <c r="CD105" i="51"/>
  <c r="CI98" i="51"/>
  <c r="CG138" i="51"/>
  <c r="CH137" i="51"/>
  <c r="CI136" i="51"/>
  <c r="CJ135" i="51"/>
  <c r="CK134" i="51"/>
  <c r="CL133" i="51"/>
  <c r="CD133" i="51"/>
  <c r="CE132" i="51"/>
  <c r="CF131" i="51"/>
  <c r="CG130" i="51"/>
  <c r="CH129" i="51"/>
  <c r="CI128" i="51"/>
  <c r="CJ127" i="51"/>
  <c r="CK126" i="51"/>
  <c r="CL125" i="51"/>
  <c r="CD125" i="51"/>
  <c r="CE124" i="51"/>
  <c r="CF123" i="51"/>
  <c r="CG122" i="51"/>
  <c r="CH121" i="51"/>
  <c r="CI120" i="51"/>
  <c r="CJ119" i="51"/>
  <c r="CK118" i="51"/>
  <c r="CL117" i="51"/>
  <c r="CD117" i="51"/>
  <c r="CE116" i="51"/>
  <c r="CF115" i="51"/>
  <c r="CG114" i="51"/>
  <c r="CH113" i="51"/>
  <c r="CI112" i="51"/>
  <c r="CJ111" i="51"/>
  <c r="CK110" i="51"/>
  <c r="CL109" i="51"/>
  <c r="CD109" i="51"/>
  <c r="CE108" i="51"/>
  <c r="CF107" i="51"/>
  <c r="CG106" i="51"/>
  <c r="CH105" i="51"/>
  <c r="CI104" i="51"/>
  <c r="CJ103" i="51"/>
  <c r="CK102" i="51"/>
  <c r="CL101" i="51"/>
  <c r="CD101" i="51"/>
  <c r="CE100" i="51"/>
  <c r="CF99" i="51"/>
  <c r="CG98" i="51"/>
  <c r="CH97" i="51"/>
  <c r="CI96" i="51"/>
  <c r="CK94" i="51"/>
  <c r="CD93" i="51"/>
  <c r="CF129" i="51"/>
  <c r="CG128" i="51"/>
  <c r="CH127" i="51"/>
  <c r="CI126" i="51"/>
  <c r="CJ125" i="51"/>
  <c r="CK124" i="51"/>
  <c r="CL123" i="51"/>
  <c r="CD123" i="51"/>
  <c r="CE122" i="51"/>
  <c r="CF121" i="51"/>
  <c r="CG120" i="51"/>
  <c r="CH119" i="51"/>
  <c r="CI118" i="51"/>
  <c r="CJ117" i="51"/>
  <c r="CK116" i="51"/>
  <c r="CL115" i="51"/>
  <c r="CD115" i="51"/>
  <c r="CE114" i="51"/>
  <c r="CF113" i="51"/>
  <c r="CG112" i="51"/>
  <c r="CH111" i="51"/>
  <c r="CI110" i="51"/>
  <c r="CJ109" i="51"/>
  <c r="CK108" i="51"/>
  <c r="CL107" i="51"/>
  <c r="CD107" i="51"/>
  <c r="CE106" i="51"/>
  <c r="CF105" i="51"/>
  <c r="CG104" i="51"/>
  <c r="CH103" i="51"/>
  <c r="CI102" i="51"/>
  <c r="CJ101" i="51"/>
  <c r="CK100" i="51"/>
  <c r="CL99" i="51"/>
  <c r="CD99" i="51"/>
  <c r="CE98" i="51"/>
  <c r="CF97" i="51"/>
  <c r="CG96" i="51"/>
  <c r="CH95" i="51"/>
  <c r="CI94" i="51"/>
  <c r="CJ93" i="51"/>
  <c r="CG127" i="51"/>
  <c r="CH126" i="51"/>
  <c r="CI125" i="51"/>
  <c r="CJ124" i="51"/>
  <c r="CK123" i="51"/>
  <c r="CL122" i="51"/>
  <c r="CD122" i="51"/>
  <c r="CE121" i="51"/>
  <c r="CF120" i="51"/>
  <c r="CG119" i="51"/>
  <c r="CH118" i="51"/>
  <c r="CI117" i="51"/>
  <c r="CJ116" i="51"/>
  <c r="CK115" i="51"/>
  <c r="CL114" i="51"/>
  <c r="CD114" i="51"/>
  <c r="CE113" i="51"/>
  <c r="CF112" i="51"/>
  <c r="CG111" i="51"/>
  <c r="CH110" i="51"/>
  <c r="CI109" i="51"/>
  <c r="CJ108" i="51"/>
  <c r="CK107" i="51"/>
  <c r="CL106" i="51"/>
  <c r="CD106" i="51"/>
  <c r="CE105" i="51"/>
  <c r="CF104" i="51"/>
  <c r="CG103" i="51"/>
  <c r="CH102" i="51"/>
  <c r="CI101" i="51"/>
  <c r="CJ100" i="51"/>
  <c r="CK99" i="51"/>
  <c r="CL98" i="51"/>
  <c r="CD98" i="51"/>
  <c r="CE97" i="51"/>
  <c r="CF96" i="51"/>
  <c r="CH94" i="51"/>
  <c r="CE96" i="51"/>
  <c r="CF95" i="51"/>
  <c r="CG94" i="51"/>
  <c r="CH93" i="51"/>
  <c r="CD96" i="51"/>
  <c r="CE95" i="51"/>
  <c r="CF94" i="51"/>
  <c r="CG93" i="51"/>
  <c r="CM156" i="51" l="1"/>
  <c r="CM153" i="51"/>
  <c r="CM150" i="51"/>
  <c r="CM160" i="51"/>
  <c r="CM154" i="51"/>
  <c r="CM151" i="51"/>
  <c r="CM155" i="51"/>
  <c r="CM158" i="51"/>
  <c r="CM157" i="51"/>
  <c r="CM159" i="51"/>
  <c r="A140" i="14"/>
  <c r="T84" i="49"/>
  <c r="T86" i="49"/>
  <c r="T88" i="49"/>
  <c r="T90" i="49"/>
  <c r="T75" i="49"/>
  <c r="T77" i="49"/>
  <c r="T79" i="49"/>
  <c r="T81" i="49"/>
  <c r="T64" i="49"/>
  <c r="T66" i="49"/>
  <c r="T68" i="49"/>
  <c r="T70" i="49"/>
  <c r="T55" i="49"/>
  <c r="T109" i="49" s="1"/>
  <c r="T57" i="49"/>
  <c r="T111" i="49" s="1"/>
  <c r="T59" i="49"/>
  <c r="T113" i="49" s="1"/>
  <c r="T61" i="49"/>
  <c r="T115" i="49" s="1"/>
  <c r="T44" i="49"/>
  <c r="T97" i="49" s="1"/>
  <c r="T46" i="49"/>
  <c r="T99" i="49" s="1"/>
  <c r="T48" i="49"/>
  <c r="T101" i="49" s="1"/>
  <c r="T50" i="49"/>
  <c r="T103" i="49" s="1"/>
  <c r="T73" i="49"/>
  <c r="T53" i="49"/>
  <c r="T107" i="49" s="1"/>
  <c r="T63" i="49"/>
  <c r="T43" i="49"/>
  <c r="T96" i="49" s="1"/>
  <c r="T85" i="49"/>
  <c r="T87" i="49"/>
  <c r="T89" i="49"/>
  <c r="T91" i="49"/>
  <c r="T74" i="49"/>
  <c r="T132" i="49" s="1"/>
  <c r="T76" i="49"/>
  <c r="T78" i="49"/>
  <c r="T136" i="49" s="1"/>
  <c r="T80" i="49"/>
  <c r="T138" i="49" s="1"/>
  <c r="T65" i="49"/>
  <c r="T67" i="49"/>
  <c r="T69" i="49"/>
  <c r="T71" i="49"/>
  <c r="T54" i="49"/>
  <c r="T108" i="49" s="1"/>
  <c r="T56" i="49"/>
  <c r="T110" i="49" s="1"/>
  <c r="T58" i="49"/>
  <c r="T112" i="49" s="1"/>
  <c r="T60" i="49"/>
  <c r="T114" i="49" s="1"/>
  <c r="T45" i="49"/>
  <c r="T98" i="49" s="1"/>
  <c r="T47" i="49"/>
  <c r="T100" i="49" s="1"/>
  <c r="T49" i="49"/>
  <c r="T102" i="49" s="1"/>
  <c r="T51" i="49"/>
  <c r="T104" i="49" s="1"/>
  <c r="U21" i="49"/>
  <c r="T34" i="49"/>
  <c r="T120" i="49" s="1"/>
  <c r="T36" i="49"/>
  <c r="T122" i="49" s="1"/>
  <c r="T38" i="49"/>
  <c r="T124" i="49" s="1"/>
  <c r="T40" i="49"/>
  <c r="T126" i="49" s="1"/>
  <c r="T33" i="49"/>
  <c r="T119" i="49" s="1"/>
  <c r="T35" i="49"/>
  <c r="T121" i="49" s="1"/>
  <c r="T37" i="49"/>
  <c r="T123" i="49" s="1"/>
  <c r="T39" i="49"/>
  <c r="T125" i="49" s="1"/>
  <c r="T41" i="49"/>
  <c r="T127" i="49" s="1"/>
  <c r="T23" i="49"/>
  <c r="J4" i="56"/>
  <c r="K29" i="8"/>
  <c r="J9" i="56"/>
  <c r="K34" i="8"/>
  <c r="J2" i="56"/>
  <c r="K27" i="8"/>
  <c r="N33" i="8"/>
  <c r="N29" i="8"/>
  <c r="N27" i="8"/>
  <c r="N35" i="8"/>
  <c r="N31" i="8"/>
  <c r="N34" i="8"/>
  <c r="N28" i="8"/>
  <c r="N32" i="8"/>
  <c r="N30" i="8"/>
  <c r="S23" i="49"/>
  <c r="CM105" i="51"/>
  <c r="CM106" i="51"/>
  <c r="CM107" i="51"/>
  <c r="CM30" i="51"/>
  <c r="CM23" i="51"/>
  <c r="CM139" i="51"/>
  <c r="CM64" i="51"/>
  <c r="CM138" i="51"/>
  <c r="CM111" i="51"/>
  <c r="CM128" i="51"/>
  <c r="CM88" i="51"/>
  <c r="CM28" i="51"/>
  <c r="CM136" i="51"/>
  <c r="CM56" i="51"/>
  <c r="CM113" i="51"/>
  <c r="CM79" i="51"/>
  <c r="CM91" i="51"/>
  <c r="CM110" i="51"/>
  <c r="CM142" i="51"/>
  <c r="CM70" i="51"/>
  <c r="CM66" i="51"/>
  <c r="CM109" i="51"/>
  <c r="CM141" i="51"/>
  <c r="CM69" i="51"/>
  <c r="CM108" i="51"/>
  <c r="CM84" i="51"/>
  <c r="CM74" i="51"/>
  <c r="CM43" i="51"/>
  <c r="CM25" i="51"/>
  <c r="CM78" i="51"/>
  <c r="CM82" i="51"/>
  <c r="CM77" i="51"/>
  <c r="CM100" i="51"/>
  <c r="CM92" i="51"/>
  <c r="CM51" i="51"/>
  <c r="CM143" i="51"/>
  <c r="CM41" i="51"/>
  <c r="CM144" i="51"/>
  <c r="CM48" i="51"/>
  <c r="CM121" i="51"/>
  <c r="CM71" i="51"/>
  <c r="CM34" i="51"/>
  <c r="CM114" i="51"/>
  <c r="CM146" i="51"/>
  <c r="CM62" i="51"/>
  <c r="CM50" i="51"/>
  <c r="CM115" i="51"/>
  <c r="CM147" i="51"/>
  <c r="CM61" i="51"/>
  <c r="CM116" i="51"/>
  <c r="CM76" i="51"/>
  <c r="CM58" i="51"/>
  <c r="CM35" i="51"/>
  <c r="CM90" i="51"/>
  <c r="CM96" i="51"/>
  <c r="CM32" i="51"/>
  <c r="CM137" i="51"/>
  <c r="CM55" i="51"/>
  <c r="CM135" i="51"/>
  <c r="CM122" i="51"/>
  <c r="CM46" i="51"/>
  <c r="CM123" i="51"/>
  <c r="CM45" i="51"/>
  <c r="CM132" i="51"/>
  <c r="CM60" i="51"/>
  <c r="CM83" i="51"/>
  <c r="CM95" i="51"/>
  <c r="CM73" i="51"/>
  <c r="CM129" i="51"/>
  <c r="CM118" i="51"/>
  <c r="CM149" i="51"/>
  <c r="CM124" i="51"/>
  <c r="CM27" i="51"/>
  <c r="CM104" i="51"/>
  <c r="CM89" i="51"/>
  <c r="CM24" i="51"/>
  <c r="CM145" i="51"/>
  <c r="CM47" i="51"/>
  <c r="CM94" i="51"/>
  <c r="CM126" i="51"/>
  <c r="CM38" i="51"/>
  <c r="CM93" i="51"/>
  <c r="CM125" i="51"/>
  <c r="CM37" i="51"/>
  <c r="CM140" i="51"/>
  <c r="CM52" i="51"/>
  <c r="CM75" i="51"/>
  <c r="CM103" i="51"/>
  <c r="CM65" i="51"/>
  <c r="CM40" i="51"/>
  <c r="CM63" i="51"/>
  <c r="CM54" i="51"/>
  <c r="CM53" i="51"/>
  <c r="CM33" i="51"/>
  <c r="CM112" i="51"/>
  <c r="CM80" i="51"/>
  <c r="CM26" i="51"/>
  <c r="CM39" i="51"/>
  <c r="CM98" i="51"/>
  <c r="CM130" i="51"/>
  <c r="CM99" i="51"/>
  <c r="CM131" i="51"/>
  <c r="CM87" i="51"/>
  <c r="CM29" i="51"/>
  <c r="CM148" i="51"/>
  <c r="CM44" i="51"/>
  <c r="CM67" i="51"/>
  <c r="CM119" i="51"/>
  <c r="CM57" i="51"/>
  <c r="CM42" i="51"/>
  <c r="CM117" i="51"/>
  <c r="CM68" i="51"/>
  <c r="CM81" i="51"/>
  <c r="CM120" i="51"/>
  <c r="CM72" i="51"/>
  <c r="CM97" i="51"/>
  <c r="CM31" i="51"/>
  <c r="CM102" i="51"/>
  <c r="CM134" i="51"/>
  <c r="CM86" i="51"/>
  <c r="CM22" i="51"/>
  <c r="CM101" i="51"/>
  <c r="CM133" i="51"/>
  <c r="CM85" i="51"/>
  <c r="CM21" i="51"/>
  <c r="CM36" i="51"/>
  <c r="CM59" i="51"/>
  <c r="CM127" i="51"/>
  <c r="CM49" i="51"/>
  <c r="CM20" i="51"/>
  <c r="AF139" i="51"/>
  <c r="CX139" i="51" s="1"/>
  <c r="AG139" i="51"/>
  <c r="CY139" i="51" s="1"/>
  <c r="AH139" i="51"/>
  <c r="CZ139" i="51" s="1"/>
  <c r="AI139" i="51"/>
  <c r="DA139" i="51" s="1"/>
  <c r="AJ139" i="51"/>
  <c r="DB139" i="51" s="1"/>
  <c r="AK139" i="51"/>
  <c r="DC139" i="51" s="1"/>
  <c r="AL139" i="51"/>
  <c r="DD139" i="51" s="1"/>
  <c r="AM139" i="51"/>
  <c r="DE139" i="51" s="1"/>
  <c r="AN139" i="51"/>
  <c r="DF139" i="51" s="1"/>
  <c r="AF140" i="51"/>
  <c r="CX140" i="51" s="1"/>
  <c r="AG140" i="51"/>
  <c r="CY140" i="51" s="1"/>
  <c r="AH140" i="51"/>
  <c r="CZ140" i="51" s="1"/>
  <c r="AI140" i="51"/>
  <c r="DA140" i="51" s="1"/>
  <c r="AJ140" i="51"/>
  <c r="DB140" i="51" s="1"/>
  <c r="AK140" i="51"/>
  <c r="DC140" i="51" s="1"/>
  <c r="AL140" i="51"/>
  <c r="DD140" i="51" s="1"/>
  <c r="AM140" i="51"/>
  <c r="DE140" i="51" s="1"/>
  <c r="AN140" i="51"/>
  <c r="DF140" i="51" s="1"/>
  <c r="AF141" i="51"/>
  <c r="CX141" i="51" s="1"/>
  <c r="AG141" i="51"/>
  <c r="CY141" i="51" s="1"/>
  <c r="AH141" i="51"/>
  <c r="CZ141" i="51" s="1"/>
  <c r="AI141" i="51"/>
  <c r="DA141" i="51" s="1"/>
  <c r="AJ141" i="51"/>
  <c r="DB141" i="51" s="1"/>
  <c r="AK141" i="51"/>
  <c r="DC141" i="51" s="1"/>
  <c r="AL141" i="51"/>
  <c r="DD141" i="51" s="1"/>
  <c r="AM141" i="51"/>
  <c r="DE141" i="51" s="1"/>
  <c r="AN141" i="51"/>
  <c r="DF141" i="51" s="1"/>
  <c r="AF142" i="51"/>
  <c r="CX142" i="51" s="1"/>
  <c r="AG142" i="51"/>
  <c r="CY142" i="51" s="1"/>
  <c r="AH142" i="51"/>
  <c r="CZ142" i="51" s="1"/>
  <c r="AI142" i="51"/>
  <c r="DA142" i="51" s="1"/>
  <c r="AJ142" i="51"/>
  <c r="DB142" i="51" s="1"/>
  <c r="AK142" i="51"/>
  <c r="DC142" i="51" s="1"/>
  <c r="AL142" i="51"/>
  <c r="DD142" i="51" s="1"/>
  <c r="AM142" i="51"/>
  <c r="DE142" i="51" s="1"/>
  <c r="AN142" i="51"/>
  <c r="DF142" i="51" s="1"/>
  <c r="AF143" i="51"/>
  <c r="CX143" i="51" s="1"/>
  <c r="AG143" i="51"/>
  <c r="CY143" i="51" s="1"/>
  <c r="AH143" i="51"/>
  <c r="CZ143" i="51" s="1"/>
  <c r="AI143" i="51"/>
  <c r="DA143" i="51" s="1"/>
  <c r="AJ143" i="51"/>
  <c r="DB143" i="51" s="1"/>
  <c r="AK143" i="51"/>
  <c r="DC143" i="51" s="1"/>
  <c r="AL143" i="51"/>
  <c r="DD143" i="51" s="1"/>
  <c r="AM143" i="51"/>
  <c r="DE143" i="51" s="1"/>
  <c r="AN143" i="51"/>
  <c r="DF143" i="51" s="1"/>
  <c r="AF144" i="51"/>
  <c r="CX144" i="51" s="1"/>
  <c r="AG144" i="51"/>
  <c r="CY144" i="51" s="1"/>
  <c r="AH144" i="51"/>
  <c r="CZ144" i="51" s="1"/>
  <c r="AI144" i="51"/>
  <c r="DA144" i="51" s="1"/>
  <c r="AJ144" i="51"/>
  <c r="DB144" i="51" s="1"/>
  <c r="AK144" i="51"/>
  <c r="DC144" i="51" s="1"/>
  <c r="AL144" i="51"/>
  <c r="DD144" i="51" s="1"/>
  <c r="AM144" i="51"/>
  <c r="DE144" i="51" s="1"/>
  <c r="AN144" i="51"/>
  <c r="DF144" i="51" s="1"/>
  <c r="AF145" i="51"/>
  <c r="CX145" i="51" s="1"/>
  <c r="AG145" i="51"/>
  <c r="CY145" i="51" s="1"/>
  <c r="AH145" i="51"/>
  <c r="CZ145" i="51" s="1"/>
  <c r="AI145" i="51"/>
  <c r="DA145" i="51" s="1"/>
  <c r="AJ145" i="51"/>
  <c r="DB145" i="51" s="1"/>
  <c r="AK145" i="51"/>
  <c r="DC145" i="51" s="1"/>
  <c r="AL145" i="51"/>
  <c r="DD145" i="51" s="1"/>
  <c r="AM145" i="51"/>
  <c r="DE145" i="51" s="1"/>
  <c r="AN145" i="51"/>
  <c r="DF145" i="51" s="1"/>
  <c r="AF146" i="51"/>
  <c r="CX146" i="51" s="1"/>
  <c r="AG146" i="51"/>
  <c r="CY146" i="51" s="1"/>
  <c r="AH146" i="51"/>
  <c r="CZ146" i="51" s="1"/>
  <c r="AI146" i="51"/>
  <c r="DA146" i="51" s="1"/>
  <c r="AJ146" i="51"/>
  <c r="DB146" i="51" s="1"/>
  <c r="AK146" i="51"/>
  <c r="DC146" i="51" s="1"/>
  <c r="AL146" i="51"/>
  <c r="DD146" i="51" s="1"/>
  <c r="AM146" i="51"/>
  <c r="DE146" i="51" s="1"/>
  <c r="AN146" i="51"/>
  <c r="DF146" i="51" s="1"/>
  <c r="AF147" i="51"/>
  <c r="CX147" i="51" s="1"/>
  <c r="AG147" i="51"/>
  <c r="CY147" i="51" s="1"/>
  <c r="AH147" i="51"/>
  <c r="CZ147" i="51" s="1"/>
  <c r="AI147" i="51"/>
  <c r="DA147" i="51" s="1"/>
  <c r="AJ147" i="51"/>
  <c r="DB147" i="51" s="1"/>
  <c r="AK147" i="51"/>
  <c r="DC147" i="51" s="1"/>
  <c r="AL147" i="51"/>
  <c r="DD147" i="51" s="1"/>
  <c r="AM147" i="51"/>
  <c r="DE147" i="51" s="1"/>
  <c r="AN147" i="51"/>
  <c r="DF147" i="51" s="1"/>
  <c r="AF148" i="51"/>
  <c r="CX148" i="51" s="1"/>
  <c r="AG148" i="51"/>
  <c r="CY148" i="51" s="1"/>
  <c r="AH148" i="51"/>
  <c r="CZ148" i="51" s="1"/>
  <c r="AI148" i="51"/>
  <c r="DA148" i="51" s="1"/>
  <c r="AJ148" i="51"/>
  <c r="DB148" i="51" s="1"/>
  <c r="AK148" i="51"/>
  <c r="DC148" i="51" s="1"/>
  <c r="AL148" i="51"/>
  <c r="DD148" i="51" s="1"/>
  <c r="AM148" i="51"/>
  <c r="DE148" i="51" s="1"/>
  <c r="AN148" i="51"/>
  <c r="DF148" i="51" s="1"/>
  <c r="AF149" i="51"/>
  <c r="CX149" i="51" s="1"/>
  <c r="AG149" i="51"/>
  <c r="CY149" i="51" s="1"/>
  <c r="AH149" i="51"/>
  <c r="CZ149" i="51" s="1"/>
  <c r="AI149" i="51"/>
  <c r="DA149" i="51" s="1"/>
  <c r="AJ149" i="51"/>
  <c r="DB149" i="51" s="1"/>
  <c r="AK149" i="51"/>
  <c r="DC149" i="51" s="1"/>
  <c r="AL149" i="51"/>
  <c r="DD149" i="51" s="1"/>
  <c r="AM149" i="51"/>
  <c r="DE149" i="51" s="1"/>
  <c r="AN149" i="51"/>
  <c r="DF149" i="51" s="1"/>
  <c r="AN138" i="51"/>
  <c r="DF138" i="51" s="1"/>
  <c r="AM138" i="51"/>
  <c r="DE138" i="51" s="1"/>
  <c r="AL138" i="51"/>
  <c r="DD138" i="51" s="1"/>
  <c r="AK138" i="51"/>
  <c r="DC138" i="51" s="1"/>
  <c r="AJ138" i="51"/>
  <c r="DB138" i="51" s="1"/>
  <c r="AI138" i="51"/>
  <c r="DA138" i="51" s="1"/>
  <c r="AH138" i="51"/>
  <c r="CZ138" i="51" s="1"/>
  <c r="AG138" i="51"/>
  <c r="CY138" i="51" s="1"/>
  <c r="AF138" i="51"/>
  <c r="CX138" i="51" s="1"/>
  <c r="AN137" i="51"/>
  <c r="DF137" i="51" s="1"/>
  <c r="AM137" i="51"/>
  <c r="DE137" i="51" s="1"/>
  <c r="AL137" i="51"/>
  <c r="DD137" i="51" s="1"/>
  <c r="AK137" i="51"/>
  <c r="DC137" i="51" s="1"/>
  <c r="AJ137" i="51"/>
  <c r="DB137" i="51" s="1"/>
  <c r="AI137" i="51"/>
  <c r="DA137" i="51" s="1"/>
  <c r="AH137" i="51"/>
  <c r="CZ137" i="51" s="1"/>
  <c r="AG137" i="51"/>
  <c r="CY137" i="51" s="1"/>
  <c r="AF137" i="51"/>
  <c r="CX137" i="51" s="1"/>
  <c r="AN136" i="51"/>
  <c r="DF136" i="51" s="1"/>
  <c r="AM136" i="51"/>
  <c r="DE136" i="51" s="1"/>
  <c r="AL136" i="51"/>
  <c r="DD136" i="51" s="1"/>
  <c r="AK136" i="51"/>
  <c r="DC136" i="51" s="1"/>
  <c r="AJ136" i="51"/>
  <c r="DB136" i="51" s="1"/>
  <c r="AI136" i="51"/>
  <c r="DA136" i="51" s="1"/>
  <c r="AH136" i="51"/>
  <c r="CZ136" i="51" s="1"/>
  <c r="AG136" i="51"/>
  <c r="CY136" i="51" s="1"/>
  <c r="AF136" i="51"/>
  <c r="CX136" i="51" s="1"/>
  <c r="AN135" i="51"/>
  <c r="DF135" i="51" s="1"/>
  <c r="AM135" i="51"/>
  <c r="DE135" i="51" s="1"/>
  <c r="AL135" i="51"/>
  <c r="DD135" i="51" s="1"/>
  <c r="AK135" i="51"/>
  <c r="DC135" i="51" s="1"/>
  <c r="AJ135" i="51"/>
  <c r="DB135" i="51" s="1"/>
  <c r="AI135" i="51"/>
  <c r="DA135" i="51" s="1"/>
  <c r="AH135" i="51"/>
  <c r="CZ135" i="51" s="1"/>
  <c r="AG135" i="51"/>
  <c r="CY135" i="51" s="1"/>
  <c r="AF135" i="51"/>
  <c r="CX135" i="51" s="1"/>
  <c r="AN134" i="51"/>
  <c r="DF134" i="51" s="1"/>
  <c r="AM134" i="51"/>
  <c r="DE134" i="51" s="1"/>
  <c r="AL134" i="51"/>
  <c r="DD134" i="51" s="1"/>
  <c r="AK134" i="51"/>
  <c r="DC134" i="51" s="1"/>
  <c r="AJ134" i="51"/>
  <c r="DB134" i="51" s="1"/>
  <c r="AI134" i="51"/>
  <c r="DA134" i="51" s="1"/>
  <c r="AH134" i="51"/>
  <c r="CZ134" i="51" s="1"/>
  <c r="AG134" i="51"/>
  <c r="CY134" i="51" s="1"/>
  <c r="AF134" i="51"/>
  <c r="CX134" i="51" s="1"/>
  <c r="AN133" i="51"/>
  <c r="DF133" i="51" s="1"/>
  <c r="AM133" i="51"/>
  <c r="DE133" i="51" s="1"/>
  <c r="AL133" i="51"/>
  <c r="DD133" i="51" s="1"/>
  <c r="AK133" i="51"/>
  <c r="DC133" i="51" s="1"/>
  <c r="AJ133" i="51"/>
  <c r="DB133" i="51" s="1"/>
  <c r="AI133" i="51"/>
  <c r="DA133" i="51" s="1"/>
  <c r="AH133" i="51"/>
  <c r="CZ133" i="51" s="1"/>
  <c r="AG133" i="51"/>
  <c r="CY133" i="51" s="1"/>
  <c r="AF133" i="51"/>
  <c r="CX133" i="51" s="1"/>
  <c r="AN132" i="51"/>
  <c r="DF132" i="51" s="1"/>
  <c r="AM132" i="51"/>
  <c r="DE132" i="51" s="1"/>
  <c r="AL132" i="51"/>
  <c r="DD132" i="51" s="1"/>
  <c r="AK132" i="51"/>
  <c r="DC132" i="51" s="1"/>
  <c r="AJ132" i="51"/>
  <c r="DB132" i="51" s="1"/>
  <c r="AI132" i="51"/>
  <c r="DA132" i="51" s="1"/>
  <c r="AH132" i="51"/>
  <c r="CZ132" i="51" s="1"/>
  <c r="AG132" i="51"/>
  <c r="CY132" i="51" s="1"/>
  <c r="AF132" i="51"/>
  <c r="CX132" i="51" s="1"/>
  <c r="AN131" i="51"/>
  <c r="DF131" i="51" s="1"/>
  <c r="AM131" i="51"/>
  <c r="DE131" i="51" s="1"/>
  <c r="AL131" i="51"/>
  <c r="DD131" i="51" s="1"/>
  <c r="AK131" i="51"/>
  <c r="DC131" i="51" s="1"/>
  <c r="AJ131" i="51"/>
  <c r="DB131" i="51" s="1"/>
  <c r="AI131" i="51"/>
  <c r="DA131" i="51" s="1"/>
  <c r="AH131" i="51"/>
  <c r="CZ131" i="51" s="1"/>
  <c r="AG131" i="51"/>
  <c r="CY131" i="51" s="1"/>
  <c r="AF131" i="51"/>
  <c r="CX131" i="51" s="1"/>
  <c r="AN130" i="51"/>
  <c r="DF130" i="51" s="1"/>
  <c r="AM130" i="51"/>
  <c r="DE130" i="51" s="1"/>
  <c r="AL130" i="51"/>
  <c r="DD130" i="51" s="1"/>
  <c r="AK130" i="51"/>
  <c r="DC130" i="51" s="1"/>
  <c r="AJ130" i="51"/>
  <c r="DB130" i="51" s="1"/>
  <c r="AI130" i="51"/>
  <c r="DA130" i="51" s="1"/>
  <c r="AH130" i="51"/>
  <c r="CZ130" i="51" s="1"/>
  <c r="AG130" i="51"/>
  <c r="CY130" i="51" s="1"/>
  <c r="AF130" i="51"/>
  <c r="CX130" i="51" s="1"/>
  <c r="AN129" i="51"/>
  <c r="DF129" i="51" s="1"/>
  <c r="AM129" i="51"/>
  <c r="DE129" i="51" s="1"/>
  <c r="AL129" i="51"/>
  <c r="DD129" i="51" s="1"/>
  <c r="AK129" i="51"/>
  <c r="DC129" i="51" s="1"/>
  <c r="AJ129" i="51"/>
  <c r="DB129" i="51" s="1"/>
  <c r="AI129" i="51"/>
  <c r="DA129" i="51" s="1"/>
  <c r="AH129" i="51"/>
  <c r="CZ129" i="51" s="1"/>
  <c r="AG129" i="51"/>
  <c r="CY129" i="51" s="1"/>
  <c r="AF129" i="51"/>
  <c r="CX129" i="51" s="1"/>
  <c r="AN128" i="51"/>
  <c r="DF128" i="51" s="1"/>
  <c r="AM128" i="51"/>
  <c r="DE128" i="51" s="1"/>
  <c r="AL128" i="51"/>
  <c r="DD128" i="51" s="1"/>
  <c r="AK128" i="51"/>
  <c r="DC128" i="51" s="1"/>
  <c r="AJ128" i="51"/>
  <c r="DB128" i="51" s="1"/>
  <c r="AI128" i="51"/>
  <c r="DA128" i="51" s="1"/>
  <c r="AH128" i="51"/>
  <c r="CZ128" i="51" s="1"/>
  <c r="AG128" i="51"/>
  <c r="CY128" i="51" s="1"/>
  <c r="AF128" i="51"/>
  <c r="CX128" i="51" s="1"/>
  <c r="AN127" i="51"/>
  <c r="DF127" i="51" s="1"/>
  <c r="AM127" i="51"/>
  <c r="DE127" i="51" s="1"/>
  <c r="AL127" i="51"/>
  <c r="DD127" i="51" s="1"/>
  <c r="AK127" i="51"/>
  <c r="DC127" i="51" s="1"/>
  <c r="AJ127" i="51"/>
  <c r="DB127" i="51" s="1"/>
  <c r="AI127" i="51"/>
  <c r="DA127" i="51" s="1"/>
  <c r="AH127" i="51"/>
  <c r="CZ127" i="51" s="1"/>
  <c r="AG127" i="51"/>
  <c r="CY127" i="51" s="1"/>
  <c r="AF127" i="51"/>
  <c r="CX127" i="51" s="1"/>
  <c r="AN126" i="51"/>
  <c r="DF126" i="51" s="1"/>
  <c r="AM126" i="51"/>
  <c r="DE126" i="51" s="1"/>
  <c r="AL126" i="51"/>
  <c r="DD126" i="51" s="1"/>
  <c r="AK126" i="51"/>
  <c r="DC126" i="51" s="1"/>
  <c r="AJ126" i="51"/>
  <c r="DB126" i="51" s="1"/>
  <c r="AI126" i="51"/>
  <c r="DA126" i="51" s="1"/>
  <c r="AH126" i="51"/>
  <c r="CZ126" i="51" s="1"/>
  <c r="AG126" i="51"/>
  <c r="CY126" i="51" s="1"/>
  <c r="AF126" i="51"/>
  <c r="CX126" i="51" s="1"/>
  <c r="AN125" i="51"/>
  <c r="DF125" i="51" s="1"/>
  <c r="AM125" i="51"/>
  <c r="DE125" i="51" s="1"/>
  <c r="AL125" i="51"/>
  <c r="DD125" i="51" s="1"/>
  <c r="AK125" i="51"/>
  <c r="DC125" i="51" s="1"/>
  <c r="AJ125" i="51"/>
  <c r="DB125" i="51" s="1"/>
  <c r="AI125" i="51"/>
  <c r="DA125" i="51" s="1"/>
  <c r="AH125" i="51"/>
  <c r="CZ125" i="51" s="1"/>
  <c r="AG125" i="51"/>
  <c r="CY125" i="51" s="1"/>
  <c r="AF125" i="51"/>
  <c r="CX125" i="51" s="1"/>
  <c r="AN124" i="51"/>
  <c r="DF124" i="51" s="1"/>
  <c r="AM124" i="51"/>
  <c r="DE124" i="51" s="1"/>
  <c r="AL124" i="51"/>
  <c r="DD124" i="51" s="1"/>
  <c r="AK124" i="51"/>
  <c r="DC124" i="51" s="1"/>
  <c r="AJ124" i="51"/>
  <c r="DB124" i="51" s="1"/>
  <c r="AI124" i="51"/>
  <c r="DA124" i="51" s="1"/>
  <c r="AH124" i="51"/>
  <c r="CZ124" i="51" s="1"/>
  <c r="AG124" i="51"/>
  <c r="CY124" i="51" s="1"/>
  <c r="AF124" i="51"/>
  <c r="CX124" i="51" s="1"/>
  <c r="AN123" i="51"/>
  <c r="DF123" i="51" s="1"/>
  <c r="AM123" i="51"/>
  <c r="DE123" i="51" s="1"/>
  <c r="AL123" i="51"/>
  <c r="DD123" i="51" s="1"/>
  <c r="AK123" i="51"/>
  <c r="DC123" i="51" s="1"/>
  <c r="AJ123" i="51"/>
  <c r="DB123" i="51" s="1"/>
  <c r="AI123" i="51"/>
  <c r="DA123" i="51" s="1"/>
  <c r="AH123" i="51"/>
  <c r="CZ123" i="51" s="1"/>
  <c r="AG123" i="51"/>
  <c r="CY123" i="51" s="1"/>
  <c r="AF123" i="51"/>
  <c r="CX123" i="51" s="1"/>
  <c r="AN122" i="51"/>
  <c r="DF122" i="51" s="1"/>
  <c r="AM122" i="51"/>
  <c r="DE122" i="51" s="1"/>
  <c r="AL122" i="51"/>
  <c r="DD122" i="51" s="1"/>
  <c r="AK122" i="51"/>
  <c r="DC122" i="51" s="1"/>
  <c r="AJ122" i="51"/>
  <c r="DB122" i="51" s="1"/>
  <c r="AI122" i="51"/>
  <c r="DA122" i="51" s="1"/>
  <c r="AH122" i="51"/>
  <c r="CZ122" i="51" s="1"/>
  <c r="AG122" i="51"/>
  <c r="CY122" i="51" s="1"/>
  <c r="AF122" i="51"/>
  <c r="CX122" i="51" s="1"/>
  <c r="AN121" i="51"/>
  <c r="DF121" i="51" s="1"/>
  <c r="AM121" i="51"/>
  <c r="DE121" i="51" s="1"/>
  <c r="AL121" i="51"/>
  <c r="DD121" i="51" s="1"/>
  <c r="AK121" i="51"/>
  <c r="DC121" i="51" s="1"/>
  <c r="AJ121" i="51"/>
  <c r="DB121" i="51" s="1"/>
  <c r="AI121" i="51"/>
  <c r="DA121" i="51" s="1"/>
  <c r="AH121" i="51"/>
  <c r="CZ121" i="51" s="1"/>
  <c r="AG121" i="51"/>
  <c r="CY121" i="51" s="1"/>
  <c r="AF121" i="51"/>
  <c r="CX121" i="51" s="1"/>
  <c r="AN120" i="51"/>
  <c r="DF120" i="51" s="1"/>
  <c r="AM120" i="51"/>
  <c r="DE120" i="51" s="1"/>
  <c r="AL120" i="51"/>
  <c r="DD120" i="51" s="1"/>
  <c r="AK120" i="51"/>
  <c r="DC120" i="51" s="1"/>
  <c r="AJ120" i="51"/>
  <c r="DB120" i="51" s="1"/>
  <c r="AI120" i="51"/>
  <c r="DA120" i="51" s="1"/>
  <c r="AH120" i="51"/>
  <c r="CZ120" i="51" s="1"/>
  <c r="AG120" i="51"/>
  <c r="CY120" i="51" s="1"/>
  <c r="AF120" i="51"/>
  <c r="CX120" i="51" s="1"/>
  <c r="AN119" i="51"/>
  <c r="DF119" i="51" s="1"/>
  <c r="AM119" i="51"/>
  <c r="DE119" i="51" s="1"/>
  <c r="AL119" i="51"/>
  <c r="DD119" i="51" s="1"/>
  <c r="AK119" i="51"/>
  <c r="DC119" i="51" s="1"/>
  <c r="AJ119" i="51"/>
  <c r="DB119" i="51" s="1"/>
  <c r="AI119" i="51"/>
  <c r="DA119" i="51" s="1"/>
  <c r="AH119" i="51"/>
  <c r="CZ119" i="51" s="1"/>
  <c r="AG119" i="51"/>
  <c r="CY119" i="51" s="1"/>
  <c r="AF119" i="51"/>
  <c r="CX119" i="51" s="1"/>
  <c r="AN118" i="51"/>
  <c r="DF118" i="51" s="1"/>
  <c r="AM118" i="51"/>
  <c r="DE118" i="51" s="1"/>
  <c r="AL118" i="51"/>
  <c r="DD118" i="51" s="1"/>
  <c r="AK118" i="51"/>
  <c r="DC118" i="51" s="1"/>
  <c r="AJ118" i="51"/>
  <c r="DB118" i="51" s="1"/>
  <c r="AI118" i="51"/>
  <c r="DA118" i="51" s="1"/>
  <c r="AH118" i="51"/>
  <c r="CZ118" i="51" s="1"/>
  <c r="AG118" i="51"/>
  <c r="CY118" i="51" s="1"/>
  <c r="AF118" i="51"/>
  <c r="CX118" i="51" s="1"/>
  <c r="AN117" i="51"/>
  <c r="DF117" i="51" s="1"/>
  <c r="AM117" i="51"/>
  <c r="DE117" i="51" s="1"/>
  <c r="AL117" i="51"/>
  <c r="DD117" i="51" s="1"/>
  <c r="AK117" i="51"/>
  <c r="DC117" i="51" s="1"/>
  <c r="AJ117" i="51"/>
  <c r="DB117" i="51" s="1"/>
  <c r="AI117" i="51"/>
  <c r="DA117" i="51" s="1"/>
  <c r="AH117" i="51"/>
  <c r="CZ117" i="51" s="1"/>
  <c r="AG117" i="51"/>
  <c r="CY117" i="51" s="1"/>
  <c r="AF117" i="51"/>
  <c r="CX117" i="51" s="1"/>
  <c r="AN116" i="51"/>
  <c r="DF116" i="51" s="1"/>
  <c r="AM116" i="51"/>
  <c r="DE116" i="51" s="1"/>
  <c r="AL116" i="51"/>
  <c r="DD116" i="51" s="1"/>
  <c r="AK116" i="51"/>
  <c r="DC116" i="51" s="1"/>
  <c r="AJ116" i="51"/>
  <c r="DB116" i="51" s="1"/>
  <c r="AI116" i="51"/>
  <c r="DA116" i="51" s="1"/>
  <c r="AH116" i="51"/>
  <c r="CZ116" i="51" s="1"/>
  <c r="AG116" i="51"/>
  <c r="CY116" i="51" s="1"/>
  <c r="AF116" i="51"/>
  <c r="CX116" i="51" s="1"/>
  <c r="AN115" i="51"/>
  <c r="DF115" i="51" s="1"/>
  <c r="AM115" i="51"/>
  <c r="DE115" i="51" s="1"/>
  <c r="AL115" i="51"/>
  <c r="DD115" i="51" s="1"/>
  <c r="AK115" i="51"/>
  <c r="DC115" i="51" s="1"/>
  <c r="AJ115" i="51"/>
  <c r="DB115" i="51" s="1"/>
  <c r="AI115" i="51"/>
  <c r="DA115" i="51" s="1"/>
  <c r="AH115" i="51"/>
  <c r="CZ115" i="51" s="1"/>
  <c r="AG115" i="51"/>
  <c r="CY115" i="51" s="1"/>
  <c r="AF115" i="51"/>
  <c r="CX115" i="51" s="1"/>
  <c r="AN114" i="51"/>
  <c r="DF114" i="51" s="1"/>
  <c r="AM114" i="51"/>
  <c r="DE114" i="51" s="1"/>
  <c r="AL114" i="51"/>
  <c r="DD114" i="51" s="1"/>
  <c r="AK114" i="51"/>
  <c r="DC114" i="51" s="1"/>
  <c r="AJ114" i="51"/>
  <c r="DB114" i="51" s="1"/>
  <c r="AI114" i="51"/>
  <c r="DA114" i="51" s="1"/>
  <c r="AH114" i="51"/>
  <c r="CZ114" i="51" s="1"/>
  <c r="AG114" i="51"/>
  <c r="CY114" i="51" s="1"/>
  <c r="AF114" i="51"/>
  <c r="CX114" i="51" s="1"/>
  <c r="AN113" i="51"/>
  <c r="DF113" i="51" s="1"/>
  <c r="AM113" i="51"/>
  <c r="DE113" i="51" s="1"/>
  <c r="AL113" i="51"/>
  <c r="DD113" i="51" s="1"/>
  <c r="AK113" i="51"/>
  <c r="DC113" i="51" s="1"/>
  <c r="AJ113" i="51"/>
  <c r="DB113" i="51" s="1"/>
  <c r="AI113" i="51"/>
  <c r="DA113" i="51" s="1"/>
  <c r="AH113" i="51"/>
  <c r="CZ113" i="51" s="1"/>
  <c r="AG113" i="51"/>
  <c r="CY113" i="51" s="1"/>
  <c r="AF113" i="51"/>
  <c r="CX113" i="51" s="1"/>
  <c r="AN112" i="51"/>
  <c r="DF112" i="51" s="1"/>
  <c r="AM112" i="51"/>
  <c r="DE112" i="51" s="1"/>
  <c r="AL112" i="51"/>
  <c r="DD112" i="51" s="1"/>
  <c r="AK112" i="51"/>
  <c r="DC112" i="51" s="1"/>
  <c r="AJ112" i="51"/>
  <c r="DB112" i="51" s="1"/>
  <c r="AI112" i="51"/>
  <c r="DA112" i="51" s="1"/>
  <c r="AH112" i="51"/>
  <c r="CZ112" i="51" s="1"/>
  <c r="AG112" i="51"/>
  <c r="CY112" i="51" s="1"/>
  <c r="AF112" i="51"/>
  <c r="CX112" i="51" s="1"/>
  <c r="AN111" i="51"/>
  <c r="DF111" i="51" s="1"/>
  <c r="AM111" i="51"/>
  <c r="DE111" i="51" s="1"/>
  <c r="AL111" i="51"/>
  <c r="DD111" i="51" s="1"/>
  <c r="AK111" i="51"/>
  <c r="DC111" i="51" s="1"/>
  <c r="AJ111" i="51"/>
  <c r="DB111" i="51" s="1"/>
  <c r="AI111" i="51"/>
  <c r="DA111" i="51" s="1"/>
  <c r="AH111" i="51"/>
  <c r="CZ111" i="51" s="1"/>
  <c r="AG111" i="51"/>
  <c r="CY111" i="51" s="1"/>
  <c r="AF111" i="51"/>
  <c r="CX111" i="51" s="1"/>
  <c r="AN110" i="51"/>
  <c r="DF110" i="51" s="1"/>
  <c r="AM110" i="51"/>
  <c r="DE110" i="51" s="1"/>
  <c r="AL110" i="51"/>
  <c r="DD110" i="51" s="1"/>
  <c r="AK110" i="51"/>
  <c r="DC110" i="51" s="1"/>
  <c r="AJ110" i="51"/>
  <c r="DB110" i="51" s="1"/>
  <c r="AI110" i="51"/>
  <c r="DA110" i="51" s="1"/>
  <c r="AH110" i="51"/>
  <c r="CZ110" i="51" s="1"/>
  <c r="AG110" i="51"/>
  <c r="CY110" i="51" s="1"/>
  <c r="AF110" i="51"/>
  <c r="CX110" i="51" s="1"/>
  <c r="AN109" i="51"/>
  <c r="DF109" i="51" s="1"/>
  <c r="AM109" i="51"/>
  <c r="DE109" i="51" s="1"/>
  <c r="AL109" i="51"/>
  <c r="DD109" i="51" s="1"/>
  <c r="AK109" i="51"/>
  <c r="DC109" i="51" s="1"/>
  <c r="AJ109" i="51"/>
  <c r="DB109" i="51" s="1"/>
  <c r="AI109" i="51"/>
  <c r="DA109" i="51" s="1"/>
  <c r="AH109" i="51"/>
  <c r="CZ109" i="51" s="1"/>
  <c r="AG109" i="51"/>
  <c r="CY109" i="51" s="1"/>
  <c r="AF109" i="51"/>
  <c r="CX109" i="51" s="1"/>
  <c r="AN108" i="51"/>
  <c r="DF108" i="51" s="1"/>
  <c r="AM108" i="51"/>
  <c r="DE108" i="51" s="1"/>
  <c r="AL108" i="51"/>
  <c r="DD108" i="51" s="1"/>
  <c r="AK108" i="51"/>
  <c r="DC108" i="51" s="1"/>
  <c r="AJ108" i="51"/>
  <c r="DB108" i="51" s="1"/>
  <c r="AI108" i="51"/>
  <c r="DA108" i="51" s="1"/>
  <c r="AH108" i="51"/>
  <c r="CZ108" i="51" s="1"/>
  <c r="AG108" i="51"/>
  <c r="CY108" i="51" s="1"/>
  <c r="AF108" i="51"/>
  <c r="CX108" i="51" s="1"/>
  <c r="AN107" i="51"/>
  <c r="DF107" i="51" s="1"/>
  <c r="AM107" i="51"/>
  <c r="DE107" i="51" s="1"/>
  <c r="AL107" i="51"/>
  <c r="DD107" i="51" s="1"/>
  <c r="AK107" i="51"/>
  <c r="DC107" i="51" s="1"/>
  <c r="AJ107" i="51"/>
  <c r="DB107" i="51" s="1"/>
  <c r="AI107" i="51"/>
  <c r="DA107" i="51" s="1"/>
  <c r="AH107" i="51"/>
  <c r="CZ107" i="51" s="1"/>
  <c r="AG107" i="51"/>
  <c r="CY107" i="51" s="1"/>
  <c r="AF107" i="51"/>
  <c r="CX107" i="51" s="1"/>
  <c r="AN106" i="51"/>
  <c r="DF106" i="51" s="1"/>
  <c r="AM106" i="51"/>
  <c r="DE106" i="51" s="1"/>
  <c r="AL106" i="51"/>
  <c r="DD106" i="51" s="1"/>
  <c r="AK106" i="51"/>
  <c r="DC106" i="51" s="1"/>
  <c r="AJ106" i="51"/>
  <c r="DB106" i="51" s="1"/>
  <c r="AI106" i="51"/>
  <c r="DA106" i="51" s="1"/>
  <c r="AH106" i="51"/>
  <c r="CZ106" i="51" s="1"/>
  <c r="AG106" i="51"/>
  <c r="CY106" i="51" s="1"/>
  <c r="AF106" i="51"/>
  <c r="CX106" i="51" s="1"/>
  <c r="AN105" i="51"/>
  <c r="DF105" i="51" s="1"/>
  <c r="AM105" i="51"/>
  <c r="DE105" i="51" s="1"/>
  <c r="AL105" i="51"/>
  <c r="DD105" i="51" s="1"/>
  <c r="AK105" i="51"/>
  <c r="DC105" i="51" s="1"/>
  <c r="AJ105" i="51"/>
  <c r="DB105" i="51" s="1"/>
  <c r="AI105" i="51"/>
  <c r="DA105" i="51" s="1"/>
  <c r="AH105" i="51"/>
  <c r="CZ105" i="51" s="1"/>
  <c r="AG105" i="51"/>
  <c r="CY105" i="51" s="1"/>
  <c r="AF105" i="51"/>
  <c r="CX105" i="51" s="1"/>
  <c r="AN104" i="51"/>
  <c r="DF104" i="51" s="1"/>
  <c r="AM104" i="51"/>
  <c r="DE104" i="51" s="1"/>
  <c r="AL104" i="51"/>
  <c r="DD104" i="51" s="1"/>
  <c r="AK104" i="51"/>
  <c r="DC104" i="51" s="1"/>
  <c r="AJ104" i="51"/>
  <c r="DB104" i="51" s="1"/>
  <c r="AI104" i="51"/>
  <c r="DA104" i="51" s="1"/>
  <c r="AH104" i="51"/>
  <c r="CZ104" i="51" s="1"/>
  <c r="AG104" i="51"/>
  <c r="CY104" i="51" s="1"/>
  <c r="AF104" i="51"/>
  <c r="CX104" i="51" s="1"/>
  <c r="AN103" i="51"/>
  <c r="DF103" i="51" s="1"/>
  <c r="AM103" i="51"/>
  <c r="DE103" i="51" s="1"/>
  <c r="AL103" i="51"/>
  <c r="DD103" i="51" s="1"/>
  <c r="AK103" i="51"/>
  <c r="DC103" i="51" s="1"/>
  <c r="AJ103" i="51"/>
  <c r="DB103" i="51" s="1"/>
  <c r="AI103" i="51"/>
  <c r="DA103" i="51" s="1"/>
  <c r="AH103" i="51"/>
  <c r="CZ103" i="51" s="1"/>
  <c r="AG103" i="51"/>
  <c r="CY103" i="51" s="1"/>
  <c r="AF103" i="51"/>
  <c r="CX103" i="51" s="1"/>
  <c r="AN102" i="51"/>
  <c r="DF102" i="51" s="1"/>
  <c r="AM102" i="51"/>
  <c r="DE102" i="51" s="1"/>
  <c r="AL102" i="51"/>
  <c r="DD102" i="51" s="1"/>
  <c r="AK102" i="51"/>
  <c r="DC102" i="51" s="1"/>
  <c r="AJ102" i="51"/>
  <c r="DB102" i="51" s="1"/>
  <c r="AI102" i="51"/>
  <c r="DA102" i="51" s="1"/>
  <c r="AH102" i="51"/>
  <c r="CZ102" i="51" s="1"/>
  <c r="AG102" i="51"/>
  <c r="CY102" i="51" s="1"/>
  <c r="AF102" i="51"/>
  <c r="CX102" i="51" s="1"/>
  <c r="AN101" i="51"/>
  <c r="DF101" i="51" s="1"/>
  <c r="AM101" i="51"/>
  <c r="DE101" i="51" s="1"/>
  <c r="AL101" i="51"/>
  <c r="DD101" i="51" s="1"/>
  <c r="AK101" i="51"/>
  <c r="DC101" i="51" s="1"/>
  <c r="AJ101" i="51"/>
  <c r="DB101" i="51" s="1"/>
  <c r="AI101" i="51"/>
  <c r="DA101" i="51" s="1"/>
  <c r="AH101" i="51"/>
  <c r="CZ101" i="51" s="1"/>
  <c r="AG101" i="51"/>
  <c r="CY101" i="51" s="1"/>
  <c r="AF101" i="51"/>
  <c r="CX101" i="51" s="1"/>
  <c r="AN100" i="51"/>
  <c r="DF100" i="51" s="1"/>
  <c r="AM100" i="51"/>
  <c r="DE100" i="51" s="1"/>
  <c r="AL100" i="51"/>
  <c r="DD100" i="51" s="1"/>
  <c r="AK100" i="51"/>
  <c r="DC100" i="51" s="1"/>
  <c r="AJ100" i="51"/>
  <c r="DB100" i="51" s="1"/>
  <c r="AI100" i="51"/>
  <c r="DA100" i="51" s="1"/>
  <c r="AH100" i="51"/>
  <c r="CZ100" i="51" s="1"/>
  <c r="AG100" i="51"/>
  <c r="CY100" i="51" s="1"/>
  <c r="AF100" i="51"/>
  <c r="CX100" i="51" s="1"/>
  <c r="AN99" i="51"/>
  <c r="DF99" i="51" s="1"/>
  <c r="AM99" i="51"/>
  <c r="DE99" i="51" s="1"/>
  <c r="AL99" i="51"/>
  <c r="DD99" i="51" s="1"/>
  <c r="AK99" i="51"/>
  <c r="DC99" i="51" s="1"/>
  <c r="AJ99" i="51"/>
  <c r="DB99" i="51" s="1"/>
  <c r="AI99" i="51"/>
  <c r="DA99" i="51" s="1"/>
  <c r="AH99" i="51"/>
  <c r="CZ99" i="51" s="1"/>
  <c r="AG99" i="51"/>
  <c r="CY99" i="51" s="1"/>
  <c r="AF99" i="51"/>
  <c r="CX99" i="51" s="1"/>
  <c r="AN98" i="51"/>
  <c r="DF98" i="51" s="1"/>
  <c r="AM98" i="51"/>
  <c r="DE98" i="51" s="1"/>
  <c r="AL98" i="51"/>
  <c r="DD98" i="51" s="1"/>
  <c r="AK98" i="51"/>
  <c r="DC98" i="51" s="1"/>
  <c r="AJ98" i="51"/>
  <c r="DB98" i="51" s="1"/>
  <c r="AI98" i="51"/>
  <c r="DA98" i="51" s="1"/>
  <c r="AH98" i="51"/>
  <c r="CZ98" i="51" s="1"/>
  <c r="AG98" i="51"/>
  <c r="CY98" i="51" s="1"/>
  <c r="AF98" i="51"/>
  <c r="CX98" i="51" s="1"/>
  <c r="AN97" i="51"/>
  <c r="DF97" i="51" s="1"/>
  <c r="AM97" i="51"/>
  <c r="DE97" i="51" s="1"/>
  <c r="AL97" i="51"/>
  <c r="DD97" i="51" s="1"/>
  <c r="AK97" i="51"/>
  <c r="DC97" i="51" s="1"/>
  <c r="AJ97" i="51"/>
  <c r="DB97" i="51" s="1"/>
  <c r="AI97" i="51"/>
  <c r="DA97" i="51" s="1"/>
  <c r="AH97" i="51"/>
  <c r="CZ97" i="51" s="1"/>
  <c r="AG97" i="51"/>
  <c r="CY97" i="51" s="1"/>
  <c r="AF97" i="51"/>
  <c r="CX97" i="51" s="1"/>
  <c r="AN96" i="51"/>
  <c r="DF96" i="51" s="1"/>
  <c r="AM96" i="51"/>
  <c r="DE96" i="51" s="1"/>
  <c r="AL96" i="51"/>
  <c r="DD96" i="51" s="1"/>
  <c r="AK96" i="51"/>
  <c r="DC96" i="51" s="1"/>
  <c r="AJ96" i="51"/>
  <c r="DB96" i="51" s="1"/>
  <c r="AI96" i="51"/>
  <c r="DA96" i="51" s="1"/>
  <c r="AH96" i="51"/>
  <c r="CZ96" i="51" s="1"/>
  <c r="AG96" i="51"/>
  <c r="CY96" i="51" s="1"/>
  <c r="AF96" i="51"/>
  <c r="CX96" i="51" s="1"/>
  <c r="AN95" i="51"/>
  <c r="DF95" i="51" s="1"/>
  <c r="AM95" i="51"/>
  <c r="DE95" i="51" s="1"/>
  <c r="AL95" i="51"/>
  <c r="DD95" i="51" s="1"/>
  <c r="AK95" i="51"/>
  <c r="DC95" i="51" s="1"/>
  <c r="AJ95" i="51"/>
  <c r="DB95" i="51" s="1"/>
  <c r="AI95" i="51"/>
  <c r="DA95" i="51" s="1"/>
  <c r="AH95" i="51"/>
  <c r="CZ95" i="51" s="1"/>
  <c r="AG95" i="51"/>
  <c r="CY95" i="51" s="1"/>
  <c r="AF95" i="51"/>
  <c r="CX95" i="51" s="1"/>
  <c r="AN94" i="51"/>
  <c r="DF94" i="51" s="1"/>
  <c r="AM94" i="51"/>
  <c r="DE94" i="51" s="1"/>
  <c r="AL94" i="51"/>
  <c r="DD94" i="51" s="1"/>
  <c r="AK94" i="51"/>
  <c r="DC94" i="51" s="1"/>
  <c r="AJ94" i="51"/>
  <c r="DB94" i="51" s="1"/>
  <c r="AI94" i="51"/>
  <c r="DA94" i="51" s="1"/>
  <c r="AH94" i="51"/>
  <c r="CZ94" i="51" s="1"/>
  <c r="AG94" i="51"/>
  <c r="CY94" i="51" s="1"/>
  <c r="AF94" i="51"/>
  <c r="CX94" i="51" s="1"/>
  <c r="AN93" i="51"/>
  <c r="DF93" i="51" s="1"/>
  <c r="AM93" i="51"/>
  <c r="DE93" i="51" s="1"/>
  <c r="AL93" i="51"/>
  <c r="DD93" i="51" s="1"/>
  <c r="AK93" i="51"/>
  <c r="DC93" i="51" s="1"/>
  <c r="AJ93" i="51"/>
  <c r="DB93" i="51" s="1"/>
  <c r="AI93" i="51"/>
  <c r="DA93" i="51" s="1"/>
  <c r="AH93" i="51"/>
  <c r="CZ93" i="51" s="1"/>
  <c r="AG93" i="51"/>
  <c r="CY93" i="51" s="1"/>
  <c r="AF93" i="51"/>
  <c r="CX93" i="51" s="1"/>
  <c r="AN92" i="51"/>
  <c r="DF92" i="51" s="1"/>
  <c r="AM92" i="51"/>
  <c r="DE92" i="51" s="1"/>
  <c r="AL92" i="51"/>
  <c r="DD92" i="51" s="1"/>
  <c r="AK92" i="51"/>
  <c r="DC92" i="51" s="1"/>
  <c r="AJ92" i="51"/>
  <c r="DB92" i="51" s="1"/>
  <c r="AI92" i="51"/>
  <c r="DA92" i="51" s="1"/>
  <c r="AH92" i="51"/>
  <c r="CZ92" i="51" s="1"/>
  <c r="AG92" i="51"/>
  <c r="CY92" i="51" s="1"/>
  <c r="AF92" i="51"/>
  <c r="CX92" i="51" s="1"/>
  <c r="AN91" i="51"/>
  <c r="DF91" i="51" s="1"/>
  <c r="AM91" i="51"/>
  <c r="DE91" i="51" s="1"/>
  <c r="AL91" i="51"/>
  <c r="DD91" i="51" s="1"/>
  <c r="AK91" i="51"/>
  <c r="DC91" i="51" s="1"/>
  <c r="AJ91" i="51"/>
  <c r="DB91" i="51" s="1"/>
  <c r="AI91" i="51"/>
  <c r="DA91" i="51" s="1"/>
  <c r="AH91" i="51"/>
  <c r="CZ91" i="51" s="1"/>
  <c r="AG91" i="51"/>
  <c r="CY91" i="51" s="1"/>
  <c r="AF91" i="51"/>
  <c r="CX91" i="51" s="1"/>
  <c r="AN90" i="51"/>
  <c r="DF90" i="51" s="1"/>
  <c r="AM90" i="51"/>
  <c r="DE90" i="51" s="1"/>
  <c r="AL90" i="51"/>
  <c r="DD90" i="51" s="1"/>
  <c r="AK90" i="51"/>
  <c r="DC90" i="51" s="1"/>
  <c r="AJ90" i="51"/>
  <c r="DB90" i="51" s="1"/>
  <c r="AI90" i="51"/>
  <c r="DA90" i="51" s="1"/>
  <c r="AH90" i="51"/>
  <c r="CZ90" i="51" s="1"/>
  <c r="AG90" i="51"/>
  <c r="CY90" i="51" s="1"/>
  <c r="AF90" i="51"/>
  <c r="CX90" i="51" s="1"/>
  <c r="AN89" i="51"/>
  <c r="DF89" i="51" s="1"/>
  <c r="AM89" i="51"/>
  <c r="DE89" i="51" s="1"/>
  <c r="AL89" i="51"/>
  <c r="DD89" i="51" s="1"/>
  <c r="AK89" i="51"/>
  <c r="DC89" i="51" s="1"/>
  <c r="AJ89" i="51"/>
  <c r="DB89" i="51" s="1"/>
  <c r="AI89" i="51"/>
  <c r="DA89" i="51" s="1"/>
  <c r="AH89" i="51"/>
  <c r="CZ89" i="51" s="1"/>
  <c r="AG89" i="51"/>
  <c r="CY89" i="51" s="1"/>
  <c r="AF89" i="51"/>
  <c r="CX89" i="51" s="1"/>
  <c r="AN88" i="51"/>
  <c r="DF88" i="51" s="1"/>
  <c r="AM88" i="51"/>
  <c r="DE88" i="51" s="1"/>
  <c r="AL88" i="51"/>
  <c r="DD88" i="51" s="1"/>
  <c r="AK88" i="51"/>
  <c r="DC88" i="51" s="1"/>
  <c r="AJ88" i="51"/>
  <c r="DB88" i="51" s="1"/>
  <c r="AI88" i="51"/>
  <c r="DA88" i="51" s="1"/>
  <c r="AH88" i="51"/>
  <c r="CZ88" i="51" s="1"/>
  <c r="AG88" i="51"/>
  <c r="CY88" i="51" s="1"/>
  <c r="AF88" i="51"/>
  <c r="CX88" i="51" s="1"/>
  <c r="AN87" i="51"/>
  <c r="DF87" i="51" s="1"/>
  <c r="AM87" i="51"/>
  <c r="DE87" i="51" s="1"/>
  <c r="AL87" i="51"/>
  <c r="DD87" i="51" s="1"/>
  <c r="AK87" i="51"/>
  <c r="DC87" i="51" s="1"/>
  <c r="AJ87" i="51"/>
  <c r="DB87" i="51" s="1"/>
  <c r="AI87" i="51"/>
  <c r="DA87" i="51" s="1"/>
  <c r="AH87" i="51"/>
  <c r="CZ87" i="51" s="1"/>
  <c r="AG87" i="51"/>
  <c r="CY87" i="51" s="1"/>
  <c r="AF87" i="51"/>
  <c r="CX87" i="51" s="1"/>
  <c r="AN86" i="51"/>
  <c r="DF86" i="51" s="1"/>
  <c r="AM86" i="51"/>
  <c r="DE86" i="51" s="1"/>
  <c r="AL86" i="51"/>
  <c r="DD86" i="51" s="1"/>
  <c r="AK86" i="51"/>
  <c r="DC86" i="51" s="1"/>
  <c r="AJ86" i="51"/>
  <c r="DB86" i="51" s="1"/>
  <c r="AI86" i="51"/>
  <c r="DA86" i="51" s="1"/>
  <c r="AH86" i="51"/>
  <c r="CZ86" i="51" s="1"/>
  <c r="AG86" i="51"/>
  <c r="CY86" i="51" s="1"/>
  <c r="AF86" i="51"/>
  <c r="CX86" i="51" s="1"/>
  <c r="AN85" i="51"/>
  <c r="DF85" i="51" s="1"/>
  <c r="AM85" i="51"/>
  <c r="DE85" i="51" s="1"/>
  <c r="AL85" i="51"/>
  <c r="DD85" i="51" s="1"/>
  <c r="AK85" i="51"/>
  <c r="DC85" i="51" s="1"/>
  <c r="AJ85" i="51"/>
  <c r="DB85" i="51" s="1"/>
  <c r="AI85" i="51"/>
  <c r="DA85" i="51" s="1"/>
  <c r="AH85" i="51"/>
  <c r="CZ85" i="51" s="1"/>
  <c r="AG85" i="51"/>
  <c r="CY85" i="51" s="1"/>
  <c r="AF85" i="51"/>
  <c r="CX85" i="51" s="1"/>
  <c r="AN84" i="51"/>
  <c r="DF84" i="51" s="1"/>
  <c r="AM84" i="51"/>
  <c r="DE84" i="51" s="1"/>
  <c r="AL84" i="51"/>
  <c r="DD84" i="51" s="1"/>
  <c r="AK84" i="51"/>
  <c r="DC84" i="51" s="1"/>
  <c r="AJ84" i="51"/>
  <c r="DB84" i="51" s="1"/>
  <c r="AI84" i="51"/>
  <c r="DA84" i="51" s="1"/>
  <c r="AH84" i="51"/>
  <c r="CZ84" i="51" s="1"/>
  <c r="AG84" i="51"/>
  <c r="CY84" i="51" s="1"/>
  <c r="AF84" i="51"/>
  <c r="CX84" i="51" s="1"/>
  <c r="AN83" i="51"/>
  <c r="DF83" i="51" s="1"/>
  <c r="AM83" i="51"/>
  <c r="DE83" i="51" s="1"/>
  <c r="AL83" i="51"/>
  <c r="DD83" i="51" s="1"/>
  <c r="AK83" i="51"/>
  <c r="DC83" i="51" s="1"/>
  <c r="AJ83" i="51"/>
  <c r="DB83" i="51" s="1"/>
  <c r="AI83" i="51"/>
  <c r="DA83" i="51" s="1"/>
  <c r="AH83" i="51"/>
  <c r="CZ83" i="51" s="1"/>
  <c r="AG83" i="51"/>
  <c r="CY83" i="51" s="1"/>
  <c r="AF83" i="51"/>
  <c r="CX83" i="51" s="1"/>
  <c r="AN82" i="51"/>
  <c r="DF82" i="51" s="1"/>
  <c r="AM82" i="51"/>
  <c r="DE82" i="51" s="1"/>
  <c r="AL82" i="51"/>
  <c r="DD82" i="51" s="1"/>
  <c r="AK82" i="51"/>
  <c r="DC82" i="51" s="1"/>
  <c r="AJ82" i="51"/>
  <c r="DB82" i="51" s="1"/>
  <c r="AI82" i="51"/>
  <c r="DA82" i="51" s="1"/>
  <c r="AH82" i="51"/>
  <c r="CZ82" i="51" s="1"/>
  <c r="AG82" i="51"/>
  <c r="CY82" i="51" s="1"/>
  <c r="AF82" i="51"/>
  <c r="CX82" i="51" s="1"/>
  <c r="AN81" i="51"/>
  <c r="DF81" i="51" s="1"/>
  <c r="AM81" i="51"/>
  <c r="DE81" i="51" s="1"/>
  <c r="AL81" i="51"/>
  <c r="DD81" i="51" s="1"/>
  <c r="AK81" i="51"/>
  <c r="DC81" i="51" s="1"/>
  <c r="AJ81" i="51"/>
  <c r="DB81" i="51" s="1"/>
  <c r="AI81" i="51"/>
  <c r="DA81" i="51" s="1"/>
  <c r="AH81" i="51"/>
  <c r="CZ81" i="51" s="1"/>
  <c r="AG81" i="51"/>
  <c r="CY81" i="51" s="1"/>
  <c r="AF81" i="51"/>
  <c r="CX81" i="51" s="1"/>
  <c r="AN80" i="51"/>
  <c r="DF80" i="51" s="1"/>
  <c r="AM80" i="51"/>
  <c r="DE80" i="51" s="1"/>
  <c r="AL80" i="51"/>
  <c r="DD80" i="51" s="1"/>
  <c r="AK80" i="51"/>
  <c r="DC80" i="51" s="1"/>
  <c r="AJ80" i="51"/>
  <c r="DB80" i="51" s="1"/>
  <c r="AI80" i="51"/>
  <c r="DA80" i="51" s="1"/>
  <c r="AH80" i="51"/>
  <c r="CZ80" i="51" s="1"/>
  <c r="AG80" i="51"/>
  <c r="CY80" i="51" s="1"/>
  <c r="AF80" i="51"/>
  <c r="CX80" i="51" s="1"/>
  <c r="BH1" i="51"/>
  <c r="BG1" i="51"/>
  <c r="BF1" i="51"/>
  <c r="BE1" i="51"/>
  <c r="BD1" i="51"/>
  <c r="BC1" i="51"/>
  <c r="BB1" i="51"/>
  <c r="BA1" i="51"/>
  <c r="AZ1" i="51"/>
  <c r="AX1" i="51"/>
  <c r="AW1" i="51"/>
  <c r="AV1" i="51"/>
  <c r="AU1" i="51"/>
  <c r="AT1" i="51"/>
  <c r="AS1" i="51"/>
  <c r="AR1" i="51"/>
  <c r="AQ1" i="51"/>
  <c r="AP1" i="51"/>
  <c r="AN1" i="51"/>
  <c r="AM1" i="51"/>
  <c r="AL1" i="51"/>
  <c r="AK1" i="51"/>
  <c r="AJ1" i="51"/>
  <c r="AI1" i="51"/>
  <c r="AH1" i="51"/>
  <c r="AG1" i="51"/>
  <c r="AF1" i="51"/>
  <c r="AD1" i="51"/>
  <c r="AC1" i="51"/>
  <c r="AB1" i="51"/>
  <c r="AA1" i="51"/>
  <c r="Z1" i="51"/>
  <c r="Y1" i="51"/>
  <c r="X1" i="51"/>
  <c r="W1" i="51"/>
  <c r="V1" i="51"/>
  <c r="T1" i="51"/>
  <c r="S1" i="51"/>
  <c r="R1" i="51"/>
  <c r="Q1" i="51"/>
  <c r="P1" i="51"/>
  <c r="O1" i="51"/>
  <c r="N1" i="51"/>
  <c r="M1" i="51"/>
  <c r="L1" i="51"/>
  <c r="J1" i="51"/>
  <c r="I1" i="51"/>
  <c r="H1" i="51"/>
  <c r="G1" i="51"/>
  <c r="F1" i="51"/>
  <c r="E1" i="51"/>
  <c r="D1" i="51"/>
  <c r="T139" i="14" s="1"/>
  <c r="C1" i="51"/>
  <c r="B1" i="51"/>
  <c r="F6" i="10" s="1"/>
  <c r="T7" i="8" s="1"/>
  <c r="AL139" i="14" l="1"/>
  <c r="AC139" i="14"/>
  <c r="S26" i="49"/>
  <c r="S24" i="49"/>
  <c r="T29" i="49"/>
  <c r="T24" i="49"/>
  <c r="BM139" i="14"/>
  <c r="K139" i="14"/>
  <c r="S28" i="49"/>
  <c r="T26" i="49"/>
  <c r="CE123" i="14"/>
  <c r="CE71" i="14"/>
  <c r="CE35" i="14"/>
  <c r="B52" i="14"/>
  <c r="B100" i="14"/>
  <c r="CE132" i="14"/>
  <c r="CE89" i="14"/>
  <c r="B20" i="14"/>
  <c r="B68" i="14"/>
  <c r="B115" i="14"/>
  <c r="CE108" i="14"/>
  <c r="CE53" i="14"/>
  <c r="B36" i="14"/>
  <c r="B84" i="14"/>
  <c r="Q26" i="49"/>
  <c r="M30" i="49"/>
  <c r="Q7" i="49"/>
  <c r="AG7" i="49" s="1"/>
  <c r="P5" i="49"/>
  <c r="N12" i="49"/>
  <c r="M27" i="49"/>
  <c r="N30" i="49"/>
  <c r="Q8" i="49"/>
  <c r="AG8" i="49" s="1"/>
  <c r="O6" i="49"/>
  <c r="N13" i="49"/>
  <c r="O26" i="49"/>
  <c r="P29" i="49"/>
  <c r="M23" i="49"/>
  <c r="P12" i="49"/>
  <c r="N10" i="49"/>
  <c r="O23" i="49"/>
  <c r="Q29" i="49"/>
  <c r="N24" i="49"/>
  <c r="O8" i="49"/>
  <c r="O12" i="49"/>
  <c r="B130" i="14"/>
  <c r="CE120" i="14"/>
  <c r="CE102" i="14"/>
  <c r="CE84" i="14"/>
  <c r="CE65" i="14"/>
  <c r="CE47" i="14"/>
  <c r="CE29" i="14"/>
  <c r="B25" i="14"/>
  <c r="B41" i="14"/>
  <c r="B57" i="14"/>
  <c r="B73" i="14"/>
  <c r="B89" i="14"/>
  <c r="B105" i="14"/>
  <c r="B121" i="14"/>
  <c r="B129" i="14"/>
  <c r="CE119" i="14"/>
  <c r="CE101" i="14"/>
  <c r="CE83" i="14"/>
  <c r="CE64" i="14"/>
  <c r="CE46" i="14"/>
  <c r="CE28" i="14"/>
  <c r="B26" i="14"/>
  <c r="B42" i="14"/>
  <c r="B58" i="14"/>
  <c r="B74" i="14"/>
  <c r="B90" i="14"/>
  <c r="B106" i="14"/>
  <c r="B18" i="14"/>
  <c r="G18" i="14" s="1"/>
  <c r="F18" i="14" s="1"/>
  <c r="G19" i="14" s="1"/>
  <c r="B133" i="14"/>
  <c r="B124" i="14"/>
  <c r="CE109" i="14"/>
  <c r="CE91" i="14"/>
  <c r="CE72" i="14"/>
  <c r="CE54" i="14"/>
  <c r="CE36" i="14"/>
  <c r="B19" i="14"/>
  <c r="B35" i="14"/>
  <c r="B51" i="14"/>
  <c r="B67" i="14"/>
  <c r="B83" i="14"/>
  <c r="B99" i="14"/>
  <c r="B96" i="14"/>
  <c r="B32" i="14"/>
  <c r="CE76" i="14"/>
  <c r="B135" i="14"/>
  <c r="B108" i="14"/>
  <c r="B44" i="14"/>
  <c r="CE62" i="14"/>
  <c r="B128" i="14"/>
  <c r="B104" i="14"/>
  <c r="B40" i="14"/>
  <c r="CE67" i="14"/>
  <c r="CE130" i="14"/>
  <c r="R29" i="49"/>
  <c r="R24" i="49"/>
  <c r="D9" i="10"/>
  <c r="R10" i="8" s="1"/>
  <c r="CE34" i="14"/>
  <c r="CE66" i="14"/>
  <c r="CE98" i="14"/>
  <c r="CE129" i="14"/>
  <c r="C3" i="10"/>
  <c r="X4" i="8" s="1"/>
  <c r="D6" i="10"/>
  <c r="R7" i="8" s="1"/>
  <c r="C10" i="10"/>
  <c r="X11" i="8" s="1"/>
  <c r="F11" i="10"/>
  <c r="T12" i="8" s="1"/>
  <c r="F5" i="10"/>
  <c r="T6" i="8" s="1"/>
  <c r="D3" i="10"/>
  <c r="R4" i="8" s="1"/>
  <c r="F10" i="10"/>
  <c r="T11" i="8" s="1"/>
  <c r="E4" i="10"/>
  <c r="V5" i="8" s="1"/>
  <c r="Q31" i="49"/>
  <c r="N31" i="49"/>
  <c r="Q25" i="49"/>
  <c r="P30" i="49"/>
  <c r="B125" i="14"/>
  <c r="CE75" i="14"/>
  <c r="CE20" i="14"/>
  <c r="B49" i="14"/>
  <c r="B97" i="14"/>
  <c r="CE124" i="14"/>
  <c r="CE73" i="14"/>
  <c r="B34" i="14"/>
  <c r="B82" i="14"/>
  <c r="C4" i="10"/>
  <c r="X5" i="8" s="1"/>
  <c r="CE100" i="14"/>
  <c r="CE45" i="14"/>
  <c r="B43" i="14"/>
  <c r="B91" i="14"/>
  <c r="CE39" i="14"/>
  <c r="CE25" i="14"/>
  <c r="CE30" i="14"/>
  <c r="R27" i="49"/>
  <c r="CE50" i="14"/>
  <c r="CE114" i="14"/>
  <c r="E5" i="10"/>
  <c r="V6" i="8" s="1"/>
  <c r="D11" i="10"/>
  <c r="R12" i="8" s="1"/>
  <c r="F9" i="10"/>
  <c r="T10" i="8" s="1"/>
  <c r="O24" i="49"/>
  <c r="P27" i="49"/>
  <c r="Q30" i="49"/>
  <c r="Q11" i="49"/>
  <c r="AG11" i="49" s="1"/>
  <c r="O9" i="49"/>
  <c r="P24" i="49"/>
  <c r="Q27" i="49"/>
  <c r="M31" i="49"/>
  <c r="Q12" i="49"/>
  <c r="AG12" i="49" s="1"/>
  <c r="O10" i="49"/>
  <c r="M24" i="49"/>
  <c r="N27" i="49"/>
  <c r="O30" i="49"/>
  <c r="Q9" i="49"/>
  <c r="AG9" i="49" s="1"/>
  <c r="O7" i="49"/>
  <c r="N5" i="49"/>
  <c r="P9" i="49"/>
  <c r="Q6" i="49"/>
  <c r="AG6" i="49" s="1"/>
  <c r="O27" i="49"/>
  <c r="O31" i="49"/>
  <c r="CE136" i="14"/>
  <c r="CE127" i="14"/>
  <c r="CE116" i="14"/>
  <c r="CE97" i="14"/>
  <c r="CE79" i="14"/>
  <c r="CE61" i="14"/>
  <c r="CE43" i="14"/>
  <c r="CE24" i="14"/>
  <c r="B29" i="14"/>
  <c r="B45" i="14"/>
  <c r="B61" i="14"/>
  <c r="B77" i="14"/>
  <c r="B93" i="14"/>
  <c r="B109" i="14"/>
  <c r="B136" i="14"/>
  <c r="B127" i="14"/>
  <c r="CE115" i="14"/>
  <c r="CE96" i="14"/>
  <c r="CE78" i="14"/>
  <c r="CE60" i="14"/>
  <c r="CE41" i="14"/>
  <c r="CE23" i="14"/>
  <c r="B30" i="14"/>
  <c r="B46" i="14"/>
  <c r="B62" i="14"/>
  <c r="B78" i="14"/>
  <c r="B94" i="14"/>
  <c r="B110" i="14"/>
  <c r="N28" i="49"/>
  <c r="B131" i="14"/>
  <c r="B122" i="14"/>
  <c r="CE104" i="14"/>
  <c r="CE86" i="14"/>
  <c r="CE68" i="14"/>
  <c r="CE49" i="14"/>
  <c r="CE31" i="14"/>
  <c r="B23" i="14"/>
  <c r="B39" i="14"/>
  <c r="B55" i="14"/>
  <c r="B71" i="14"/>
  <c r="B87" i="14"/>
  <c r="B103" i="14"/>
  <c r="B80" i="14"/>
  <c r="CE21" i="14"/>
  <c r="CE94" i="14"/>
  <c r="D4" i="10"/>
  <c r="R5" i="8" s="1"/>
  <c r="B92" i="14"/>
  <c r="B28" i="14"/>
  <c r="CE80" i="14"/>
  <c r="B137" i="14"/>
  <c r="B88" i="14"/>
  <c r="B24" i="14"/>
  <c r="CE85" i="14"/>
  <c r="R26" i="49"/>
  <c r="R25" i="49"/>
  <c r="R31" i="49"/>
  <c r="D8" i="10"/>
  <c r="R9" i="8" s="1"/>
  <c r="CE42" i="14"/>
  <c r="CE74" i="14"/>
  <c r="CE106" i="14"/>
  <c r="CE133" i="14"/>
  <c r="E6" i="10"/>
  <c r="V7" i="8" s="1"/>
  <c r="C8" i="10"/>
  <c r="X9" i="8" s="1"/>
  <c r="C6" i="10"/>
  <c r="X7" i="8" s="1"/>
  <c r="F8" i="10"/>
  <c r="T9" i="8" s="1"/>
  <c r="E10" i="10"/>
  <c r="V11" i="8" s="1"/>
  <c r="D10" i="10"/>
  <c r="R11" i="8" s="1"/>
  <c r="F3" i="10"/>
  <c r="T4" i="8" s="1"/>
  <c r="E3" i="10"/>
  <c r="V4" i="8" s="1"/>
  <c r="N25" i="49"/>
  <c r="O28" i="49"/>
  <c r="P31" i="49"/>
  <c r="O13" i="49"/>
  <c r="P28" i="49"/>
  <c r="O5" i="49"/>
  <c r="Q24" i="49"/>
  <c r="O11" i="49"/>
  <c r="N7" i="49"/>
  <c r="Q5" i="49"/>
  <c r="AG5" i="49" s="1"/>
  <c r="A108" i="49" s="1"/>
  <c r="CE111" i="14"/>
  <c r="CE56" i="14"/>
  <c r="B65" i="14"/>
  <c r="B113" i="14"/>
  <c r="CE110" i="14"/>
  <c r="CE55" i="14"/>
  <c r="CE19" i="14"/>
  <c r="B66" i="14"/>
  <c r="B114" i="14"/>
  <c r="CE118" i="14"/>
  <c r="CE63" i="14"/>
  <c r="CE27" i="14"/>
  <c r="B75" i="14"/>
  <c r="B64" i="14"/>
  <c r="CE112" i="14"/>
  <c r="CE99" i="14"/>
  <c r="CE103" i="14"/>
  <c r="C9" i="10"/>
  <c r="X10" i="8" s="1"/>
  <c r="F7" i="10"/>
  <c r="T8" i="8" s="1"/>
  <c r="M26" i="49"/>
  <c r="N29" i="49"/>
  <c r="P23" i="49"/>
  <c r="P10" i="49"/>
  <c r="N8" i="49"/>
  <c r="N26" i="49"/>
  <c r="O29" i="49"/>
  <c r="Q23" i="49"/>
  <c r="P11" i="49"/>
  <c r="N9" i="49"/>
  <c r="P25" i="49"/>
  <c r="Q28" i="49"/>
  <c r="N23" i="49"/>
  <c r="P8" i="49"/>
  <c r="N6" i="49"/>
  <c r="M29" i="49"/>
  <c r="P26" i="49"/>
  <c r="N11" i="49"/>
  <c r="Q10" i="49"/>
  <c r="AG10" i="49" s="1"/>
  <c r="M25" i="49"/>
  <c r="B132" i="14"/>
  <c r="B123" i="14"/>
  <c r="CE107" i="14"/>
  <c r="CE88" i="14"/>
  <c r="CE70" i="14"/>
  <c r="CE52" i="14"/>
  <c r="CE33" i="14"/>
  <c r="B21" i="14"/>
  <c r="B37" i="14"/>
  <c r="B53" i="14"/>
  <c r="B69" i="14"/>
  <c r="B85" i="14"/>
  <c r="B101" i="14"/>
  <c r="B117" i="14"/>
  <c r="CE131" i="14"/>
  <c r="CE122" i="14"/>
  <c r="CE105" i="14"/>
  <c r="CE87" i="14"/>
  <c r="CE69" i="14"/>
  <c r="CE51" i="14"/>
  <c r="CE32" i="14"/>
  <c r="B22" i="14"/>
  <c r="B38" i="14"/>
  <c r="B54" i="14"/>
  <c r="B70" i="14"/>
  <c r="B86" i="14"/>
  <c r="B102" i="14"/>
  <c r="B118" i="14"/>
  <c r="CE135" i="14"/>
  <c r="CE126" i="14"/>
  <c r="CE113" i="14"/>
  <c r="CE95" i="14"/>
  <c r="CE77" i="14"/>
  <c r="CE59" i="14"/>
  <c r="CE40" i="14"/>
  <c r="CE22" i="14"/>
  <c r="B31" i="14"/>
  <c r="B47" i="14"/>
  <c r="B63" i="14"/>
  <c r="B79" i="14"/>
  <c r="B95" i="14"/>
  <c r="B111" i="14"/>
  <c r="B112" i="14"/>
  <c r="B48" i="14"/>
  <c r="CE57" i="14"/>
  <c r="B126" i="14"/>
  <c r="B119" i="14"/>
  <c r="B60" i="14"/>
  <c r="CE44" i="14"/>
  <c r="CE117" i="14"/>
  <c r="B116" i="14"/>
  <c r="B56" i="14"/>
  <c r="CE48" i="14"/>
  <c r="CE121" i="14"/>
  <c r="CE138" i="14"/>
  <c r="R30" i="49"/>
  <c r="R28" i="49"/>
  <c r="R23" i="49"/>
  <c r="CE26" i="14"/>
  <c r="CE58" i="14"/>
  <c r="CE90" i="14"/>
  <c r="CE125" i="14"/>
  <c r="B138" i="14"/>
  <c r="C11" i="10"/>
  <c r="X12" i="8" s="1"/>
  <c r="C7" i="10"/>
  <c r="X8" i="8" s="1"/>
  <c r="E11" i="10"/>
  <c r="V12" i="8" s="1"/>
  <c r="E8" i="10"/>
  <c r="V9" i="8" s="1"/>
  <c r="D5" i="10"/>
  <c r="R6" i="8" s="1"/>
  <c r="F4" i="10"/>
  <c r="T5" i="8" s="1"/>
  <c r="D7" i="10"/>
  <c r="R8" i="8" s="1"/>
  <c r="P6" i="49"/>
  <c r="O25" i="49"/>
  <c r="P7" i="49"/>
  <c r="M28" i="49"/>
  <c r="Q13" i="49"/>
  <c r="AG13" i="49" s="1"/>
  <c r="P13" i="49"/>
  <c r="CE134" i="14"/>
  <c r="CE93" i="14"/>
  <c r="CE38" i="14"/>
  <c r="B33" i="14"/>
  <c r="B81" i="14"/>
  <c r="B134" i="14"/>
  <c r="CE92" i="14"/>
  <c r="CE37" i="14"/>
  <c r="B50" i="14"/>
  <c r="B98" i="14"/>
  <c r="CE128" i="14"/>
  <c r="CE81" i="14"/>
  <c r="B27" i="14"/>
  <c r="B59" i="14"/>
  <c r="B107" i="14"/>
  <c r="B120" i="14"/>
  <c r="B76" i="14"/>
  <c r="B72" i="14"/>
  <c r="E9" i="10"/>
  <c r="V10" i="8" s="1"/>
  <c r="CE18" i="14"/>
  <c r="CJ18" i="14" s="1"/>
  <c r="CI18" i="14" s="1"/>
  <c r="CE82" i="14"/>
  <c r="CE137" i="14"/>
  <c r="C5" i="10"/>
  <c r="X6" i="8" s="1"/>
  <c r="E7" i="10"/>
  <c r="V8" i="8" s="1"/>
  <c r="S29" i="49"/>
  <c r="S31" i="49"/>
  <c r="T27" i="49"/>
  <c r="T30" i="49"/>
  <c r="AU139" i="14"/>
  <c r="BV139" i="14"/>
  <c r="S30" i="49"/>
  <c r="T31" i="49"/>
  <c r="S25" i="49"/>
  <c r="S27" i="49"/>
  <c r="T25" i="49"/>
  <c r="T28" i="49"/>
  <c r="CE139" i="14"/>
  <c r="BD139" i="14"/>
  <c r="B139" i="14"/>
  <c r="A141" i="14"/>
  <c r="BM140" i="14"/>
  <c r="T140" i="14"/>
  <c r="CE140" i="14"/>
  <c r="K140" i="14"/>
  <c r="BD140" i="14"/>
  <c r="AU140" i="14"/>
  <c r="AC140" i="14"/>
  <c r="BV140" i="14"/>
  <c r="AL140" i="14"/>
  <c r="B140" i="14"/>
  <c r="T139" i="49"/>
  <c r="T128" i="49"/>
  <c r="T131" i="49"/>
  <c r="T134" i="49"/>
  <c r="T137" i="49"/>
  <c r="T135" i="49"/>
  <c r="T133" i="49"/>
  <c r="U83" i="49"/>
  <c r="U63" i="49"/>
  <c r="U43" i="49"/>
  <c r="U96" i="49" s="1"/>
  <c r="U84" i="49"/>
  <c r="U86" i="49"/>
  <c r="U88" i="49"/>
  <c r="U90" i="49"/>
  <c r="U75" i="49"/>
  <c r="U77" i="49"/>
  <c r="U79" i="49"/>
  <c r="U81" i="49"/>
  <c r="U64" i="49"/>
  <c r="U66" i="49"/>
  <c r="U68" i="49"/>
  <c r="U70" i="49"/>
  <c r="U55" i="49"/>
  <c r="U109" i="49" s="1"/>
  <c r="U57" i="49"/>
  <c r="U111" i="49" s="1"/>
  <c r="U59" i="49"/>
  <c r="U113" i="49" s="1"/>
  <c r="U61" i="49"/>
  <c r="U115" i="49" s="1"/>
  <c r="U44" i="49"/>
  <c r="U97" i="49" s="1"/>
  <c r="U46" i="49"/>
  <c r="U99" i="49" s="1"/>
  <c r="U48" i="49"/>
  <c r="U101" i="49" s="1"/>
  <c r="U50" i="49"/>
  <c r="U103" i="49" s="1"/>
  <c r="U73" i="49"/>
  <c r="U53" i="49"/>
  <c r="U107" i="49" s="1"/>
  <c r="U85" i="49"/>
  <c r="U87" i="49"/>
  <c r="U89" i="49"/>
  <c r="U91" i="49"/>
  <c r="U74" i="49"/>
  <c r="U76" i="49"/>
  <c r="U78" i="49"/>
  <c r="U80" i="49"/>
  <c r="U65" i="49"/>
  <c r="U67" i="49"/>
  <c r="U69" i="49"/>
  <c r="U71" i="49"/>
  <c r="U54" i="49"/>
  <c r="U108" i="49" s="1"/>
  <c r="U56" i="49"/>
  <c r="U110" i="49" s="1"/>
  <c r="U58" i="49"/>
  <c r="U112" i="49" s="1"/>
  <c r="U60" i="49"/>
  <c r="U114" i="49" s="1"/>
  <c r="U45" i="49"/>
  <c r="U98" i="49" s="1"/>
  <c r="U47" i="49"/>
  <c r="U100" i="49" s="1"/>
  <c r="U49" i="49"/>
  <c r="U102" i="49" s="1"/>
  <c r="U51" i="49"/>
  <c r="U104" i="49" s="1"/>
  <c r="V21" i="49"/>
  <c r="U33" i="49"/>
  <c r="U119" i="49" s="1"/>
  <c r="U34" i="49"/>
  <c r="U120" i="49" s="1"/>
  <c r="U36" i="49"/>
  <c r="U122" i="49" s="1"/>
  <c r="U38" i="49"/>
  <c r="U124" i="49" s="1"/>
  <c r="U40" i="49"/>
  <c r="U126" i="49" s="1"/>
  <c r="U24" i="49"/>
  <c r="U26" i="49"/>
  <c r="U28" i="49"/>
  <c r="U30" i="49"/>
  <c r="U35" i="49"/>
  <c r="U121" i="49" s="1"/>
  <c r="U37" i="49"/>
  <c r="U123" i="49" s="1"/>
  <c r="U39" i="49"/>
  <c r="U125" i="49" s="1"/>
  <c r="U41" i="49"/>
  <c r="U127" i="49" s="1"/>
  <c r="U23" i="49"/>
  <c r="U25" i="49"/>
  <c r="U27" i="49"/>
  <c r="U29" i="49"/>
  <c r="U31" i="49"/>
  <c r="J10" i="56"/>
  <c r="K35" i="8"/>
  <c r="O35" i="8"/>
  <c r="O27" i="8"/>
  <c r="O29" i="8"/>
  <c r="O33" i="8"/>
  <c r="AO116" i="51"/>
  <c r="DG116" i="51" s="1"/>
  <c r="AO80" i="51"/>
  <c r="DG80" i="51" s="1"/>
  <c r="AO84" i="51"/>
  <c r="DG84" i="51" s="1"/>
  <c r="AO88" i="51"/>
  <c r="DG88" i="51" s="1"/>
  <c r="AO92" i="51"/>
  <c r="DG92" i="51" s="1"/>
  <c r="AO96" i="51"/>
  <c r="DG96" i="51" s="1"/>
  <c r="AO100" i="51"/>
  <c r="DG100" i="51" s="1"/>
  <c r="AO104" i="51"/>
  <c r="DG104" i="51" s="1"/>
  <c r="AO108" i="51"/>
  <c r="DG108" i="51" s="1"/>
  <c r="AO112" i="51"/>
  <c r="DG112" i="51" s="1"/>
  <c r="AO148" i="51"/>
  <c r="DG148" i="51" s="1"/>
  <c r="AO140" i="51"/>
  <c r="DG140" i="51" s="1"/>
  <c r="AO119" i="51"/>
  <c r="DG119" i="51" s="1"/>
  <c r="AO127" i="51"/>
  <c r="DG127" i="51" s="1"/>
  <c r="AO131" i="51"/>
  <c r="DG131" i="51" s="1"/>
  <c r="AO83" i="51"/>
  <c r="DG83" i="51" s="1"/>
  <c r="AO87" i="51"/>
  <c r="DG87" i="51" s="1"/>
  <c r="AO91" i="51"/>
  <c r="DG91" i="51" s="1"/>
  <c r="AO95" i="51"/>
  <c r="DG95" i="51" s="1"/>
  <c r="AO99" i="51"/>
  <c r="DG99" i="51" s="1"/>
  <c r="AO103" i="51"/>
  <c r="DG103" i="51" s="1"/>
  <c r="AO107" i="51"/>
  <c r="DG107" i="51" s="1"/>
  <c r="AO111" i="51"/>
  <c r="DG111" i="51" s="1"/>
  <c r="AO115" i="51"/>
  <c r="DG115" i="51" s="1"/>
  <c r="AO142" i="51"/>
  <c r="DG142" i="51" s="1"/>
  <c r="AO123" i="51"/>
  <c r="DG123" i="51" s="1"/>
  <c r="AO135" i="51"/>
  <c r="DG135" i="51" s="1"/>
  <c r="AO143" i="51"/>
  <c r="DG143" i="51" s="1"/>
  <c r="AO120" i="51"/>
  <c r="DG120" i="51" s="1"/>
  <c r="AO124" i="51"/>
  <c r="DG124" i="51" s="1"/>
  <c r="AO128" i="51"/>
  <c r="DG128" i="51" s="1"/>
  <c r="AO132" i="51"/>
  <c r="DG132" i="51" s="1"/>
  <c r="AO136" i="51"/>
  <c r="DG136" i="51" s="1"/>
  <c r="AO149" i="51"/>
  <c r="DG149" i="51" s="1"/>
  <c r="AO141" i="51"/>
  <c r="DG141" i="51" s="1"/>
  <c r="AO147" i="51"/>
  <c r="DG147" i="51" s="1"/>
  <c r="AO139" i="51"/>
  <c r="DG139" i="51" s="1"/>
  <c r="AO121" i="51"/>
  <c r="DG121" i="51" s="1"/>
  <c r="AO129" i="51"/>
  <c r="DG129" i="51" s="1"/>
  <c r="AO137" i="51"/>
  <c r="DG137" i="51" s="1"/>
  <c r="AO81" i="51"/>
  <c r="DG81" i="51" s="1"/>
  <c r="AO85" i="51"/>
  <c r="DG85" i="51" s="1"/>
  <c r="AO89" i="51"/>
  <c r="DG89" i="51" s="1"/>
  <c r="AO93" i="51"/>
  <c r="DG93" i="51" s="1"/>
  <c r="AO97" i="51"/>
  <c r="DG97" i="51" s="1"/>
  <c r="AO101" i="51"/>
  <c r="DG101" i="51" s="1"/>
  <c r="AO105" i="51"/>
  <c r="DG105" i="51" s="1"/>
  <c r="AO109" i="51"/>
  <c r="DG109" i="51" s="1"/>
  <c r="AO113" i="51"/>
  <c r="DG113" i="51" s="1"/>
  <c r="AO117" i="51"/>
  <c r="DG117" i="51" s="1"/>
  <c r="AO146" i="51"/>
  <c r="DG146" i="51" s="1"/>
  <c r="AO125" i="51"/>
  <c r="DG125" i="51" s="1"/>
  <c r="AO133" i="51"/>
  <c r="DG133" i="51" s="1"/>
  <c r="AO122" i="51"/>
  <c r="DG122" i="51" s="1"/>
  <c r="AO126" i="51"/>
  <c r="DG126" i="51" s="1"/>
  <c r="AO130" i="51"/>
  <c r="DG130" i="51" s="1"/>
  <c r="AO134" i="51"/>
  <c r="DG134" i="51" s="1"/>
  <c r="AO138" i="51"/>
  <c r="DG138" i="51" s="1"/>
  <c r="AO145" i="51"/>
  <c r="DG145" i="51" s="1"/>
  <c r="AO82" i="51"/>
  <c r="DG82" i="51" s="1"/>
  <c r="AO86" i="51"/>
  <c r="DG86" i="51" s="1"/>
  <c r="AO90" i="51"/>
  <c r="DG90" i="51" s="1"/>
  <c r="AO94" i="51"/>
  <c r="DG94" i="51" s="1"/>
  <c r="AO98" i="51"/>
  <c r="DG98" i="51" s="1"/>
  <c r="AO102" i="51"/>
  <c r="DG102" i="51" s="1"/>
  <c r="AO106" i="51"/>
  <c r="DG106" i="51" s="1"/>
  <c r="AO110" i="51"/>
  <c r="DG110" i="51" s="1"/>
  <c r="AO114" i="51"/>
  <c r="DG114" i="51" s="1"/>
  <c r="AO118" i="51"/>
  <c r="DG118" i="51" s="1"/>
  <c r="AO144" i="51"/>
  <c r="DG144" i="51" s="1"/>
  <c r="AH2" i="14"/>
  <c r="CE141" i="14" l="1"/>
  <c r="AU141" i="14"/>
  <c r="K141" i="14"/>
  <c r="T141" i="14"/>
  <c r="BV141" i="14"/>
  <c r="AL141" i="14"/>
  <c r="B141" i="14"/>
  <c r="BM141" i="14"/>
  <c r="BD141" i="14"/>
  <c r="AC141" i="14"/>
  <c r="A142" i="14"/>
  <c r="U136" i="49"/>
  <c r="U131" i="49"/>
  <c r="U138" i="49"/>
  <c r="U128" i="49"/>
  <c r="T140" i="49"/>
  <c r="U139" i="49"/>
  <c r="U137" i="49"/>
  <c r="U135" i="49"/>
  <c r="U133" i="49"/>
  <c r="U134" i="49"/>
  <c r="U132" i="49"/>
  <c r="V83" i="49"/>
  <c r="V63" i="49"/>
  <c r="V43" i="49"/>
  <c r="V96" i="49" s="1"/>
  <c r="V84" i="49"/>
  <c r="V86" i="49"/>
  <c r="V88" i="49"/>
  <c r="V90" i="49"/>
  <c r="V75" i="49"/>
  <c r="V77" i="49"/>
  <c r="V79" i="49"/>
  <c r="V81" i="49"/>
  <c r="V64" i="49"/>
  <c r="V66" i="49"/>
  <c r="V68" i="49"/>
  <c r="V70" i="49"/>
  <c r="V55" i="49"/>
  <c r="V109" i="49" s="1"/>
  <c r="V57" i="49"/>
  <c r="V111" i="49" s="1"/>
  <c r="V59" i="49"/>
  <c r="V113" i="49" s="1"/>
  <c r="V61" i="49"/>
  <c r="V115" i="49" s="1"/>
  <c r="V44" i="49"/>
  <c r="V97" i="49" s="1"/>
  <c r="V46" i="49"/>
  <c r="V99" i="49" s="1"/>
  <c r="V48" i="49"/>
  <c r="V101" i="49" s="1"/>
  <c r="V50" i="49"/>
  <c r="V103" i="49" s="1"/>
  <c r="V73" i="49"/>
  <c r="V53" i="49"/>
  <c r="V107" i="49" s="1"/>
  <c r="V85" i="49"/>
  <c r="V87" i="49"/>
  <c r="V89" i="49"/>
  <c r="V91" i="49"/>
  <c r="V74" i="49"/>
  <c r="V76" i="49"/>
  <c r="V78" i="49"/>
  <c r="V80" i="49"/>
  <c r="V65" i="49"/>
  <c r="V67" i="49"/>
  <c r="V69" i="49"/>
  <c r="V71" i="49"/>
  <c r="V54" i="49"/>
  <c r="V108" i="49" s="1"/>
  <c r="V56" i="49"/>
  <c r="V110" i="49" s="1"/>
  <c r="V58" i="49"/>
  <c r="V112" i="49" s="1"/>
  <c r="V60" i="49"/>
  <c r="V114" i="49" s="1"/>
  <c r="V45" i="49"/>
  <c r="V98" i="49" s="1"/>
  <c r="V47" i="49"/>
  <c r="V100" i="49" s="1"/>
  <c r="V49" i="49"/>
  <c r="V102" i="49" s="1"/>
  <c r="V51" i="49"/>
  <c r="V104" i="49" s="1"/>
  <c r="V33" i="49"/>
  <c r="V119" i="49" s="1"/>
  <c r="V34" i="49"/>
  <c r="V120" i="49" s="1"/>
  <c r="V36" i="49"/>
  <c r="V122" i="49" s="1"/>
  <c r="V38" i="49"/>
  <c r="V124" i="49" s="1"/>
  <c r="V40" i="49"/>
  <c r="V126" i="49" s="1"/>
  <c r="V24" i="49"/>
  <c r="V26" i="49"/>
  <c r="V28" i="49"/>
  <c r="V30" i="49"/>
  <c r="V35" i="49"/>
  <c r="V121" i="49" s="1"/>
  <c r="V37" i="49"/>
  <c r="V123" i="49" s="1"/>
  <c r="V39" i="49"/>
  <c r="V125" i="49" s="1"/>
  <c r="V41" i="49"/>
  <c r="V127" i="49" s="1"/>
  <c r="V23" i="49"/>
  <c r="V25" i="49"/>
  <c r="V27" i="49"/>
  <c r="V29" i="49"/>
  <c r="V31" i="49"/>
  <c r="O34" i="8"/>
  <c r="O28" i="8"/>
  <c r="O31" i="8"/>
  <c r="O32" i="8"/>
  <c r="O30" i="8"/>
  <c r="AF2" i="14"/>
  <c r="AD3" i="14"/>
  <c r="AG2" i="14"/>
  <c r="BD142" i="14" l="1"/>
  <c r="CE142" i="14"/>
  <c r="AU142" i="14"/>
  <c r="K142" i="14"/>
  <c r="AL142" i="14"/>
  <c r="A143" i="14"/>
  <c r="AC142" i="14"/>
  <c r="BV142" i="14"/>
  <c r="B142" i="14"/>
  <c r="BM142" i="14"/>
  <c r="T142" i="14"/>
  <c r="V134" i="49"/>
  <c r="V128" i="49"/>
  <c r="W91" i="49"/>
  <c r="V132" i="49"/>
  <c r="V139" i="49"/>
  <c r="V131" i="49"/>
  <c r="V137" i="49"/>
  <c r="V138" i="49"/>
  <c r="V136" i="49"/>
  <c r="U140" i="49"/>
  <c r="V135" i="49"/>
  <c r="V133" i="49"/>
  <c r="W67" i="49"/>
  <c r="W49" i="49"/>
  <c r="W102" i="49" s="1"/>
  <c r="W54" i="49"/>
  <c r="W108" i="49" s="1"/>
  <c r="W83" i="49"/>
  <c r="W63" i="49"/>
  <c r="W43" i="49"/>
  <c r="W96" i="49" s="1"/>
  <c r="W89" i="49"/>
  <c r="W65" i="49"/>
  <c r="W110" i="49"/>
  <c r="W84" i="49"/>
  <c r="W86" i="49"/>
  <c r="W88" i="49"/>
  <c r="W90" i="49"/>
  <c r="W75" i="49"/>
  <c r="W77" i="49"/>
  <c r="W79" i="49"/>
  <c r="W81" i="49"/>
  <c r="W64" i="49"/>
  <c r="W66" i="49"/>
  <c r="W68" i="49"/>
  <c r="W70" i="49"/>
  <c r="W55" i="49"/>
  <c r="W109" i="49" s="1"/>
  <c r="W57" i="49"/>
  <c r="W111" i="49" s="1"/>
  <c r="W59" i="49"/>
  <c r="W113" i="49" s="1"/>
  <c r="W61" i="49"/>
  <c r="W115" i="49" s="1"/>
  <c r="W44" i="49"/>
  <c r="W97" i="49" s="1"/>
  <c r="W46" i="49"/>
  <c r="W99" i="49" s="1"/>
  <c r="W48" i="49"/>
  <c r="W101" i="49" s="1"/>
  <c r="W50" i="49"/>
  <c r="W103" i="49" s="1"/>
  <c r="W76" i="49"/>
  <c r="W51" i="49"/>
  <c r="W104" i="49" s="1"/>
  <c r="W80" i="49"/>
  <c r="W60" i="49"/>
  <c r="W114" i="49" s="1"/>
  <c r="W87" i="49"/>
  <c r="W78" i="49"/>
  <c r="W71" i="49"/>
  <c r="W47" i="49"/>
  <c r="W100" i="49" s="1"/>
  <c r="W73" i="49"/>
  <c r="W107" i="49"/>
  <c r="W85" i="49"/>
  <c r="W74" i="49"/>
  <c r="W69" i="49"/>
  <c r="W58" i="49"/>
  <c r="W112" i="49" s="1"/>
  <c r="W45" i="49"/>
  <c r="W98" i="49" s="1"/>
  <c r="W25" i="49"/>
  <c r="W27" i="49"/>
  <c r="W33" i="49"/>
  <c r="W119" i="49" s="1"/>
  <c r="W41" i="49"/>
  <c r="W127" i="49" s="1"/>
  <c r="W31" i="49"/>
  <c r="W34" i="49"/>
  <c r="W120" i="49" s="1"/>
  <c r="W36" i="49"/>
  <c r="W122" i="49" s="1"/>
  <c r="W38" i="49"/>
  <c r="W124" i="49" s="1"/>
  <c r="W40" i="49"/>
  <c r="W126" i="49" s="1"/>
  <c r="W24" i="49"/>
  <c r="W26" i="49"/>
  <c r="W28" i="49"/>
  <c r="W30" i="49"/>
  <c r="W23" i="49"/>
  <c r="W39" i="49"/>
  <c r="W125" i="49" s="1"/>
  <c r="W37" i="49"/>
  <c r="W123" i="49" s="1"/>
  <c r="W35" i="49"/>
  <c r="W121" i="49" s="1"/>
  <c r="W29" i="49"/>
  <c r="BM143" i="14" l="1"/>
  <c r="AU143" i="14"/>
  <c r="BV143" i="14"/>
  <c r="AL143" i="14"/>
  <c r="AC143" i="14"/>
  <c r="BD143" i="14"/>
  <c r="CE143" i="14"/>
  <c r="T143" i="14"/>
  <c r="A144" i="14"/>
  <c r="K143" i="14"/>
  <c r="B143" i="14"/>
  <c r="W134" i="49"/>
  <c r="W131" i="49"/>
  <c r="W132" i="49"/>
  <c r="W139" i="49"/>
  <c r="W138" i="49"/>
  <c r="W137" i="49"/>
  <c r="V140" i="49"/>
  <c r="W128" i="49"/>
  <c r="W135" i="49"/>
  <c r="W136" i="49"/>
  <c r="W133" i="49"/>
  <c r="BM144" i="14" l="1"/>
  <c r="K144" i="14"/>
  <c r="BV144" i="14"/>
  <c r="AC144" i="14"/>
  <c r="B144" i="14"/>
  <c r="CE144" i="14"/>
  <c r="AL144" i="14"/>
  <c r="T144" i="14"/>
  <c r="AU144" i="14"/>
  <c r="A145" i="14"/>
  <c r="BD144" i="14"/>
  <c r="W140" i="49"/>
  <c r="AU145" i="14" l="1"/>
  <c r="AC145" i="14"/>
  <c r="AL145" i="14"/>
  <c r="BD145" i="14"/>
  <c r="CE145" i="14"/>
  <c r="T145" i="14"/>
  <c r="K145" i="14"/>
  <c r="A146" i="14"/>
  <c r="B145" i="14"/>
  <c r="BM145" i="14"/>
  <c r="BV145" i="14"/>
  <c r="N118" i="49"/>
  <c r="O118" i="49"/>
  <c r="P118" i="49"/>
  <c r="Q118" i="49"/>
  <c r="R118" i="49" s="1"/>
  <c r="S118" i="49" s="1"/>
  <c r="T118" i="49" s="1"/>
  <c r="U118" i="49" s="1"/>
  <c r="V118" i="49" s="1"/>
  <c r="W118" i="49" s="1"/>
  <c r="O119" i="49"/>
  <c r="P119" i="49"/>
  <c r="Q119" i="49"/>
  <c r="N120" i="49"/>
  <c r="O120" i="49"/>
  <c r="P120" i="49"/>
  <c r="Q120" i="49"/>
  <c r="N121" i="49"/>
  <c r="O121" i="49"/>
  <c r="P121" i="49"/>
  <c r="Q121" i="49"/>
  <c r="N122" i="49"/>
  <c r="O122" i="49"/>
  <c r="P122" i="49"/>
  <c r="Q122" i="49"/>
  <c r="N123" i="49"/>
  <c r="O123" i="49"/>
  <c r="P123" i="49"/>
  <c r="Q123" i="49"/>
  <c r="N124" i="49"/>
  <c r="O124" i="49"/>
  <c r="P124" i="49"/>
  <c r="Q124" i="49"/>
  <c r="N125" i="49"/>
  <c r="O125" i="49"/>
  <c r="P125" i="49"/>
  <c r="Q125" i="49"/>
  <c r="N126" i="49"/>
  <c r="O126" i="49"/>
  <c r="P126" i="49"/>
  <c r="Q126" i="49"/>
  <c r="N127" i="49"/>
  <c r="O127" i="49"/>
  <c r="P127" i="49"/>
  <c r="Q127" i="49"/>
  <c r="Q95" i="49"/>
  <c r="R95" i="49" s="1"/>
  <c r="S95" i="49" s="1"/>
  <c r="T95" i="49" s="1"/>
  <c r="U95" i="49" s="1"/>
  <c r="V95" i="49" s="1"/>
  <c r="W95" i="49" s="1"/>
  <c r="P95" i="49"/>
  <c r="O95" i="49"/>
  <c r="N95" i="49"/>
  <c r="Q106" i="49"/>
  <c r="R106" i="49" s="1"/>
  <c r="S106" i="49" s="1"/>
  <c r="T106" i="49" s="1"/>
  <c r="U106" i="49" s="1"/>
  <c r="V106" i="49" s="1"/>
  <c r="W106" i="49" s="1"/>
  <c r="P106" i="49"/>
  <c r="O106" i="49"/>
  <c r="N106" i="49"/>
  <c r="O130" i="49"/>
  <c r="P130" i="49"/>
  <c r="Q130" i="49"/>
  <c r="R130" i="49" s="1"/>
  <c r="S130" i="49" s="1"/>
  <c r="T130" i="49" s="1"/>
  <c r="U130" i="49" s="1"/>
  <c r="V130" i="49" s="1"/>
  <c r="W130" i="49" s="1"/>
  <c r="N130" i="49"/>
  <c r="N97" i="49"/>
  <c r="O97" i="49"/>
  <c r="P97" i="49"/>
  <c r="Q97" i="49"/>
  <c r="N98" i="49"/>
  <c r="O98" i="49"/>
  <c r="P98" i="49"/>
  <c r="Q98" i="49"/>
  <c r="N99" i="49"/>
  <c r="O99" i="49"/>
  <c r="P99" i="49"/>
  <c r="Q99" i="49"/>
  <c r="N100" i="49"/>
  <c r="O100" i="49"/>
  <c r="P100" i="49"/>
  <c r="Q100" i="49"/>
  <c r="N101" i="49"/>
  <c r="O101" i="49"/>
  <c r="P101" i="49"/>
  <c r="Q101" i="49"/>
  <c r="N102" i="49"/>
  <c r="O102" i="49"/>
  <c r="P102" i="49"/>
  <c r="Q102" i="49"/>
  <c r="N103" i="49"/>
  <c r="O103" i="49"/>
  <c r="P103" i="49"/>
  <c r="Q103" i="49"/>
  <c r="N104" i="49"/>
  <c r="O104" i="49"/>
  <c r="P104" i="49"/>
  <c r="Q104" i="49"/>
  <c r="O96" i="49"/>
  <c r="P96" i="49"/>
  <c r="Q96" i="49"/>
  <c r="N96" i="49"/>
  <c r="N108" i="49"/>
  <c r="O108" i="49"/>
  <c r="P108" i="49"/>
  <c r="Q108" i="49"/>
  <c r="N109" i="49"/>
  <c r="O109" i="49"/>
  <c r="P109" i="49"/>
  <c r="Q109" i="49"/>
  <c r="N110" i="49"/>
  <c r="O110" i="49"/>
  <c r="P110" i="49"/>
  <c r="Q110" i="49"/>
  <c r="N111" i="49"/>
  <c r="O111" i="49"/>
  <c r="P111" i="49"/>
  <c r="Q111" i="49"/>
  <c r="N112" i="49"/>
  <c r="O112" i="49"/>
  <c r="P112" i="49"/>
  <c r="Q112" i="49"/>
  <c r="N113" i="49"/>
  <c r="O113" i="49"/>
  <c r="P113" i="49"/>
  <c r="Q113" i="49"/>
  <c r="N114" i="49"/>
  <c r="O114" i="49"/>
  <c r="P114" i="49"/>
  <c r="Q114" i="49"/>
  <c r="N115" i="49"/>
  <c r="O115" i="49"/>
  <c r="P115" i="49"/>
  <c r="Q115" i="49"/>
  <c r="O107" i="49"/>
  <c r="P107" i="49"/>
  <c r="Q107" i="49"/>
  <c r="N107" i="49"/>
  <c r="W6" i="49"/>
  <c r="W7" i="49"/>
  <c r="W8" i="49"/>
  <c r="W9" i="49"/>
  <c r="W10" i="49"/>
  <c r="W11" i="49"/>
  <c r="W12" i="49"/>
  <c r="W13" i="49"/>
  <c r="W5" i="49"/>
  <c r="V6" i="49"/>
  <c r="V7" i="49"/>
  <c r="V8" i="49"/>
  <c r="V9" i="49"/>
  <c r="V10" i="49"/>
  <c r="V11" i="49"/>
  <c r="V12" i="49"/>
  <c r="V13" i="49"/>
  <c r="V5" i="49"/>
  <c r="U6" i="49"/>
  <c r="U7" i="49"/>
  <c r="U8" i="49"/>
  <c r="U9" i="49"/>
  <c r="U10" i="49"/>
  <c r="U11" i="49"/>
  <c r="U12" i="49"/>
  <c r="U13" i="49"/>
  <c r="U5" i="49"/>
  <c r="A147" i="14" l="1"/>
  <c r="AU146" i="14"/>
  <c r="T146" i="14"/>
  <c r="B146" i="14"/>
  <c r="CE146" i="14"/>
  <c r="AC146" i="14"/>
  <c r="K146" i="14"/>
  <c r="BD146" i="14"/>
  <c r="BV146" i="14"/>
  <c r="BM146" i="14"/>
  <c r="AL146" i="14"/>
  <c r="P128" i="49"/>
  <c r="O128" i="49"/>
  <c r="Q128" i="49"/>
  <c r="N128" i="49"/>
  <c r="Y5" i="49"/>
  <c r="X5" i="49"/>
  <c r="Y6" i="49"/>
  <c r="X10" i="49"/>
  <c r="X11" i="49"/>
  <c r="Y12" i="49"/>
  <c r="X6" i="49"/>
  <c r="Y8" i="49"/>
  <c r="Y7" i="49"/>
  <c r="X13" i="49"/>
  <c r="Y11" i="49"/>
  <c r="X12" i="49"/>
  <c r="Y13" i="49"/>
  <c r="X9" i="49"/>
  <c r="X7" i="49"/>
  <c r="X8" i="49"/>
  <c r="Y9" i="49"/>
  <c r="Y10" i="49"/>
  <c r="AC147" i="14" l="1"/>
  <c r="A148" i="14"/>
  <c r="CE147" i="14"/>
  <c r="T147" i="14"/>
  <c r="BV147" i="14"/>
  <c r="K147" i="14"/>
  <c r="B147" i="14"/>
  <c r="AU147" i="14"/>
  <c r="BM147" i="14"/>
  <c r="BD147" i="14"/>
  <c r="AL147" i="14"/>
  <c r="AL148" i="14" l="1"/>
  <c r="AK9" i="14" s="1"/>
  <c r="CE148" i="14"/>
  <c r="AK14" i="14" s="1"/>
  <c r="AC148" i="14"/>
  <c r="AK8" i="14" s="1"/>
  <c r="A149" i="14"/>
  <c r="T148" i="14"/>
  <c r="AK7" i="14" s="1"/>
  <c r="BM148" i="14"/>
  <c r="AK12" i="14" s="1"/>
  <c r="K148" i="14"/>
  <c r="AK6" i="14" s="1"/>
  <c r="BD148" i="14"/>
  <c r="AK11" i="14" s="1"/>
  <c r="B148" i="14"/>
  <c r="AK5" i="14" s="1"/>
  <c r="AU148" i="14"/>
  <c r="AK10" i="14" s="1"/>
  <c r="BV148" i="14"/>
  <c r="AK13" i="14" s="1"/>
  <c r="BD149" i="14" l="1"/>
  <c r="AL149" i="14"/>
  <c r="AC149" i="14"/>
  <c r="A150" i="14"/>
  <c r="CE149" i="14"/>
  <c r="T149" i="14"/>
  <c r="K149" i="14"/>
  <c r="AU149" i="14"/>
  <c r="BV149" i="14"/>
  <c r="BM149" i="14"/>
  <c r="B149" i="14"/>
  <c r="A151" i="14" l="1"/>
  <c r="BM150" i="14"/>
  <c r="T150" i="14"/>
  <c r="BV150" i="14"/>
  <c r="AL150" i="14"/>
  <c r="AC150" i="14"/>
  <c r="B150" i="14"/>
  <c r="CE150" i="14"/>
  <c r="AU150" i="14"/>
  <c r="BD150" i="14"/>
  <c r="K150" i="14"/>
  <c r="BM151" i="14" l="1"/>
  <c r="B151" i="14"/>
  <c r="AC151" i="14"/>
  <c r="BD151" i="14"/>
  <c r="AU151" i="14"/>
  <c r="AL151" i="14"/>
  <c r="A152" i="14"/>
  <c r="BV151" i="14"/>
  <c r="K151" i="14"/>
  <c r="T151" i="14"/>
  <c r="CE151" i="14"/>
  <c r="AL152" i="14" l="1"/>
  <c r="CE152" i="14"/>
  <c r="A153" i="14"/>
  <c r="K152" i="14"/>
  <c r="T152" i="14"/>
  <c r="AC152" i="14"/>
  <c r="BD152" i="14"/>
  <c r="BV152" i="14"/>
  <c r="AU152" i="14"/>
  <c r="BM152" i="14"/>
  <c r="B152" i="14"/>
  <c r="D46" i="14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CG19" i="14"/>
  <c r="CG20" i="14" s="1"/>
  <c r="CG21" i="14" s="1"/>
  <c r="CG22" i="14" s="1"/>
  <c r="CG23" i="14" s="1"/>
  <c r="CG24" i="14" s="1"/>
  <c r="CG25" i="14" s="1"/>
  <c r="CG26" i="14" s="1"/>
  <c r="CG27" i="14" s="1"/>
  <c r="CG28" i="14" s="1"/>
  <c r="CG29" i="14" s="1"/>
  <c r="CG30" i="14" s="1"/>
  <c r="CG31" i="14" s="1"/>
  <c r="CG32" i="14" s="1"/>
  <c r="CG33" i="14" s="1"/>
  <c r="CG34" i="14" s="1"/>
  <c r="CG35" i="14" s="1"/>
  <c r="CG36" i="14" s="1"/>
  <c r="CG37" i="14" s="1"/>
  <c r="BX18" i="14"/>
  <c r="BX19" i="14" s="1"/>
  <c r="BX20" i="14" s="1"/>
  <c r="BX21" i="14" s="1"/>
  <c r="BX22" i="14" s="1"/>
  <c r="BX23" i="14" s="1"/>
  <c r="BX24" i="14" s="1"/>
  <c r="BX25" i="14" s="1"/>
  <c r="BX26" i="14" s="1"/>
  <c r="BX27" i="14" s="1"/>
  <c r="BX28" i="14" s="1"/>
  <c r="BX29" i="14" s="1"/>
  <c r="BX30" i="14" s="1"/>
  <c r="BX31" i="14" s="1"/>
  <c r="BX32" i="14" s="1"/>
  <c r="BX33" i="14" s="1"/>
  <c r="BX34" i="14" s="1"/>
  <c r="BX35" i="14" s="1"/>
  <c r="BX36" i="14" s="1"/>
  <c r="BX37" i="14" s="1"/>
  <c r="BO18" i="14"/>
  <c r="BO19" i="14" s="1"/>
  <c r="BO20" i="14" s="1"/>
  <c r="BO21" i="14" s="1"/>
  <c r="BO22" i="14" s="1"/>
  <c r="BO23" i="14" s="1"/>
  <c r="BO24" i="14" s="1"/>
  <c r="BO25" i="14" s="1"/>
  <c r="BO26" i="14" s="1"/>
  <c r="BO27" i="14" s="1"/>
  <c r="BO28" i="14" s="1"/>
  <c r="BO29" i="14" s="1"/>
  <c r="BO30" i="14" s="1"/>
  <c r="BO31" i="14" s="1"/>
  <c r="BO32" i="14" s="1"/>
  <c r="BO33" i="14" s="1"/>
  <c r="BO34" i="14" s="1"/>
  <c r="BO35" i="14" s="1"/>
  <c r="BO36" i="14" s="1"/>
  <c r="BO37" i="14" s="1"/>
  <c r="BF18" i="14"/>
  <c r="BF19" i="14" s="1"/>
  <c r="BF20" i="14" s="1"/>
  <c r="BF21" i="14" s="1"/>
  <c r="BF22" i="14" s="1"/>
  <c r="BF23" i="14" s="1"/>
  <c r="BF24" i="14" s="1"/>
  <c r="BF25" i="14" s="1"/>
  <c r="BF26" i="14" s="1"/>
  <c r="BF27" i="14" s="1"/>
  <c r="BF28" i="14" s="1"/>
  <c r="BF29" i="14" s="1"/>
  <c r="BF30" i="14" s="1"/>
  <c r="BF31" i="14" s="1"/>
  <c r="BF32" i="14" s="1"/>
  <c r="BF33" i="14" s="1"/>
  <c r="BF34" i="14" s="1"/>
  <c r="BF35" i="14" s="1"/>
  <c r="BF36" i="14" s="1"/>
  <c r="BF37" i="14" s="1"/>
  <c r="AW18" i="14"/>
  <c r="AW19" i="14" s="1"/>
  <c r="AW20" i="14" s="1"/>
  <c r="AW21" i="14" s="1"/>
  <c r="AW22" i="14" s="1"/>
  <c r="AW23" i="14" s="1"/>
  <c r="AW24" i="14" s="1"/>
  <c r="AW25" i="14" s="1"/>
  <c r="AW26" i="14" s="1"/>
  <c r="AW27" i="14" s="1"/>
  <c r="AW28" i="14" s="1"/>
  <c r="AW29" i="14" s="1"/>
  <c r="AW30" i="14" s="1"/>
  <c r="AW31" i="14" s="1"/>
  <c r="AW32" i="14" s="1"/>
  <c r="AW33" i="14" s="1"/>
  <c r="AW34" i="14" s="1"/>
  <c r="AW35" i="14" s="1"/>
  <c r="AW36" i="14" s="1"/>
  <c r="AW37" i="14" s="1"/>
  <c r="AN18" i="14"/>
  <c r="AN19" i="14" s="1"/>
  <c r="AN20" i="14" s="1"/>
  <c r="AN21" i="14" s="1"/>
  <c r="AN22" i="14" s="1"/>
  <c r="AN23" i="14" s="1"/>
  <c r="AN24" i="14" s="1"/>
  <c r="AN25" i="14" s="1"/>
  <c r="AN26" i="14" s="1"/>
  <c r="AN27" i="14" s="1"/>
  <c r="AN28" i="14" s="1"/>
  <c r="AN29" i="14" s="1"/>
  <c r="AN30" i="14" s="1"/>
  <c r="AN31" i="14" s="1"/>
  <c r="AN32" i="14" s="1"/>
  <c r="AN33" i="14" s="1"/>
  <c r="AN34" i="14" s="1"/>
  <c r="AN35" i="14" s="1"/>
  <c r="AN36" i="14" s="1"/>
  <c r="AN37" i="14" s="1"/>
  <c r="AE18" i="14"/>
  <c r="AE19" i="14" s="1"/>
  <c r="AE20" i="14" s="1"/>
  <c r="AE21" i="14" s="1"/>
  <c r="AE22" i="14" s="1"/>
  <c r="AE23" i="14" s="1"/>
  <c r="AE24" i="14" s="1"/>
  <c r="AE25" i="14" s="1"/>
  <c r="AE26" i="14" s="1"/>
  <c r="AE27" i="14" s="1"/>
  <c r="AE28" i="14" s="1"/>
  <c r="AE29" i="14" s="1"/>
  <c r="AE30" i="14" s="1"/>
  <c r="AE31" i="14" s="1"/>
  <c r="AE32" i="14" s="1"/>
  <c r="AE33" i="14" s="1"/>
  <c r="AE34" i="14" s="1"/>
  <c r="AE35" i="14" s="1"/>
  <c r="AE36" i="14" s="1"/>
  <c r="AE37" i="14" s="1"/>
  <c r="V18" i="14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M18" i="14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M36" i="14" s="1"/>
  <c r="M37" i="14" s="1"/>
  <c r="D18" i="14"/>
  <c r="D19" i="14" s="1"/>
  <c r="D20" i="14" s="1"/>
  <c r="D21" i="14" s="1"/>
  <c r="AC3" i="14"/>
  <c r="AD2" i="14"/>
  <c r="P2" i="14"/>
  <c r="CU235" i="11"/>
  <c r="CV235" i="11" s="1"/>
  <c r="CK235" i="11"/>
  <c r="CN235" i="11" s="1"/>
  <c r="CJ235" i="11"/>
  <c r="P235" i="11"/>
  <c r="I235" i="11"/>
  <c r="A235" i="11"/>
  <c r="CU234" i="11"/>
  <c r="CV234" i="11" s="1"/>
  <c r="CS234" i="11"/>
  <c r="CK234" i="11"/>
  <c r="CN234" i="11" s="1"/>
  <c r="CJ234" i="11"/>
  <c r="P234" i="11"/>
  <c r="I234" i="11"/>
  <c r="A234" i="11"/>
  <c r="CU233" i="11"/>
  <c r="CK233" i="11"/>
  <c r="CN233" i="11" s="1"/>
  <c r="CJ233" i="11"/>
  <c r="P233" i="11"/>
  <c r="I233" i="11"/>
  <c r="A233" i="11"/>
  <c r="CU232" i="11"/>
  <c r="CV232" i="11" s="1"/>
  <c r="CK232" i="11"/>
  <c r="CN232" i="11" s="1"/>
  <c r="CJ232" i="11"/>
  <c r="P232" i="11"/>
  <c r="I232" i="11"/>
  <c r="A232" i="11"/>
  <c r="CU231" i="11"/>
  <c r="CK231" i="11"/>
  <c r="CN231" i="11" s="1"/>
  <c r="CJ231" i="11"/>
  <c r="P231" i="11"/>
  <c r="I231" i="11"/>
  <c r="A231" i="11"/>
  <c r="CU230" i="11"/>
  <c r="CV230" i="11" s="1"/>
  <c r="CK230" i="11"/>
  <c r="CN230" i="11" s="1"/>
  <c r="CJ230" i="11"/>
  <c r="P230" i="11"/>
  <c r="I230" i="11"/>
  <c r="A230" i="11"/>
  <c r="CU229" i="11"/>
  <c r="CK229" i="11"/>
  <c r="CN229" i="11" s="1"/>
  <c r="CJ229" i="11"/>
  <c r="P229" i="11"/>
  <c r="I229" i="11"/>
  <c r="A229" i="11"/>
  <c r="CU228" i="11"/>
  <c r="CV228" i="11" s="1"/>
  <c r="CK228" i="11"/>
  <c r="CN228" i="11" s="1"/>
  <c r="CJ228" i="11"/>
  <c r="P228" i="11"/>
  <c r="I228" i="11"/>
  <c r="A228" i="11"/>
  <c r="CU227" i="11"/>
  <c r="CK227" i="11"/>
  <c r="CN227" i="11" s="1"/>
  <c r="CJ227" i="11"/>
  <c r="P227" i="11"/>
  <c r="I227" i="11"/>
  <c r="A227" i="11"/>
  <c r="CU226" i="11"/>
  <c r="CV226" i="11" s="1"/>
  <c r="CK226" i="11"/>
  <c r="CN226" i="11" s="1"/>
  <c r="CJ226" i="11"/>
  <c r="P226" i="11"/>
  <c r="I226" i="11"/>
  <c r="A226" i="11"/>
  <c r="CU225" i="11"/>
  <c r="CK225" i="11"/>
  <c r="CN225" i="11" s="1"/>
  <c r="CJ225" i="11"/>
  <c r="P225" i="11"/>
  <c r="I225" i="11"/>
  <c r="A225" i="11"/>
  <c r="CU224" i="11"/>
  <c r="CV224" i="11" s="1"/>
  <c r="CK224" i="11"/>
  <c r="CN224" i="11" s="1"/>
  <c r="CJ224" i="11"/>
  <c r="P224" i="11"/>
  <c r="I224" i="11"/>
  <c r="A224" i="11"/>
  <c r="CU223" i="11"/>
  <c r="CK223" i="11"/>
  <c r="CN223" i="11" s="1"/>
  <c r="CJ223" i="11"/>
  <c r="P223" i="11"/>
  <c r="I223" i="11"/>
  <c r="A223" i="11"/>
  <c r="CU222" i="11"/>
  <c r="CV222" i="11" s="1"/>
  <c r="CK222" i="11"/>
  <c r="CN222" i="11" s="1"/>
  <c r="CJ222" i="11"/>
  <c r="P222" i="11"/>
  <c r="I222" i="11"/>
  <c r="A222" i="11"/>
  <c r="CU221" i="11"/>
  <c r="CK221" i="11"/>
  <c r="CN221" i="11" s="1"/>
  <c r="CJ221" i="11"/>
  <c r="P221" i="11"/>
  <c r="I221" i="11"/>
  <c r="A221" i="11"/>
  <c r="CU220" i="11"/>
  <c r="CV220" i="11" s="1"/>
  <c r="CK220" i="11"/>
  <c r="CN220" i="11" s="1"/>
  <c r="CJ220" i="11"/>
  <c r="P220" i="11"/>
  <c r="I220" i="11"/>
  <c r="A220" i="11"/>
  <c r="CU219" i="11"/>
  <c r="CK219" i="11"/>
  <c r="CN219" i="11" s="1"/>
  <c r="CJ219" i="11"/>
  <c r="P219" i="11"/>
  <c r="I219" i="11"/>
  <c r="A219" i="11"/>
  <c r="CU218" i="11"/>
  <c r="CV218" i="11" s="1"/>
  <c r="CS218" i="11"/>
  <c r="CK218" i="11"/>
  <c r="CN218" i="11" s="1"/>
  <c r="CJ218" i="11"/>
  <c r="P218" i="11"/>
  <c r="I218" i="11"/>
  <c r="A218" i="11"/>
  <c r="CU217" i="11"/>
  <c r="CK217" i="11"/>
  <c r="CN217" i="11" s="1"/>
  <c r="CJ217" i="11"/>
  <c r="P217" i="11"/>
  <c r="I217" i="11"/>
  <c r="A217" i="11"/>
  <c r="CU216" i="11"/>
  <c r="CV216" i="11" s="1"/>
  <c r="CK216" i="11"/>
  <c r="CN216" i="11" s="1"/>
  <c r="CJ216" i="11"/>
  <c r="P216" i="11"/>
  <c r="I216" i="11"/>
  <c r="A216" i="11"/>
  <c r="CU215" i="11"/>
  <c r="CK215" i="11"/>
  <c r="CN215" i="11" s="1"/>
  <c r="CJ215" i="11"/>
  <c r="P215" i="11"/>
  <c r="I215" i="11"/>
  <c r="A215" i="11"/>
  <c r="CU214" i="11"/>
  <c r="CV214" i="11" s="1"/>
  <c r="CK214" i="11"/>
  <c r="CN214" i="11" s="1"/>
  <c r="CJ214" i="11"/>
  <c r="P214" i="11"/>
  <c r="I214" i="11"/>
  <c r="A214" i="11"/>
  <c r="CU213" i="11"/>
  <c r="CK213" i="11"/>
  <c r="CN213" i="11" s="1"/>
  <c r="CJ213" i="11"/>
  <c r="P213" i="11"/>
  <c r="I213" i="11"/>
  <c r="A213" i="11"/>
  <c r="CU212" i="11"/>
  <c r="CK212" i="11"/>
  <c r="CN212" i="11" s="1"/>
  <c r="CJ212" i="11"/>
  <c r="P212" i="11"/>
  <c r="I212" i="11"/>
  <c r="A212" i="11"/>
  <c r="CU211" i="11"/>
  <c r="CV211" i="11" s="1"/>
  <c r="CK211" i="11"/>
  <c r="CN211" i="11" s="1"/>
  <c r="CJ211" i="11"/>
  <c r="P211" i="11"/>
  <c r="I211" i="11"/>
  <c r="A211" i="11"/>
  <c r="CU210" i="11"/>
  <c r="CK210" i="11"/>
  <c r="CN210" i="11" s="1"/>
  <c r="CJ210" i="11"/>
  <c r="P210" i="11"/>
  <c r="I210" i="11"/>
  <c r="A210" i="11"/>
  <c r="CU209" i="11"/>
  <c r="CV209" i="11" s="1"/>
  <c r="CK209" i="11"/>
  <c r="CN209" i="11" s="1"/>
  <c r="CJ209" i="11"/>
  <c r="P209" i="11"/>
  <c r="I209" i="11"/>
  <c r="A209" i="11"/>
  <c r="CU208" i="11"/>
  <c r="CK208" i="11"/>
  <c r="CN208" i="11" s="1"/>
  <c r="CJ208" i="11"/>
  <c r="P208" i="11"/>
  <c r="I208" i="11"/>
  <c r="A208" i="11"/>
  <c r="CU207" i="11"/>
  <c r="CV207" i="11" s="1"/>
  <c r="CK207" i="11"/>
  <c r="CN207" i="11" s="1"/>
  <c r="CJ207" i="11"/>
  <c r="P207" i="11"/>
  <c r="I207" i="11"/>
  <c r="A207" i="11"/>
  <c r="CU206" i="11"/>
  <c r="CK206" i="11"/>
  <c r="CN206" i="11" s="1"/>
  <c r="CJ206" i="11"/>
  <c r="P206" i="11"/>
  <c r="I206" i="11"/>
  <c r="A206" i="11"/>
  <c r="CU205" i="11"/>
  <c r="CV205" i="11" s="1"/>
  <c r="CK205" i="11"/>
  <c r="CN205" i="11" s="1"/>
  <c r="CJ205" i="11"/>
  <c r="P205" i="11"/>
  <c r="I205" i="11"/>
  <c r="A205" i="11"/>
  <c r="CU204" i="11"/>
  <c r="CK204" i="11"/>
  <c r="CN204" i="11" s="1"/>
  <c r="CJ204" i="11"/>
  <c r="P204" i="11"/>
  <c r="I204" i="11"/>
  <c r="A204" i="11"/>
  <c r="CU203" i="11"/>
  <c r="CV203" i="11" s="1"/>
  <c r="CK203" i="11"/>
  <c r="CN203" i="11" s="1"/>
  <c r="CJ203" i="11"/>
  <c r="P203" i="11"/>
  <c r="I203" i="11"/>
  <c r="A203" i="11"/>
  <c r="CU202" i="11"/>
  <c r="CK202" i="11"/>
  <c r="CN202" i="11" s="1"/>
  <c r="CJ202" i="11"/>
  <c r="P202" i="11"/>
  <c r="I202" i="11"/>
  <c r="A202" i="11"/>
  <c r="CU201" i="11"/>
  <c r="CV201" i="11" s="1"/>
  <c r="CK201" i="11"/>
  <c r="CN201" i="11" s="1"/>
  <c r="CJ201" i="11"/>
  <c r="P201" i="11"/>
  <c r="I201" i="11"/>
  <c r="A201" i="11"/>
  <c r="CU200" i="11"/>
  <c r="CK200" i="11"/>
  <c r="CN200" i="11" s="1"/>
  <c r="CJ200" i="11"/>
  <c r="P200" i="11"/>
  <c r="I200" i="11"/>
  <c r="A200" i="11"/>
  <c r="CU199" i="11"/>
  <c r="CV199" i="11" s="1"/>
  <c r="CK199" i="11"/>
  <c r="CN199" i="11" s="1"/>
  <c r="CJ199" i="11"/>
  <c r="P199" i="11"/>
  <c r="I199" i="11"/>
  <c r="A199" i="11"/>
  <c r="CU198" i="11"/>
  <c r="CK198" i="11"/>
  <c r="CN198" i="11" s="1"/>
  <c r="CJ198" i="11"/>
  <c r="P198" i="11"/>
  <c r="I198" i="11"/>
  <c r="A198" i="11"/>
  <c r="CU197" i="11"/>
  <c r="CV197" i="11" s="1"/>
  <c r="CK197" i="11"/>
  <c r="CN197" i="11" s="1"/>
  <c r="CJ197" i="11"/>
  <c r="P197" i="11"/>
  <c r="I197" i="11"/>
  <c r="A197" i="11"/>
  <c r="CU196" i="11"/>
  <c r="CK196" i="11"/>
  <c r="CN196" i="11" s="1"/>
  <c r="CJ196" i="11"/>
  <c r="P196" i="11"/>
  <c r="I196" i="11"/>
  <c r="A196" i="11"/>
  <c r="CU195" i="11"/>
  <c r="CV195" i="11" s="1"/>
  <c r="CK195" i="11"/>
  <c r="CN195" i="11" s="1"/>
  <c r="CJ195" i="11"/>
  <c r="P195" i="11"/>
  <c r="I195" i="11"/>
  <c r="A195" i="11"/>
  <c r="CU194" i="11"/>
  <c r="CK194" i="11"/>
  <c r="CN194" i="11" s="1"/>
  <c r="CJ194" i="11"/>
  <c r="P194" i="11"/>
  <c r="I194" i="11"/>
  <c r="A194" i="11"/>
  <c r="CU193" i="11"/>
  <c r="CV193" i="11" s="1"/>
  <c r="CK193" i="11"/>
  <c r="CN193" i="11" s="1"/>
  <c r="CJ193" i="11"/>
  <c r="P193" i="11"/>
  <c r="I193" i="11"/>
  <c r="A193" i="11"/>
  <c r="CU192" i="11"/>
  <c r="CK192" i="11"/>
  <c r="CN192" i="11" s="1"/>
  <c r="CJ192" i="11"/>
  <c r="P192" i="11"/>
  <c r="I192" i="11"/>
  <c r="A192" i="11"/>
  <c r="CU191" i="11"/>
  <c r="CV191" i="11" s="1"/>
  <c r="CK191" i="11"/>
  <c r="CN191" i="11" s="1"/>
  <c r="CJ191" i="11"/>
  <c r="P191" i="11"/>
  <c r="I191" i="11"/>
  <c r="A191" i="11"/>
  <c r="CU190" i="11"/>
  <c r="CK190" i="11"/>
  <c r="CN190" i="11" s="1"/>
  <c r="CJ190" i="11"/>
  <c r="P190" i="11"/>
  <c r="I190" i="11"/>
  <c r="A190" i="11"/>
  <c r="CU189" i="11"/>
  <c r="CV189" i="11" s="1"/>
  <c r="CK189" i="11"/>
  <c r="CN189" i="11" s="1"/>
  <c r="CJ189" i="11"/>
  <c r="P189" i="11"/>
  <c r="I189" i="11"/>
  <c r="A189" i="11"/>
  <c r="CU188" i="11"/>
  <c r="CK188" i="11"/>
  <c r="CN188" i="11" s="1"/>
  <c r="CJ188" i="11"/>
  <c r="P188" i="11"/>
  <c r="I188" i="11"/>
  <c r="A188" i="11"/>
  <c r="CU187" i="11"/>
  <c r="CV187" i="11" s="1"/>
  <c r="CK187" i="11"/>
  <c r="CN187" i="11" s="1"/>
  <c r="CJ187" i="11"/>
  <c r="P187" i="11"/>
  <c r="I187" i="11"/>
  <c r="A187" i="11"/>
  <c r="CU186" i="11"/>
  <c r="CK186" i="11"/>
  <c r="CN186" i="11" s="1"/>
  <c r="CJ186" i="11"/>
  <c r="P186" i="11"/>
  <c r="I186" i="11"/>
  <c r="A186" i="11"/>
  <c r="CU185" i="11"/>
  <c r="CV185" i="11" s="1"/>
  <c r="CK185" i="11"/>
  <c r="CN185" i="11" s="1"/>
  <c r="CJ185" i="11"/>
  <c r="P185" i="11"/>
  <c r="I185" i="11"/>
  <c r="A185" i="11"/>
  <c r="CU184" i="11"/>
  <c r="CK184" i="11"/>
  <c r="CN184" i="11" s="1"/>
  <c r="CJ184" i="11"/>
  <c r="P184" i="11"/>
  <c r="I184" i="11"/>
  <c r="A184" i="11"/>
  <c r="CU183" i="11"/>
  <c r="CK183" i="11"/>
  <c r="CN183" i="11" s="1"/>
  <c r="CJ183" i="11"/>
  <c r="P183" i="11"/>
  <c r="I183" i="11"/>
  <c r="A183" i="11"/>
  <c r="CU182" i="11"/>
  <c r="CV182" i="11" s="1"/>
  <c r="CS182" i="11"/>
  <c r="CK182" i="11"/>
  <c r="CN182" i="11" s="1"/>
  <c r="CJ182" i="11"/>
  <c r="P182" i="11"/>
  <c r="I182" i="11"/>
  <c r="A182" i="11"/>
  <c r="CU181" i="11"/>
  <c r="CK181" i="11"/>
  <c r="CN181" i="11" s="1"/>
  <c r="CJ181" i="11"/>
  <c r="P181" i="11"/>
  <c r="I181" i="11"/>
  <c r="A181" i="11"/>
  <c r="CU180" i="11"/>
  <c r="CV180" i="11" s="1"/>
  <c r="CK180" i="11"/>
  <c r="CN180" i="11" s="1"/>
  <c r="CJ180" i="11"/>
  <c r="P180" i="11"/>
  <c r="I180" i="11"/>
  <c r="A180" i="11"/>
  <c r="CU179" i="11"/>
  <c r="CK179" i="11"/>
  <c r="CN179" i="11" s="1"/>
  <c r="CJ179" i="11"/>
  <c r="P179" i="11"/>
  <c r="I179" i="11"/>
  <c r="A179" i="11"/>
  <c r="CU178" i="11"/>
  <c r="CV178" i="11" s="1"/>
  <c r="CK178" i="11"/>
  <c r="CN178" i="11" s="1"/>
  <c r="CJ178" i="11"/>
  <c r="P178" i="11"/>
  <c r="I178" i="11"/>
  <c r="A178" i="11"/>
  <c r="CU177" i="11"/>
  <c r="CK177" i="11"/>
  <c r="CN177" i="11" s="1"/>
  <c r="CJ177" i="11"/>
  <c r="P177" i="11"/>
  <c r="I177" i="11"/>
  <c r="A177" i="11"/>
  <c r="CU176" i="11"/>
  <c r="CV176" i="11" s="1"/>
  <c r="CS176" i="11"/>
  <c r="CK176" i="11"/>
  <c r="CN176" i="11" s="1"/>
  <c r="CJ176" i="11"/>
  <c r="P176" i="11"/>
  <c r="I176" i="11"/>
  <c r="A176" i="11"/>
  <c r="CU175" i="11"/>
  <c r="CK175" i="11"/>
  <c r="CN175" i="11" s="1"/>
  <c r="CJ175" i="11"/>
  <c r="P175" i="11"/>
  <c r="I175" i="11"/>
  <c r="A175" i="11"/>
  <c r="CU174" i="11"/>
  <c r="CV174" i="11" s="1"/>
  <c r="CK174" i="11"/>
  <c r="CN174" i="11" s="1"/>
  <c r="CJ174" i="11"/>
  <c r="P174" i="11"/>
  <c r="I174" i="11"/>
  <c r="A174" i="11"/>
  <c r="CU173" i="11"/>
  <c r="CK173" i="11"/>
  <c r="CN173" i="11" s="1"/>
  <c r="CJ173" i="11"/>
  <c r="P173" i="11"/>
  <c r="I173" i="11"/>
  <c r="A173" i="11"/>
  <c r="CU172" i="11"/>
  <c r="CV172" i="11" s="1"/>
  <c r="CK172" i="11"/>
  <c r="CN172" i="11" s="1"/>
  <c r="CJ172" i="11"/>
  <c r="P172" i="11"/>
  <c r="I172" i="11"/>
  <c r="A172" i="11"/>
  <c r="CU171" i="11"/>
  <c r="CK171" i="11"/>
  <c r="CN171" i="11" s="1"/>
  <c r="CJ171" i="11"/>
  <c r="P171" i="11"/>
  <c r="I171" i="11"/>
  <c r="A171" i="11"/>
  <c r="CU170" i="11"/>
  <c r="CK170" i="11"/>
  <c r="CN170" i="11" s="1"/>
  <c r="CJ170" i="11"/>
  <c r="P170" i="11"/>
  <c r="I170" i="11"/>
  <c r="A170" i="11"/>
  <c r="CU169" i="11"/>
  <c r="CK169" i="11"/>
  <c r="CN169" i="11" s="1"/>
  <c r="CJ169" i="11"/>
  <c r="P169" i="11"/>
  <c r="I169" i="11"/>
  <c r="A169" i="11"/>
  <c r="CU168" i="11"/>
  <c r="CK168" i="11"/>
  <c r="CN168" i="11" s="1"/>
  <c r="CJ168" i="11"/>
  <c r="P168" i="11"/>
  <c r="I168" i="11"/>
  <c r="A168" i="11"/>
  <c r="CU167" i="11"/>
  <c r="CK167" i="11"/>
  <c r="CN167" i="11" s="1"/>
  <c r="CJ167" i="11"/>
  <c r="P167" i="11"/>
  <c r="I167" i="11"/>
  <c r="A167" i="11"/>
  <c r="CU166" i="11"/>
  <c r="CK166" i="11"/>
  <c r="CN166" i="11" s="1"/>
  <c r="CJ166" i="11"/>
  <c r="P166" i="11"/>
  <c r="I166" i="11"/>
  <c r="A166" i="11"/>
  <c r="CU165" i="11"/>
  <c r="CK165" i="11"/>
  <c r="CN165" i="11" s="1"/>
  <c r="CJ165" i="11"/>
  <c r="P165" i="11"/>
  <c r="I165" i="11"/>
  <c r="A165" i="11"/>
  <c r="CU164" i="11"/>
  <c r="CK164" i="11"/>
  <c r="CN164" i="11" s="1"/>
  <c r="CJ164" i="11"/>
  <c r="P164" i="11"/>
  <c r="I164" i="11"/>
  <c r="A164" i="11"/>
  <c r="CU163" i="11"/>
  <c r="CK163" i="11"/>
  <c r="CN163" i="11" s="1"/>
  <c r="CJ163" i="11"/>
  <c r="P163" i="11"/>
  <c r="I163" i="11"/>
  <c r="A163" i="11"/>
  <c r="CU162" i="11"/>
  <c r="CK162" i="11"/>
  <c r="CN162" i="11" s="1"/>
  <c r="CJ162" i="11"/>
  <c r="P162" i="11"/>
  <c r="I162" i="11"/>
  <c r="A162" i="11"/>
  <c r="CU161" i="11"/>
  <c r="CK161" i="11"/>
  <c r="CN161" i="11" s="1"/>
  <c r="CJ161" i="11"/>
  <c r="P161" i="11"/>
  <c r="I161" i="11"/>
  <c r="A161" i="11"/>
  <c r="CU160" i="11"/>
  <c r="CK160" i="11"/>
  <c r="CN160" i="11" s="1"/>
  <c r="CJ160" i="11"/>
  <c r="P160" i="11"/>
  <c r="I160" i="11"/>
  <c r="A160" i="11"/>
  <c r="CU159" i="11"/>
  <c r="CK159" i="11"/>
  <c r="CN159" i="11" s="1"/>
  <c r="CJ159" i="11"/>
  <c r="P159" i="11"/>
  <c r="I159" i="11"/>
  <c r="A159" i="11"/>
  <c r="CU158" i="11"/>
  <c r="CK158" i="11"/>
  <c r="CN158" i="11" s="1"/>
  <c r="CJ158" i="11"/>
  <c r="P158" i="11"/>
  <c r="I158" i="11"/>
  <c r="A158" i="11"/>
  <c r="CU157" i="11"/>
  <c r="CK157" i="11"/>
  <c r="CN157" i="11" s="1"/>
  <c r="CJ157" i="11"/>
  <c r="P157" i="11"/>
  <c r="I157" i="11"/>
  <c r="A157" i="11"/>
  <c r="CU156" i="11"/>
  <c r="CK156" i="11"/>
  <c r="CN156" i="11" s="1"/>
  <c r="CJ156" i="11"/>
  <c r="P156" i="11"/>
  <c r="I156" i="11"/>
  <c r="A156" i="11"/>
  <c r="CU155" i="11"/>
  <c r="CK155" i="11"/>
  <c r="CN155" i="11" s="1"/>
  <c r="CJ155" i="11"/>
  <c r="P155" i="11"/>
  <c r="I155" i="11"/>
  <c r="A155" i="11"/>
  <c r="CU154" i="11"/>
  <c r="CK154" i="11"/>
  <c r="CN154" i="11" s="1"/>
  <c r="CJ154" i="11"/>
  <c r="P154" i="11"/>
  <c r="I154" i="11"/>
  <c r="A154" i="11"/>
  <c r="CU153" i="11"/>
  <c r="CK153" i="11"/>
  <c r="CN153" i="11" s="1"/>
  <c r="CJ153" i="11"/>
  <c r="P153" i="11"/>
  <c r="I153" i="11"/>
  <c r="A153" i="11"/>
  <c r="CU152" i="11"/>
  <c r="CK152" i="11"/>
  <c r="CN152" i="11" s="1"/>
  <c r="CJ152" i="11"/>
  <c r="P152" i="11"/>
  <c r="I152" i="11"/>
  <c r="A152" i="11"/>
  <c r="CU151" i="11"/>
  <c r="CK151" i="11"/>
  <c r="CN151" i="11" s="1"/>
  <c r="CJ151" i="11"/>
  <c r="P151" i="11"/>
  <c r="I151" i="11"/>
  <c r="A151" i="11"/>
  <c r="CU150" i="11"/>
  <c r="CK150" i="11"/>
  <c r="CN150" i="11" s="1"/>
  <c r="CJ150" i="11"/>
  <c r="P150" i="11"/>
  <c r="I150" i="11"/>
  <c r="A150" i="11"/>
  <c r="CU149" i="11"/>
  <c r="CK149" i="11"/>
  <c r="CN149" i="11" s="1"/>
  <c r="CJ149" i="11"/>
  <c r="P149" i="11"/>
  <c r="I149" i="11"/>
  <c r="A149" i="11"/>
  <c r="CU148" i="11"/>
  <c r="CK148" i="11"/>
  <c r="CN148" i="11" s="1"/>
  <c r="CJ148" i="11"/>
  <c r="P148" i="11"/>
  <c r="I148" i="11"/>
  <c r="A148" i="11"/>
  <c r="CU147" i="11"/>
  <c r="CK147" i="11"/>
  <c r="CN147" i="11" s="1"/>
  <c r="CJ147" i="11"/>
  <c r="P147" i="11"/>
  <c r="I147" i="11"/>
  <c r="A147" i="11"/>
  <c r="CU146" i="11"/>
  <c r="CK146" i="11"/>
  <c r="CN146" i="11" s="1"/>
  <c r="CJ146" i="11"/>
  <c r="P146" i="11"/>
  <c r="I146" i="11"/>
  <c r="A146" i="11"/>
  <c r="CU145" i="11"/>
  <c r="CK145" i="11"/>
  <c r="CN145" i="11" s="1"/>
  <c r="CJ145" i="11"/>
  <c r="P145" i="11"/>
  <c r="I145" i="11"/>
  <c r="A145" i="11"/>
  <c r="CU144" i="11"/>
  <c r="CK144" i="11"/>
  <c r="CN144" i="11" s="1"/>
  <c r="CJ144" i="11"/>
  <c r="P144" i="11"/>
  <c r="I144" i="11"/>
  <c r="A144" i="11"/>
  <c r="CU143" i="11"/>
  <c r="CK143" i="11"/>
  <c r="CN143" i="11" s="1"/>
  <c r="CJ143" i="11"/>
  <c r="P143" i="11"/>
  <c r="I143" i="11"/>
  <c r="A143" i="11"/>
  <c r="CU142" i="11"/>
  <c r="CK142" i="11"/>
  <c r="CN142" i="11" s="1"/>
  <c r="CJ142" i="11"/>
  <c r="P142" i="11"/>
  <c r="I142" i="11"/>
  <c r="A142" i="11"/>
  <c r="CU141" i="11"/>
  <c r="CK141" i="11"/>
  <c r="CN141" i="11" s="1"/>
  <c r="CJ141" i="11"/>
  <c r="P141" i="11"/>
  <c r="I141" i="11"/>
  <c r="A141" i="11"/>
  <c r="CU140" i="11"/>
  <c r="CK140" i="11"/>
  <c r="CN140" i="11" s="1"/>
  <c r="CJ140" i="11"/>
  <c r="P140" i="11"/>
  <c r="I140" i="11"/>
  <c r="A140" i="11"/>
  <c r="CU139" i="11"/>
  <c r="CK139" i="11"/>
  <c r="CN139" i="11" s="1"/>
  <c r="CJ139" i="11"/>
  <c r="P139" i="11"/>
  <c r="I139" i="11"/>
  <c r="A139" i="11"/>
  <c r="CU138" i="11"/>
  <c r="CK138" i="11"/>
  <c r="CN138" i="11" s="1"/>
  <c r="CJ138" i="11"/>
  <c r="P138" i="11"/>
  <c r="I138" i="11"/>
  <c r="A138" i="11"/>
  <c r="CU137" i="11"/>
  <c r="CK137" i="11"/>
  <c r="CN137" i="11" s="1"/>
  <c r="CJ137" i="11"/>
  <c r="P137" i="11"/>
  <c r="I137" i="11"/>
  <c r="A137" i="11"/>
  <c r="CU136" i="11"/>
  <c r="CK136" i="11"/>
  <c r="CN136" i="11" s="1"/>
  <c r="CJ136" i="11"/>
  <c r="P136" i="11"/>
  <c r="I136" i="11"/>
  <c r="A136" i="11"/>
  <c r="CU135" i="11"/>
  <c r="CK135" i="11"/>
  <c r="CN135" i="11" s="1"/>
  <c r="CJ135" i="11"/>
  <c r="P135" i="11"/>
  <c r="I135" i="11"/>
  <c r="A135" i="11"/>
  <c r="CU134" i="11"/>
  <c r="CK134" i="11"/>
  <c r="CN134" i="11" s="1"/>
  <c r="CJ134" i="11"/>
  <c r="P134" i="11"/>
  <c r="I134" i="11"/>
  <c r="A134" i="11"/>
  <c r="CU133" i="11"/>
  <c r="CK133" i="11"/>
  <c r="CN133" i="11" s="1"/>
  <c r="CJ133" i="11"/>
  <c r="P133" i="11"/>
  <c r="I133" i="11"/>
  <c r="A133" i="11"/>
  <c r="CU132" i="11"/>
  <c r="CK132" i="11"/>
  <c r="CN132" i="11" s="1"/>
  <c r="CJ132" i="11"/>
  <c r="P132" i="11"/>
  <c r="I132" i="11"/>
  <c r="A132" i="11"/>
  <c r="CU131" i="11"/>
  <c r="CK131" i="11"/>
  <c r="CN131" i="11" s="1"/>
  <c r="CJ131" i="11"/>
  <c r="P131" i="11"/>
  <c r="I131" i="11"/>
  <c r="A131" i="11"/>
  <c r="CU130" i="11"/>
  <c r="CK130" i="11"/>
  <c r="CN130" i="11" s="1"/>
  <c r="CJ130" i="11"/>
  <c r="P130" i="11"/>
  <c r="I130" i="11"/>
  <c r="A130" i="11"/>
  <c r="CU129" i="11"/>
  <c r="CK129" i="11"/>
  <c r="CN129" i="11" s="1"/>
  <c r="CJ129" i="11"/>
  <c r="P129" i="11"/>
  <c r="I129" i="11"/>
  <c r="A129" i="11"/>
  <c r="CU128" i="11"/>
  <c r="CK128" i="11"/>
  <c r="CN128" i="11" s="1"/>
  <c r="CJ128" i="11"/>
  <c r="P128" i="11"/>
  <c r="I128" i="11"/>
  <c r="A128" i="11"/>
  <c r="CU127" i="11"/>
  <c r="CK127" i="11"/>
  <c r="CN127" i="11" s="1"/>
  <c r="CJ127" i="11"/>
  <c r="P127" i="11"/>
  <c r="I127" i="11"/>
  <c r="A127" i="11"/>
  <c r="CU126" i="11"/>
  <c r="CK126" i="11"/>
  <c r="CN126" i="11" s="1"/>
  <c r="CJ126" i="11"/>
  <c r="P126" i="11"/>
  <c r="I126" i="11"/>
  <c r="A126" i="11"/>
  <c r="CU125" i="11"/>
  <c r="CK125" i="11"/>
  <c r="CN125" i="11" s="1"/>
  <c r="CJ125" i="11"/>
  <c r="P125" i="11"/>
  <c r="I125" i="11"/>
  <c r="A125" i="11"/>
  <c r="CU124" i="11"/>
  <c r="CK124" i="11"/>
  <c r="CN124" i="11" s="1"/>
  <c r="CJ124" i="11"/>
  <c r="P124" i="11"/>
  <c r="I124" i="11"/>
  <c r="A124" i="11"/>
  <c r="CU123" i="11"/>
  <c r="CK123" i="11"/>
  <c r="CN123" i="11" s="1"/>
  <c r="CJ123" i="11"/>
  <c r="P123" i="11"/>
  <c r="I123" i="11"/>
  <c r="A123" i="11"/>
  <c r="CU122" i="11"/>
  <c r="CK122" i="11"/>
  <c r="CN122" i="11" s="1"/>
  <c r="CJ122" i="11"/>
  <c r="P122" i="11"/>
  <c r="I122" i="11"/>
  <c r="A122" i="11"/>
  <c r="CU121" i="11"/>
  <c r="CK121" i="11"/>
  <c r="CN121" i="11" s="1"/>
  <c r="CJ121" i="11"/>
  <c r="P121" i="11"/>
  <c r="I121" i="11"/>
  <c r="A121" i="11"/>
  <c r="CU120" i="11"/>
  <c r="CK120" i="11"/>
  <c r="CN120" i="11" s="1"/>
  <c r="CJ120" i="11"/>
  <c r="P120" i="11"/>
  <c r="I120" i="11"/>
  <c r="A120" i="11"/>
  <c r="CU119" i="11"/>
  <c r="CK119" i="11"/>
  <c r="CN119" i="11" s="1"/>
  <c r="CJ119" i="11"/>
  <c r="P119" i="11"/>
  <c r="I119" i="11"/>
  <c r="A119" i="11"/>
  <c r="CU118" i="11"/>
  <c r="CK118" i="11"/>
  <c r="CN118" i="11" s="1"/>
  <c r="CJ118" i="11"/>
  <c r="P118" i="11"/>
  <c r="I118" i="11"/>
  <c r="A118" i="11"/>
  <c r="CU117" i="11"/>
  <c r="CK117" i="11"/>
  <c r="CN117" i="11" s="1"/>
  <c r="CJ117" i="11"/>
  <c r="P117" i="11"/>
  <c r="I117" i="11"/>
  <c r="A117" i="11"/>
  <c r="CU116" i="11"/>
  <c r="CK116" i="11"/>
  <c r="CN116" i="11" s="1"/>
  <c r="CJ116" i="11"/>
  <c r="P116" i="11"/>
  <c r="I116" i="11"/>
  <c r="A116" i="11"/>
  <c r="CU115" i="11"/>
  <c r="CK115" i="11"/>
  <c r="CN115" i="11" s="1"/>
  <c r="CJ115" i="11"/>
  <c r="P115" i="11"/>
  <c r="I115" i="11"/>
  <c r="A115" i="11"/>
  <c r="CU114" i="11"/>
  <c r="CK114" i="11"/>
  <c r="CN114" i="11" s="1"/>
  <c r="CJ114" i="11"/>
  <c r="P114" i="11"/>
  <c r="I114" i="11"/>
  <c r="A114" i="11"/>
  <c r="CU113" i="11"/>
  <c r="CK113" i="11"/>
  <c r="CN113" i="11" s="1"/>
  <c r="CJ113" i="11"/>
  <c r="P113" i="11"/>
  <c r="I113" i="11"/>
  <c r="A113" i="11"/>
  <c r="CU112" i="11"/>
  <c r="CK112" i="11"/>
  <c r="CN112" i="11" s="1"/>
  <c r="CJ112" i="11"/>
  <c r="P112" i="11"/>
  <c r="I112" i="11"/>
  <c r="A112" i="11"/>
  <c r="CU111" i="11"/>
  <c r="CK111" i="11"/>
  <c r="CN111" i="11" s="1"/>
  <c r="CJ111" i="11"/>
  <c r="P111" i="11"/>
  <c r="I111" i="11"/>
  <c r="A111" i="11"/>
  <c r="CU110" i="11"/>
  <c r="CK110" i="11"/>
  <c r="CN110" i="11" s="1"/>
  <c r="CJ110" i="11"/>
  <c r="P110" i="11"/>
  <c r="I110" i="11"/>
  <c r="A110" i="11"/>
  <c r="CU109" i="11"/>
  <c r="CK109" i="11"/>
  <c r="CN109" i="11" s="1"/>
  <c r="CJ109" i="11"/>
  <c r="P109" i="11"/>
  <c r="I109" i="11"/>
  <c r="A109" i="11"/>
  <c r="CU108" i="11"/>
  <c r="CK108" i="11"/>
  <c r="CN108" i="11" s="1"/>
  <c r="CJ108" i="11"/>
  <c r="P108" i="11"/>
  <c r="I108" i="11"/>
  <c r="A108" i="11"/>
  <c r="CU107" i="11"/>
  <c r="CK107" i="11"/>
  <c r="CN107" i="11" s="1"/>
  <c r="CJ107" i="11"/>
  <c r="P107" i="11"/>
  <c r="I107" i="11"/>
  <c r="A107" i="11"/>
  <c r="CU106" i="11"/>
  <c r="CK106" i="11"/>
  <c r="CN106" i="11" s="1"/>
  <c r="CJ106" i="11"/>
  <c r="P106" i="11"/>
  <c r="I106" i="11"/>
  <c r="A106" i="11"/>
  <c r="CU105" i="11"/>
  <c r="CK105" i="11"/>
  <c r="CN105" i="11" s="1"/>
  <c r="CJ105" i="11"/>
  <c r="P105" i="11"/>
  <c r="I105" i="11"/>
  <c r="A105" i="11"/>
  <c r="CU104" i="11"/>
  <c r="CK104" i="11"/>
  <c r="CN104" i="11" s="1"/>
  <c r="CJ104" i="11"/>
  <c r="P104" i="11"/>
  <c r="I104" i="11"/>
  <c r="A104" i="11"/>
  <c r="CU103" i="11"/>
  <c r="CK103" i="11"/>
  <c r="CN103" i="11" s="1"/>
  <c r="CJ103" i="11"/>
  <c r="P103" i="11"/>
  <c r="I103" i="11"/>
  <c r="A103" i="11"/>
  <c r="CU102" i="11"/>
  <c r="CK102" i="11"/>
  <c r="CN102" i="11" s="1"/>
  <c r="CJ102" i="11"/>
  <c r="P102" i="11"/>
  <c r="I102" i="11"/>
  <c r="A102" i="11"/>
  <c r="CU101" i="11"/>
  <c r="CK101" i="11"/>
  <c r="CN101" i="11" s="1"/>
  <c r="CJ101" i="11"/>
  <c r="P101" i="11"/>
  <c r="I101" i="11"/>
  <c r="A101" i="11"/>
  <c r="CU100" i="11"/>
  <c r="CV100" i="11" s="1"/>
  <c r="CK100" i="11"/>
  <c r="CN100" i="11" s="1"/>
  <c r="CJ100" i="11"/>
  <c r="P100" i="11"/>
  <c r="I100" i="11"/>
  <c r="A100" i="11"/>
  <c r="CU99" i="11"/>
  <c r="CK99" i="11"/>
  <c r="CN99" i="11" s="1"/>
  <c r="CJ99" i="11"/>
  <c r="P99" i="11"/>
  <c r="I99" i="11"/>
  <c r="A99" i="11"/>
  <c r="CU98" i="11"/>
  <c r="CK98" i="11"/>
  <c r="CN98" i="11" s="1"/>
  <c r="CJ98" i="11"/>
  <c r="P98" i="11"/>
  <c r="I98" i="11"/>
  <c r="A98" i="11"/>
  <c r="CU97" i="11"/>
  <c r="CK97" i="11"/>
  <c r="CN97" i="11" s="1"/>
  <c r="CJ97" i="11"/>
  <c r="P97" i="11"/>
  <c r="I97" i="11"/>
  <c r="A97" i="11"/>
  <c r="CU96" i="11"/>
  <c r="CK96" i="11"/>
  <c r="CN96" i="11" s="1"/>
  <c r="CJ96" i="11"/>
  <c r="P96" i="11"/>
  <c r="I96" i="11"/>
  <c r="A96" i="11"/>
  <c r="CU95" i="11"/>
  <c r="CK95" i="11"/>
  <c r="CN95" i="11" s="1"/>
  <c r="CJ95" i="11"/>
  <c r="P95" i="11"/>
  <c r="I95" i="11"/>
  <c r="A95" i="11"/>
  <c r="CU94" i="11"/>
  <c r="CK94" i="11"/>
  <c r="CN94" i="11" s="1"/>
  <c r="CJ94" i="11"/>
  <c r="P94" i="11"/>
  <c r="I94" i="11"/>
  <c r="A94" i="11"/>
  <c r="CU93" i="11"/>
  <c r="CK93" i="11"/>
  <c r="CN93" i="11" s="1"/>
  <c r="CJ93" i="11"/>
  <c r="P93" i="11"/>
  <c r="I93" i="11"/>
  <c r="A93" i="11"/>
  <c r="CU92" i="11"/>
  <c r="CK92" i="11"/>
  <c r="CN92" i="11" s="1"/>
  <c r="CJ92" i="11"/>
  <c r="P92" i="11"/>
  <c r="I92" i="11"/>
  <c r="A92" i="11"/>
  <c r="CU91" i="11"/>
  <c r="CK91" i="11"/>
  <c r="CN91" i="11" s="1"/>
  <c r="CJ91" i="11"/>
  <c r="P91" i="11"/>
  <c r="I91" i="11"/>
  <c r="A91" i="11"/>
  <c r="CU90" i="11"/>
  <c r="CV90" i="11" s="1"/>
  <c r="CK90" i="11"/>
  <c r="CN90" i="11" s="1"/>
  <c r="CJ90" i="11"/>
  <c r="P90" i="11"/>
  <c r="I90" i="11"/>
  <c r="A90" i="11"/>
  <c r="CU89" i="11"/>
  <c r="CK89" i="11"/>
  <c r="CN89" i="11" s="1"/>
  <c r="CJ89" i="11"/>
  <c r="P89" i="11"/>
  <c r="I89" i="11"/>
  <c r="A89" i="11"/>
  <c r="CU88" i="11"/>
  <c r="CK88" i="11"/>
  <c r="CN88" i="11" s="1"/>
  <c r="CJ88" i="11"/>
  <c r="P88" i="11"/>
  <c r="I88" i="11"/>
  <c r="A88" i="11"/>
  <c r="CU87" i="11"/>
  <c r="CK87" i="11"/>
  <c r="CN87" i="11" s="1"/>
  <c r="CJ87" i="11"/>
  <c r="P87" i="11"/>
  <c r="I87" i="11"/>
  <c r="A87" i="11"/>
  <c r="CU86" i="11"/>
  <c r="CK86" i="11"/>
  <c r="CN86" i="11" s="1"/>
  <c r="CJ86" i="11"/>
  <c r="P86" i="11"/>
  <c r="I86" i="11"/>
  <c r="A86" i="11"/>
  <c r="CU85" i="11"/>
  <c r="CK85" i="11"/>
  <c r="CN85" i="11" s="1"/>
  <c r="CJ85" i="11"/>
  <c r="P85" i="11"/>
  <c r="I85" i="11"/>
  <c r="A85" i="11"/>
  <c r="CU84" i="11"/>
  <c r="CK84" i="11"/>
  <c r="CN84" i="11" s="1"/>
  <c r="CJ84" i="11"/>
  <c r="P84" i="11"/>
  <c r="I84" i="11"/>
  <c r="A84" i="11"/>
  <c r="CU83" i="11"/>
  <c r="CK83" i="11"/>
  <c r="CN83" i="11" s="1"/>
  <c r="CJ83" i="11"/>
  <c r="P83" i="11"/>
  <c r="I83" i="11"/>
  <c r="A83" i="11"/>
  <c r="CU82" i="11"/>
  <c r="CK82" i="11"/>
  <c r="CN82" i="11" s="1"/>
  <c r="CJ82" i="11"/>
  <c r="P82" i="11"/>
  <c r="I82" i="11"/>
  <c r="A82" i="11"/>
  <c r="CU81" i="11"/>
  <c r="CK81" i="11"/>
  <c r="CN81" i="11" s="1"/>
  <c r="CJ81" i="11"/>
  <c r="P81" i="11"/>
  <c r="I81" i="11"/>
  <c r="A81" i="11"/>
  <c r="CU80" i="11"/>
  <c r="CK80" i="11"/>
  <c r="CN80" i="11" s="1"/>
  <c r="CJ80" i="11"/>
  <c r="P80" i="11"/>
  <c r="I80" i="11"/>
  <c r="A80" i="11"/>
  <c r="CU79" i="11"/>
  <c r="CK79" i="11"/>
  <c r="CN79" i="11" s="1"/>
  <c r="CJ79" i="11"/>
  <c r="P79" i="11"/>
  <c r="I79" i="11"/>
  <c r="A79" i="11"/>
  <c r="CU78" i="11"/>
  <c r="CK78" i="11"/>
  <c r="CN78" i="11" s="1"/>
  <c r="CJ78" i="11"/>
  <c r="P78" i="11"/>
  <c r="I78" i="11"/>
  <c r="A78" i="11"/>
  <c r="CU77" i="11"/>
  <c r="CK77" i="11"/>
  <c r="CN77" i="11" s="1"/>
  <c r="CJ77" i="11"/>
  <c r="P77" i="11"/>
  <c r="I77" i="11"/>
  <c r="A77" i="11"/>
  <c r="CU76" i="11"/>
  <c r="CK76" i="11"/>
  <c r="CN76" i="11" s="1"/>
  <c r="CJ76" i="11"/>
  <c r="P76" i="11"/>
  <c r="I76" i="11"/>
  <c r="A76" i="11"/>
  <c r="CU75" i="11"/>
  <c r="CK75" i="11"/>
  <c r="CN75" i="11" s="1"/>
  <c r="CJ75" i="11"/>
  <c r="P75" i="11"/>
  <c r="I75" i="11"/>
  <c r="A75" i="11"/>
  <c r="CU74" i="11"/>
  <c r="CK74" i="11"/>
  <c r="CN74" i="11" s="1"/>
  <c r="CJ74" i="11"/>
  <c r="P74" i="11"/>
  <c r="I74" i="11"/>
  <c r="A74" i="11"/>
  <c r="CU73" i="11"/>
  <c r="CK73" i="11"/>
  <c r="CN73" i="11" s="1"/>
  <c r="CJ73" i="11"/>
  <c r="P73" i="11"/>
  <c r="I73" i="11"/>
  <c r="A73" i="11"/>
  <c r="CU72" i="11"/>
  <c r="CK72" i="11"/>
  <c r="CN72" i="11" s="1"/>
  <c r="CJ72" i="11"/>
  <c r="P72" i="11"/>
  <c r="I72" i="11"/>
  <c r="A72" i="11"/>
  <c r="CU71" i="11"/>
  <c r="CK71" i="11"/>
  <c r="CN71" i="11" s="1"/>
  <c r="CJ71" i="11"/>
  <c r="P71" i="11"/>
  <c r="I71" i="11"/>
  <c r="A71" i="11"/>
  <c r="CU70" i="11"/>
  <c r="CK70" i="11"/>
  <c r="CN70" i="11" s="1"/>
  <c r="CJ70" i="11"/>
  <c r="P70" i="11"/>
  <c r="I70" i="11"/>
  <c r="A70" i="11"/>
  <c r="CU69" i="11"/>
  <c r="CK69" i="11"/>
  <c r="CN69" i="11" s="1"/>
  <c r="CJ69" i="11"/>
  <c r="P69" i="11"/>
  <c r="I69" i="11"/>
  <c r="A69" i="11"/>
  <c r="CU68" i="11"/>
  <c r="CK68" i="11"/>
  <c r="CN68" i="11" s="1"/>
  <c r="CJ68" i="11"/>
  <c r="P68" i="11"/>
  <c r="I68" i="11"/>
  <c r="A68" i="11"/>
  <c r="CU67" i="11"/>
  <c r="CK67" i="11"/>
  <c r="CN67" i="11" s="1"/>
  <c r="CJ67" i="11"/>
  <c r="P67" i="11"/>
  <c r="I67" i="11"/>
  <c r="A67" i="11"/>
  <c r="CU66" i="11"/>
  <c r="CK66" i="11"/>
  <c r="CN66" i="11" s="1"/>
  <c r="CJ66" i="11"/>
  <c r="P66" i="11"/>
  <c r="I66" i="11"/>
  <c r="A66" i="11"/>
  <c r="CU65" i="11"/>
  <c r="CK65" i="11"/>
  <c r="CN65" i="11" s="1"/>
  <c r="CJ65" i="11"/>
  <c r="P65" i="11"/>
  <c r="I65" i="11"/>
  <c r="A65" i="11"/>
  <c r="CU64" i="11"/>
  <c r="CK64" i="11"/>
  <c r="CN64" i="11" s="1"/>
  <c r="CJ64" i="11"/>
  <c r="P64" i="11"/>
  <c r="I64" i="11"/>
  <c r="A64" i="11"/>
  <c r="CU63" i="11"/>
  <c r="CK63" i="11"/>
  <c r="CN63" i="11" s="1"/>
  <c r="CJ63" i="11"/>
  <c r="P63" i="11"/>
  <c r="I63" i="11"/>
  <c r="A63" i="11"/>
  <c r="CU62" i="11"/>
  <c r="CK62" i="11"/>
  <c r="CN62" i="11" s="1"/>
  <c r="CJ62" i="11"/>
  <c r="P62" i="11"/>
  <c r="I62" i="11"/>
  <c r="A62" i="11"/>
  <c r="CU61" i="11"/>
  <c r="CK61" i="11"/>
  <c r="CN61" i="11" s="1"/>
  <c r="CJ61" i="11"/>
  <c r="P61" i="11"/>
  <c r="I61" i="11"/>
  <c r="A61" i="11"/>
  <c r="CU60" i="11"/>
  <c r="CK60" i="11"/>
  <c r="CN60" i="11" s="1"/>
  <c r="CJ60" i="11"/>
  <c r="P60" i="11"/>
  <c r="I60" i="11"/>
  <c r="A60" i="11"/>
  <c r="CU59" i="11"/>
  <c r="CK59" i="11"/>
  <c r="CN59" i="11" s="1"/>
  <c r="CJ59" i="11"/>
  <c r="P59" i="11"/>
  <c r="I59" i="11"/>
  <c r="A59" i="11"/>
  <c r="CU58" i="11"/>
  <c r="CK58" i="11"/>
  <c r="CN58" i="11" s="1"/>
  <c r="CJ58" i="11"/>
  <c r="P58" i="11"/>
  <c r="I58" i="11"/>
  <c r="A58" i="11"/>
  <c r="CU57" i="11"/>
  <c r="CK57" i="11"/>
  <c r="CN57" i="11" s="1"/>
  <c r="CJ57" i="11"/>
  <c r="P57" i="11"/>
  <c r="I57" i="11"/>
  <c r="A57" i="11"/>
  <c r="CU56" i="11"/>
  <c r="CK56" i="11"/>
  <c r="CN56" i="11" s="1"/>
  <c r="CJ56" i="11"/>
  <c r="P56" i="11"/>
  <c r="I56" i="11"/>
  <c r="A56" i="11"/>
  <c r="CU55" i="11"/>
  <c r="CK55" i="11"/>
  <c r="CN55" i="11" s="1"/>
  <c r="CJ55" i="11"/>
  <c r="P55" i="11"/>
  <c r="I55" i="11"/>
  <c r="A55" i="11"/>
  <c r="CU54" i="11"/>
  <c r="CK54" i="11"/>
  <c r="CN54" i="11" s="1"/>
  <c r="CJ54" i="11"/>
  <c r="P54" i="11"/>
  <c r="I54" i="11"/>
  <c r="A54" i="11"/>
  <c r="CU53" i="11"/>
  <c r="CK53" i="11"/>
  <c r="CN53" i="11" s="1"/>
  <c r="CJ53" i="11"/>
  <c r="P53" i="11"/>
  <c r="I53" i="11"/>
  <c r="A53" i="11"/>
  <c r="CU52" i="11"/>
  <c r="CK52" i="11"/>
  <c r="CN52" i="11" s="1"/>
  <c r="CJ52" i="11"/>
  <c r="P52" i="11"/>
  <c r="I52" i="11"/>
  <c r="A52" i="11"/>
  <c r="CU51" i="11"/>
  <c r="CV51" i="11" s="1"/>
  <c r="CO51" i="11"/>
  <c r="CK51" i="11"/>
  <c r="CN51" i="11" s="1"/>
  <c r="CJ51" i="11"/>
  <c r="P51" i="11"/>
  <c r="I51" i="11"/>
  <c r="A51" i="11"/>
  <c r="CU50" i="11"/>
  <c r="CV50" i="11" s="1"/>
  <c r="CK50" i="11"/>
  <c r="CN50" i="11" s="1"/>
  <c r="CJ50" i="11"/>
  <c r="P50" i="11"/>
  <c r="I50" i="11"/>
  <c r="A50" i="11"/>
  <c r="CU49" i="11"/>
  <c r="CO49" i="11"/>
  <c r="CK49" i="11"/>
  <c r="CN49" i="11" s="1"/>
  <c r="CJ49" i="11"/>
  <c r="P49" i="11"/>
  <c r="I49" i="11"/>
  <c r="A49" i="11"/>
  <c r="CU48" i="11"/>
  <c r="CK48" i="11"/>
  <c r="CN48" i="11" s="1"/>
  <c r="CJ48" i="11"/>
  <c r="P48" i="11"/>
  <c r="I48" i="11"/>
  <c r="A48" i="11"/>
  <c r="CU47" i="11"/>
  <c r="CV47" i="11" s="1"/>
  <c r="CO47" i="11"/>
  <c r="CK47" i="11"/>
  <c r="CN47" i="11" s="1"/>
  <c r="CJ47" i="11"/>
  <c r="P47" i="11"/>
  <c r="I47" i="11"/>
  <c r="A47" i="11"/>
  <c r="CU46" i="11"/>
  <c r="CV46" i="11" s="1"/>
  <c r="CK46" i="11"/>
  <c r="CN46" i="11" s="1"/>
  <c r="CJ46" i="11"/>
  <c r="P46" i="11"/>
  <c r="I46" i="11"/>
  <c r="A46" i="11"/>
  <c r="CU45" i="11"/>
  <c r="CV45" i="11" s="1"/>
  <c r="CO45" i="11"/>
  <c r="CK45" i="11"/>
  <c r="CN45" i="11" s="1"/>
  <c r="CJ45" i="11"/>
  <c r="P45" i="11"/>
  <c r="I45" i="11"/>
  <c r="A45" i="11"/>
  <c r="CU44" i="11"/>
  <c r="CK44" i="11"/>
  <c r="CN44" i="11" s="1"/>
  <c r="CJ44" i="11"/>
  <c r="P44" i="11"/>
  <c r="I44" i="11"/>
  <c r="A44" i="11"/>
  <c r="CU43" i="11"/>
  <c r="CV43" i="11" s="1"/>
  <c r="CO43" i="11"/>
  <c r="CK43" i="11"/>
  <c r="CN43" i="11" s="1"/>
  <c r="CJ43" i="11"/>
  <c r="P43" i="11"/>
  <c r="I43" i="11"/>
  <c r="A43" i="11"/>
  <c r="CU42" i="11"/>
  <c r="CV42" i="11" s="1"/>
  <c r="CK42" i="11"/>
  <c r="CN42" i="11" s="1"/>
  <c r="CJ42" i="11"/>
  <c r="P42" i="11"/>
  <c r="I42" i="11"/>
  <c r="A42" i="11"/>
  <c r="CU41" i="11"/>
  <c r="CV41" i="11" s="1"/>
  <c r="CO41" i="11"/>
  <c r="CK41" i="11"/>
  <c r="CN41" i="11" s="1"/>
  <c r="CJ41" i="11"/>
  <c r="P41" i="11"/>
  <c r="I41" i="11"/>
  <c r="A41" i="11"/>
  <c r="CU40" i="11"/>
  <c r="CK40" i="11"/>
  <c r="CN40" i="11" s="1"/>
  <c r="CJ40" i="11"/>
  <c r="P40" i="11"/>
  <c r="I40" i="11"/>
  <c r="A40" i="11"/>
  <c r="CU39" i="11"/>
  <c r="CV39" i="11" s="1"/>
  <c r="CO39" i="11"/>
  <c r="CK39" i="11"/>
  <c r="CN39" i="11" s="1"/>
  <c r="CJ39" i="11"/>
  <c r="P39" i="11"/>
  <c r="I39" i="11"/>
  <c r="A39" i="11"/>
  <c r="CU38" i="11"/>
  <c r="CV38" i="11" s="1"/>
  <c r="CK38" i="11"/>
  <c r="CN38" i="11" s="1"/>
  <c r="CJ38" i="11"/>
  <c r="P38" i="11"/>
  <c r="I38" i="11"/>
  <c r="A38" i="11"/>
  <c r="CU37" i="11"/>
  <c r="CO37" i="11"/>
  <c r="CK37" i="11"/>
  <c r="CN37" i="11" s="1"/>
  <c r="CJ37" i="11"/>
  <c r="P37" i="11"/>
  <c r="I37" i="11"/>
  <c r="A37" i="11"/>
  <c r="CU36" i="11"/>
  <c r="CK36" i="11"/>
  <c r="CN36" i="11" s="1"/>
  <c r="CJ36" i="11"/>
  <c r="P36" i="11"/>
  <c r="I36" i="11"/>
  <c r="A36" i="11"/>
  <c r="CU35" i="11"/>
  <c r="CK35" i="11"/>
  <c r="CN35" i="11" s="1"/>
  <c r="CJ35" i="11"/>
  <c r="P35" i="11"/>
  <c r="I35" i="11"/>
  <c r="A35" i="11"/>
  <c r="CU34" i="11"/>
  <c r="CV34" i="11" s="1"/>
  <c r="CO34" i="11"/>
  <c r="CK34" i="11"/>
  <c r="CN34" i="11" s="1"/>
  <c r="CJ34" i="11"/>
  <c r="P34" i="11"/>
  <c r="I34" i="11"/>
  <c r="A34" i="11"/>
  <c r="CU33" i="11"/>
  <c r="CV33" i="11" s="1"/>
  <c r="CK33" i="11"/>
  <c r="CN33" i="11" s="1"/>
  <c r="CJ33" i="11"/>
  <c r="P33" i="11"/>
  <c r="I33" i="11"/>
  <c r="A33" i="11"/>
  <c r="CU32" i="11"/>
  <c r="CO32" i="11"/>
  <c r="CK32" i="11"/>
  <c r="CN32" i="11" s="1"/>
  <c r="CJ32" i="11"/>
  <c r="P32" i="11"/>
  <c r="I32" i="11"/>
  <c r="A32" i="11"/>
  <c r="CU31" i="11"/>
  <c r="CK31" i="11"/>
  <c r="CN31" i="11" s="1"/>
  <c r="CJ31" i="11"/>
  <c r="P31" i="11"/>
  <c r="I31" i="11"/>
  <c r="A31" i="11"/>
  <c r="CU30" i="11"/>
  <c r="CV30" i="11" s="1"/>
  <c r="CO30" i="11"/>
  <c r="CK30" i="11"/>
  <c r="CN30" i="11" s="1"/>
  <c r="CJ30" i="11"/>
  <c r="P30" i="11"/>
  <c r="I30" i="11"/>
  <c r="A30" i="11"/>
  <c r="CU29" i="11"/>
  <c r="CV29" i="11" s="1"/>
  <c r="CK29" i="11"/>
  <c r="CN29" i="11" s="1"/>
  <c r="CJ29" i="11"/>
  <c r="P29" i="11"/>
  <c r="I29" i="11"/>
  <c r="A29" i="11"/>
  <c r="CU28" i="11"/>
  <c r="CO28" i="11"/>
  <c r="CK28" i="11"/>
  <c r="CN28" i="11" s="1"/>
  <c r="CJ28" i="11"/>
  <c r="P28" i="11"/>
  <c r="I28" i="11"/>
  <c r="A28" i="11"/>
  <c r="CU27" i="11"/>
  <c r="CK27" i="11"/>
  <c r="CN27" i="11" s="1"/>
  <c r="CJ27" i="11"/>
  <c r="P27" i="11"/>
  <c r="I27" i="11"/>
  <c r="A27" i="11"/>
  <c r="CU26" i="11"/>
  <c r="CV26" i="11" s="1"/>
  <c r="CO26" i="11"/>
  <c r="CK26" i="11"/>
  <c r="CN26" i="11" s="1"/>
  <c r="CJ26" i="11"/>
  <c r="P26" i="11"/>
  <c r="I26" i="11"/>
  <c r="A26" i="11"/>
  <c r="CU25" i="11"/>
  <c r="CV25" i="11" s="1"/>
  <c r="CK25" i="11"/>
  <c r="CN25" i="11" s="1"/>
  <c r="CJ25" i="11"/>
  <c r="P25" i="11"/>
  <c r="I25" i="11"/>
  <c r="A25" i="11"/>
  <c r="CU24" i="11"/>
  <c r="CO24" i="11"/>
  <c r="CK24" i="11"/>
  <c r="CN24" i="11" s="1"/>
  <c r="CJ24" i="11"/>
  <c r="P24" i="11"/>
  <c r="I24" i="11"/>
  <c r="A24" i="11"/>
  <c r="CU23" i="11"/>
  <c r="CK23" i="11"/>
  <c r="CN23" i="11" s="1"/>
  <c r="CJ23" i="11"/>
  <c r="P23" i="11"/>
  <c r="I23" i="11"/>
  <c r="A23" i="11"/>
  <c r="CU22" i="11"/>
  <c r="CV22" i="11" s="1"/>
  <c r="CO22" i="11"/>
  <c r="CK22" i="11"/>
  <c r="CN22" i="11" s="1"/>
  <c r="CJ22" i="11"/>
  <c r="P22" i="11"/>
  <c r="I22" i="11"/>
  <c r="A22" i="11"/>
  <c r="CU21" i="11"/>
  <c r="CV21" i="11" s="1"/>
  <c r="CK21" i="11"/>
  <c r="CN21" i="11" s="1"/>
  <c r="CJ21" i="11"/>
  <c r="P21" i="11"/>
  <c r="I21" i="11"/>
  <c r="A21" i="11"/>
  <c r="CU20" i="11"/>
  <c r="CO20" i="11"/>
  <c r="CK20" i="11"/>
  <c r="CN20" i="11" s="1"/>
  <c r="CJ20" i="11"/>
  <c r="P20" i="11"/>
  <c r="I20" i="11"/>
  <c r="A20" i="11"/>
  <c r="CU19" i="11"/>
  <c r="CK19" i="11"/>
  <c r="CN19" i="11" s="1"/>
  <c r="CJ19" i="11"/>
  <c r="P19" i="11"/>
  <c r="I19" i="11"/>
  <c r="A19" i="11"/>
  <c r="CU18" i="11"/>
  <c r="CV18" i="11" s="1"/>
  <c r="CO18" i="11"/>
  <c r="CK18" i="11"/>
  <c r="CN18" i="11" s="1"/>
  <c r="CJ18" i="11"/>
  <c r="P18" i="11"/>
  <c r="I18" i="11"/>
  <c r="A18" i="11"/>
  <c r="CU17" i="11"/>
  <c r="CV17" i="11" s="1"/>
  <c r="CK17" i="11"/>
  <c r="CN17" i="11" s="1"/>
  <c r="CJ17" i="11"/>
  <c r="P17" i="11"/>
  <c r="I17" i="11"/>
  <c r="A17" i="11"/>
  <c r="CU16" i="11"/>
  <c r="CO16" i="11"/>
  <c r="CK16" i="11"/>
  <c r="CN16" i="11" s="1"/>
  <c r="CJ16" i="11"/>
  <c r="P16" i="11"/>
  <c r="I16" i="11"/>
  <c r="A16" i="11"/>
  <c r="CU15" i="11"/>
  <c r="CK15" i="11"/>
  <c r="CN15" i="11" s="1"/>
  <c r="CJ15" i="11"/>
  <c r="P15" i="11"/>
  <c r="I15" i="11"/>
  <c r="A15" i="11"/>
  <c r="CU14" i="11"/>
  <c r="CV14" i="11" s="1"/>
  <c r="CO14" i="11"/>
  <c r="CK14" i="11"/>
  <c r="CN14" i="11" s="1"/>
  <c r="CJ14" i="11"/>
  <c r="P14" i="11"/>
  <c r="I14" i="11"/>
  <c r="A14" i="11"/>
  <c r="CU13" i="11"/>
  <c r="CV13" i="11" s="1"/>
  <c r="CK13" i="11"/>
  <c r="CN13" i="11" s="1"/>
  <c r="CJ13" i="11"/>
  <c r="P13" i="11"/>
  <c r="I13" i="11"/>
  <c r="A13" i="11"/>
  <c r="CU12" i="11"/>
  <c r="CO12" i="11"/>
  <c r="CK12" i="11"/>
  <c r="CN12" i="11" s="1"/>
  <c r="CJ12" i="11"/>
  <c r="P12" i="11"/>
  <c r="I12" i="11"/>
  <c r="A12" i="11"/>
  <c r="CU11" i="11"/>
  <c r="CK11" i="11"/>
  <c r="CN11" i="11" s="1"/>
  <c r="CJ11" i="11"/>
  <c r="P11" i="11"/>
  <c r="I11" i="11"/>
  <c r="A11" i="11"/>
  <c r="CU10" i="11"/>
  <c r="CV10" i="11" s="1"/>
  <c r="CO10" i="11"/>
  <c r="CK10" i="11"/>
  <c r="CN10" i="11" s="1"/>
  <c r="CJ10" i="11"/>
  <c r="P10" i="11"/>
  <c r="I10" i="11"/>
  <c r="A10" i="11"/>
  <c r="CU9" i="11"/>
  <c r="CV9" i="11" s="1"/>
  <c r="CK9" i="11"/>
  <c r="CN9" i="11" s="1"/>
  <c r="CJ9" i="11"/>
  <c r="P9" i="11"/>
  <c r="I9" i="11"/>
  <c r="A9" i="11"/>
  <c r="CU8" i="11"/>
  <c r="CO8" i="11"/>
  <c r="CK8" i="11"/>
  <c r="CN8" i="11" s="1"/>
  <c r="CJ8" i="11"/>
  <c r="P8" i="11"/>
  <c r="I8" i="11"/>
  <c r="A8" i="11"/>
  <c r="CU7" i="11"/>
  <c r="CK7" i="11"/>
  <c r="CN7" i="11" s="1"/>
  <c r="CJ7" i="11"/>
  <c r="P7" i="11"/>
  <c r="I7" i="11"/>
  <c r="A7" i="11"/>
  <c r="CU6" i="11"/>
  <c r="CV6" i="11" s="1"/>
  <c r="CO6" i="11"/>
  <c r="CK6" i="11"/>
  <c r="CN6" i="11" s="1"/>
  <c r="CJ6" i="11"/>
  <c r="P6" i="11"/>
  <c r="I6" i="11"/>
  <c r="A6" i="11"/>
  <c r="CU5" i="11"/>
  <c r="CV5" i="11" s="1"/>
  <c r="CK5" i="11"/>
  <c r="CN5" i="11" s="1"/>
  <c r="CJ5" i="11"/>
  <c r="P5" i="11"/>
  <c r="I5" i="11"/>
  <c r="A5" i="11"/>
  <c r="CU4" i="11"/>
  <c r="CO4" i="11"/>
  <c r="CK4" i="11"/>
  <c r="CN4" i="11" s="1"/>
  <c r="CJ4" i="11"/>
  <c r="P4" i="11"/>
  <c r="I4" i="11"/>
  <c r="A4" i="11"/>
  <c r="CU3" i="11"/>
  <c r="CK3" i="11"/>
  <c r="CN3" i="11" s="1"/>
  <c r="CJ3" i="11"/>
  <c r="P3" i="11"/>
  <c r="I3" i="11"/>
  <c r="A3" i="11"/>
  <c r="CU2" i="11"/>
  <c r="CV2" i="11" s="1"/>
  <c r="CO2" i="11"/>
  <c r="CK2" i="11"/>
  <c r="CN2" i="11" s="1"/>
  <c r="CJ2" i="11"/>
  <c r="P2" i="11"/>
  <c r="I2" i="11"/>
  <c r="A2" i="11"/>
  <c r="V320" i="8"/>
  <c r="T320" i="8"/>
  <c r="R320" i="8"/>
  <c r="W320" i="8" s="1"/>
  <c r="M320" i="8"/>
  <c r="L320" i="8"/>
  <c r="K320" i="8"/>
  <c r="AJ320" i="8" s="1"/>
  <c r="J320" i="8"/>
  <c r="AI320" i="8" s="1"/>
  <c r="I320" i="8"/>
  <c r="AH320" i="8" s="1"/>
  <c r="H320" i="8"/>
  <c r="AG320" i="8" s="1"/>
  <c r="G320" i="8"/>
  <c r="AF320" i="8" s="1"/>
  <c r="F320" i="8"/>
  <c r="AE320" i="8" s="1"/>
  <c r="E320" i="8"/>
  <c r="AD320" i="8" s="1"/>
  <c r="D320" i="8"/>
  <c r="AC320" i="8" s="1"/>
  <c r="C320" i="8"/>
  <c r="AB320" i="8" s="1"/>
  <c r="B320" i="8"/>
  <c r="C8" i="8"/>
  <c r="N10" i="6"/>
  <c r="M10" i="6"/>
  <c r="B10" i="6"/>
  <c r="N9" i="6"/>
  <c r="M9" i="6"/>
  <c r="B9" i="6"/>
  <c r="N8" i="6"/>
  <c r="M8" i="6"/>
  <c r="B8" i="6"/>
  <c r="N7" i="6"/>
  <c r="M7" i="6"/>
  <c r="B7" i="6"/>
  <c r="N6" i="6"/>
  <c r="M6" i="6"/>
  <c r="B6" i="6"/>
  <c r="N5" i="6"/>
  <c r="M5" i="6"/>
  <c r="B5" i="6"/>
  <c r="N4" i="6"/>
  <c r="M4" i="6"/>
  <c r="B4" i="6"/>
  <c r="N3" i="6"/>
  <c r="M3" i="6"/>
  <c r="B3" i="6"/>
  <c r="N2" i="6"/>
  <c r="M2" i="6"/>
  <c r="B2" i="6"/>
  <c r="O1" i="6" s="1"/>
  <c r="CV27" i="11" l="1"/>
  <c r="CV31" i="11"/>
  <c r="CV48" i="11"/>
  <c r="C4" i="8"/>
  <c r="C2" i="6" s="1"/>
  <c r="CO5" i="11"/>
  <c r="CO9" i="11"/>
  <c r="CO13" i="11"/>
  <c r="CO17" i="11"/>
  <c r="G12" i="8" s="1"/>
  <c r="S10" i="6" s="1"/>
  <c r="CO21" i="11"/>
  <c r="CO25" i="11"/>
  <c r="CO29" i="11"/>
  <c r="CO33" i="11"/>
  <c r="CV35" i="11"/>
  <c r="CO38" i="11"/>
  <c r="CO42" i="11"/>
  <c r="CO46" i="11"/>
  <c r="CO50" i="11"/>
  <c r="CV53" i="11"/>
  <c r="CV55" i="11"/>
  <c r="CV57" i="11"/>
  <c r="CV59" i="11"/>
  <c r="CV61" i="11"/>
  <c r="CV63" i="11"/>
  <c r="CV65" i="11"/>
  <c r="CV67" i="11"/>
  <c r="CV69" i="11"/>
  <c r="CV71" i="11"/>
  <c r="CV73" i="11"/>
  <c r="CV75" i="11"/>
  <c r="CV77" i="11"/>
  <c r="CV79" i="11"/>
  <c r="CV81" i="11"/>
  <c r="CV83" i="11"/>
  <c r="CV85" i="11"/>
  <c r="CV87" i="11"/>
  <c r="CV89" i="11"/>
  <c r="CV91" i="11"/>
  <c r="CV93" i="11"/>
  <c r="CV95" i="11"/>
  <c r="CV97" i="11"/>
  <c r="CV99" i="11"/>
  <c r="CV101" i="11"/>
  <c r="CV103" i="11"/>
  <c r="CV105" i="11"/>
  <c r="CV107" i="11"/>
  <c r="CV109" i="11"/>
  <c r="CV111" i="11"/>
  <c r="CV113" i="11"/>
  <c r="Y7" i="8" s="1"/>
  <c r="CV115" i="11"/>
  <c r="CV117" i="11"/>
  <c r="CV119" i="11"/>
  <c r="CV121" i="11"/>
  <c r="CV123" i="11"/>
  <c r="CV125" i="11"/>
  <c r="CV127" i="11"/>
  <c r="CV129" i="11"/>
  <c r="CV131" i="11"/>
  <c r="CV133" i="11"/>
  <c r="CV135" i="11"/>
  <c r="CV137" i="11"/>
  <c r="CV139" i="11"/>
  <c r="CV141" i="11"/>
  <c r="CV143" i="11"/>
  <c r="CV145" i="11"/>
  <c r="CV147" i="11"/>
  <c r="CV149" i="11"/>
  <c r="CV151" i="11"/>
  <c r="CV153" i="11"/>
  <c r="CV155" i="11"/>
  <c r="CV157" i="11"/>
  <c r="CV159" i="11"/>
  <c r="CV161" i="11"/>
  <c r="CV163" i="11"/>
  <c r="CV165" i="11"/>
  <c r="CV167" i="11"/>
  <c r="CV169" i="11"/>
  <c r="CV171" i="11"/>
  <c r="CV173" i="11"/>
  <c r="CV175" i="11"/>
  <c r="CV184" i="11"/>
  <c r="CV186" i="11"/>
  <c r="CV188" i="11"/>
  <c r="CV190" i="11"/>
  <c r="CV192" i="11"/>
  <c r="CV194" i="11"/>
  <c r="CV196" i="11"/>
  <c r="CV198" i="11"/>
  <c r="CS200" i="11"/>
  <c r="CV213" i="11"/>
  <c r="CV215" i="11"/>
  <c r="CV217" i="11"/>
  <c r="CV177" i="11"/>
  <c r="CV179" i="11"/>
  <c r="CV181" i="11"/>
  <c r="CV200" i="11"/>
  <c r="CV202" i="11"/>
  <c r="CV204" i="11"/>
  <c r="CV206" i="11"/>
  <c r="CV208" i="11"/>
  <c r="CV210" i="11"/>
  <c r="CS212" i="11"/>
  <c r="CV219" i="11"/>
  <c r="CV221" i="11"/>
  <c r="CV223" i="11"/>
  <c r="CV225" i="11"/>
  <c r="CV227" i="11"/>
  <c r="CV229" i="11"/>
  <c r="CV231" i="11"/>
  <c r="CV233" i="11"/>
  <c r="C12" i="8"/>
  <c r="CO3" i="11"/>
  <c r="CV4" i="11"/>
  <c r="Y12" i="8" s="1"/>
  <c r="CO7" i="11"/>
  <c r="CV8" i="11"/>
  <c r="CO11" i="11"/>
  <c r="CV12" i="11"/>
  <c r="CO15" i="11"/>
  <c r="CV16" i="11"/>
  <c r="CO19" i="11"/>
  <c r="CV20" i="11"/>
  <c r="CO23" i="11"/>
  <c r="CV24" i="11"/>
  <c r="CO27" i="11"/>
  <c r="CV28" i="11"/>
  <c r="Y4" i="8" s="1"/>
  <c r="CO31" i="11"/>
  <c r="CV32" i="11"/>
  <c r="CO35" i="11"/>
  <c r="CO36" i="11"/>
  <c r="CV37" i="11"/>
  <c r="CO40" i="11"/>
  <c r="CO44" i="11"/>
  <c r="CO48" i="11"/>
  <c r="CV49" i="11"/>
  <c r="CV52" i="11"/>
  <c r="CV54" i="11"/>
  <c r="CV56" i="11"/>
  <c r="CV58" i="11"/>
  <c r="CV60" i="11"/>
  <c r="CV62" i="11"/>
  <c r="CV64" i="11"/>
  <c r="CV66" i="11"/>
  <c r="CV68" i="11"/>
  <c r="CV70" i="11"/>
  <c r="CV72" i="11"/>
  <c r="Y5" i="8" s="1"/>
  <c r="CV74" i="11"/>
  <c r="CV76" i="11"/>
  <c r="CV78" i="11"/>
  <c r="CV80" i="11"/>
  <c r="CV82" i="11"/>
  <c r="CV84" i="11"/>
  <c r="CV86" i="11"/>
  <c r="CV88" i="11"/>
  <c r="CV92" i="11"/>
  <c r="CV94" i="11"/>
  <c r="CV96" i="11"/>
  <c r="CV98" i="11"/>
  <c r="CV102" i="11"/>
  <c r="CV104" i="11"/>
  <c r="CV106" i="11"/>
  <c r="CV108" i="11"/>
  <c r="CV110" i="11"/>
  <c r="CV112" i="11"/>
  <c r="CV114" i="11"/>
  <c r="CV116" i="11"/>
  <c r="CV118" i="11"/>
  <c r="CV120" i="11"/>
  <c r="CV122" i="11"/>
  <c r="CV124" i="11"/>
  <c r="CV126" i="11"/>
  <c r="CV128" i="11"/>
  <c r="CV130" i="11"/>
  <c r="CV132" i="11"/>
  <c r="CV134" i="11"/>
  <c r="CV136" i="11"/>
  <c r="CV138" i="11"/>
  <c r="CV140" i="11"/>
  <c r="CV142" i="11"/>
  <c r="CV144" i="11"/>
  <c r="CV146" i="11"/>
  <c r="CV148" i="11"/>
  <c r="CV150" i="11"/>
  <c r="CV152" i="11"/>
  <c r="CV154" i="11"/>
  <c r="CV156" i="11"/>
  <c r="CV158" i="11"/>
  <c r="CV160" i="11"/>
  <c r="CV162" i="11"/>
  <c r="CV164" i="11"/>
  <c r="Y10" i="8" s="1"/>
  <c r="CV166" i="11"/>
  <c r="CV168" i="11"/>
  <c r="CV170" i="11"/>
  <c r="CV183" i="11"/>
  <c r="Y6" i="8" s="1"/>
  <c r="CV212" i="11"/>
  <c r="CV3" i="11"/>
  <c r="CV7" i="11"/>
  <c r="CV11" i="11"/>
  <c r="CV15" i="11"/>
  <c r="CV19" i="11"/>
  <c r="CV23" i="11"/>
  <c r="CS35" i="11"/>
  <c r="CV36" i="11"/>
  <c r="CV40" i="11"/>
  <c r="CV44" i="11"/>
  <c r="Y8" i="8"/>
  <c r="C21" i="14"/>
  <c r="BE21" i="14"/>
  <c r="AV21" i="14"/>
  <c r="BN21" i="14"/>
  <c r="L21" i="14"/>
  <c r="BW21" i="14"/>
  <c r="CF21" i="14"/>
  <c r="U21" i="14"/>
  <c r="AM21" i="14"/>
  <c r="AD21" i="14"/>
  <c r="D22" i="14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CE153" i="14"/>
  <c r="K153" i="14"/>
  <c r="BD153" i="14"/>
  <c r="BM153" i="14"/>
  <c r="BV153" i="14"/>
  <c r="AU153" i="14"/>
  <c r="B153" i="14"/>
  <c r="AL153" i="14"/>
  <c r="T153" i="14"/>
  <c r="AC153" i="14"/>
  <c r="A154" i="14"/>
  <c r="AB3" i="14"/>
  <c r="AB2" i="14" s="1"/>
  <c r="AU138" i="14"/>
  <c r="AU134" i="14"/>
  <c r="AU130" i="14"/>
  <c r="AU126" i="14"/>
  <c r="AU122" i="14"/>
  <c r="AU120" i="14"/>
  <c r="AU112" i="14"/>
  <c r="AU104" i="14"/>
  <c r="AU96" i="14"/>
  <c r="AU88" i="14"/>
  <c r="AU80" i="14"/>
  <c r="AU72" i="14"/>
  <c r="AU64" i="14"/>
  <c r="AU56" i="14"/>
  <c r="AU48" i="14"/>
  <c r="AU40" i="14"/>
  <c r="AU32" i="14"/>
  <c r="AU24" i="14"/>
  <c r="AU119" i="14"/>
  <c r="AU111" i="14"/>
  <c r="AU103" i="14"/>
  <c r="AU95" i="14"/>
  <c r="AU87" i="14"/>
  <c r="AU79" i="14"/>
  <c r="AU71" i="14"/>
  <c r="AU63" i="14"/>
  <c r="AU55" i="14"/>
  <c r="AU47" i="14"/>
  <c r="AU39" i="14"/>
  <c r="AU31" i="14"/>
  <c r="AU23" i="14"/>
  <c r="AU137" i="14"/>
  <c r="AU133" i="14"/>
  <c r="AU129" i="14"/>
  <c r="AU125" i="14"/>
  <c r="AU118" i="14"/>
  <c r="AU110" i="14"/>
  <c r="AU102" i="14"/>
  <c r="AU94" i="14"/>
  <c r="AU86" i="14"/>
  <c r="AU78" i="14"/>
  <c r="AU70" i="14"/>
  <c r="AU62" i="14"/>
  <c r="AU54" i="14"/>
  <c r="AU46" i="14"/>
  <c r="AU38" i="14"/>
  <c r="AU30" i="14"/>
  <c r="AU22" i="14"/>
  <c r="AU117" i="14"/>
  <c r="AU109" i="14"/>
  <c r="AU101" i="14"/>
  <c r="AU93" i="14"/>
  <c r="AU85" i="14"/>
  <c r="AU77" i="14"/>
  <c r="AU69" i="14"/>
  <c r="AU61" i="14"/>
  <c r="AU53" i="14"/>
  <c r="AU45" i="14"/>
  <c r="AU37" i="14"/>
  <c r="AU29" i="14"/>
  <c r="AU21" i="14"/>
  <c r="AU115" i="14"/>
  <c r="AU107" i="14"/>
  <c r="AU99" i="14"/>
  <c r="AU91" i="14"/>
  <c r="AU83" i="14"/>
  <c r="AU75" i="14"/>
  <c r="AU67" i="14"/>
  <c r="AU59" i="14"/>
  <c r="AU51" i="14"/>
  <c r="AU43" i="14"/>
  <c r="AU35" i="14"/>
  <c r="AU27" i="14"/>
  <c r="AU19" i="14"/>
  <c r="AU135" i="14"/>
  <c r="AU131" i="14"/>
  <c r="AU127" i="14"/>
  <c r="AU123" i="14"/>
  <c r="AU114" i="14"/>
  <c r="AU106" i="14"/>
  <c r="AU98" i="14"/>
  <c r="AU90" i="14"/>
  <c r="AU82" i="14"/>
  <c r="AU74" i="14"/>
  <c r="AU66" i="14"/>
  <c r="AU58" i="14"/>
  <c r="AU50" i="14"/>
  <c r="AU42" i="14"/>
  <c r="AU34" i="14"/>
  <c r="AU26" i="14"/>
  <c r="AU18" i="14"/>
  <c r="AZ18" i="14" s="1"/>
  <c r="AY18" i="14" s="1"/>
  <c r="AU121" i="14"/>
  <c r="AU113" i="14"/>
  <c r="AU105" i="14"/>
  <c r="AU97" i="14"/>
  <c r="AU89" i="14"/>
  <c r="AU81" i="14"/>
  <c r="AU73" i="14"/>
  <c r="AU65" i="14"/>
  <c r="AU57" i="14"/>
  <c r="AU49" i="14"/>
  <c r="AU41" i="14"/>
  <c r="AU33" i="14"/>
  <c r="AU25" i="14"/>
  <c r="AU136" i="14"/>
  <c r="AU128" i="14"/>
  <c r="AU84" i="14"/>
  <c r="AU20" i="14"/>
  <c r="AU76" i="14"/>
  <c r="AU68" i="14"/>
  <c r="AU60" i="14"/>
  <c r="AU132" i="14"/>
  <c r="AU124" i="14"/>
  <c r="AU116" i="14"/>
  <c r="AU52" i="14"/>
  <c r="AU100" i="14"/>
  <c r="AU108" i="14"/>
  <c r="AU44" i="14"/>
  <c r="AU36" i="14"/>
  <c r="AU92" i="14"/>
  <c r="AU28" i="14"/>
  <c r="BM137" i="14"/>
  <c r="BM133" i="14"/>
  <c r="BM129" i="14"/>
  <c r="BM125" i="14"/>
  <c r="BM120" i="14"/>
  <c r="BM112" i="14"/>
  <c r="BM104" i="14"/>
  <c r="BM96" i="14"/>
  <c r="BM88" i="14"/>
  <c r="BM80" i="14"/>
  <c r="BM72" i="14"/>
  <c r="BM64" i="14"/>
  <c r="BM56" i="14"/>
  <c r="BM48" i="14"/>
  <c r="BM40" i="14"/>
  <c r="BM32" i="14"/>
  <c r="BM24" i="14"/>
  <c r="BM119" i="14"/>
  <c r="BM111" i="14"/>
  <c r="BM103" i="14"/>
  <c r="BM95" i="14"/>
  <c r="BM87" i="14"/>
  <c r="BM79" i="14"/>
  <c r="BM71" i="14"/>
  <c r="BM63" i="14"/>
  <c r="BM55" i="14"/>
  <c r="BM47" i="14"/>
  <c r="BM39" i="14"/>
  <c r="BM31" i="14"/>
  <c r="BM23" i="14"/>
  <c r="BM136" i="14"/>
  <c r="BM132" i="14"/>
  <c r="BM128" i="14"/>
  <c r="BM124" i="14"/>
  <c r="BM118" i="14"/>
  <c r="BM110" i="14"/>
  <c r="BM102" i="14"/>
  <c r="BM94" i="14"/>
  <c r="BM86" i="14"/>
  <c r="BM78" i="14"/>
  <c r="BM70" i="14"/>
  <c r="BM62" i="14"/>
  <c r="BM54" i="14"/>
  <c r="BM46" i="14"/>
  <c r="BM38" i="14"/>
  <c r="BM30" i="14"/>
  <c r="BM22" i="14"/>
  <c r="BM117" i="14"/>
  <c r="BM109" i="14"/>
  <c r="BM101" i="14"/>
  <c r="BM93" i="14"/>
  <c r="BM85" i="14"/>
  <c r="BM77" i="14"/>
  <c r="BM69" i="14"/>
  <c r="BM61" i="14"/>
  <c r="BM53" i="14"/>
  <c r="BM45" i="14"/>
  <c r="BM37" i="14"/>
  <c r="BM29" i="14"/>
  <c r="BM21" i="14"/>
  <c r="BM115" i="14"/>
  <c r="BM107" i="14"/>
  <c r="BM99" i="14"/>
  <c r="BM91" i="14"/>
  <c r="BM83" i="14"/>
  <c r="BM75" i="14"/>
  <c r="BM67" i="14"/>
  <c r="BM59" i="14"/>
  <c r="BM51" i="14"/>
  <c r="BM43" i="14"/>
  <c r="BM35" i="14"/>
  <c r="BM27" i="14"/>
  <c r="BM19" i="14"/>
  <c r="BM138" i="14"/>
  <c r="BM134" i="14"/>
  <c r="BM130" i="14"/>
  <c r="BM126" i="14"/>
  <c r="BM122" i="14"/>
  <c r="BM114" i="14"/>
  <c r="BM106" i="14"/>
  <c r="BM98" i="14"/>
  <c r="BM90" i="14"/>
  <c r="BM82" i="14"/>
  <c r="BM74" i="14"/>
  <c r="BM66" i="14"/>
  <c r="BM58" i="14"/>
  <c r="BM50" i="14"/>
  <c r="BM42" i="14"/>
  <c r="BM34" i="14"/>
  <c r="BM26" i="14"/>
  <c r="BM18" i="14"/>
  <c r="BR18" i="14" s="1"/>
  <c r="BQ18" i="14" s="1"/>
  <c r="BM121" i="14"/>
  <c r="BM113" i="14"/>
  <c r="BM105" i="14"/>
  <c r="BM97" i="14"/>
  <c r="BM89" i="14"/>
  <c r="BM81" i="14"/>
  <c r="BM73" i="14"/>
  <c r="BM65" i="14"/>
  <c r="BM57" i="14"/>
  <c r="BM49" i="14"/>
  <c r="BM41" i="14"/>
  <c r="BM33" i="14"/>
  <c r="BM25" i="14"/>
  <c r="BM68" i="14"/>
  <c r="BM84" i="14"/>
  <c r="BM60" i="14"/>
  <c r="BM20" i="14"/>
  <c r="BM116" i="14"/>
  <c r="BM52" i="14"/>
  <c r="BM135" i="14"/>
  <c r="BM127" i="14"/>
  <c r="BM108" i="14"/>
  <c r="BM44" i="14"/>
  <c r="BM100" i="14"/>
  <c r="BM36" i="14"/>
  <c r="BM92" i="14"/>
  <c r="BM28" i="14"/>
  <c r="BM131" i="14"/>
  <c r="BM123" i="14"/>
  <c r="BM76" i="14"/>
  <c r="BV120" i="14"/>
  <c r="BV112" i="14"/>
  <c r="BV104" i="14"/>
  <c r="BV96" i="14"/>
  <c r="BV88" i="14"/>
  <c r="BV80" i="14"/>
  <c r="BV72" i="14"/>
  <c r="BV64" i="14"/>
  <c r="BV56" i="14"/>
  <c r="BV48" i="14"/>
  <c r="BV40" i="14"/>
  <c r="BV32" i="14"/>
  <c r="BV24" i="14"/>
  <c r="BV136" i="14"/>
  <c r="BV132" i="14"/>
  <c r="BV128" i="14"/>
  <c r="BV124" i="14"/>
  <c r="BV119" i="14"/>
  <c r="BV111" i="14"/>
  <c r="BV103" i="14"/>
  <c r="BV95" i="14"/>
  <c r="BV87" i="14"/>
  <c r="BV79" i="14"/>
  <c r="BV71" i="14"/>
  <c r="BV63" i="14"/>
  <c r="BV55" i="14"/>
  <c r="BV47" i="14"/>
  <c r="BV39" i="14"/>
  <c r="BV31" i="14"/>
  <c r="BV23" i="14"/>
  <c r="BV118" i="14"/>
  <c r="BV110" i="14"/>
  <c r="BV102" i="14"/>
  <c r="BV94" i="14"/>
  <c r="BV86" i="14"/>
  <c r="BV78" i="14"/>
  <c r="BV70" i="14"/>
  <c r="BV62" i="14"/>
  <c r="BV54" i="14"/>
  <c r="BV46" i="14"/>
  <c r="BV38" i="14"/>
  <c r="BV30" i="14"/>
  <c r="BV22" i="14"/>
  <c r="BV135" i="14"/>
  <c r="BV131" i="14"/>
  <c r="BV127" i="14"/>
  <c r="BV123" i="14"/>
  <c r="BV117" i="14"/>
  <c r="BV109" i="14"/>
  <c r="BV101" i="14"/>
  <c r="BV93" i="14"/>
  <c r="BV85" i="14"/>
  <c r="BV77" i="14"/>
  <c r="BV69" i="14"/>
  <c r="BV61" i="14"/>
  <c r="BV53" i="14"/>
  <c r="BV45" i="14"/>
  <c r="BV37" i="14"/>
  <c r="BV29" i="14"/>
  <c r="BV21" i="14"/>
  <c r="BV138" i="14"/>
  <c r="BV134" i="14"/>
  <c r="BV130" i="14"/>
  <c r="BV126" i="14"/>
  <c r="BV122" i="14"/>
  <c r="BV115" i="14"/>
  <c r="BV107" i="14"/>
  <c r="BV99" i="14"/>
  <c r="BV91" i="14"/>
  <c r="BV83" i="14"/>
  <c r="BV75" i="14"/>
  <c r="BV67" i="14"/>
  <c r="BV59" i="14"/>
  <c r="BV51" i="14"/>
  <c r="BV43" i="14"/>
  <c r="BV35" i="14"/>
  <c r="BV27" i="14"/>
  <c r="BV19" i="14"/>
  <c r="BV114" i="14"/>
  <c r="BV106" i="14"/>
  <c r="BV98" i="14"/>
  <c r="BV90" i="14"/>
  <c r="BV82" i="14"/>
  <c r="BV74" i="14"/>
  <c r="BV66" i="14"/>
  <c r="BV58" i="14"/>
  <c r="BV50" i="14"/>
  <c r="BV42" i="14"/>
  <c r="BV34" i="14"/>
  <c r="BV26" i="14"/>
  <c r="BV18" i="14"/>
  <c r="CA18" i="14" s="1"/>
  <c r="BZ18" i="14" s="1"/>
  <c r="BV137" i="14"/>
  <c r="BV133" i="14"/>
  <c r="BV129" i="14"/>
  <c r="BV125" i="14"/>
  <c r="BV121" i="14"/>
  <c r="BV113" i="14"/>
  <c r="BV105" i="14"/>
  <c r="BV97" i="14"/>
  <c r="BV89" i="14"/>
  <c r="BV81" i="14"/>
  <c r="BV73" i="14"/>
  <c r="BV65" i="14"/>
  <c r="BV57" i="14"/>
  <c r="BV49" i="14"/>
  <c r="BV41" i="14"/>
  <c r="BV33" i="14"/>
  <c r="BV25" i="14"/>
  <c r="BV92" i="14"/>
  <c r="BV28" i="14"/>
  <c r="BV84" i="14"/>
  <c r="BV20" i="14"/>
  <c r="BV76" i="14"/>
  <c r="BV68" i="14"/>
  <c r="BV108" i="14"/>
  <c r="BV60" i="14"/>
  <c r="BV116" i="14"/>
  <c r="BV52" i="14"/>
  <c r="BV44" i="14"/>
  <c r="BV100" i="14"/>
  <c r="BV36" i="14"/>
  <c r="K136" i="14"/>
  <c r="K132" i="14"/>
  <c r="K128" i="14"/>
  <c r="K124" i="14"/>
  <c r="K135" i="14"/>
  <c r="K131" i="14"/>
  <c r="K127" i="14"/>
  <c r="K123" i="14"/>
  <c r="K137" i="14"/>
  <c r="K133" i="14"/>
  <c r="K129" i="14"/>
  <c r="K125" i="14"/>
  <c r="K121" i="14"/>
  <c r="K113" i="14"/>
  <c r="K105" i="14"/>
  <c r="K97" i="14"/>
  <c r="K89" i="14"/>
  <c r="K81" i="14"/>
  <c r="K73" i="14"/>
  <c r="K65" i="14"/>
  <c r="K57" i="14"/>
  <c r="K49" i="14"/>
  <c r="K41" i="14"/>
  <c r="K33" i="14"/>
  <c r="K25" i="14"/>
  <c r="K115" i="14"/>
  <c r="K59" i="14"/>
  <c r="K120" i="14"/>
  <c r="K112" i="14"/>
  <c r="K104" i="14"/>
  <c r="K96" i="14"/>
  <c r="K88" i="14"/>
  <c r="K80" i="14"/>
  <c r="K72" i="14"/>
  <c r="K64" i="14"/>
  <c r="K56" i="14"/>
  <c r="K48" i="14"/>
  <c r="K40" i="14"/>
  <c r="K32" i="14"/>
  <c r="K24" i="14"/>
  <c r="K67" i="14"/>
  <c r="K51" i="14"/>
  <c r="K138" i="14"/>
  <c r="K130" i="14"/>
  <c r="K122" i="14"/>
  <c r="K119" i="14"/>
  <c r="K111" i="14"/>
  <c r="K103" i="14"/>
  <c r="K95" i="14"/>
  <c r="K87" i="14"/>
  <c r="K79" i="14"/>
  <c r="K71" i="14"/>
  <c r="K63" i="14"/>
  <c r="K55" i="14"/>
  <c r="K47" i="14"/>
  <c r="K39" i="14"/>
  <c r="K31" i="14"/>
  <c r="K23" i="14"/>
  <c r="K83" i="14"/>
  <c r="K43" i="14"/>
  <c r="K118" i="14"/>
  <c r="K110" i="14"/>
  <c r="K102" i="14"/>
  <c r="K94" i="14"/>
  <c r="K86" i="14"/>
  <c r="K78" i="14"/>
  <c r="K70" i="14"/>
  <c r="K62" i="14"/>
  <c r="K54" i="14"/>
  <c r="K46" i="14"/>
  <c r="K38" i="14"/>
  <c r="K30" i="14"/>
  <c r="K22" i="14"/>
  <c r="K107" i="14"/>
  <c r="K27" i="14"/>
  <c r="K117" i="14"/>
  <c r="K109" i="14"/>
  <c r="K101" i="14"/>
  <c r="K93" i="14"/>
  <c r="K85" i="14"/>
  <c r="K77" i="14"/>
  <c r="K69" i="14"/>
  <c r="K61" i="14"/>
  <c r="K53" i="14"/>
  <c r="K45" i="14"/>
  <c r="K37" i="14"/>
  <c r="K29" i="14"/>
  <c r="K21" i="14"/>
  <c r="K134" i="14"/>
  <c r="K75" i="14"/>
  <c r="K19" i="14"/>
  <c r="K116" i="14"/>
  <c r="K108" i="14"/>
  <c r="K100" i="14"/>
  <c r="K92" i="14"/>
  <c r="K84" i="14"/>
  <c r="K76" i="14"/>
  <c r="K68" i="14"/>
  <c r="K60" i="14"/>
  <c r="K52" i="14"/>
  <c r="K44" i="14"/>
  <c r="K36" i="14"/>
  <c r="K28" i="14"/>
  <c r="K20" i="14"/>
  <c r="K126" i="14"/>
  <c r="K99" i="14"/>
  <c r="K35" i="14"/>
  <c r="K114" i="14"/>
  <c r="K106" i="14"/>
  <c r="K98" i="14"/>
  <c r="K90" i="14"/>
  <c r="K82" i="14"/>
  <c r="K74" i="14"/>
  <c r="K66" i="14"/>
  <c r="K58" i="14"/>
  <c r="K50" i="14"/>
  <c r="K42" i="14"/>
  <c r="K34" i="14"/>
  <c r="K26" i="14"/>
  <c r="K18" i="14"/>
  <c r="P18" i="14" s="1"/>
  <c r="K91" i="14"/>
  <c r="BD120" i="14"/>
  <c r="BD112" i="14"/>
  <c r="BD104" i="14"/>
  <c r="BD96" i="14"/>
  <c r="BD88" i="14"/>
  <c r="BD80" i="14"/>
  <c r="BD72" i="14"/>
  <c r="BD64" i="14"/>
  <c r="BD56" i="14"/>
  <c r="BD48" i="14"/>
  <c r="BD40" i="14"/>
  <c r="BD32" i="14"/>
  <c r="BD24" i="14"/>
  <c r="BD137" i="14"/>
  <c r="BD133" i="14"/>
  <c r="BD129" i="14"/>
  <c r="BD125" i="14"/>
  <c r="BD119" i="14"/>
  <c r="BD111" i="14"/>
  <c r="BD103" i="14"/>
  <c r="BD95" i="14"/>
  <c r="BD87" i="14"/>
  <c r="BD79" i="14"/>
  <c r="BD71" i="14"/>
  <c r="BD63" i="14"/>
  <c r="BD55" i="14"/>
  <c r="BD47" i="14"/>
  <c r="BD39" i="14"/>
  <c r="BD31" i="14"/>
  <c r="BD23" i="14"/>
  <c r="BD118" i="14"/>
  <c r="BD110" i="14"/>
  <c r="BD102" i="14"/>
  <c r="BD94" i="14"/>
  <c r="BD86" i="14"/>
  <c r="BD78" i="14"/>
  <c r="BD70" i="14"/>
  <c r="BD62" i="14"/>
  <c r="BD54" i="14"/>
  <c r="BD46" i="14"/>
  <c r="BD38" i="14"/>
  <c r="BD30" i="14"/>
  <c r="BD22" i="14"/>
  <c r="BD136" i="14"/>
  <c r="BD132" i="14"/>
  <c r="BD128" i="14"/>
  <c r="BD124" i="14"/>
  <c r="BD117" i="14"/>
  <c r="BD109" i="14"/>
  <c r="BD101" i="14"/>
  <c r="BD93" i="14"/>
  <c r="BD85" i="14"/>
  <c r="BD77" i="14"/>
  <c r="BD69" i="14"/>
  <c r="BD61" i="14"/>
  <c r="BD53" i="14"/>
  <c r="BD45" i="14"/>
  <c r="BD37" i="14"/>
  <c r="BD29" i="14"/>
  <c r="BD21" i="14"/>
  <c r="BD135" i="14"/>
  <c r="BD131" i="14"/>
  <c r="BD127" i="14"/>
  <c r="BD123" i="14"/>
  <c r="BD115" i="14"/>
  <c r="BD107" i="14"/>
  <c r="BD99" i="14"/>
  <c r="BD91" i="14"/>
  <c r="BD83" i="14"/>
  <c r="BD75" i="14"/>
  <c r="BD67" i="14"/>
  <c r="BD59" i="14"/>
  <c r="BD51" i="14"/>
  <c r="BD43" i="14"/>
  <c r="BD35" i="14"/>
  <c r="BD27" i="14"/>
  <c r="BD19" i="14"/>
  <c r="BD114" i="14"/>
  <c r="BD106" i="14"/>
  <c r="BD98" i="14"/>
  <c r="BD90" i="14"/>
  <c r="BD82" i="14"/>
  <c r="BD74" i="14"/>
  <c r="BD66" i="14"/>
  <c r="BD58" i="14"/>
  <c r="BD50" i="14"/>
  <c r="BD42" i="14"/>
  <c r="BD34" i="14"/>
  <c r="BD26" i="14"/>
  <c r="BD18" i="14"/>
  <c r="BI18" i="14" s="1"/>
  <c r="BH18" i="14" s="1"/>
  <c r="BD138" i="14"/>
  <c r="BD134" i="14"/>
  <c r="BD130" i="14"/>
  <c r="BD126" i="14"/>
  <c r="BD122" i="14"/>
  <c r="BD121" i="14"/>
  <c r="BD113" i="14"/>
  <c r="BD105" i="14"/>
  <c r="BD97" i="14"/>
  <c r="BD89" i="14"/>
  <c r="BD81" i="14"/>
  <c r="BD73" i="14"/>
  <c r="BD65" i="14"/>
  <c r="BD57" i="14"/>
  <c r="BD49" i="14"/>
  <c r="BD41" i="14"/>
  <c r="BD33" i="14"/>
  <c r="BD25" i="14"/>
  <c r="BD108" i="14"/>
  <c r="BD44" i="14"/>
  <c r="BD100" i="14"/>
  <c r="BD36" i="14"/>
  <c r="BD92" i="14"/>
  <c r="BD28" i="14"/>
  <c r="BD84" i="14"/>
  <c r="BD20" i="14"/>
  <c r="BD60" i="14"/>
  <c r="BD76" i="14"/>
  <c r="BD68" i="14"/>
  <c r="BD116" i="14"/>
  <c r="BD52" i="14"/>
  <c r="T135" i="14"/>
  <c r="T131" i="14"/>
  <c r="T127" i="14"/>
  <c r="T123" i="14"/>
  <c r="T138" i="14"/>
  <c r="T134" i="14"/>
  <c r="T130" i="14"/>
  <c r="T126" i="14"/>
  <c r="T122" i="14"/>
  <c r="T137" i="14"/>
  <c r="T133" i="14"/>
  <c r="T129" i="14"/>
  <c r="T125" i="14"/>
  <c r="T136" i="14"/>
  <c r="T132" i="14"/>
  <c r="T128" i="14"/>
  <c r="T124" i="14"/>
  <c r="T121" i="14"/>
  <c r="T113" i="14"/>
  <c r="T105" i="14"/>
  <c r="T97" i="14"/>
  <c r="T89" i="14"/>
  <c r="T81" i="14"/>
  <c r="T73" i="14"/>
  <c r="T65" i="14"/>
  <c r="T57" i="14"/>
  <c r="T49" i="14"/>
  <c r="T41" i="14"/>
  <c r="T33" i="14"/>
  <c r="T25" i="14"/>
  <c r="T59" i="14"/>
  <c r="T120" i="14"/>
  <c r="T112" i="14"/>
  <c r="T104" i="14"/>
  <c r="T96" i="14"/>
  <c r="T88" i="14"/>
  <c r="T80" i="14"/>
  <c r="T72" i="14"/>
  <c r="T64" i="14"/>
  <c r="T56" i="14"/>
  <c r="T48" i="14"/>
  <c r="T40" i="14"/>
  <c r="T32" i="14"/>
  <c r="T24" i="14"/>
  <c r="T83" i="14"/>
  <c r="T19" i="14"/>
  <c r="T119" i="14"/>
  <c r="T111" i="14"/>
  <c r="T103" i="14"/>
  <c r="T95" i="14"/>
  <c r="T87" i="14"/>
  <c r="T79" i="14"/>
  <c r="T71" i="14"/>
  <c r="T63" i="14"/>
  <c r="T55" i="14"/>
  <c r="T47" i="14"/>
  <c r="T39" i="14"/>
  <c r="T31" i="14"/>
  <c r="T23" i="14"/>
  <c r="T91" i="14"/>
  <c r="T27" i="14"/>
  <c r="T118" i="14"/>
  <c r="T110" i="14"/>
  <c r="T102" i="14"/>
  <c r="T94" i="14"/>
  <c r="T86" i="14"/>
  <c r="T78" i="14"/>
  <c r="T70" i="14"/>
  <c r="T62" i="14"/>
  <c r="T54" i="14"/>
  <c r="T46" i="14"/>
  <c r="T38" i="14"/>
  <c r="T30" i="14"/>
  <c r="T22" i="14"/>
  <c r="T99" i="14"/>
  <c r="T51" i="14"/>
  <c r="T117" i="14"/>
  <c r="T109" i="14"/>
  <c r="T101" i="14"/>
  <c r="T93" i="14"/>
  <c r="T85" i="14"/>
  <c r="T77" i="14"/>
  <c r="T69" i="14"/>
  <c r="T61" i="14"/>
  <c r="T53" i="14"/>
  <c r="T45" i="14"/>
  <c r="T37" i="14"/>
  <c r="T29" i="14"/>
  <c r="T21" i="14"/>
  <c r="T115" i="14"/>
  <c r="T75" i="14"/>
  <c r="T35" i="14"/>
  <c r="T116" i="14"/>
  <c r="T108" i="14"/>
  <c r="T100" i="14"/>
  <c r="T92" i="14"/>
  <c r="T84" i="14"/>
  <c r="T76" i="14"/>
  <c r="T68" i="14"/>
  <c r="T60" i="14"/>
  <c r="T52" i="14"/>
  <c r="T44" i="14"/>
  <c r="T36" i="14"/>
  <c r="T28" i="14"/>
  <c r="T20" i="14"/>
  <c r="T107" i="14"/>
  <c r="T67" i="14"/>
  <c r="T43" i="14"/>
  <c r="T114" i="14"/>
  <c r="T106" i="14"/>
  <c r="T98" i="14"/>
  <c r="T90" i="14"/>
  <c r="T82" i="14"/>
  <c r="T74" i="14"/>
  <c r="T66" i="14"/>
  <c r="T58" i="14"/>
  <c r="T50" i="14"/>
  <c r="T42" i="14"/>
  <c r="T34" i="14"/>
  <c r="T26" i="14"/>
  <c r="T18" i="14"/>
  <c r="Y18" i="14" s="1"/>
  <c r="X18" i="14" s="1"/>
  <c r="AC135" i="14"/>
  <c r="AC131" i="14"/>
  <c r="AC127" i="14"/>
  <c r="AC123" i="14"/>
  <c r="AC138" i="14"/>
  <c r="AC134" i="14"/>
  <c r="AC130" i="14"/>
  <c r="AC126" i="14"/>
  <c r="AC122" i="14"/>
  <c r="AC118" i="14"/>
  <c r="AC110" i="14"/>
  <c r="AC115" i="14"/>
  <c r="AC107" i="14"/>
  <c r="AC136" i="14"/>
  <c r="AC132" i="14"/>
  <c r="AC128" i="14"/>
  <c r="AC124" i="14"/>
  <c r="AC116" i="14"/>
  <c r="AC105" i="14"/>
  <c r="AC97" i="14"/>
  <c r="AC89" i="14"/>
  <c r="AC81" i="14"/>
  <c r="AC73" i="14"/>
  <c r="AC65" i="14"/>
  <c r="AC57" i="14"/>
  <c r="AC49" i="14"/>
  <c r="AC41" i="14"/>
  <c r="AC33" i="14"/>
  <c r="AC25" i="14"/>
  <c r="AC133" i="14"/>
  <c r="AC125" i="14"/>
  <c r="AC114" i="14"/>
  <c r="AC104" i="14"/>
  <c r="AC96" i="14"/>
  <c r="AC88" i="14"/>
  <c r="AC80" i="14"/>
  <c r="AC72" i="14"/>
  <c r="AC64" i="14"/>
  <c r="AC56" i="14"/>
  <c r="AC48" i="14"/>
  <c r="AC40" i="14"/>
  <c r="AC32" i="14"/>
  <c r="AC24" i="14"/>
  <c r="AC113" i="14"/>
  <c r="AC103" i="14"/>
  <c r="AC95" i="14"/>
  <c r="AC87" i="14"/>
  <c r="AC79" i="14"/>
  <c r="AC71" i="14"/>
  <c r="AC63" i="14"/>
  <c r="AC55" i="14"/>
  <c r="AC47" i="14"/>
  <c r="AC39" i="14"/>
  <c r="AC31" i="14"/>
  <c r="AC23" i="14"/>
  <c r="AC27" i="14"/>
  <c r="AC112" i="14"/>
  <c r="AC102" i="14"/>
  <c r="AC94" i="14"/>
  <c r="AC86" i="14"/>
  <c r="AC78" i="14"/>
  <c r="AC70" i="14"/>
  <c r="AC62" i="14"/>
  <c r="AC54" i="14"/>
  <c r="AC46" i="14"/>
  <c r="AC38" i="14"/>
  <c r="AC30" i="14"/>
  <c r="AC22" i="14"/>
  <c r="AC119" i="14"/>
  <c r="AC91" i="14"/>
  <c r="AC59" i="14"/>
  <c r="AC35" i="14"/>
  <c r="AC121" i="14"/>
  <c r="AC111" i="14"/>
  <c r="AC101" i="14"/>
  <c r="AC93" i="14"/>
  <c r="AC85" i="14"/>
  <c r="AC77" i="14"/>
  <c r="AC69" i="14"/>
  <c r="AC61" i="14"/>
  <c r="AC53" i="14"/>
  <c r="AC45" i="14"/>
  <c r="AC37" i="14"/>
  <c r="AC29" i="14"/>
  <c r="AC21" i="14"/>
  <c r="AC108" i="14"/>
  <c r="AC83" i="14"/>
  <c r="AC67" i="14"/>
  <c r="AC43" i="14"/>
  <c r="AC137" i="14"/>
  <c r="AC129" i="14"/>
  <c r="AC120" i="14"/>
  <c r="AC109" i="14"/>
  <c r="AC100" i="14"/>
  <c r="AC92" i="14"/>
  <c r="AC84" i="14"/>
  <c r="AC76" i="14"/>
  <c r="AC68" i="14"/>
  <c r="AC60" i="14"/>
  <c r="AC52" i="14"/>
  <c r="AC44" i="14"/>
  <c r="AC36" i="14"/>
  <c r="AC28" i="14"/>
  <c r="AC20" i="14"/>
  <c r="AC99" i="14"/>
  <c r="AC75" i="14"/>
  <c r="AC51" i="14"/>
  <c r="AC19" i="14"/>
  <c r="AC117" i="14"/>
  <c r="AC106" i="14"/>
  <c r="AC98" i="14"/>
  <c r="AC90" i="14"/>
  <c r="AC82" i="14"/>
  <c r="AC74" i="14"/>
  <c r="AC66" i="14"/>
  <c r="AC58" i="14"/>
  <c r="AC50" i="14"/>
  <c r="AC42" i="14"/>
  <c r="AC34" i="14"/>
  <c r="AC26" i="14"/>
  <c r="AC18" i="14"/>
  <c r="AH18" i="14" s="1"/>
  <c r="AG18" i="14" s="1"/>
  <c r="AL120" i="14"/>
  <c r="AL112" i="14"/>
  <c r="AL104" i="14"/>
  <c r="AL96" i="14"/>
  <c r="AL88" i="14"/>
  <c r="AL80" i="14"/>
  <c r="AL72" i="14"/>
  <c r="AL64" i="14"/>
  <c r="AL56" i="14"/>
  <c r="AL48" i="14"/>
  <c r="AL40" i="14"/>
  <c r="AL32" i="14"/>
  <c r="AL138" i="14"/>
  <c r="AL134" i="14"/>
  <c r="AL130" i="14"/>
  <c r="AL126" i="14"/>
  <c r="AL122" i="14"/>
  <c r="AL119" i="14"/>
  <c r="AL111" i="14"/>
  <c r="AL103" i="14"/>
  <c r="AL95" i="14"/>
  <c r="AL87" i="14"/>
  <c r="AL118" i="14"/>
  <c r="AL110" i="14"/>
  <c r="AL102" i="14"/>
  <c r="AL94" i="14"/>
  <c r="AL86" i="14"/>
  <c r="AL78" i="14"/>
  <c r="AL70" i="14"/>
  <c r="AL62" i="14"/>
  <c r="AL54" i="14"/>
  <c r="AL46" i="14"/>
  <c r="AL38" i="14"/>
  <c r="AL30" i="14"/>
  <c r="AL22" i="14"/>
  <c r="AL137" i="14"/>
  <c r="AL133" i="14"/>
  <c r="AL129" i="14"/>
  <c r="AL125" i="14"/>
  <c r="AL117" i="14"/>
  <c r="AL109" i="14"/>
  <c r="AL101" i="14"/>
  <c r="AL93" i="14"/>
  <c r="AL85" i="14"/>
  <c r="AL77" i="14"/>
  <c r="AL69" i="14"/>
  <c r="AL136" i="14"/>
  <c r="AL132" i="14"/>
  <c r="AL128" i="14"/>
  <c r="AL124" i="14"/>
  <c r="AL115" i="14"/>
  <c r="AL107" i="14"/>
  <c r="AL99" i="14"/>
  <c r="AL91" i="14"/>
  <c r="AL83" i="14"/>
  <c r="AL75" i="14"/>
  <c r="AL67" i="14"/>
  <c r="AL59" i="14"/>
  <c r="AL51" i="14"/>
  <c r="AL43" i="14"/>
  <c r="AL35" i="14"/>
  <c r="AL27" i="14"/>
  <c r="AL19" i="14"/>
  <c r="AL114" i="14"/>
  <c r="AL106" i="14"/>
  <c r="AL98" i="14"/>
  <c r="AL90" i="14"/>
  <c r="AL82" i="14"/>
  <c r="AL135" i="14"/>
  <c r="AL131" i="14"/>
  <c r="AL127" i="14"/>
  <c r="AL123" i="14"/>
  <c r="AL121" i="14"/>
  <c r="AL113" i="14"/>
  <c r="AL105" i="14"/>
  <c r="AL97" i="14"/>
  <c r="AL89" i="14"/>
  <c r="AL81" i="14"/>
  <c r="AL74" i="14"/>
  <c r="AL60" i="14"/>
  <c r="AL47" i="14"/>
  <c r="AL34" i="14"/>
  <c r="AL23" i="14"/>
  <c r="AL116" i="14"/>
  <c r="AL73" i="14"/>
  <c r="AL58" i="14"/>
  <c r="AL45" i="14"/>
  <c r="AL33" i="14"/>
  <c r="AL21" i="14"/>
  <c r="AL108" i="14"/>
  <c r="AL71" i="14"/>
  <c r="AL57" i="14"/>
  <c r="AL44" i="14"/>
  <c r="AL31" i="14"/>
  <c r="AL20" i="14"/>
  <c r="AL100" i="14"/>
  <c r="AL68" i="14"/>
  <c r="AL55" i="14"/>
  <c r="AL42" i="14"/>
  <c r="AL29" i="14"/>
  <c r="AL18" i="14"/>
  <c r="AQ18" i="14" s="1"/>
  <c r="AP18" i="14" s="1"/>
  <c r="AL63" i="14"/>
  <c r="AL92" i="14"/>
  <c r="AL66" i="14"/>
  <c r="AL53" i="14"/>
  <c r="AL41" i="14"/>
  <c r="AL28" i="14"/>
  <c r="AL37" i="14"/>
  <c r="AL84" i="14"/>
  <c r="AL65" i="14"/>
  <c r="AL52" i="14"/>
  <c r="AL39" i="14"/>
  <c r="AL26" i="14"/>
  <c r="AL50" i="14"/>
  <c r="AL25" i="14"/>
  <c r="AL76" i="14"/>
  <c r="AL61" i="14"/>
  <c r="AL49" i="14"/>
  <c r="AL36" i="14"/>
  <c r="AL24" i="14"/>
  <c r="AL79" i="14"/>
  <c r="P1" i="6"/>
  <c r="Q1" i="6" s="1"/>
  <c r="R1" i="6" s="1"/>
  <c r="S1" i="6" s="1"/>
  <c r="T1" i="6" s="1"/>
  <c r="U1" i="6" s="1"/>
  <c r="V1" i="6" s="1"/>
  <c r="W1" i="6" s="1"/>
  <c r="Z6" i="8"/>
  <c r="Z12" i="8"/>
  <c r="F4" i="8"/>
  <c r="F12" i="8"/>
  <c r="R10" i="6" s="1"/>
  <c r="Y9" i="8"/>
  <c r="Y11" i="8"/>
  <c r="CO55" i="11"/>
  <c r="CO59" i="11"/>
  <c r="CO60" i="11"/>
  <c r="CO64" i="11"/>
  <c r="CO68" i="11"/>
  <c r="CO72" i="11"/>
  <c r="CO77" i="11"/>
  <c r="CO87" i="11"/>
  <c r="CO89" i="11"/>
  <c r="CO90" i="11"/>
  <c r="CO94" i="11"/>
  <c r="CO98" i="11"/>
  <c r="CO105" i="11"/>
  <c r="CO110" i="11"/>
  <c r="CO113" i="11"/>
  <c r="CO120" i="11"/>
  <c r="CO123" i="11"/>
  <c r="CO128" i="11"/>
  <c r="CO133" i="11"/>
  <c r="CO135" i="11"/>
  <c r="CO137" i="11"/>
  <c r="CO138" i="11"/>
  <c r="CO142" i="11"/>
  <c r="CO144" i="11"/>
  <c r="CO147" i="11"/>
  <c r="CO149" i="11"/>
  <c r="CO151" i="11"/>
  <c r="CO153" i="11"/>
  <c r="CO155" i="11"/>
  <c r="CO157" i="11"/>
  <c r="CO159" i="11"/>
  <c r="CO162" i="11"/>
  <c r="CO164" i="11"/>
  <c r="CO165" i="11"/>
  <c r="CO168" i="11"/>
  <c r="CO170" i="11"/>
  <c r="CO173" i="11"/>
  <c r="CO175" i="11"/>
  <c r="CO176" i="11"/>
  <c r="CO178" i="11"/>
  <c r="CO180" i="11"/>
  <c r="CO181" i="11"/>
  <c r="CO183" i="11"/>
  <c r="CO184" i="11"/>
  <c r="CO186" i="11"/>
  <c r="CO188" i="11"/>
  <c r="CO191" i="11"/>
  <c r="CO192" i="11"/>
  <c r="CO194" i="11"/>
  <c r="CO196" i="11"/>
  <c r="CO197" i="11"/>
  <c r="CO198" i="11"/>
  <c r="CO200" i="11"/>
  <c r="CO201" i="11"/>
  <c r="CO202" i="11"/>
  <c r="CO203" i="11"/>
  <c r="CO204" i="11"/>
  <c r="CO205" i="11"/>
  <c r="CO206" i="11"/>
  <c r="CO207" i="11"/>
  <c r="CO208" i="11"/>
  <c r="CO209" i="11"/>
  <c r="CO210" i="11"/>
  <c r="CO211" i="11"/>
  <c r="CO212" i="11"/>
  <c r="CO213" i="11"/>
  <c r="CO214" i="11"/>
  <c r="CO215" i="11"/>
  <c r="CO216" i="11"/>
  <c r="CO217" i="11"/>
  <c r="CO218" i="11"/>
  <c r="CO219" i="11"/>
  <c r="CO220" i="11"/>
  <c r="CO221" i="11"/>
  <c r="CO222" i="11"/>
  <c r="CO223" i="11"/>
  <c r="CO224" i="11"/>
  <c r="CO225" i="11"/>
  <c r="CO226" i="11"/>
  <c r="CO227" i="11"/>
  <c r="CO228" i="11"/>
  <c r="CO229" i="11"/>
  <c r="CO230" i="11"/>
  <c r="CO231" i="11"/>
  <c r="CO232" i="11"/>
  <c r="CO233" i="11"/>
  <c r="CO234" i="11"/>
  <c r="CO235" i="11"/>
  <c r="CO53" i="11"/>
  <c r="CO58" i="11"/>
  <c r="CO65" i="11"/>
  <c r="CO69" i="11"/>
  <c r="CO75" i="11"/>
  <c r="CO76" i="11"/>
  <c r="CO80" i="11"/>
  <c r="CO96" i="11"/>
  <c r="CO100" i="11"/>
  <c r="CO101" i="11"/>
  <c r="CO106" i="11"/>
  <c r="CO107" i="11"/>
  <c r="CO108" i="11"/>
  <c r="CO111" i="11"/>
  <c r="CO112" i="11"/>
  <c r="CO115" i="11"/>
  <c r="CO119" i="11"/>
  <c r="CO124" i="11"/>
  <c r="CO127" i="11"/>
  <c r="CO129" i="11"/>
  <c r="CO132" i="11"/>
  <c r="CO134" i="11"/>
  <c r="CO136" i="11"/>
  <c r="CO141" i="11"/>
  <c r="CO143" i="11"/>
  <c r="CO145" i="11"/>
  <c r="CO146" i="11"/>
  <c r="CO148" i="11"/>
  <c r="CO150" i="11"/>
  <c r="CO152" i="11"/>
  <c r="CO154" i="11"/>
  <c r="CO156" i="11"/>
  <c r="CO158" i="11"/>
  <c r="CO160" i="11"/>
  <c r="CO161" i="11"/>
  <c r="CO163" i="11"/>
  <c r="CO166" i="11"/>
  <c r="CO167" i="11"/>
  <c r="CO169" i="11"/>
  <c r="CO171" i="11"/>
  <c r="CO172" i="11"/>
  <c r="CO174" i="11"/>
  <c r="CO177" i="11"/>
  <c r="CO179" i="11"/>
  <c r="CO182" i="11"/>
  <c r="CO185" i="11"/>
  <c r="CO187" i="11"/>
  <c r="CO189" i="11"/>
  <c r="CO190" i="11"/>
  <c r="CO193" i="11"/>
  <c r="CO195" i="11"/>
  <c r="CO199" i="11"/>
  <c r="C6" i="6"/>
  <c r="C10" i="6"/>
  <c r="O2" i="6"/>
  <c r="C7" i="8"/>
  <c r="O10" i="6"/>
  <c r="U320" i="8"/>
  <c r="CP2" i="11"/>
  <c r="CP3" i="11"/>
  <c r="CP4" i="11"/>
  <c r="CP5" i="11"/>
  <c r="CP6" i="11"/>
  <c r="CP7" i="11"/>
  <c r="CP8" i="11"/>
  <c r="CP9" i="11"/>
  <c r="CP10" i="11"/>
  <c r="CP11" i="11"/>
  <c r="CP12" i="11"/>
  <c r="CP13" i="11"/>
  <c r="CP14" i="11"/>
  <c r="CP15" i="11"/>
  <c r="CP16" i="11"/>
  <c r="CP17" i="11"/>
  <c r="CP18" i="11"/>
  <c r="CP19" i="11"/>
  <c r="CP20" i="11"/>
  <c r="CP21" i="11"/>
  <c r="CP22" i="11"/>
  <c r="CP23" i="11"/>
  <c r="CP24" i="11"/>
  <c r="CP25" i="11"/>
  <c r="CP26" i="11"/>
  <c r="CP27" i="11"/>
  <c r="CP28" i="11"/>
  <c r="CP29" i="11"/>
  <c r="CP30" i="11"/>
  <c r="CP31" i="11"/>
  <c r="CP32" i="11"/>
  <c r="CP33" i="11"/>
  <c r="CP34" i="11"/>
  <c r="CP35" i="11"/>
  <c r="CP36" i="11"/>
  <c r="CP37" i="11"/>
  <c r="CP38" i="11"/>
  <c r="CP39" i="11"/>
  <c r="CP40" i="11"/>
  <c r="CP41" i="11"/>
  <c r="CP42" i="11"/>
  <c r="CP43" i="11"/>
  <c r="CP44" i="11"/>
  <c r="CP45" i="11"/>
  <c r="CP46" i="11"/>
  <c r="CP47" i="11"/>
  <c r="CP48" i="11"/>
  <c r="CP49" i="11"/>
  <c r="CP50" i="11"/>
  <c r="CP51" i="11"/>
  <c r="CP52" i="11"/>
  <c r="CP53" i="11"/>
  <c r="CP54" i="11"/>
  <c r="CP55" i="11"/>
  <c r="CP56" i="11"/>
  <c r="CP57" i="11"/>
  <c r="CP58" i="11"/>
  <c r="CP59" i="11"/>
  <c r="CP60" i="11"/>
  <c r="CP61" i="11"/>
  <c r="CP62" i="11"/>
  <c r="CP63" i="11"/>
  <c r="CP64" i="11"/>
  <c r="CP65" i="11"/>
  <c r="CP66" i="11"/>
  <c r="CP67" i="11"/>
  <c r="CP68" i="11"/>
  <c r="CP69" i="11"/>
  <c r="CP70" i="11"/>
  <c r="CP71" i="11"/>
  <c r="CP72" i="11"/>
  <c r="CP73" i="11"/>
  <c r="CP74" i="11"/>
  <c r="CP75" i="11"/>
  <c r="CP76" i="11"/>
  <c r="CP77" i="11"/>
  <c r="CP78" i="11"/>
  <c r="CP79" i="11"/>
  <c r="CP80" i="11"/>
  <c r="CP81" i="11"/>
  <c r="CP82" i="11"/>
  <c r="CP83" i="11"/>
  <c r="CP84" i="11"/>
  <c r="CP85" i="11"/>
  <c r="CP86" i="11"/>
  <c r="CP87" i="11"/>
  <c r="CP88" i="11"/>
  <c r="CP89" i="11"/>
  <c r="CP90" i="11"/>
  <c r="CP91" i="11"/>
  <c r="CP92" i="11"/>
  <c r="CP93" i="11"/>
  <c r="CP94" i="11"/>
  <c r="CP95" i="11"/>
  <c r="CP96" i="11"/>
  <c r="CP97" i="11"/>
  <c r="CP98" i="11"/>
  <c r="CP99" i="11"/>
  <c r="CP100" i="11"/>
  <c r="CP101" i="11"/>
  <c r="CP102" i="11"/>
  <c r="CP103" i="11"/>
  <c r="CP104" i="11"/>
  <c r="CP105" i="11"/>
  <c r="CP106" i="11"/>
  <c r="CP107" i="11"/>
  <c r="CP108" i="11"/>
  <c r="CP109" i="11"/>
  <c r="CP110" i="11"/>
  <c r="CP111" i="11"/>
  <c r="CP112" i="11"/>
  <c r="CP113" i="11"/>
  <c r="CP114" i="11"/>
  <c r="CP115" i="11"/>
  <c r="CP116" i="11"/>
  <c r="CP117" i="11"/>
  <c r="CP118" i="11"/>
  <c r="CP119" i="11"/>
  <c r="CP120" i="11"/>
  <c r="CP121" i="11"/>
  <c r="CP122" i="11"/>
  <c r="CP123" i="11"/>
  <c r="CP124" i="11"/>
  <c r="CP125" i="11"/>
  <c r="CP126" i="11"/>
  <c r="CP127" i="11"/>
  <c r="CP128" i="11"/>
  <c r="CP129" i="11"/>
  <c r="CP130" i="11"/>
  <c r="CP131" i="11"/>
  <c r="CP132" i="11"/>
  <c r="CP133" i="11"/>
  <c r="CP134" i="11"/>
  <c r="CP135" i="11"/>
  <c r="CP136" i="11"/>
  <c r="CP137" i="11"/>
  <c r="CP138" i="11"/>
  <c r="CP139" i="11"/>
  <c r="CP140" i="11"/>
  <c r="CP141" i="11"/>
  <c r="CP142" i="11"/>
  <c r="CP143" i="11"/>
  <c r="CP144" i="11"/>
  <c r="CP145" i="11"/>
  <c r="CP146" i="11"/>
  <c r="CP147" i="11"/>
  <c r="CP148" i="11"/>
  <c r="CP149" i="11"/>
  <c r="CP150" i="11"/>
  <c r="CP151" i="11"/>
  <c r="CP152" i="11"/>
  <c r="CP153" i="11"/>
  <c r="CP154" i="11"/>
  <c r="CP155" i="11"/>
  <c r="CP156" i="11"/>
  <c r="CP157" i="11"/>
  <c r="CP158" i="11"/>
  <c r="CP159" i="11"/>
  <c r="CP160" i="11"/>
  <c r="CP161" i="11"/>
  <c r="CP162" i="11"/>
  <c r="CP163" i="11"/>
  <c r="CP164" i="11"/>
  <c r="CP165" i="11"/>
  <c r="CP166" i="11"/>
  <c r="CP167" i="11"/>
  <c r="CP168" i="11"/>
  <c r="CP169" i="11"/>
  <c r="CP170" i="11"/>
  <c r="CP171" i="11"/>
  <c r="CP172" i="11"/>
  <c r="CP173" i="11"/>
  <c r="CP174" i="11"/>
  <c r="CP175" i="11"/>
  <c r="CP176" i="11"/>
  <c r="CP177" i="11"/>
  <c r="CP178" i="11"/>
  <c r="CP179" i="11"/>
  <c r="CP180" i="11"/>
  <c r="CP181" i="11"/>
  <c r="CP182" i="11"/>
  <c r="CP183" i="11"/>
  <c r="CP184" i="11"/>
  <c r="CP185" i="11"/>
  <c r="CP186" i="11"/>
  <c r="CP187" i="11"/>
  <c r="CP188" i="11"/>
  <c r="CP189" i="11"/>
  <c r="CP190" i="11"/>
  <c r="CP191" i="11"/>
  <c r="CP192" i="11"/>
  <c r="CP193" i="11"/>
  <c r="CP194" i="11"/>
  <c r="CP195" i="11"/>
  <c r="CP196" i="11"/>
  <c r="CP197" i="11"/>
  <c r="CP198" i="11"/>
  <c r="CP199" i="11"/>
  <c r="CP200" i="11"/>
  <c r="CP201" i="11"/>
  <c r="CP202" i="11"/>
  <c r="CP203" i="11"/>
  <c r="CP204" i="11"/>
  <c r="CP205" i="11"/>
  <c r="CP206" i="11"/>
  <c r="CP207" i="11"/>
  <c r="CP208" i="11"/>
  <c r="CP209" i="11"/>
  <c r="CP210" i="11"/>
  <c r="CP211" i="11"/>
  <c r="CP212" i="11"/>
  <c r="CP213" i="11"/>
  <c r="CP214" i="11"/>
  <c r="CP215" i="11"/>
  <c r="CP216" i="11"/>
  <c r="CP217" i="11"/>
  <c r="CP218" i="11"/>
  <c r="CP219" i="11"/>
  <c r="CP220" i="11"/>
  <c r="CP221" i="11"/>
  <c r="CP222" i="11"/>
  <c r="CP223" i="11"/>
  <c r="CP224" i="11"/>
  <c r="CP225" i="11"/>
  <c r="CP226" i="11"/>
  <c r="CP227" i="11"/>
  <c r="CP228" i="11"/>
  <c r="CP229" i="11"/>
  <c r="CP230" i="11"/>
  <c r="CP231" i="11"/>
  <c r="CP232" i="11"/>
  <c r="CP233" i="11"/>
  <c r="CP234" i="11"/>
  <c r="CP235" i="11"/>
  <c r="CO52" i="11"/>
  <c r="CO61" i="11"/>
  <c r="CO63" i="11"/>
  <c r="CO67" i="11"/>
  <c r="CO70" i="11"/>
  <c r="CO74" i="11"/>
  <c r="CO78" i="11"/>
  <c r="CO81" i="11"/>
  <c r="CO82" i="11"/>
  <c r="CO84" i="11"/>
  <c r="CO88" i="11"/>
  <c r="CO91" i="11"/>
  <c r="CO92" i="11"/>
  <c r="CO97" i="11"/>
  <c r="CO104" i="11"/>
  <c r="CO116" i="11"/>
  <c r="CO117" i="11"/>
  <c r="CO121" i="11"/>
  <c r="CO126" i="11"/>
  <c r="CO130" i="11"/>
  <c r="CO131" i="11"/>
  <c r="CO139" i="11"/>
  <c r="CQ2" i="11"/>
  <c r="CQ4" i="11"/>
  <c r="CQ7" i="11"/>
  <c r="CQ9" i="11"/>
  <c r="CQ11" i="11"/>
  <c r="CQ13" i="11"/>
  <c r="CQ15" i="11"/>
  <c r="CQ16" i="11"/>
  <c r="CQ19" i="11"/>
  <c r="CQ20" i="11"/>
  <c r="CQ23" i="11"/>
  <c r="CQ24" i="11"/>
  <c r="CQ27" i="11"/>
  <c r="CQ29" i="11"/>
  <c r="CQ31" i="11"/>
  <c r="CQ33" i="11"/>
  <c r="CQ35" i="11"/>
  <c r="CQ37" i="11"/>
  <c r="CQ39" i="11"/>
  <c r="CQ41" i="11"/>
  <c r="CQ43" i="11"/>
  <c r="CQ45" i="11"/>
  <c r="CQ47" i="11"/>
  <c r="CQ49" i="11"/>
  <c r="CQ51" i="11"/>
  <c r="CQ53" i="11"/>
  <c r="CQ55" i="11"/>
  <c r="CQ57" i="11"/>
  <c r="CQ59" i="11"/>
  <c r="CQ61" i="11"/>
  <c r="CQ62" i="11"/>
  <c r="CQ65" i="11"/>
  <c r="CQ66" i="11"/>
  <c r="CQ69" i="11"/>
  <c r="CQ70" i="11"/>
  <c r="CQ72" i="11"/>
  <c r="CQ73" i="11"/>
  <c r="CQ76" i="11"/>
  <c r="CQ77" i="11"/>
  <c r="CQ80" i="11"/>
  <c r="CQ82" i="11"/>
  <c r="CQ83" i="11"/>
  <c r="CQ86" i="11"/>
  <c r="CQ88" i="11"/>
  <c r="CQ90" i="11"/>
  <c r="CQ92" i="11"/>
  <c r="CQ93" i="11"/>
  <c r="CQ96" i="11"/>
  <c r="CQ97" i="11"/>
  <c r="CQ99" i="11"/>
  <c r="CQ100" i="11"/>
  <c r="CQ101" i="11"/>
  <c r="CQ102" i="11"/>
  <c r="CQ103" i="11"/>
  <c r="CQ104" i="11"/>
  <c r="CQ105" i="11"/>
  <c r="CQ106" i="11"/>
  <c r="CQ107" i="11"/>
  <c r="CQ108" i="11"/>
  <c r="CQ109" i="11"/>
  <c r="CQ110" i="11"/>
  <c r="CQ111" i="11"/>
  <c r="CQ112" i="11"/>
  <c r="CQ113" i="11"/>
  <c r="CQ114" i="11"/>
  <c r="CQ115" i="11"/>
  <c r="CQ116" i="11"/>
  <c r="CQ117" i="11"/>
  <c r="CQ118" i="11"/>
  <c r="CQ119" i="11"/>
  <c r="CQ120" i="11"/>
  <c r="CQ121" i="11"/>
  <c r="CQ122" i="11"/>
  <c r="CQ123" i="11"/>
  <c r="CQ124" i="11"/>
  <c r="CQ125" i="11"/>
  <c r="CQ126" i="11"/>
  <c r="CQ127" i="11"/>
  <c r="CQ128" i="11"/>
  <c r="CQ129" i="11"/>
  <c r="CQ130" i="11"/>
  <c r="CQ131" i="11"/>
  <c r="CQ132" i="11"/>
  <c r="CQ133" i="11"/>
  <c r="CQ134" i="11"/>
  <c r="CQ135" i="11"/>
  <c r="CQ136" i="11"/>
  <c r="CQ137" i="11"/>
  <c r="CQ138" i="11"/>
  <c r="CQ139" i="11"/>
  <c r="CQ140" i="11"/>
  <c r="CQ141" i="11"/>
  <c r="CQ142" i="11"/>
  <c r="CQ143" i="11"/>
  <c r="CQ144" i="11"/>
  <c r="CQ146" i="11"/>
  <c r="CQ147" i="11"/>
  <c r="CQ148" i="11"/>
  <c r="CQ149" i="11"/>
  <c r="CQ150" i="11"/>
  <c r="CQ151" i="11"/>
  <c r="CQ152" i="11"/>
  <c r="CQ153" i="11"/>
  <c r="CQ154" i="11"/>
  <c r="CQ155" i="11"/>
  <c r="CQ156" i="11"/>
  <c r="CQ157" i="11"/>
  <c r="CQ158" i="11"/>
  <c r="CQ159" i="11"/>
  <c r="CQ160" i="11"/>
  <c r="CQ161" i="11"/>
  <c r="CQ162" i="11"/>
  <c r="CQ163" i="11"/>
  <c r="CQ164" i="11"/>
  <c r="CQ165" i="11"/>
  <c r="CQ166" i="11"/>
  <c r="CQ167" i="11"/>
  <c r="CQ168" i="11"/>
  <c r="CQ169" i="11"/>
  <c r="CQ170" i="11"/>
  <c r="CQ171" i="11"/>
  <c r="CQ172" i="11"/>
  <c r="CQ173" i="11"/>
  <c r="CQ174" i="11"/>
  <c r="CQ175" i="11"/>
  <c r="CQ176" i="11"/>
  <c r="CQ177" i="11"/>
  <c r="CQ178" i="11"/>
  <c r="CQ179" i="11"/>
  <c r="CQ180" i="11"/>
  <c r="CQ181" i="11"/>
  <c r="CQ182" i="11"/>
  <c r="CQ183" i="11"/>
  <c r="CQ184" i="11"/>
  <c r="CQ185" i="11"/>
  <c r="CQ186" i="11"/>
  <c r="CQ187" i="11"/>
  <c r="CQ188" i="11"/>
  <c r="CQ189" i="11"/>
  <c r="CQ190" i="11"/>
  <c r="CQ191" i="11"/>
  <c r="CQ192" i="11"/>
  <c r="CQ193" i="11"/>
  <c r="CQ194" i="11"/>
  <c r="CQ195" i="11"/>
  <c r="CQ196" i="11"/>
  <c r="CQ197" i="11"/>
  <c r="CQ198" i="11"/>
  <c r="CQ199" i="11"/>
  <c r="CQ200" i="11"/>
  <c r="CQ201" i="11"/>
  <c r="CQ202" i="11"/>
  <c r="CQ203" i="11"/>
  <c r="CQ204" i="11"/>
  <c r="CQ205" i="11"/>
  <c r="CQ206" i="11"/>
  <c r="CQ207" i="11"/>
  <c r="CQ208" i="11"/>
  <c r="CQ209" i="11"/>
  <c r="CQ210" i="11"/>
  <c r="CQ211" i="11"/>
  <c r="CQ212" i="11"/>
  <c r="CQ213" i="11"/>
  <c r="CQ214" i="11"/>
  <c r="CQ215" i="11"/>
  <c r="CQ216" i="11"/>
  <c r="CQ217" i="11"/>
  <c r="CQ218" i="11"/>
  <c r="CQ219" i="11"/>
  <c r="CQ220" i="11"/>
  <c r="CQ221" i="11"/>
  <c r="CQ222" i="11"/>
  <c r="CQ223" i="11"/>
  <c r="CQ224" i="11"/>
  <c r="CQ225" i="11"/>
  <c r="CQ226" i="11"/>
  <c r="CQ227" i="11"/>
  <c r="CQ228" i="11"/>
  <c r="CQ229" i="11"/>
  <c r="CQ230" i="11"/>
  <c r="CQ231" i="11"/>
  <c r="CQ232" i="11"/>
  <c r="CQ233" i="11"/>
  <c r="CQ234" i="11"/>
  <c r="CQ235" i="11"/>
  <c r="CO54" i="11"/>
  <c r="CO56" i="11"/>
  <c r="CO57" i="11"/>
  <c r="CO62" i="11"/>
  <c r="CO66" i="11"/>
  <c r="CO71" i="11"/>
  <c r="CO73" i="11"/>
  <c r="CO79" i="11"/>
  <c r="CO83" i="11"/>
  <c r="CO85" i="11"/>
  <c r="CO86" i="11"/>
  <c r="CO93" i="11"/>
  <c r="CO95" i="11"/>
  <c r="CO99" i="11"/>
  <c r="CO102" i="11"/>
  <c r="CO103" i="11"/>
  <c r="CO109" i="11"/>
  <c r="CO114" i="11"/>
  <c r="CO118" i="11"/>
  <c r="CO122" i="11"/>
  <c r="CO125" i="11"/>
  <c r="CO140" i="11"/>
  <c r="C6" i="8"/>
  <c r="Z9" i="8"/>
  <c r="A320" i="8"/>
  <c r="CQ3" i="11"/>
  <c r="CQ5" i="11"/>
  <c r="CQ6" i="11"/>
  <c r="CQ8" i="11"/>
  <c r="CQ10" i="11"/>
  <c r="CQ12" i="11"/>
  <c r="CQ14" i="11"/>
  <c r="CQ17" i="11"/>
  <c r="CQ18" i="11"/>
  <c r="CQ21" i="11"/>
  <c r="CQ22" i="11"/>
  <c r="CQ25" i="11"/>
  <c r="CQ26" i="11"/>
  <c r="CQ28" i="11"/>
  <c r="CQ30" i="11"/>
  <c r="CQ32" i="11"/>
  <c r="CQ34" i="11"/>
  <c r="CQ36" i="11"/>
  <c r="CQ38" i="11"/>
  <c r="CQ40" i="11"/>
  <c r="CQ42" i="11"/>
  <c r="CQ44" i="11"/>
  <c r="CQ46" i="11"/>
  <c r="CQ48" i="11"/>
  <c r="CQ50" i="11"/>
  <c r="CQ52" i="11"/>
  <c r="CQ54" i="11"/>
  <c r="CQ56" i="11"/>
  <c r="CQ58" i="11"/>
  <c r="CQ60" i="11"/>
  <c r="CQ63" i="11"/>
  <c r="CQ64" i="11"/>
  <c r="CQ67" i="11"/>
  <c r="CQ68" i="11"/>
  <c r="CQ71" i="11"/>
  <c r="CQ74" i="11"/>
  <c r="CQ75" i="11"/>
  <c r="CQ78" i="11"/>
  <c r="CQ79" i="11"/>
  <c r="CQ81" i="11"/>
  <c r="CQ84" i="11"/>
  <c r="CQ85" i="11"/>
  <c r="CQ87" i="11"/>
  <c r="CQ89" i="11"/>
  <c r="CQ91" i="11"/>
  <c r="CQ94" i="11"/>
  <c r="CQ95" i="11"/>
  <c r="CQ98" i="11"/>
  <c r="CQ145" i="11"/>
  <c r="C5" i="8"/>
  <c r="F8" i="8"/>
  <c r="R6" i="6" s="1"/>
  <c r="CR2" i="11"/>
  <c r="CR3" i="11"/>
  <c r="CR4" i="11"/>
  <c r="CR5" i="11"/>
  <c r="CR6" i="11"/>
  <c r="CR7" i="11"/>
  <c r="CR8" i="11"/>
  <c r="CR9" i="11"/>
  <c r="CR10" i="11"/>
  <c r="CR11" i="11"/>
  <c r="CR12" i="11"/>
  <c r="CR13" i="11"/>
  <c r="CR14" i="11"/>
  <c r="CR15" i="11"/>
  <c r="CR16" i="11"/>
  <c r="CR17" i="11"/>
  <c r="CR18" i="11"/>
  <c r="CR19" i="11"/>
  <c r="CR20" i="11"/>
  <c r="CR21" i="11"/>
  <c r="CR22" i="11"/>
  <c r="CR23" i="11"/>
  <c r="CR24" i="11"/>
  <c r="CR25" i="11"/>
  <c r="CR26" i="11"/>
  <c r="CR27" i="11"/>
  <c r="CR28" i="11"/>
  <c r="CR29" i="11"/>
  <c r="CR30" i="11"/>
  <c r="CR31" i="11"/>
  <c r="CR32" i="11"/>
  <c r="CR33" i="11"/>
  <c r="CR34" i="11"/>
  <c r="CR35" i="11"/>
  <c r="CR36" i="11"/>
  <c r="CR37" i="11"/>
  <c r="CR38" i="11"/>
  <c r="CR39" i="11"/>
  <c r="CR40" i="11"/>
  <c r="CR41" i="11"/>
  <c r="CR42" i="11"/>
  <c r="CR43" i="11"/>
  <c r="CR44" i="11"/>
  <c r="CR45" i="11"/>
  <c r="CR46" i="11"/>
  <c r="CR47" i="11"/>
  <c r="CR48" i="11"/>
  <c r="CR49" i="11"/>
  <c r="CR50" i="11"/>
  <c r="CR51" i="11"/>
  <c r="CR52" i="11"/>
  <c r="CR53" i="11"/>
  <c r="CR54" i="11"/>
  <c r="CR55" i="11"/>
  <c r="CR56" i="11"/>
  <c r="CR57" i="11"/>
  <c r="CR58" i="11"/>
  <c r="CR59" i="11"/>
  <c r="CR60" i="11"/>
  <c r="CR61" i="11"/>
  <c r="CR62" i="11"/>
  <c r="CR63" i="11"/>
  <c r="CR64" i="11"/>
  <c r="CR65" i="11"/>
  <c r="CR66" i="11"/>
  <c r="CR67" i="11"/>
  <c r="CR68" i="11"/>
  <c r="CR69" i="11"/>
  <c r="CR70" i="11"/>
  <c r="CR71" i="11"/>
  <c r="CR72" i="11"/>
  <c r="CR73" i="11"/>
  <c r="CR74" i="11"/>
  <c r="CR75" i="11"/>
  <c r="CR76" i="11"/>
  <c r="CR77" i="11"/>
  <c r="CR78" i="11"/>
  <c r="CR79" i="11"/>
  <c r="CR80" i="11"/>
  <c r="CR81" i="11"/>
  <c r="CR82" i="11"/>
  <c r="CR83" i="11"/>
  <c r="CR84" i="11"/>
  <c r="CR85" i="11"/>
  <c r="CR86" i="11"/>
  <c r="CR87" i="11"/>
  <c r="CR88" i="11"/>
  <c r="CR89" i="11"/>
  <c r="CR90" i="11"/>
  <c r="CR91" i="11"/>
  <c r="CR92" i="11"/>
  <c r="CR93" i="11"/>
  <c r="CR94" i="11"/>
  <c r="CR95" i="11"/>
  <c r="CR96" i="11"/>
  <c r="CR97" i="11"/>
  <c r="CR98" i="11"/>
  <c r="CR99" i="11"/>
  <c r="CR100" i="11"/>
  <c r="CR101" i="11"/>
  <c r="CR102" i="11"/>
  <c r="CR103" i="11"/>
  <c r="CR104" i="11"/>
  <c r="CR105" i="11"/>
  <c r="CR106" i="11"/>
  <c r="CR107" i="11"/>
  <c r="CR108" i="11"/>
  <c r="CR109" i="11"/>
  <c r="CR110" i="11"/>
  <c r="CR111" i="11"/>
  <c r="CR112" i="11"/>
  <c r="CR113" i="11"/>
  <c r="CR114" i="11"/>
  <c r="CR115" i="11"/>
  <c r="CR116" i="11"/>
  <c r="CR117" i="11"/>
  <c r="CR118" i="11"/>
  <c r="CR119" i="11"/>
  <c r="CR120" i="11"/>
  <c r="CR121" i="11"/>
  <c r="CR122" i="11"/>
  <c r="CR123" i="11"/>
  <c r="CR124" i="11"/>
  <c r="CR125" i="11"/>
  <c r="CR126" i="11"/>
  <c r="CR127" i="11"/>
  <c r="CR128" i="11"/>
  <c r="CR129" i="11"/>
  <c r="CR130" i="11"/>
  <c r="CR131" i="11"/>
  <c r="CR132" i="11"/>
  <c r="CR133" i="11"/>
  <c r="CR134" i="11"/>
  <c r="CR135" i="11"/>
  <c r="CR136" i="11"/>
  <c r="CR137" i="11"/>
  <c r="CR138" i="11"/>
  <c r="CR139" i="11"/>
  <c r="CR140" i="11"/>
  <c r="CR141" i="11"/>
  <c r="CR142" i="11"/>
  <c r="CR143" i="11"/>
  <c r="CR144" i="11"/>
  <c r="CR145" i="11"/>
  <c r="CR146" i="11"/>
  <c r="CR147" i="11"/>
  <c r="CR148" i="11"/>
  <c r="CR149" i="11"/>
  <c r="CR150" i="11"/>
  <c r="CR151" i="11"/>
  <c r="CR152" i="11"/>
  <c r="CR153" i="11"/>
  <c r="CR154" i="11"/>
  <c r="CR155" i="11"/>
  <c r="CR156" i="11"/>
  <c r="CR157" i="11"/>
  <c r="CR158" i="11"/>
  <c r="CR159" i="11"/>
  <c r="CR160" i="11"/>
  <c r="CR161" i="11"/>
  <c r="CR162" i="11"/>
  <c r="CR163" i="11"/>
  <c r="CR164" i="11"/>
  <c r="CR165" i="11"/>
  <c r="CR166" i="11"/>
  <c r="CR167" i="11"/>
  <c r="CR168" i="11"/>
  <c r="CR169" i="11"/>
  <c r="CR170" i="11"/>
  <c r="CR171" i="11"/>
  <c r="CR172" i="11"/>
  <c r="CR173" i="11"/>
  <c r="CR174" i="11"/>
  <c r="CR175" i="11"/>
  <c r="CR176" i="11"/>
  <c r="CR177" i="11"/>
  <c r="CR178" i="11"/>
  <c r="CR179" i="11"/>
  <c r="CR180" i="11"/>
  <c r="CR181" i="11"/>
  <c r="CR182" i="11"/>
  <c r="CR183" i="11"/>
  <c r="CR184" i="11"/>
  <c r="CR185" i="11"/>
  <c r="CR186" i="11"/>
  <c r="CR187" i="11"/>
  <c r="CR188" i="11"/>
  <c r="CR189" i="11"/>
  <c r="CR190" i="11"/>
  <c r="CR191" i="11"/>
  <c r="CR192" i="11"/>
  <c r="CR193" i="11"/>
  <c r="CR194" i="11"/>
  <c r="CR195" i="11"/>
  <c r="CR196" i="11"/>
  <c r="CR197" i="11"/>
  <c r="CR198" i="11"/>
  <c r="CR199" i="11"/>
  <c r="CR200" i="11"/>
  <c r="CR201" i="11"/>
  <c r="CR202" i="11"/>
  <c r="CR203" i="11"/>
  <c r="CR204" i="11"/>
  <c r="CR205" i="11"/>
  <c r="CR206" i="11"/>
  <c r="CR207" i="11"/>
  <c r="CR208" i="11"/>
  <c r="CR209" i="11"/>
  <c r="CR210" i="11"/>
  <c r="CR211" i="11"/>
  <c r="CR212" i="11"/>
  <c r="CR213" i="11"/>
  <c r="CR214" i="11"/>
  <c r="CR215" i="11"/>
  <c r="CR216" i="11"/>
  <c r="CR217" i="11"/>
  <c r="CR218" i="11"/>
  <c r="CR219" i="11"/>
  <c r="CR220" i="11"/>
  <c r="CR221" i="11"/>
  <c r="CR222" i="11"/>
  <c r="CR223" i="11"/>
  <c r="CR224" i="11"/>
  <c r="CR225" i="11"/>
  <c r="CR226" i="11"/>
  <c r="CR227" i="11"/>
  <c r="CR228" i="11"/>
  <c r="CR229" i="11"/>
  <c r="CR230" i="11"/>
  <c r="CR231" i="11"/>
  <c r="CR232" i="11"/>
  <c r="CR233" i="11"/>
  <c r="CR234" i="11"/>
  <c r="CR235" i="11"/>
  <c r="AC2" i="14"/>
  <c r="CS2" i="11"/>
  <c r="CS6" i="11"/>
  <c r="CS10" i="11"/>
  <c r="CS21" i="11"/>
  <c r="CS24" i="11"/>
  <c r="CS29" i="11"/>
  <c r="CS33" i="11"/>
  <c r="CS36" i="11"/>
  <c r="CS38" i="11"/>
  <c r="CS39" i="11"/>
  <c r="CS40" i="11"/>
  <c r="CS41" i="11"/>
  <c r="CS44" i="11"/>
  <c r="CS45" i="11"/>
  <c r="CS46" i="11"/>
  <c r="CS47" i="11"/>
  <c r="CS48" i="11"/>
  <c r="CS50" i="11"/>
  <c r="CS59" i="11"/>
  <c r="CS65" i="11"/>
  <c r="CS67" i="11"/>
  <c r="CS75" i="11"/>
  <c r="CS76" i="11"/>
  <c r="CS77" i="11"/>
  <c r="CS79" i="11"/>
  <c r="CS87" i="11"/>
  <c r="CS91" i="11"/>
  <c r="CS93" i="11"/>
  <c r="CS103" i="11"/>
  <c r="CS105" i="11"/>
  <c r="CS108" i="11"/>
  <c r="CS110" i="11"/>
  <c r="CS113" i="11"/>
  <c r="CS114" i="11"/>
  <c r="CS123" i="11"/>
  <c r="CS129" i="11"/>
  <c r="CS133" i="11"/>
  <c r="CS148" i="11"/>
  <c r="CS149" i="11"/>
  <c r="CS150" i="11"/>
  <c r="CS156" i="11"/>
  <c r="CS160" i="11"/>
  <c r="CS161" i="11"/>
  <c r="CS190" i="11"/>
  <c r="CS191" i="11"/>
  <c r="CS196" i="11"/>
  <c r="CS198" i="11"/>
  <c r="CS199" i="11"/>
  <c r="CS207" i="11"/>
  <c r="CS214" i="11"/>
  <c r="CS216" i="11"/>
  <c r="CS219" i="11"/>
  <c r="CS220" i="11"/>
  <c r="CS232" i="11"/>
  <c r="CS235" i="11"/>
  <c r="CS4" i="11"/>
  <c r="CS8" i="11"/>
  <c r="CS12" i="11"/>
  <c r="CS14" i="11"/>
  <c r="CS23" i="11"/>
  <c r="CS28" i="11"/>
  <c r="CS51" i="11"/>
  <c r="CS53" i="11"/>
  <c r="CS61" i="11"/>
  <c r="CS63" i="11"/>
  <c r="CS68" i="11"/>
  <c r="CS71" i="11"/>
  <c r="CS81" i="11"/>
  <c r="CS92" i="11"/>
  <c r="CS94" i="11"/>
  <c r="CS98" i="11"/>
  <c r="CS107" i="11"/>
  <c r="CS109" i="11"/>
  <c r="CS111" i="11"/>
  <c r="CS120" i="11"/>
  <c r="CS124" i="11"/>
  <c r="CS126" i="11"/>
  <c r="CS128" i="11"/>
  <c r="CS132" i="11"/>
  <c r="CS134" i="11"/>
  <c r="CS136" i="11"/>
  <c r="CS140" i="11"/>
  <c r="CS142" i="11"/>
  <c r="CS144" i="11"/>
  <c r="CS155" i="11"/>
  <c r="CS159" i="11"/>
  <c r="CS163" i="11"/>
  <c r="CS164" i="11"/>
  <c r="CS166" i="11"/>
  <c r="CS168" i="11"/>
  <c r="CS175" i="11"/>
  <c r="CS177" i="11"/>
  <c r="CS181" i="11"/>
  <c r="CS183" i="11"/>
  <c r="CS188" i="11"/>
  <c r="CS197" i="11"/>
  <c r="CS203" i="11"/>
  <c r="CS206" i="11"/>
  <c r="O6" i="6"/>
  <c r="C11" i="8"/>
  <c r="Z320" i="8"/>
  <c r="CL2" i="11"/>
  <c r="CT2" i="11"/>
  <c r="CL3" i="11"/>
  <c r="CT3" i="11"/>
  <c r="CL4" i="11"/>
  <c r="CT4" i="11"/>
  <c r="CL5" i="11"/>
  <c r="CT5" i="11"/>
  <c r="CL6" i="11"/>
  <c r="CT6" i="11"/>
  <c r="CL7" i="11"/>
  <c r="CT7" i="11"/>
  <c r="CL8" i="11"/>
  <c r="CT8" i="11"/>
  <c r="CL9" i="11"/>
  <c r="CT9" i="11"/>
  <c r="CL10" i="11"/>
  <c r="CT10" i="11"/>
  <c r="CL11" i="11"/>
  <c r="CT11" i="11"/>
  <c r="CL12" i="11"/>
  <c r="CT12" i="11"/>
  <c r="CL13" i="11"/>
  <c r="CT13" i="11"/>
  <c r="CL14" i="11"/>
  <c r="CT14" i="11"/>
  <c r="CL15" i="11"/>
  <c r="CT15" i="11"/>
  <c r="CL16" i="11"/>
  <c r="CT16" i="11"/>
  <c r="CL17" i="11"/>
  <c r="CT17" i="11"/>
  <c r="CL18" i="11"/>
  <c r="CT18" i="11"/>
  <c r="CL19" i="11"/>
  <c r="CT19" i="11"/>
  <c r="CL20" i="11"/>
  <c r="CT20" i="11"/>
  <c r="CL21" i="11"/>
  <c r="CT21" i="11"/>
  <c r="CL22" i="11"/>
  <c r="CT22" i="11"/>
  <c r="CL23" i="11"/>
  <c r="CT23" i="11"/>
  <c r="CL24" i="11"/>
  <c r="CT24" i="11"/>
  <c r="CL25" i="11"/>
  <c r="CT25" i="11"/>
  <c r="CL26" i="11"/>
  <c r="CT26" i="11"/>
  <c r="CL27" i="11"/>
  <c r="CT27" i="11"/>
  <c r="CL28" i="11"/>
  <c r="CT28" i="11"/>
  <c r="CL29" i="11"/>
  <c r="CT29" i="11"/>
  <c r="CL30" i="11"/>
  <c r="CT30" i="11"/>
  <c r="CL31" i="11"/>
  <c r="CT31" i="11"/>
  <c r="CL32" i="11"/>
  <c r="CT32" i="11"/>
  <c r="CL33" i="11"/>
  <c r="CT33" i="11"/>
  <c r="CL34" i="11"/>
  <c r="CT34" i="11"/>
  <c r="CL35" i="11"/>
  <c r="CT35" i="11"/>
  <c r="CL36" i="11"/>
  <c r="CT36" i="11"/>
  <c r="CL37" i="11"/>
  <c r="CT37" i="11"/>
  <c r="CL38" i="11"/>
  <c r="CT38" i="11"/>
  <c r="CL39" i="11"/>
  <c r="CT39" i="11"/>
  <c r="CL40" i="11"/>
  <c r="CT40" i="11"/>
  <c r="CL41" i="11"/>
  <c r="CT41" i="11"/>
  <c r="CL42" i="11"/>
  <c r="CT42" i="11"/>
  <c r="CL43" i="11"/>
  <c r="CT43" i="11"/>
  <c r="CL44" i="11"/>
  <c r="CT44" i="11"/>
  <c r="CL45" i="11"/>
  <c r="CT45" i="11"/>
  <c r="CL46" i="11"/>
  <c r="CT46" i="11"/>
  <c r="CL47" i="11"/>
  <c r="CT47" i="11"/>
  <c r="CL48" i="11"/>
  <c r="CT48" i="11"/>
  <c r="CL49" i="11"/>
  <c r="CT49" i="11"/>
  <c r="CL50" i="11"/>
  <c r="CT50" i="11"/>
  <c r="CL51" i="11"/>
  <c r="CT51" i="11"/>
  <c r="CL52" i="11"/>
  <c r="CT52" i="11"/>
  <c r="CL53" i="11"/>
  <c r="CT53" i="11"/>
  <c r="CL54" i="11"/>
  <c r="CT54" i="11"/>
  <c r="CL55" i="11"/>
  <c r="CT55" i="11"/>
  <c r="CL56" i="11"/>
  <c r="CT56" i="11"/>
  <c r="CL57" i="11"/>
  <c r="CT57" i="11"/>
  <c r="CL58" i="11"/>
  <c r="CT58" i="11"/>
  <c r="CL59" i="11"/>
  <c r="CT59" i="11"/>
  <c r="CL60" i="11"/>
  <c r="CT60" i="11"/>
  <c r="CL61" i="11"/>
  <c r="CT61" i="11"/>
  <c r="CL62" i="11"/>
  <c r="CT62" i="11"/>
  <c r="CL63" i="11"/>
  <c r="CT63" i="11"/>
  <c r="CL64" i="11"/>
  <c r="CT64" i="11"/>
  <c r="CL65" i="11"/>
  <c r="CT65" i="11"/>
  <c r="CL66" i="11"/>
  <c r="CT66" i="11"/>
  <c r="CL67" i="11"/>
  <c r="CT67" i="11"/>
  <c r="CL68" i="11"/>
  <c r="CT68" i="11"/>
  <c r="CL69" i="11"/>
  <c r="CT69" i="11"/>
  <c r="CL70" i="11"/>
  <c r="CT70" i="11"/>
  <c r="CL71" i="11"/>
  <c r="CT71" i="11"/>
  <c r="CL72" i="11"/>
  <c r="CT72" i="11"/>
  <c r="CL73" i="11"/>
  <c r="CT73" i="11"/>
  <c r="CL74" i="11"/>
  <c r="CT74" i="11"/>
  <c r="CL75" i="11"/>
  <c r="CT75" i="11"/>
  <c r="CL76" i="11"/>
  <c r="CT76" i="11"/>
  <c r="CL77" i="11"/>
  <c r="CT77" i="11"/>
  <c r="CL78" i="11"/>
  <c r="CT78" i="11"/>
  <c r="CL79" i="11"/>
  <c r="CT79" i="11"/>
  <c r="CL80" i="11"/>
  <c r="CT80" i="11"/>
  <c r="CL81" i="11"/>
  <c r="CT81" i="11"/>
  <c r="CL82" i="11"/>
  <c r="CT82" i="11"/>
  <c r="CL83" i="11"/>
  <c r="CT83" i="11"/>
  <c r="CL84" i="11"/>
  <c r="CT84" i="11"/>
  <c r="CL85" i="11"/>
  <c r="CT85" i="11"/>
  <c r="CL86" i="11"/>
  <c r="CT86" i="11"/>
  <c r="CL87" i="11"/>
  <c r="CT87" i="11"/>
  <c r="CL88" i="11"/>
  <c r="CT88" i="11"/>
  <c r="CL89" i="11"/>
  <c r="CT89" i="11"/>
  <c r="CL90" i="11"/>
  <c r="CT90" i="11"/>
  <c r="CL91" i="11"/>
  <c r="CT91" i="11"/>
  <c r="CL92" i="11"/>
  <c r="CT92" i="11"/>
  <c r="CL93" i="11"/>
  <c r="CT93" i="11"/>
  <c r="CL94" i="11"/>
  <c r="CT94" i="11"/>
  <c r="CL95" i="11"/>
  <c r="CT95" i="11"/>
  <c r="CL96" i="11"/>
  <c r="CT96" i="11"/>
  <c r="CL97" i="11"/>
  <c r="CT97" i="11"/>
  <c r="CL98" i="11"/>
  <c r="CT98" i="11"/>
  <c r="CL99" i="11"/>
  <c r="CT99" i="11"/>
  <c r="CL100" i="11"/>
  <c r="CT100" i="11"/>
  <c r="CL101" i="11"/>
  <c r="CT101" i="11"/>
  <c r="CL102" i="11"/>
  <c r="CT102" i="11"/>
  <c r="CL103" i="11"/>
  <c r="CT103" i="11"/>
  <c r="CL104" i="11"/>
  <c r="CT104" i="11"/>
  <c r="CL105" i="11"/>
  <c r="CT105" i="11"/>
  <c r="CL106" i="11"/>
  <c r="CT106" i="11"/>
  <c r="CL107" i="11"/>
  <c r="CT107" i="11"/>
  <c r="CL108" i="11"/>
  <c r="CT108" i="11"/>
  <c r="CL109" i="11"/>
  <c r="CT109" i="11"/>
  <c r="CL110" i="11"/>
  <c r="CT110" i="11"/>
  <c r="CL111" i="11"/>
  <c r="CT111" i="11"/>
  <c r="CL112" i="11"/>
  <c r="CT112" i="11"/>
  <c r="CL113" i="11"/>
  <c r="CT113" i="11"/>
  <c r="CL114" i="11"/>
  <c r="CT114" i="11"/>
  <c r="CL115" i="11"/>
  <c r="CT115" i="11"/>
  <c r="CL116" i="11"/>
  <c r="CT116" i="11"/>
  <c r="CL117" i="11"/>
  <c r="CT117" i="11"/>
  <c r="CL118" i="11"/>
  <c r="CT118" i="11"/>
  <c r="CL119" i="11"/>
  <c r="CT119" i="11"/>
  <c r="CL120" i="11"/>
  <c r="CT120" i="11"/>
  <c r="CL121" i="11"/>
  <c r="CT121" i="11"/>
  <c r="CL122" i="11"/>
  <c r="CT122" i="11"/>
  <c r="CL123" i="11"/>
  <c r="CT123" i="11"/>
  <c r="CL124" i="11"/>
  <c r="CT124" i="11"/>
  <c r="CL125" i="11"/>
  <c r="CT125" i="11"/>
  <c r="CL126" i="11"/>
  <c r="CT126" i="11"/>
  <c r="CL127" i="11"/>
  <c r="CT127" i="11"/>
  <c r="CL128" i="11"/>
  <c r="CT128" i="11"/>
  <c r="CL129" i="11"/>
  <c r="CT129" i="11"/>
  <c r="CL130" i="11"/>
  <c r="CT130" i="11"/>
  <c r="CL131" i="11"/>
  <c r="CT131" i="11"/>
  <c r="CL132" i="11"/>
  <c r="CT132" i="11"/>
  <c r="CL133" i="11"/>
  <c r="CT133" i="11"/>
  <c r="CL134" i="11"/>
  <c r="CT134" i="11"/>
  <c r="CL135" i="11"/>
  <c r="CT135" i="11"/>
  <c r="CL136" i="11"/>
  <c r="CT136" i="11"/>
  <c r="CL137" i="11"/>
  <c r="CT137" i="11"/>
  <c r="CL138" i="11"/>
  <c r="CT138" i="11"/>
  <c r="CL139" i="11"/>
  <c r="CT139" i="11"/>
  <c r="CL140" i="11"/>
  <c r="CT140" i="11"/>
  <c r="CL141" i="11"/>
  <c r="CT141" i="11"/>
  <c r="CL142" i="11"/>
  <c r="CT142" i="11"/>
  <c r="CL143" i="11"/>
  <c r="CT143" i="11"/>
  <c r="CL144" i="11"/>
  <c r="CT144" i="11"/>
  <c r="CL145" i="11"/>
  <c r="CT145" i="11"/>
  <c r="CL146" i="11"/>
  <c r="CT146" i="11"/>
  <c r="CL147" i="11"/>
  <c r="CT147" i="11"/>
  <c r="CL148" i="11"/>
  <c r="CT148" i="11"/>
  <c r="CL149" i="11"/>
  <c r="CT149" i="11"/>
  <c r="CL150" i="11"/>
  <c r="CT150" i="11"/>
  <c r="CL151" i="11"/>
  <c r="CT151" i="11"/>
  <c r="CL152" i="11"/>
  <c r="CT152" i="11"/>
  <c r="CL153" i="11"/>
  <c r="CT153" i="11"/>
  <c r="CL154" i="11"/>
  <c r="CT154" i="11"/>
  <c r="CL155" i="11"/>
  <c r="CT155" i="11"/>
  <c r="CL156" i="11"/>
  <c r="CT156" i="11"/>
  <c r="CL157" i="11"/>
  <c r="CT157" i="11"/>
  <c r="CL158" i="11"/>
  <c r="CT158" i="11"/>
  <c r="CL159" i="11"/>
  <c r="CT159" i="11"/>
  <c r="CL160" i="11"/>
  <c r="CT160" i="11"/>
  <c r="CL161" i="11"/>
  <c r="CT161" i="11"/>
  <c r="CL162" i="11"/>
  <c r="CT162" i="11"/>
  <c r="CL163" i="11"/>
  <c r="CT163" i="11"/>
  <c r="CL164" i="11"/>
  <c r="CT164" i="11"/>
  <c r="CL165" i="11"/>
  <c r="CT165" i="11"/>
  <c r="CL166" i="11"/>
  <c r="CT166" i="11"/>
  <c r="CL167" i="11"/>
  <c r="CT167" i="11"/>
  <c r="CL168" i="11"/>
  <c r="CT168" i="11"/>
  <c r="CL169" i="11"/>
  <c r="CT169" i="11"/>
  <c r="CL170" i="11"/>
  <c r="CT170" i="11"/>
  <c r="CL171" i="11"/>
  <c r="CT171" i="11"/>
  <c r="CL172" i="11"/>
  <c r="CT172" i="11"/>
  <c r="CL173" i="11"/>
  <c r="CT173" i="11"/>
  <c r="CL174" i="11"/>
  <c r="CT174" i="11"/>
  <c r="CL175" i="11"/>
  <c r="CT175" i="11"/>
  <c r="CL176" i="11"/>
  <c r="CT176" i="11"/>
  <c r="CL177" i="11"/>
  <c r="CT177" i="11"/>
  <c r="CL178" i="11"/>
  <c r="CT178" i="11"/>
  <c r="CL179" i="11"/>
  <c r="CT179" i="11"/>
  <c r="CL180" i="11"/>
  <c r="CT180" i="11"/>
  <c r="CL181" i="11"/>
  <c r="CT181" i="11"/>
  <c r="CL182" i="11"/>
  <c r="CT182" i="11"/>
  <c r="CL183" i="11"/>
  <c r="CT183" i="11"/>
  <c r="CL184" i="11"/>
  <c r="CT184" i="11"/>
  <c r="CL185" i="11"/>
  <c r="CT185" i="11"/>
  <c r="CL186" i="11"/>
  <c r="CT186" i="11"/>
  <c r="CL187" i="11"/>
  <c r="CT187" i="11"/>
  <c r="CL188" i="11"/>
  <c r="CT188" i="11"/>
  <c r="CL189" i="11"/>
  <c r="CT189" i="11"/>
  <c r="CL190" i="11"/>
  <c r="CT190" i="11"/>
  <c r="CL191" i="11"/>
  <c r="CT191" i="11"/>
  <c r="CL192" i="11"/>
  <c r="CT192" i="11"/>
  <c r="CL193" i="11"/>
  <c r="CT193" i="11"/>
  <c r="CL194" i="11"/>
  <c r="CT194" i="11"/>
  <c r="CL195" i="11"/>
  <c r="CT195" i="11"/>
  <c r="CL196" i="11"/>
  <c r="CT196" i="11"/>
  <c r="CL197" i="11"/>
  <c r="CT197" i="11"/>
  <c r="CL198" i="11"/>
  <c r="CT198" i="11"/>
  <c r="CL199" i="11"/>
  <c r="CT199" i="11"/>
  <c r="CL200" i="11"/>
  <c r="CT200" i="11"/>
  <c r="CL201" i="11"/>
  <c r="CT201" i="11"/>
  <c r="CL202" i="11"/>
  <c r="CT202" i="11"/>
  <c r="CL203" i="11"/>
  <c r="CT203" i="11"/>
  <c r="CL204" i="11"/>
  <c r="CT204" i="11"/>
  <c r="CL205" i="11"/>
  <c r="CT205" i="11"/>
  <c r="CL206" i="11"/>
  <c r="CT206" i="11"/>
  <c r="CL207" i="11"/>
  <c r="CT207" i="11"/>
  <c r="CL208" i="11"/>
  <c r="CT208" i="11"/>
  <c r="CL209" i="11"/>
  <c r="CT209" i="11"/>
  <c r="CL210" i="11"/>
  <c r="CT210" i="11"/>
  <c r="CL211" i="11"/>
  <c r="CT211" i="11"/>
  <c r="CL212" i="11"/>
  <c r="CT212" i="11"/>
  <c r="CL213" i="11"/>
  <c r="CT213" i="11"/>
  <c r="CL214" i="11"/>
  <c r="CT214" i="11"/>
  <c r="CL215" i="11"/>
  <c r="CT215" i="11"/>
  <c r="CL216" i="11"/>
  <c r="CT216" i="11"/>
  <c r="CL217" i="11"/>
  <c r="CT217" i="11"/>
  <c r="CL218" i="11"/>
  <c r="CT218" i="11"/>
  <c r="CL219" i="11"/>
  <c r="CT219" i="11"/>
  <c r="CL220" i="11"/>
  <c r="CT220" i="11"/>
  <c r="CL221" i="11"/>
  <c r="CT221" i="11"/>
  <c r="CL222" i="11"/>
  <c r="CT222" i="11"/>
  <c r="CL223" i="11"/>
  <c r="CT223" i="11"/>
  <c r="CL224" i="11"/>
  <c r="CT224" i="11"/>
  <c r="CL225" i="11"/>
  <c r="CT225" i="11"/>
  <c r="CL226" i="11"/>
  <c r="CT226" i="11"/>
  <c r="CL227" i="11"/>
  <c r="CT227" i="11"/>
  <c r="CL228" i="11"/>
  <c r="CT228" i="11"/>
  <c r="CL229" i="11"/>
  <c r="CT229" i="11"/>
  <c r="CL230" i="11"/>
  <c r="CT230" i="11"/>
  <c r="CL231" i="11"/>
  <c r="CT231" i="11"/>
  <c r="CL232" i="11"/>
  <c r="CT232" i="11"/>
  <c r="CL233" i="11"/>
  <c r="CT233" i="11"/>
  <c r="CL234" i="11"/>
  <c r="CT234" i="11"/>
  <c r="CL235" i="11"/>
  <c r="CT235" i="11"/>
  <c r="Y320" i="8"/>
  <c r="CS9" i="11"/>
  <c r="CS16" i="11"/>
  <c r="CS17" i="11"/>
  <c r="CS18" i="11"/>
  <c r="CS19" i="11"/>
  <c r="CS20" i="11"/>
  <c r="CS22" i="11"/>
  <c r="CS25" i="11"/>
  <c r="CS26" i="11"/>
  <c r="CS27" i="11"/>
  <c r="CS30" i="11"/>
  <c r="CS31" i="11"/>
  <c r="CS32" i="11"/>
  <c r="CS34" i="11"/>
  <c r="CS37" i="11"/>
  <c r="CS42" i="11"/>
  <c r="CS43" i="11"/>
  <c r="CS49" i="11"/>
  <c r="CS52" i="11"/>
  <c r="CS54" i="11"/>
  <c r="CS55" i="11"/>
  <c r="CS56" i="11"/>
  <c r="CS57" i="11"/>
  <c r="CS58" i="11"/>
  <c r="CS64" i="11"/>
  <c r="CS73" i="11"/>
  <c r="CS82" i="11"/>
  <c r="CS83" i="11"/>
  <c r="CS85" i="11"/>
  <c r="CS89" i="11"/>
  <c r="CS95" i="11"/>
  <c r="CS100" i="11"/>
  <c r="CS101" i="11"/>
  <c r="CS102" i="11"/>
  <c r="CS112" i="11"/>
  <c r="CS115" i="11"/>
  <c r="CS116" i="11"/>
  <c r="CS117" i="11"/>
  <c r="CS118" i="11"/>
  <c r="CS119" i="11"/>
  <c r="CS122" i="11"/>
  <c r="CS130" i="11"/>
  <c r="CS138" i="11"/>
  <c r="CS139" i="11"/>
  <c r="CS146" i="11"/>
  <c r="CS147" i="11"/>
  <c r="CS152" i="11"/>
  <c r="CS153" i="11"/>
  <c r="CS154" i="11"/>
  <c r="CS157" i="11"/>
  <c r="CS158" i="11"/>
  <c r="CS162" i="11"/>
  <c r="CS167" i="11"/>
  <c r="CS169" i="11"/>
  <c r="CS170" i="11"/>
  <c r="CS171" i="11"/>
  <c r="CS172" i="11"/>
  <c r="CS173" i="11"/>
  <c r="CS174" i="11"/>
  <c r="CS178" i="11"/>
  <c r="CS179" i="11"/>
  <c r="CS180" i="11"/>
  <c r="CS184" i="11"/>
  <c r="CS185" i="11"/>
  <c r="CS186" i="11"/>
  <c r="CS187" i="11"/>
  <c r="CS189" i="11"/>
  <c r="CS192" i="11"/>
  <c r="CS193" i="11"/>
  <c r="CS194" i="11"/>
  <c r="CS195" i="11"/>
  <c r="CS201" i="11"/>
  <c r="CS202" i="11"/>
  <c r="CS217" i="11"/>
  <c r="CS221" i="11"/>
  <c r="CS222" i="11"/>
  <c r="CS223" i="11"/>
  <c r="C10" i="8"/>
  <c r="CM2" i="11"/>
  <c r="CM3" i="11"/>
  <c r="CM4" i="11"/>
  <c r="CM5" i="11"/>
  <c r="CM6" i="11"/>
  <c r="CM7" i="11"/>
  <c r="CM8" i="11"/>
  <c r="CM9" i="11"/>
  <c r="CM10" i="11"/>
  <c r="CM11" i="11"/>
  <c r="CM12" i="11"/>
  <c r="CM13" i="11"/>
  <c r="CM14" i="11"/>
  <c r="CM15" i="11"/>
  <c r="CM16" i="11"/>
  <c r="CM17" i="11"/>
  <c r="CM18" i="11"/>
  <c r="CM19" i="11"/>
  <c r="CM20" i="11"/>
  <c r="CM21" i="11"/>
  <c r="CM22" i="11"/>
  <c r="CM23" i="11"/>
  <c r="CM24" i="11"/>
  <c r="CM25" i="11"/>
  <c r="CM26" i="11"/>
  <c r="CM27" i="11"/>
  <c r="CM28" i="11"/>
  <c r="CM29" i="11"/>
  <c r="CM30" i="11"/>
  <c r="CM31" i="11"/>
  <c r="CM32" i="11"/>
  <c r="CM33" i="11"/>
  <c r="CM34" i="11"/>
  <c r="CM35" i="11"/>
  <c r="CM36" i="11"/>
  <c r="CM37" i="11"/>
  <c r="CM38" i="11"/>
  <c r="CM39" i="11"/>
  <c r="CM40" i="11"/>
  <c r="CM41" i="11"/>
  <c r="CM42" i="11"/>
  <c r="CM43" i="11"/>
  <c r="CM44" i="11"/>
  <c r="CM45" i="11"/>
  <c r="CM46" i="11"/>
  <c r="CM47" i="11"/>
  <c r="CM48" i="11"/>
  <c r="CM49" i="11"/>
  <c r="CM50" i="11"/>
  <c r="CM51" i="11"/>
  <c r="CM52" i="11"/>
  <c r="CM53" i="11"/>
  <c r="CM54" i="11"/>
  <c r="CM55" i="11"/>
  <c r="CM56" i="11"/>
  <c r="CM57" i="11"/>
  <c r="CM58" i="11"/>
  <c r="CM59" i="11"/>
  <c r="CM60" i="11"/>
  <c r="CM61" i="11"/>
  <c r="CM62" i="11"/>
  <c r="CM63" i="11"/>
  <c r="CM64" i="11"/>
  <c r="CM65" i="11"/>
  <c r="CM66" i="11"/>
  <c r="CM67" i="11"/>
  <c r="CM68" i="11"/>
  <c r="CM69" i="11"/>
  <c r="CM70" i="11"/>
  <c r="CM71" i="11"/>
  <c r="CM72" i="11"/>
  <c r="CM73" i="11"/>
  <c r="CM74" i="11"/>
  <c r="CM75" i="11"/>
  <c r="CM76" i="11"/>
  <c r="CM77" i="11"/>
  <c r="CM78" i="11"/>
  <c r="CM79" i="11"/>
  <c r="CM80" i="11"/>
  <c r="CM81" i="11"/>
  <c r="CM82" i="11"/>
  <c r="CM83" i="11"/>
  <c r="CM84" i="11"/>
  <c r="CM85" i="11"/>
  <c r="CM86" i="11"/>
  <c r="CM87" i="11"/>
  <c r="CM88" i="11"/>
  <c r="CM89" i="11"/>
  <c r="CM90" i="11"/>
  <c r="CM91" i="11"/>
  <c r="CM92" i="11"/>
  <c r="CM93" i="11"/>
  <c r="CM94" i="11"/>
  <c r="CM95" i="11"/>
  <c r="CM96" i="11"/>
  <c r="CM97" i="11"/>
  <c r="CM98" i="11"/>
  <c r="CM99" i="11"/>
  <c r="CM100" i="11"/>
  <c r="CM101" i="11"/>
  <c r="CM102" i="11"/>
  <c r="CM103" i="11"/>
  <c r="CM104" i="11"/>
  <c r="CM105" i="11"/>
  <c r="CM106" i="11"/>
  <c r="CM107" i="11"/>
  <c r="CM108" i="11"/>
  <c r="CM109" i="11"/>
  <c r="CM110" i="11"/>
  <c r="CM111" i="11"/>
  <c r="CM112" i="11"/>
  <c r="CM113" i="11"/>
  <c r="CM114" i="11"/>
  <c r="CM115" i="11"/>
  <c r="CM116" i="11"/>
  <c r="CM117" i="11"/>
  <c r="CM118" i="11"/>
  <c r="CM119" i="11"/>
  <c r="CM120" i="11"/>
  <c r="CM121" i="11"/>
  <c r="CM122" i="11"/>
  <c r="CM123" i="11"/>
  <c r="CM124" i="11"/>
  <c r="CM125" i="11"/>
  <c r="CM126" i="11"/>
  <c r="CM127" i="11"/>
  <c r="CM128" i="11"/>
  <c r="CM129" i="11"/>
  <c r="CM130" i="11"/>
  <c r="CM131" i="11"/>
  <c r="CM132" i="11"/>
  <c r="CM133" i="11"/>
  <c r="CM134" i="11"/>
  <c r="CM135" i="11"/>
  <c r="CM136" i="11"/>
  <c r="CM137" i="11"/>
  <c r="CM138" i="11"/>
  <c r="CM139" i="11"/>
  <c r="CM140" i="11"/>
  <c r="CM141" i="11"/>
  <c r="CM142" i="11"/>
  <c r="CM143" i="11"/>
  <c r="CM144" i="11"/>
  <c r="CM145" i="11"/>
  <c r="CM146" i="11"/>
  <c r="CM147" i="11"/>
  <c r="CM148" i="11"/>
  <c r="CM149" i="11"/>
  <c r="CM150" i="11"/>
  <c r="CM151" i="11"/>
  <c r="CM152" i="11"/>
  <c r="CM153" i="11"/>
  <c r="CM154" i="11"/>
  <c r="CM155" i="11"/>
  <c r="CM156" i="11"/>
  <c r="CM157" i="11"/>
  <c r="CM158" i="11"/>
  <c r="CM159" i="11"/>
  <c r="CM160" i="11"/>
  <c r="CM161" i="11"/>
  <c r="CM162" i="11"/>
  <c r="CM163" i="11"/>
  <c r="CM164" i="11"/>
  <c r="CM165" i="11"/>
  <c r="CM166" i="11"/>
  <c r="CM167" i="11"/>
  <c r="CM168" i="11"/>
  <c r="CM169" i="11"/>
  <c r="CM170" i="11"/>
  <c r="CM171" i="11"/>
  <c r="CM172" i="11"/>
  <c r="CM173" i="11"/>
  <c r="CM174" i="11"/>
  <c r="CM175" i="11"/>
  <c r="CM176" i="11"/>
  <c r="CM177" i="11"/>
  <c r="CM178" i="11"/>
  <c r="CM179" i="11"/>
  <c r="CM180" i="11"/>
  <c r="CM181" i="11"/>
  <c r="CM182" i="11"/>
  <c r="CM183" i="11"/>
  <c r="CM184" i="11"/>
  <c r="CM185" i="11"/>
  <c r="CM186" i="11"/>
  <c r="CM187" i="11"/>
  <c r="CM188" i="11"/>
  <c r="CM189" i="11"/>
  <c r="CM190" i="11"/>
  <c r="CM191" i="11"/>
  <c r="CM192" i="11"/>
  <c r="CM193" i="11"/>
  <c r="CM194" i="11"/>
  <c r="CM195" i="11"/>
  <c r="CM196" i="11"/>
  <c r="CM197" i="11"/>
  <c r="CM198" i="11"/>
  <c r="CM199" i="11"/>
  <c r="CM200" i="11"/>
  <c r="CM201" i="11"/>
  <c r="CM202" i="11"/>
  <c r="CM203" i="11"/>
  <c r="CM204" i="11"/>
  <c r="CM205" i="11"/>
  <c r="CM206" i="11"/>
  <c r="CM207" i="11"/>
  <c r="CM208" i="11"/>
  <c r="CM209" i="11"/>
  <c r="CM210" i="11"/>
  <c r="CM211" i="11"/>
  <c r="CM212" i="11"/>
  <c r="CM213" i="11"/>
  <c r="CM214" i="11"/>
  <c r="CM215" i="11"/>
  <c r="CM216" i="11"/>
  <c r="CM217" i="11"/>
  <c r="CM218" i="11"/>
  <c r="CM219" i="11"/>
  <c r="CM220" i="11"/>
  <c r="CM221" i="11"/>
  <c r="CM222" i="11"/>
  <c r="CM223" i="11"/>
  <c r="CM224" i="11"/>
  <c r="CM225" i="11"/>
  <c r="CM226" i="11"/>
  <c r="CM227" i="11"/>
  <c r="CM228" i="11"/>
  <c r="CM229" i="11"/>
  <c r="CM230" i="11"/>
  <c r="CM231" i="11"/>
  <c r="CM232" i="11"/>
  <c r="CM233" i="11"/>
  <c r="CM234" i="11"/>
  <c r="CM235" i="11"/>
  <c r="CS3" i="11"/>
  <c r="CS5" i="11"/>
  <c r="CS7" i="11"/>
  <c r="CS11" i="11"/>
  <c r="CS13" i="11"/>
  <c r="CS15" i="11"/>
  <c r="CS60" i="11"/>
  <c r="CS62" i="11"/>
  <c r="CS66" i="11"/>
  <c r="CS69" i="11"/>
  <c r="CS70" i="11"/>
  <c r="CS72" i="11"/>
  <c r="CS74" i="11"/>
  <c r="CS78" i="11"/>
  <c r="CS80" i="11"/>
  <c r="CS84" i="11"/>
  <c r="CS86" i="11"/>
  <c r="CS88" i="11"/>
  <c r="CS90" i="11"/>
  <c r="CS96" i="11"/>
  <c r="CS97" i="11"/>
  <c r="CS99" i="11"/>
  <c r="CS104" i="11"/>
  <c r="CS106" i="11"/>
  <c r="CS121" i="11"/>
  <c r="CS125" i="11"/>
  <c r="CS127" i="11"/>
  <c r="CS131" i="11"/>
  <c r="CS135" i="11"/>
  <c r="CS137" i="11"/>
  <c r="CS141" i="11"/>
  <c r="CS143" i="11"/>
  <c r="CS145" i="11"/>
  <c r="CS151" i="11"/>
  <c r="CS165" i="11"/>
  <c r="CS204" i="11"/>
  <c r="CS205" i="11"/>
  <c r="CS208" i="11"/>
  <c r="CS209" i="11"/>
  <c r="CS210" i="11"/>
  <c r="CS211" i="11"/>
  <c r="CS213" i="11"/>
  <c r="CS215" i="11"/>
  <c r="CS224" i="11"/>
  <c r="CS225" i="11"/>
  <c r="CS226" i="11"/>
  <c r="CS227" i="11"/>
  <c r="CS228" i="11"/>
  <c r="CS229" i="11"/>
  <c r="CS230" i="11"/>
  <c r="CS231" i="11"/>
  <c r="CS233" i="11"/>
  <c r="AA320" i="8"/>
  <c r="C9" i="8"/>
  <c r="Z3" i="14" l="1"/>
  <c r="T14" i="8"/>
  <c r="C10" i="56"/>
  <c r="O3" i="14"/>
  <c r="BV154" i="14"/>
  <c r="B154" i="14"/>
  <c r="AL154" i="14"/>
  <c r="BM154" i="14"/>
  <c r="AC154" i="14"/>
  <c r="BD154" i="14"/>
  <c r="K154" i="14"/>
  <c r="A155" i="14"/>
  <c r="AU154" i="14"/>
  <c r="T154" i="14"/>
  <c r="CE154" i="14"/>
  <c r="R2" i="6"/>
  <c r="D35" i="8"/>
  <c r="K7" i="6"/>
  <c r="K10" i="6"/>
  <c r="K4" i="6"/>
  <c r="Z2" i="14"/>
  <c r="Y3" i="14"/>
  <c r="X3" i="14" s="1"/>
  <c r="CC19" i="14"/>
  <c r="AA12" i="8"/>
  <c r="L10" i="6" s="1"/>
  <c r="Z8" i="8"/>
  <c r="Z10" i="8"/>
  <c r="Z11" i="8"/>
  <c r="BU19" i="14"/>
  <c r="BB19" i="14"/>
  <c r="S19" i="14"/>
  <c r="CL19" i="14"/>
  <c r="G8" i="8"/>
  <c r="S6" i="6" s="1"/>
  <c r="K8" i="8"/>
  <c r="W6" i="6" s="1"/>
  <c r="E4" i="8"/>
  <c r="H8" i="8"/>
  <c r="T6" i="6" s="1"/>
  <c r="I8" i="8"/>
  <c r="U6" i="6" s="1"/>
  <c r="E12" i="8"/>
  <c r="Q10" i="6" s="1"/>
  <c r="D8" i="8"/>
  <c r="D4" i="8"/>
  <c r="D12" i="8"/>
  <c r="I12" i="8"/>
  <c r="U10" i="6" s="1"/>
  <c r="L12" i="8"/>
  <c r="K12" i="8"/>
  <c r="W10" i="6" s="1"/>
  <c r="I4" i="8"/>
  <c r="E8" i="8"/>
  <c r="Q6" i="6" s="1"/>
  <c r="J8" i="8"/>
  <c r="V6" i="6" s="1"/>
  <c r="J4" i="8"/>
  <c r="H4" i="8"/>
  <c r="H12" i="8"/>
  <c r="T10" i="6" s="1"/>
  <c r="K4" i="8"/>
  <c r="J12" i="8"/>
  <c r="V10" i="6" s="1"/>
  <c r="L8" i="8"/>
  <c r="L4" i="8"/>
  <c r="AT19" i="14"/>
  <c r="AS19" i="14"/>
  <c r="AO19" i="14"/>
  <c r="G4" i="8"/>
  <c r="L10" i="8"/>
  <c r="D10" i="8"/>
  <c r="E10" i="8"/>
  <c r="Q8" i="6" s="1"/>
  <c r="K10" i="8"/>
  <c r="W8" i="6" s="1"/>
  <c r="J10" i="8"/>
  <c r="V8" i="6" s="1"/>
  <c r="C8" i="6"/>
  <c r="I10" i="8"/>
  <c r="U8" i="6" s="1"/>
  <c r="O8" i="6"/>
  <c r="H10" i="8"/>
  <c r="T8" i="6" s="1"/>
  <c r="G10" i="8"/>
  <c r="S8" i="6" s="1"/>
  <c r="F10" i="8"/>
  <c r="R8" i="6" s="1"/>
  <c r="E11" i="8"/>
  <c r="Q9" i="6" s="1"/>
  <c r="L11" i="8"/>
  <c r="D11" i="8"/>
  <c r="K11" i="8"/>
  <c r="W9" i="6" s="1"/>
  <c r="J11" i="8"/>
  <c r="V9" i="6" s="1"/>
  <c r="I11" i="8"/>
  <c r="U9" i="6" s="1"/>
  <c r="C9" i="6"/>
  <c r="O9" i="6"/>
  <c r="H11" i="8"/>
  <c r="T9" i="6" s="1"/>
  <c r="G11" i="8"/>
  <c r="S9" i="6" s="1"/>
  <c r="F11" i="8"/>
  <c r="R9" i="6" s="1"/>
  <c r="O4" i="6"/>
  <c r="H6" i="8"/>
  <c r="T4" i="6" s="1"/>
  <c r="AA6" i="8"/>
  <c r="L4" i="6" s="1"/>
  <c r="G6" i="8"/>
  <c r="S4" i="6" s="1"/>
  <c r="E6" i="8"/>
  <c r="Q4" i="6" s="1"/>
  <c r="F6" i="8"/>
  <c r="R4" i="6" s="1"/>
  <c r="C4" i="6"/>
  <c r="L6" i="8"/>
  <c r="D6" i="8"/>
  <c r="K6" i="8"/>
  <c r="W4" i="6" s="1"/>
  <c r="J6" i="8"/>
  <c r="V4" i="6" s="1"/>
  <c r="I6" i="8"/>
  <c r="U4" i="6" s="1"/>
  <c r="G5" i="8"/>
  <c r="S3" i="6" s="1"/>
  <c r="C3" i="6"/>
  <c r="F5" i="8"/>
  <c r="R3" i="6" s="1"/>
  <c r="L5" i="8"/>
  <c r="D5" i="8"/>
  <c r="E5" i="8"/>
  <c r="Q3" i="6" s="1"/>
  <c r="O3" i="6"/>
  <c r="H5" i="8"/>
  <c r="T3" i="6" s="1"/>
  <c r="K5" i="8"/>
  <c r="W3" i="6" s="1"/>
  <c r="J5" i="8"/>
  <c r="V3" i="6" s="1"/>
  <c r="A5" i="8"/>
  <c r="I5" i="8"/>
  <c r="U3" i="6" s="1"/>
  <c r="K9" i="8"/>
  <c r="W7" i="6" s="1"/>
  <c r="C7" i="6"/>
  <c r="J9" i="8"/>
  <c r="V7" i="6" s="1"/>
  <c r="I9" i="8"/>
  <c r="U7" i="6" s="1"/>
  <c r="O7" i="6"/>
  <c r="H9" i="8"/>
  <c r="T7" i="6" s="1"/>
  <c r="AA9" i="8"/>
  <c r="L7" i="6" s="1"/>
  <c r="G9" i="8"/>
  <c r="S7" i="6" s="1"/>
  <c r="F9" i="8"/>
  <c r="R7" i="6" s="1"/>
  <c r="D9" i="8"/>
  <c r="E9" i="8"/>
  <c r="Q7" i="6" s="1"/>
  <c r="L9" i="8"/>
  <c r="I7" i="8"/>
  <c r="U5" i="6" s="1"/>
  <c r="O5" i="6"/>
  <c r="H7" i="8"/>
  <c r="T5" i="6" s="1"/>
  <c r="J7" i="8"/>
  <c r="V5" i="6" s="1"/>
  <c r="F7" i="8"/>
  <c r="R5" i="6" s="1"/>
  <c r="G7" i="8"/>
  <c r="S5" i="6" s="1"/>
  <c r="E7" i="8"/>
  <c r="Q5" i="6" s="1"/>
  <c r="C5" i="6"/>
  <c r="L7" i="8"/>
  <c r="D7" i="8"/>
  <c r="K7" i="8"/>
  <c r="W5" i="6" s="1"/>
  <c r="AK19" i="14"/>
  <c r="AJ19" i="14"/>
  <c r="AH19" i="14"/>
  <c r="AB19" i="14"/>
  <c r="AA19" i="14"/>
  <c r="W19" i="14"/>
  <c r="N6" i="8" l="1"/>
  <c r="M6" i="8" s="1"/>
  <c r="C4" i="56"/>
  <c r="D10" i="56"/>
  <c r="C9" i="56"/>
  <c r="C7" i="56"/>
  <c r="A156" i="14"/>
  <c r="BV155" i="14"/>
  <c r="B155" i="14"/>
  <c r="BM155" i="14"/>
  <c r="BD155" i="14"/>
  <c r="AU155" i="14"/>
  <c r="AL155" i="14"/>
  <c r="CE155" i="14"/>
  <c r="AC155" i="14"/>
  <c r="K155" i="14"/>
  <c r="T155" i="14"/>
  <c r="Y2" i="14"/>
  <c r="S2" i="6"/>
  <c r="G13" i="8"/>
  <c r="V2" i="6"/>
  <c r="J13" i="8"/>
  <c r="D13" i="8"/>
  <c r="L13" i="8"/>
  <c r="U2" i="6"/>
  <c r="I13" i="8"/>
  <c r="W2" i="6"/>
  <c r="K13" i="8"/>
  <c r="Q2" i="6"/>
  <c r="E13" i="8"/>
  <c r="F13" i="8"/>
  <c r="T2" i="6"/>
  <c r="H13" i="8"/>
  <c r="D29" i="8"/>
  <c r="D32" i="8"/>
  <c r="D34" i="8"/>
  <c r="E29" i="8"/>
  <c r="E35" i="8"/>
  <c r="E32" i="8"/>
  <c r="K9" i="6"/>
  <c r="K8" i="6"/>
  <c r="N12" i="8"/>
  <c r="M12" i="8" s="1"/>
  <c r="N4" i="8"/>
  <c r="M4" i="8" s="1"/>
  <c r="BY19" i="14"/>
  <c r="CD19" i="14"/>
  <c r="N11" i="8"/>
  <c r="P10" i="6"/>
  <c r="P6" i="6"/>
  <c r="N8" i="8"/>
  <c r="M8" i="8" s="1"/>
  <c r="N10" i="8"/>
  <c r="M10" i="8" s="1"/>
  <c r="N9" i="8"/>
  <c r="M9" i="8" s="1"/>
  <c r="N7" i="8"/>
  <c r="M7" i="8" s="1"/>
  <c r="N5" i="8"/>
  <c r="AA10" i="8"/>
  <c r="L8" i="6" s="1"/>
  <c r="P2" i="6"/>
  <c r="BK19" i="14"/>
  <c r="BL19" i="14"/>
  <c r="AA11" i="8"/>
  <c r="L9" i="6" s="1"/>
  <c r="K6" i="6"/>
  <c r="AA8" i="8"/>
  <c r="L6" i="6" s="1"/>
  <c r="BC19" i="14"/>
  <c r="CI19" i="14"/>
  <c r="CM19" i="14"/>
  <c r="BT19" i="14"/>
  <c r="BP19" i="14"/>
  <c r="AX19" i="14"/>
  <c r="R19" i="14"/>
  <c r="O18" i="14"/>
  <c r="P19" i="14" s="1"/>
  <c r="S20" i="14" s="1"/>
  <c r="J19" i="14"/>
  <c r="J20" i="14" s="1"/>
  <c r="I19" i="14"/>
  <c r="Y19" i="14"/>
  <c r="AB20" i="14" s="1"/>
  <c r="AF19" i="14"/>
  <c r="AK20" i="14"/>
  <c r="BJ19" i="14"/>
  <c r="BH19" i="14"/>
  <c r="P5" i="6"/>
  <c r="BZ19" i="14"/>
  <c r="P3" i="6"/>
  <c r="BI19" i="14"/>
  <c r="X2" i="14"/>
  <c r="V3" i="14"/>
  <c r="P8" i="6"/>
  <c r="F19" i="14"/>
  <c r="G20" i="14" s="1"/>
  <c r="H19" i="14"/>
  <c r="BG19" i="14"/>
  <c r="P4" i="6"/>
  <c r="P7" i="6"/>
  <c r="CA19" i="14"/>
  <c r="P9" i="6"/>
  <c r="E19" i="14"/>
  <c r="AI19" i="14"/>
  <c r="AJ20" i="14" s="1"/>
  <c r="AG19" i="14"/>
  <c r="AH20" i="14" s="1"/>
  <c r="AR19" i="14"/>
  <c r="AP19" i="14"/>
  <c r="Z19" i="14"/>
  <c r="X19" i="14"/>
  <c r="A6" i="8"/>
  <c r="AQ19" i="14"/>
  <c r="D7" i="56" l="1"/>
  <c r="E33" i="8"/>
  <c r="C8" i="56"/>
  <c r="D9" i="56"/>
  <c r="C6" i="56"/>
  <c r="E31" i="8"/>
  <c r="E10" i="56"/>
  <c r="D4" i="56"/>
  <c r="CE156" i="14"/>
  <c r="K156" i="14"/>
  <c r="BV156" i="14"/>
  <c r="AU156" i="14"/>
  <c r="B156" i="14"/>
  <c r="A157" i="14"/>
  <c r="BM156" i="14"/>
  <c r="AL156" i="14"/>
  <c r="BD156" i="14"/>
  <c r="T156" i="14"/>
  <c r="AC156" i="14"/>
  <c r="S10" i="8"/>
  <c r="S8" i="8"/>
  <c r="S6" i="8"/>
  <c r="S12" i="8"/>
  <c r="S9" i="8"/>
  <c r="S7" i="8"/>
  <c r="D31" i="8"/>
  <c r="D33" i="8"/>
  <c r="Q4" i="8"/>
  <c r="S4" i="8"/>
  <c r="F32" i="8"/>
  <c r="F35" i="8"/>
  <c r="F29" i="8"/>
  <c r="E34" i="8"/>
  <c r="CD20" i="14"/>
  <c r="Q10" i="8"/>
  <c r="Q6" i="8"/>
  <c r="CF6" i="51"/>
  <c r="BV6" i="51"/>
  <c r="CZ6" i="51"/>
  <c r="BL6" i="51"/>
  <c r="BB6" i="51"/>
  <c r="BB173" i="51" s="1"/>
  <c r="CP6" i="51"/>
  <c r="AZ6" i="51"/>
  <c r="AZ173" i="51" s="1"/>
  <c r="CD6" i="51"/>
  <c r="CX6" i="51"/>
  <c r="BJ6" i="51"/>
  <c r="BT6" i="51"/>
  <c r="CN6" i="51"/>
  <c r="Q12" i="8"/>
  <c r="CL6" i="51"/>
  <c r="CV6" i="51"/>
  <c r="DF6" i="51"/>
  <c r="BR6" i="51"/>
  <c r="BH6" i="51"/>
  <c r="BH173" i="51" s="1"/>
  <c r="CB6" i="51"/>
  <c r="Q7" i="8"/>
  <c r="BW6" i="51"/>
  <c r="DA6" i="51"/>
  <c r="BM6" i="51"/>
  <c r="BC6" i="51"/>
  <c r="BC173" i="51" s="1"/>
  <c r="CQ6" i="51"/>
  <c r="CG6" i="51"/>
  <c r="Q9" i="8"/>
  <c r="CI6" i="51"/>
  <c r="CS6" i="51"/>
  <c r="BE6" i="51"/>
  <c r="BE173" i="51" s="1"/>
  <c r="BY6" i="51"/>
  <c r="DC6" i="51"/>
  <c r="BO6" i="51"/>
  <c r="BZ6" i="51"/>
  <c r="CT6" i="51"/>
  <c r="BF6" i="51"/>
  <c r="BF173" i="51" s="1"/>
  <c r="CJ6" i="51"/>
  <c r="DD6" i="51"/>
  <c r="BP6" i="51"/>
  <c r="Q8" i="8"/>
  <c r="DB6" i="51"/>
  <c r="BN6" i="51"/>
  <c r="BD6" i="51"/>
  <c r="BD173" i="51" s="1"/>
  <c r="CR6" i="51"/>
  <c r="BX6" i="51"/>
  <c r="CH6" i="51"/>
  <c r="M5" i="8"/>
  <c r="M11" i="8"/>
  <c r="S11" i="8" s="1"/>
  <c r="CB19" i="14"/>
  <c r="CB20" i="14" s="1"/>
  <c r="CH19" i="14"/>
  <c r="CJ19" i="14"/>
  <c r="CM20" i="14" s="1"/>
  <c r="CK19" i="14"/>
  <c r="CK20" i="14" s="1"/>
  <c r="BL20" i="14"/>
  <c r="BR19" i="14"/>
  <c r="BU20" i="14" s="1"/>
  <c r="BS19" i="14"/>
  <c r="BQ19" i="14"/>
  <c r="AZ19" i="14"/>
  <c r="BC20" i="14" s="1"/>
  <c r="AY19" i="14"/>
  <c r="BA19" i="14"/>
  <c r="BK20" i="14"/>
  <c r="BI20" i="14"/>
  <c r="N19" i="14"/>
  <c r="O19" i="14"/>
  <c r="P20" i="14" s="1"/>
  <c r="Q19" i="14"/>
  <c r="R20" i="14" s="1"/>
  <c r="I20" i="14"/>
  <c r="AQ20" i="14"/>
  <c r="Y20" i="14"/>
  <c r="AB21" i="14" s="1"/>
  <c r="CA20" i="14"/>
  <c r="AS20" i="14"/>
  <c r="Z20" i="14"/>
  <c r="A7" i="8"/>
  <c r="A8" i="8" s="1"/>
  <c r="AI20" i="14"/>
  <c r="H20" i="14"/>
  <c r="AA20" i="14"/>
  <c r="J21" i="14"/>
  <c r="AT20" i="14"/>
  <c r="V2" i="14"/>
  <c r="U3" i="14"/>
  <c r="BJ20" i="14"/>
  <c r="AR20" i="14"/>
  <c r="AK21" i="14"/>
  <c r="D6" i="56" l="1"/>
  <c r="E9" i="56"/>
  <c r="E4" i="56"/>
  <c r="F33" i="8"/>
  <c r="D8" i="56"/>
  <c r="G32" i="8"/>
  <c r="E7" i="56"/>
  <c r="F10" i="56"/>
  <c r="T157" i="14"/>
  <c r="K157" i="14"/>
  <c r="B157" i="14"/>
  <c r="CE157" i="14"/>
  <c r="A158" i="14"/>
  <c r="AU157" i="14"/>
  <c r="BV157" i="14"/>
  <c r="BD157" i="14"/>
  <c r="AC157" i="14"/>
  <c r="AL157" i="14"/>
  <c r="BM157" i="14"/>
  <c r="BL173" i="51"/>
  <c r="BM173" i="51"/>
  <c r="BO173" i="51"/>
  <c r="BN173" i="51"/>
  <c r="BP173" i="51"/>
  <c r="BR173" i="51"/>
  <c r="BJ173" i="51"/>
  <c r="BC161" i="51"/>
  <c r="BM161" i="51" s="1"/>
  <c r="BC162" i="51"/>
  <c r="BM162" i="51" s="1"/>
  <c r="BC163" i="51"/>
  <c r="BM163" i="51" s="1"/>
  <c r="BC164" i="51"/>
  <c r="BM164" i="51" s="1"/>
  <c r="BC166" i="51"/>
  <c r="BC170" i="51"/>
  <c r="BC158" i="51"/>
  <c r="BM158" i="51" s="1"/>
  <c r="BC169" i="51"/>
  <c r="BC159" i="51"/>
  <c r="BM159" i="51" s="1"/>
  <c r="BC160" i="51"/>
  <c r="BM160" i="51" s="1"/>
  <c r="BC165" i="51"/>
  <c r="BM165" i="51" s="1"/>
  <c r="BC167" i="51"/>
  <c r="BC168" i="51"/>
  <c r="BC171" i="51"/>
  <c r="BC172" i="51"/>
  <c r="BE158" i="51"/>
  <c r="BO158" i="51" s="1"/>
  <c r="BE159" i="51"/>
  <c r="BO159" i="51" s="1"/>
  <c r="BE160" i="51"/>
  <c r="BO160" i="51" s="1"/>
  <c r="BE161" i="51"/>
  <c r="BO161" i="51" s="1"/>
  <c r="BE162" i="51"/>
  <c r="BO162" i="51" s="1"/>
  <c r="BE163" i="51"/>
  <c r="BO163" i="51" s="1"/>
  <c r="BE164" i="51"/>
  <c r="BO164" i="51" s="1"/>
  <c r="BE165" i="51"/>
  <c r="BO165" i="51" s="1"/>
  <c r="BE166" i="51"/>
  <c r="BE167" i="51"/>
  <c r="BE168" i="51"/>
  <c r="BE169" i="51"/>
  <c r="BE170" i="51"/>
  <c r="BE171" i="51"/>
  <c r="BE172" i="51"/>
  <c r="AZ158" i="51"/>
  <c r="AZ159" i="51"/>
  <c r="AZ160" i="51"/>
  <c r="AZ161" i="51"/>
  <c r="AZ162" i="51"/>
  <c r="AZ163" i="51"/>
  <c r="AZ164" i="51"/>
  <c r="AZ165" i="51"/>
  <c r="AZ166" i="51"/>
  <c r="AZ167" i="51"/>
  <c r="AZ168" i="51"/>
  <c r="AZ169" i="51"/>
  <c r="AZ170" i="51"/>
  <c r="AZ171" i="51"/>
  <c r="AZ172" i="51"/>
  <c r="BF158" i="51"/>
  <c r="BP158" i="51" s="1"/>
  <c r="BF159" i="51"/>
  <c r="BP159" i="51" s="1"/>
  <c r="BF160" i="51"/>
  <c r="BP160" i="51" s="1"/>
  <c r="BF161" i="51"/>
  <c r="BP161" i="51" s="1"/>
  <c r="BF162" i="51"/>
  <c r="BP162" i="51" s="1"/>
  <c r="BF163" i="51"/>
  <c r="BP163" i="51" s="1"/>
  <c r="BF164" i="51"/>
  <c r="BP164" i="51" s="1"/>
  <c r="BF165" i="51"/>
  <c r="BP165" i="51" s="1"/>
  <c r="BF166" i="51"/>
  <c r="BF167" i="51"/>
  <c r="BF168" i="51"/>
  <c r="BF169" i="51"/>
  <c r="BF170" i="51"/>
  <c r="BF171" i="51"/>
  <c r="BF172" i="51"/>
  <c r="BB160" i="51"/>
  <c r="BL160" i="51" s="1"/>
  <c r="BB171" i="51"/>
  <c r="BB166" i="51"/>
  <c r="BB167" i="51"/>
  <c r="BB170" i="51"/>
  <c r="BB172" i="51"/>
  <c r="BB159" i="51"/>
  <c r="BL159" i="51" s="1"/>
  <c r="BB163" i="51"/>
  <c r="BL163" i="51" s="1"/>
  <c r="BB164" i="51"/>
  <c r="BL164" i="51" s="1"/>
  <c r="BB165" i="51"/>
  <c r="BL165" i="51" s="1"/>
  <c r="BB169" i="51"/>
  <c r="BB158" i="51"/>
  <c r="BL158" i="51" s="1"/>
  <c r="BB162" i="51"/>
  <c r="BL162" i="51" s="1"/>
  <c r="BB161" i="51"/>
  <c r="BL161" i="51" s="1"/>
  <c r="BB168" i="51"/>
  <c r="BD158" i="51"/>
  <c r="BN158" i="51" s="1"/>
  <c r="BD159" i="51"/>
  <c r="BN159" i="51" s="1"/>
  <c r="BD160" i="51"/>
  <c r="BN160" i="51" s="1"/>
  <c r="BD161" i="51"/>
  <c r="BN161" i="51" s="1"/>
  <c r="BD162" i="51"/>
  <c r="BN162" i="51" s="1"/>
  <c r="BD163" i="51"/>
  <c r="BN163" i="51" s="1"/>
  <c r="BD164" i="51"/>
  <c r="BN164" i="51" s="1"/>
  <c r="BD165" i="51"/>
  <c r="BN165" i="51" s="1"/>
  <c r="BD166" i="51"/>
  <c r="BD167" i="51"/>
  <c r="BD168" i="51"/>
  <c r="BD169" i="51"/>
  <c r="BD170" i="51"/>
  <c r="BD171" i="51"/>
  <c r="BD172" i="51"/>
  <c r="BH158" i="51"/>
  <c r="BR158" i="51" s="1"/>
  <c r="BH159" i="51"/>
  <c r="BR159" i="51" s="1"/>
  <c r="BH160" i="51"/>
  <c r="BR160" i="51" s="1"/>
  <c r="BH161" i="51"/>
  <c r="BR161" i="51" s="1"/>
  <c r="BH162" i="51"/>
  <c r="BR162" i="51" s="1"/>
  <c r="BH163" i="51"/>
  <c r="BR163" i="51" s="1"/>
  <c r="BH164" i="51"/>
  <c r="BR164" i="51" s="1"/>
  <c r="BH165" i="51"/>
  <c r="BR165" i="51" s="1"/>
  <c r="BH166" i="51"/>
  <c r="BH167" i="51"/>
  <c r="BH168" i="51"/>
  <c r="BH169" i="51"/>
  <c r="BH170" i="51"/>
  <c r="BH171" i="51"/>
  <c r="BH172" i="51"/>
  <c r="AZ157" i="51"/>
  <c r="BC154" i="51"/>
  <c r="BC157" i="51"/>
  <c r="BC153" i="51"/>
  <c r="BC156" i="51"/>
  <c r="BC152" i="51"/>
  <c r="BC151" i="51"/>
  <c r="BC150" i="51"/>
  <c r="BC155" i="51"/>
  <c r="BE157" i="51"/>
  <c r="BE156" i="51"/>
  <c r="BE152" i="51"/>
  <c r="BE155" i="51"/>
  <c r="BE151" i="51"/>
  <c r="BE150" i="51"/>
  <c r="BE154" i="51"/>
  <c r="BE153" i="51"/>
  <c r="AZ155" i="51"/>
  <c r="AZ151" i="51"/>
  <c r="AZ154" i="51"/>
  <c r="AZ150" i="51"/>
  <c r="AZ153" i="51"/>
  <c r="AZ156" i="51"/>
  <c r="AZ152" i="51"/>
  <c r="BF152" i="51"/>
  <c r="BF155" i="51"/>
  <c r="BF156" i="51"/>
  <c r="BF151" i="51"/>
  <c r="BF154" i="51"/>
  <c r="BF150" i="51"/>
  <c r="BF157" i="51"/>
  <c r="BF153" i="51"/>
  <c r="BB154" i="51"/>
  <c r="BB157" i="51"/>
  <c r="BB156" i="51"/>
  <c r="BB152" i="51"/>
  <c r="BB150" i="51"/>
  <c r="BB153" i="51"/>
  <c r="BB155" i="51"/>
  <c r="BB151" i="51"/>
  <c r="BD152" i="51"/>
  <c r="BD157" i="51"/>
  <c r="BD153" i="51"/>
  <c r="BD156" i="51"/>
  <c r="BD155" i="51"/>
  <c r="BD151" i="51"/>
  <c r="BD154" i="51"/>
  <c r="BD150" i="51"/>
  <c r="BH155" i="51"/>
  <c r="BH154" i="51"/>
  <c r="BH157" i="51"/>
  <c r="BH153" i="51"/>
  <c r="BH151" i="51"/>
  <c r="BH150" i="51"/>
  <c r="BH156" i="51"/>
  <c r="BH152" i="51"/>
  <c r="S5" i="8"/>
  <c r="F2" i="6"/>
  <c r="F31" i="8"/>
  <c r="CD21" i="14"/>
  <c r="G29" i="8"/>
  <c r="G35" i="8"/>
  <c r="F34" i="8"/>
  <c r="Q11" i="8"/>
  <c r="DE6" i="51"/>
  <c r="BQ6" i="51"/>
  <c r="CA6" i="51"/>
  <c r="CU6" i="51"/>
  <c r="CK6" i="51"/>
  <c r="BG6" i="51"/>
  <c r="BG173" i="51" s="1"/>
  <c r="Q5" i="8"/>
  <c r="CO6" i="51"/>
  <c r="BA6" i="51"/>
  <c r="BA173" i="51" s="1"/>
  <c r="CE6" i="51"/>
  <c r="BU6" i="51"/>
  <c r="CY6" i="51"/>
  <c r="BK6" i="51"/>
  <c r="BE142" i="51"/>
  <c r="BE116" i="51"/>
  <c r="BE112" i="51"/>
  <c r="BE108" i="51"/>
  <c r="BE104" i="51"/>
  <c r="BE100" i="51"/>
  <c r="BE96" i="51"/>
  <c r="BE88" i="51"/>
  <c r="BE143" i="51"/>
  <c r="BE136" i="51"/>
  <c r="BE132" i="51"/>
  <c r="BE128" i="51"/>
  <c r="BE124" i="51"/>
  <c r="BE120" i="51"/>
  <c r="BE115" i="51"/>
  <c r="BE111" i="51"/>
  <c r="BE144" i="51"/>
  <c r="BE145" i="51"/>
  <c r="BE135" i="51"/>
  <c r="BE131" i="51"/>
  <c r="BE127" i="51"/>
  <c r="BE123" i="51"/>
  <c r="BE119" i="51"/>
  <c r="BE146" i="51"/>
  <c r="BE139" i="51"/>
  <c r="BE147" i="51"/>
  <c r="BE140" i="51"/>
  <c r="BE148" i="51"/>
  <c r="BE149" i="51"/>
  <c r="BE117" i="51"/>
  <c r="BE113" i="51"/>
  <c r="BE109" i="51"/>
  <c r="BE105" i="51"/>
  <c r="BE101" i="51"/>
  <c r="BE97" i="51"/>
  <c r="BE93" i="51"/>
  <c r="BE89" i="51"/>
  <c r="BE85" i="51"/>
  <c r="BE81" i="51"/>
  <c r="BE137" i="51"/>
  <c r="BE133" i="51"/>
  <c r="BE129" i="51"/>
  <c r="BE141" i="51"/>
  <c r="BE125" i="51"/>
  <c r="BE121" i="51"/>
  <c r="BE92" i="51"/>
  <c r="BE84" i="51"/>
  <c r="BE80" i="51"/>
  <c r="BE134" i="51"/>
  <c r="BE114" i="51"/>
  <c r="BE107" i="51"/>
  <c r="BE94" i="51"/>
  <c r="BE118" i="51"/>
  <c r="BE91" i="51"/>
  <c r="BE103" i="51"/>
  <c r="BE90" i="51"/>
  <c r="BE126" i="51"/>
  <c r="BE99" i="51"/>
  <c r="BE86" i="51"/>
  <c r="BE138" i="51"/>
  <c r="BE95" i="51"/>
  <c r="BE82" i="51"/>
  <c r="BE130" i="51"/>
  <c r="BE110" i="51"/>
  <c r="BE106" i="51"/>
  <c r="BE87" i="51"/>
  <c r="BE102" i="51"/>
  <c r="BE83" i="51"/>
  <c r="BE122" i="51"/>
  <c r="BE98" i="51"/>
  <c r="BF141" i="51"/>
  <c r="BF132" i="51"/>
  <c r="BF127" i="51"/>
  <c r="BF119" i="51"/>
  <c r="BF142" i="51"/>
  <c r="BF115" i="51"/>
  <c r="BF111" i="51"/>
  <c r="BF107" i="51"/>
  <c r="BF103" i="51"/>
  <c r="BF99" i="51"/>
  <c r="BF95" i="51"/>
  <c r="BF91" i="51"/>
  <c r="BF87" i="51"/>
  <c r="BF83" i="51"/>
  <c r="BF135" i="51"/>
  <c r="BF143" i="51"/>
  <c r="BF144" i="51"/>
  <c r="BF114" i="51"/>
  <c r="BF110" i="51"/>
  <c r="BF106" i="51"/>
  <c r="BF102" i="51"/>
  <c r="BF98" i="51"/>
  <c r="BF94" i="51"/>
  <c r="BF90" i="51"/>
  <c r="BF86" i="51"/>
  <c r="BF82" i="51"/>
  <c r="BF145" i="51"/>
  <c r="BF146" i="51"/>
  <c r="BF139" i="51"/>
  <c r="BF147" i="51"/>
  <c r="BF137" i="51"/>
  <c r="BF133" i="51"/>
  <c r="BF129" i="51"/>
  <c r="BF125" i="51"/>
  <c r="BF121" i="51"/>
  <c r="BF116" i="51"/>
  <c r="BF112" i="51"/>
  <c r="BF104" i="51"/>
  <c r="BF100" i="51"/>
  <c r="BF96" i="51"/>
  <c r="BF92" i="51"/>
  <c r="BF88" i="51"/>
  <c r="BF131" i="51"/>
  <c r="BF140" i="51"/>
  <c r="BF148" i="51"/>
  <c r="BF149" i="51"/>
  <c r="BF108" i="51"/>
  <c r="BF84" i="51"/>
  <c r="BF80" i="51"/>
  <c r="BF136" i="51"/>
  <c r="BF128" i="51"/>
  <c r="BF124" i="51"/>
  <c r="BF120" i="51"/>
  <c r="BF123" i="51"/>
  <c r="BF130" i="51"/>
  <c r="BF113" i="51"/>
  <c r="BF93" i="51"/>
  <c r="BF126" i="51"/>
  <c r="BF109" i="51"/>
  <c r="BF105" i="51"/>
  <c r="BF138" i="51"/>
  <c r="BF101" i="51"/>
  <c r="BF118" i="51"/>
  <c r="BF97" i="51"/>
  <c r="BF89" i="51"/>
  <c r="BF122" i="51"/>
  <c r="BF85" i="51"/>
  <c r="BF134" i="51"/>
  <c r="BF117" i="51"/>
  <c r="BF81" i="51"/>
  <c r="BB145" i="51"/>
  <c r="BB138" i="51"/>
  <c r="BB134" i="51"/>
  <c r="BB126" i="51"/>
  <c r="BB137" i="51"/>
  <c r="BB133" i="51"/>
  <c r="BB129" i="51"/>
  <c r="BB125" i="51"/>
  <c r="BB146" i="51"/>
  <c r="BB118" i="51"/>
  <c r="BB117" i="51"/>
  <c r="BB113" i="51"/>
  <c r="BB109" i="51"/>
  <c r="BB105" i="51"/>
  <c r="BB101" i="51"/>
  <c r="BB97" i="51"/>
  <c r="BB93" i="51"/>
  <c r="BB89" i="51"/>
  <c r="BB85" i="51"/>
  <c r="BB81" i="51"/>
  <c r="BB139" i="51"/>
  <c r="BB147" i="51"/>
  <c r="BB140" i="51"/>
  <c r="BB148" i="51"/>
  <c r="BB149" i="51"/>
  <c r="BB116" i="51"/>
  <c r="BB112" i="51"/>
  <c r="BB108" i="51"/>
  <c r="BB104" i="51"/>
  <c r="BB100" i="51"/>
  <c r="BB96" i="51"/>
  <c r="BB92" i="51"/>
  <c r="BB88" i="51"/>
  <c r="BB84" i="51"/>
  <c r="BB80" i="51"/>
  <c r="BB141" i="51"/>
  <c r="BB142" i="51"/>
  <c r="BB143" i="51"/>
  <c r="BB135" i="51"/>
  <c r="BB131" i="51"/>
  <c r="BB127" i="51"/>
  <c r="BB123" i="51"/>
  <c r="BB119" i="51"/>
  <c r="BB121" i="51"/>
  <c r="BB144" i="51"/>
  <c r="BB114" i="51"/>
  <c r="BB110" i="51"/>
  <c r="BB106" i="51"/>
  <c r="BB102" i="51"/>
  <c r="BB98" i="51"/>
  <c r="BB94" i="51"/>
  <c r="BB90" i="51"/>
  <c r="BB86" i="51"/>
  <c r="BB82" i="51"/>
  <c r="BB130" i="51"/>
  <c r="BB122" i="51"/>
  <c r="BB124" i="51"/>
  <c r="BB83" i="51"/>
  <c r="BB99" i="51"/>
  <c r="BB136" i="51"/>
  <c r="BB107" i="51"/>
  <c r="BB128" i="51"/>
  <c r="BB111" i="51"/>
  <c r="BB103" i="51"/>
  <c r="BB120" i="51"/>
  <c r="BB95" i="51"/>
  <c r="BB132" i="51"/>
  <c r="BB115" i="51"/>
  <c r="BB91" i="51"/>
  <c r="BB87" i="51"/>
  <c r="BC144" i="51"/>
  <c r="BC93" i="51"/>
  <c r="BC85" i="51"/>
  <c r="BC81" i="51"/>
  <c r="BC145" i="51"/>
  <c r="BC137" i="51"/>
  <c r="BC133" i="51"/>
  <c r="BC129" i="51"/>
  <c r="BC125" i="51"/>
  <c r="BC121" i="51"/>
  <c r="BC146" i="51"/>
  <c r="BC139" i="51"/>
  <c r="BC147" i="51"/>
  <c r="BC136" i="51"/>
  <c r="BC132" i="51"/>
  <c r="BC128" i="51"/>
  <c r="BC124" i="51"/>
  <c r="BC120" i="51"/>
  <c r="BC140" i="51"/>
  <c r="BC148" i="51"/>
  <c r="BC149" i="51"/>
  <c r="BC141" i="51"/>
  <c r="BC142" i="51"/>
  <c r="BC114" i="51"/>
  <c r="BC110" i="51"/>
  <c r="BC106" i="51"/>
  <c r="BC102" i="51"/>
  <c r="BC98" i="51"/>
  <c r="BC94" i="51"/>
  <c r="BC90" i="51"/>
  <c r="BC86" i="51"/>
  <c r="BC82" i="51"/>
  <c r="BC138" i="51"/>
  <c r="BC134" i="51"/>
  <c r="BC126" i="51"/>
  <c r="BC122" i="51"/>
  <c r="BC112" i="51"/>
  <c r="BC143" i="51"/>
  <c r="BC130" i="51"/>
  <c r="BC118" i="51"/>
  <c r="BC117" i="51"/>
  <c r="BC113" i="51"/>
  <c r="BC109" i="51"/>
  <c r="BC105" i="51"/>
  <c r="BC101" i="51"/>
  <c r="BC97" i="51"/>
  <c r="BC89" i="51"/>
  <c r="BC116" i="51"/>
  <c r="BC92" i="51"/>
  <c r="BC123" i="51"/>
  <c r="BC108" i="51"/>
  <c r="BC95" i="51"/>
  <c r="BC119" i="51"/>
  <c r="BC107" i="51"/>
  <c r="BC88" i="51"/>
  <c r="BC131" i="51"/>
  <c r="BC111" i="51"/>
  <c r="BC103" i="51"/>
  <c r="BC84" i="51"/>
  <c r="BC99" i="51"/>
  <c r="BC80" i="51"/>
  <c r="BC135" i="51"/>
  <c r="BC115" i="51"/>
  <c r="BC104" i="51"/>
  <c r="BC91" i="51"/>
  <c r="BC100" i="51"/>
  <c r="BC87" i="51"/>
  <c r="BC127" i="51"/>
  <c r="BC96" i="51"/>
  <c r="BC83" i="51"/>
  <c r="BH139" i="51"/>
  <c r="BH147" i="51"/>
  <c r="BH135" i="51"/>
  <c r="BH127" i="51"/>
  <c r="BH123" i="51"/>
  <c r="BH119" i="51"/>
  <c r="BH134" i="51"/>
  <c r="BH130" i="51"/>
  <c r="BH122" i="51"/>
  <c r="BH140" i="51"/>
  <c r="BH148" i="51"/>
  <c r="BH149" i="51"/>
  <c r="BH114" i="51"/>
  <c r="BH110" i="51"/>
  <c r="BH106" i="51"/>
  <c r="BH102" i="51"/>
  <c r="BH98" i="51"/>
  <c r="BH94" i="51"/>
  <c r="BH90" i="51"/>
  <c r="BH86" i="51"/>
  <c r="BH82" i="51"/>
  <c r="BH141" i="51"/>
  <c r="BH142" i="51"/>
  <c r="BH117" i="51"/>
  <c r="BH113" i="51"/>
  <c r="BH109" i="51"/>
  <c r="BH105" i="51"/>
  <c r="BH101" i="51"/>
  <c r="BH97" i="51"/>
  <c r="BH93" i="51"/>
  <c r="BH89" i="51"/>
  <c r="BH85" i="51"/>
  <c r="BH81" i="51"/>
  <c r="BH143" i="51"/>
  <c r="BH144" i="51"/>
  <c r="BH145" i="51"/>
  <c r="BH136" i="51"/>
  <c r="BH132" i="51"/>
  <c r="BH128" i="51"/>
  <c r="BH124" i="51"/>
  <c r="BH120" i="51"/>
  <c r="BH138" i="51"/>
  <c r="BH146" i="51"/>
  <c r="BH115" i="51"/>
  <c r="BH111" i="51"/>
  <c r="BH107" i="51"/>
  <c r="BH103" i="51"/>
  <c r="BH99" i="51"/>
  <c r="BH95" i="51"/>
  <c r="BH91" i="51"/>
  <c r="BH87" i="51"/>
  <c r="BH83" i="51"/>
  <c r="BH131" i="51"/>
  <c r="BH126" i="51"/>
  <c r="BH118" i="51"/>
  <c r="BH88" i="51"/>
  <c r="BH125" i="51"/>
  <c r="BH104" i="51"/>
  <c r="BH121" i="51"/>
  <c r="BH116" i="51"/>
  <c r="BH84" i="51"/>
  <c r="BH133" i="51"/>
  <c r="BH80" i="51"/>
  <c r="BH108" i="51"/>
  <c r="BH137" i="51"/>
  <c r="BH100" i="51"/>
  <c r="BH112" i="51"/>
  <c r="BH96" i="51"/>
  <c r="BH129" i="51"/>
  <c r="BH92" i="51"/>
  <c r="AZ139" i="51"/>
  <c r="AZ147" i="51"/>
  <c r="AZ131" i="51"/>
  <c r="AZ123" i="51"/>
  <c r="AZ140" i="51"/>
  <c r="AZ148" i="51"/>
  <c r="AZ118" i="51"/>
  <c r="AZ114" i="51"/>
  <c r="AZ110" i="51"/>
  <c r="AZ106" i="51"/>
  <c r="AZ102" i="51"/>
  <c r="AZ98" i="51"/>
  <c r="AZ94" i="51"/>
  <c r="AZ90" i="51"/>
  <c r="AZ86" i="51"/>
  <c r="AZ82" i="51"/>
  <c r="AZ138" i="51"/>
  <c r="AZ126" i="51"/>
  <c r="AZ122" i="51"/>
  <c r="AZ141" i="51"/>
  <c r="AZ142" i="51"/>
  <c r="AZ117" i="51"/>
  <c r="AZ113" i="51"/>
  <c r="AZ109" i="51"/>
  <c r="AZ105" i="51"/>
  <c r="AZ101" i="51"/>
  <c r="AZ97" i="51"/>
  <c r="AZ93" i="51"/>
  <c r="AZ89" i="51"/>
  <c r="AZ85" i="51"/>
  <c r="AZ81" i="51"/>
  <c r="AZ143" i="51"/>
  <c r="AZ144" i="51"/>
  <c r="AZ145" i="51"/>
  <c r="AZ136" i="51"/>
  <c r="AZ132" i="51"/>
  <c r="AZ128" i="51"/>
  <c r="AZ124" i="51"/>
  <c r="AZ120" i="51"/>
  <c r="AZ115" i="51"/>
  <c r="AZ111" i="51"/>
  <c r="AZ107" i="51"/>
  <c r="AZ103" i="51"/>
  <c r="AZ99" i="51"/>
  <c r="AZ95" i="51"/>
  <c r="AZ91" i="51"/>
  <c r="AZ87" i="51"/>
  <c r="AZ83" i="51"/>
  <c r="AZ134" i="51"/>
  <c r="AZ130" i="51"/>
  <c r="AZ149" i="51"/>
  <c r="AZ146" i="51"/>
  <c r="AZ135" i="51"/>
  <c r="AZ127" i="51"/>
  <c r="AZ119" i="51"/>
  <c r="AZ112" i="51"/>
  <c r="AZ100" i="51"/>
  <c r="AZ133" i="51"/>
  <c r="AZ84" i="51"/>
  <c r="AZ129" i="51"/>
  <c r="AZ96" i="51"/>
  <c r="AZ92" i="51"/>
  <c r="AZ121" i="51"/>
  <c r="AZ116" i="51"/>
  <c r="AZ88" i="51"/>
  <c r="AZ80" i="51"/>
  <c r="AZ125" i="51"/>
  <c r="AZ108" i="51"/>
  <c r="AZ137" i="51"/>
  <c r="AZ104" i="51"/>
  <c r="BD143" i="51"/>
  <c r="BD129" i="51"/>
  <c r="BD121" i="51"/>
  <c r="BD144" i="51"/>
  <c r="BD116" i="51"/>
  <c r="BD112" i="51"/>
  <c r="BD108" i="51"/>
  <c r="BD104" i="51"/>
  <c r="BD100" i="51"/>
  <c r="BD96" i="51"/>
  <c r="BD92" i="51"/>
  <c r="BD88" i="51"/>
  <c r="BD84" i="51"/>
  <c r="BD80" i="51"/>
  <c r="BD132" i="51"/>
  <c r="BD120" i="51"/>
  <c r="BD145" i="51"/>
  <c r="BD146" i="51"/>
  <c r="BD115" i="51"/>
  <c r="BD111" i="51"/>
  <c r="BD107" i="51"/>
  <c r="BD103" i="51"/>
  <c r="BD99" i="51"/>
  <c r="BD95" i="51"/>
  <c r="BD91" i="51"/>
  <c r="BD87" i="51"/>
  <c r="BD83" i="51"/>
  <c r="BD139" i="51"/>
  <c r="BD147" i="51"/>
  <c r="BD140" i="51"/>
  <c r="BD148" i="51"/>
  <c r="BD149" i="51"/>
  <c r="BD141" i="51"/>
  <c r="BD138" i="51"/>
  <c r="BD134" i="51"/>
  <c r="BD130" i="51"/>
  <c r="BD126" i="51"/>
  <c r="BD122" i="51"/>
  <c r="BD118" i="51"/>
  <c r="BD117" i="51"/>
  <c r="BD109" i="51"/>
  <c r="BD105" i="51"/>
  <c r="BD101" i="51"/>
  <c r="BD89" i="51"/>
  <c r="BD85" i="51"/>
  <c r="BD81" i="51"/>
  <c r="BD136" i="51"/>
  <c r="BD128" i="51"/>
  <c r="BD124" i="51"/>
  <c r="BD142" i="51"/>
  <c r="BD113" i="51"/>
  <c r="BD97" i="51"/>
  <c r="BD93" i="51"/>
  <c r="BD137" i="51"/>
  <c r="BD133" i="51"/>
  <c r="BD125" i="51"/>
  <c r="BD119" i="51"/>
  <c r="BD98" i="51"/>
  <c r="BD135" i="51"/>
  <c r="BD82" i="51"/>
  <c r="BD131" i="51"/>
  <c r="BD114" i="51"/>
  <c r="BD94" i="51"/>
  <c r="BD90" i="51"/>
  <c r="BD123" i="51"/>
  <c r="BD86" i="51"/>
  <c r="BD127" i="51"/>
  <c r="BD110" i="51"/>
  <c r="BD106" i="51"/>
  <c r="BD102" i="51"/>
  <c r="CC20" i="14"/>
  <c r="CC21" i="14" s="1"/>
  <c r="A9" i="8"/>
  <c r="A10" i="8" s="1"/>
  <c r="A11" i="8" s="1"/>
  <c r="A12" i="8" s="1"/>
  <c r="CJ20" i="14"/>
  <c r="CM21" i="14" s="1"/>
  <c r="BL21" i="14"/>
  <c r="BT20" i="14"/>
  <c r="BS20" i="14"/>
  <c r="CL20" i="14"/>
  <c r="BR20" i="14"/>
  <c r="AZ20" i="14"/>
  <c r="BC21" i="14" s="1"/>
  <c r="Q20" i="14"/>
  <c r="R21" i="14" s="1"/>
  <c r="BB20" i="14"/>
  <c r="BA20" i="14"/>
  <c r="I21" i="14"/>
  <c r="AT21" i="14"/>
  <c r="AA21" i="14"/>
  <c r="AJ21" i="14"/>
  <c r="S21" i="14"/>
  <c r="U2" i="14"/>
  <c r="T3" i="14"/>
  <c r="R3" i="14" s="1"/>
  <c r="AS21" i="14"/>
  <c r="BK21" i="14"/>
  <c r="F4" i="56" l="1"/>
  <c r="G33" i="8"/>
  <c r="E8" i="56"/>
  <c r="G10" i="56"/>
  <c r="F9" i="56"/>
  <c r="E6" i="56"/>
  <c r="H32" i="8"/>
  <c r="F7" i="56"/>
  <c r="BV158" i="14"/>
  <c r="BM158" i="14"/>
  <c r="BD158" i="14"/>
  <c r="AC158" i="14"/>
  <c r="AU158" i="14"/>
  <c r="A159" i="14"/>
  <c r="AL158" i="14"/>
  <c r="T158" i="14"/>
  <c r="B158" i="14"/>
  <c r="CE158" i="14"/>
  <c r="K158" i="14"/>
  <c r="CC6" i="51"/>
  <c r="BK173" i="51"/>
  <c r="BR167" i="51"/>
  <c r="BN166" i="51"/>
  <c r="BP172" i="51"/>
  <c r="BO170" i="51"/>
  <c r="BM167" i="51"/>
  <c r="BR166" i="51"/>
  <c r="BL168" i="51"/>
  <c r="BP171" i="51"/>
  <c r="BO169" i="51"/>
  <c r="BQ173" i="51"/>
  <c r="BN172" i="51"/>
  <c r="BL172" i="51"/>
  <c r="BP170" i="51"/>
  <c r="BO168" i="51"/>
  <c r="BR172" i="51"/>
  <c r="BN171" i="51"/>
  <c r="BL170" i="51"/>
  <c r="BP169" i="51"/>
  <c r="BO167" i="51"/>
  <c r="BR171" i="51"/>
  <c r="BN170" i="51"/>
  <c r="BL167" i="51"/>
  <c r="BP168" i="51"/>
  <c r="BO166" i="51"/>
  <c r="BM169" i="51"/>
  <c r="BR170" i="51"/>
  <c r="BN169" i="51"/>
  <c r="BL169" i="51"/>
  <c r="BL166" i="51"/>
  <c r="BP167" i="51"/>
  <c r="BM172" i="51"/>
  <c r="BR169" i="51"/>
  <c r="BN168" i="51"/>
  <c r="BL171" i="51"/>
  <c r="BP166" i="51"/>
  <c r="BO172" i="51"/>
  <c r="BM171" i="51"/>
  <c r="BM170" i="51"/>
  <c r="BR168" i="51"/>
  <c r="BN167" i="51"/>
  <c r="BO171" i="51"/>
  <c r="BM168" i="51"/>
  <c r="BM166" i="51"/>
  <c r="BI173" i="51"/>
  <c r="BJ166" i="51"/>
  <c r="BJ158" i="51"/>
  <c r="BJ167" i="51"/>
  <c r="BJ165" i="51"/>
  <c r="BA158" i="51"/>
  <c r="BK158" i="51" s="1"/>
  <c r="BA159" i="51"/>
  <c r="BK159" i="51" s="1"/>
  <c r="BA160" i="51"/>
  <c r="BK160" i="51" s="1"/>
  <c r="BA161" i="51"/>
  <c r="BK161" i="51" s="1"/>
  <c r="BA162" i="51"/>
  <c r="BK162" i="51" s="1"/>
  <c r="BA163" i="51"/>
  <c r="BK163" i="51" s="1"/>
  <c r="BA164" i="51"/>
  <c r="BK164" i="51" s="1"/>
  <c r="BA165" i="51"/>
  <c r="BK165" i="51" s="1"/>
  <c r="BA166" i="51"/>
  <c r="BA167" i="51"/>
  <c r="BA168" i="51"/>
  <c r="BA169" i="51"/>
  <c r="BA170" i="51"/>
  <c r="BA171" i="51"/>
  <c r="BA172" i="51"/>
  <c r="BJ172" i="51"/>
  <c r="BJ164" i="51"/>
  <c r="BJ171" i="51"/>
  <c r="BJ163" i="51"/>
  <c r="BJ170" i="51"/>
  <c r="BJ162" i="51"/>
  <c r="BG158" i="51"/>
  <c r="BQ158" i="51" s="1"/>
  <c r="BG159" i="51"/>
  <c r="BQ159" i="51" s="1"/>
  <c r="BG160" i="51"/>
  <c r="BQ160" i="51" s="1"/>
  <c r="BG161" i="51"/>
  <c r="BQ161" i="51" s="1"/>
  <c r="BG162" i="51"/>
  <c r="BQ162" i="51" s="1"/>
  <c r="BG163" i="51"/>
  <c r="BQ163" i="51" s="1"/>
  <c r="BG164" i="51"/>
  <c r="BQ164" i="51" s="1"/>
  <c r="BG165" i="51"/>
  <c r="BQ165" i="51" s="1"/>
  <c r="BG166" i="51"/>
  <c r="BG167" i="51"/>
  <c r="BG168" i="51"/>
  <c r="BG169" i="51"/>
  <c r="BG170" i="51"/>
  <c r="BG171" i="51"/>
  <c r="BG172" i="51"/>
  <c r="BJ169" i="51"/>
  <c r="BJ161" i="51"/>
  <c r="BJ159" i="51"/>
  <c r="BJ168" i="51"/>
  <c r="BJ160" i="51"/>
  <c r="BR150" i="51"/>
  <c r="BN151" i="51"/>
  <c r="BL153" i="51"/>
  <c r="BP150" i="51"/>
  <c r="BO151" i="51"/>
  <c r="BM152" i="51"/>
  <c r="BR151" i="51"/>
  <c r="BN155" i="51"/>
  <c r="BL150" i="51"/>
  <c r="BP154" i="51"/>
  <c r="BO155" i="51"/>
  <c r="BM156" i="51"/>
  <c r="BR153" i="51"/>
  <c r="BN156" i="51"/>
  <c r="BL152" i="51"/>
  <c r="BP151" i="51"/>
  <c r="BO152" i="51"/>
  <c r="BM153" i="51"/>
  <c r="BR157" i="51"/>
  <c r="BN153" i="51"/>
  <c r="BL156" i="51"/>
  <c r="BP156" i="51"/>
  <c r="BO156" i="51"/>
  <c r="BM157" i="51"/>
  <c r="BR154" i="51"/>
  <c r="BN157" i="51"/>
  <c r="BL157" i="51"/>
  <c r="BP155" i="51"/>
  <c r="BO157" i="51"/>
  <c r="BM154" i="51"/>
  <c r="BR155" i="51"/>
  <c r="BN152" i="51"/>
  <c r="BL154" i="51"/>
  <c r="BP152" i="51"/>
  <c r="BO153" i="51"/>
  <c r="BM155" i="51"/>
  <c r="BR152" i="51"/>
  <c r="BN150" i="51"/>
  <c r="BL151" i="51"/>
  <c r="BP153" i="51"/>
  <c r="BO154" i="51"/>
  <c r="BM150" i="51"/>
  <c r="BR156" i="51"/>
  <c r="BN154" i="51"/>
  <c r="BL155" i="51"/>
  <c r="BP157" i="51"/>
  <c r="BO150" i="51"/>
  <c r="BM151" i="51"/>
  <c r="BG156" i="51"/>
  <c r="BG155" i="51"/>
  <c r="BG151" i="51"/>
  <c r="BG154" i="51"/>
  <c r="BG150" i="51"/>
  <c r="BG157" i="51"/>
  <c r="BG153" i="51"/>
  <c r="BG152" i="51"/>
  <c r="BJ152" i="51"/>
  <c r="BJ156" i="51"/>
  <c r="BJ153" i="51"/>
  <c r="BJ157" i="51"/>
  <c r="BJ150" i="51"/>
  <c r="BA154" i="51"/>
  <c r="BA150" i="51"/>
  <c r="BA157" i="51"/>
  <c r="BA153" i="51"/>
  <c r="BA152" i="51"/>
  <c r="BA156" i="51"/>
  <c r="BA155" i="51"/>
  <c r="BA151" i="51"/>
  <c r="BJ154" i="51"/>
  <c r="BJ151" i="51"/>
  <c r="BJ155" i="51"/>
  <c r="H35" i="8"/>
  <c r="G34" i="8"/>
  <c r="H29" i="8"/>
  <c r="CW6" i="51"/>
  <c r="BS6" i="51"/>
  <c r="DG6" i="51"/>
  <c r="CM6" i="51"/>
  <c r="BN110" i="51"/>
  <c r="BN82" i="51"/>
  <c r="BN97" i="51"/>
  <c r="BN130" i="51"/>
  <c r="BN139" i="51"/>
  <c r="BN111" i="51"/>
  <c r="BN88" i="51"/>
  <c r="BN144" i="51"/>
  <c r="BJ80" i="51"/>
  <c r="BJ133" i="51"/>
  <c r="BJ130" i="51"/>
  <c r="BJ107" i="51"/>
  <c r="BJ145" i="51"/>
  <c r="BJ101" i="51"/>
  <c r="BJ126" i="51"/>
  <c r="BJ106" i="51"/>
  <c r="BJ147" i="51"/>
  <c r="BR137" i="51"/>
  <c r="BR125" i="51"/>
  <c r="BR95" i="51"/>
  <c r="BR120" i="51"/>
  <c r="BR81" i="51"/>
  <c r="BR113" i="51"/>
  <c r="BR98" i="51"/>
  <c r="BR122" i="51"/>
  <c r="BR139" i="51"/>
  <c r="BM104" i="51"/>
  <c r="BM131" i="51"/>
  <c r="BM116" i="51"/>
  <c r="BM118" i="51"/>
  <c r="BM82" i="51"/>
  <c r="BM114" i="51"/>
  <c r="BM128" i="51"/>
  <c r="BM129" i="51"/>
  <c r="BL87" i="51"/>
  <c r="BL82" i="51"/>
  <c r="BL114" i="51"/>
  <c r="BL143" i="51"/>
  <c r="BL100" i="51"/>
  <c r="BL147" i="51"/>
  <c r="BL105" i="51"/>
  <c r="BL133" i="51"/>
  <c r="BP81" i="51"/>
  <c r="BP101" i="51"/>
  <c r="BP123" i="51"/>
  <c r="BP149" i="51"/>
  <c r="BP104" i="51"/>
  <c r="BP147" i="51"/>
  <c r="BP98" i="51"/>
  <c r="BP83" i="51"/>
  <c r="BP115" i="51"/>
  <c r="BO130" i="51"/>
  <c r="BO103" i="51"/>
  <c r="BO84" i="51"/>
  <c r="BO81" i="51"/>
  <c r="BO113" i="51"/>
  <c r="BO119" i="51"/>
  <c r="BO115" i="51"/>
  <c r="BO96" i="51"/>
  <c r="BN127" i="51"/>
  <c r="BN135" i="51"/>
  <c r="BN113" i="51"/>
  <c r="BN101" i="51"/>
  <c r="BN134" i="51"/>
  <c r="BN83" i="51"/>
  <c r="BN115" i="51"/>
  <c r="BN92" i="51"/>
  <c r="BN121" i="51"/>
  <c r="BJ88" i="51"/>
  <c r="BJ100" i="51"/>
  <c r="BJ134" i="51"/>
  <c r="BJ111" i="51"/>
  <c r="BJ144" i="51"/>
  <c r="BJ105" i="51"/>
  <c r="BJ138" i="51"/>
  <c r="BJ110" i="51"/>
  <c r="BJ139" i="51"/>
  <c r="BR108" i="51"/>
  <c r="BR88" i="51"/>
  <c r="BR99" i="51"/>
  <c r="BR124" i="51"/>
  <c r="BR85" i="51"/>
  <c r="BR117" i="51"/>
  <c r="BR102" i="51"/>
  <c r="BR130" i="51"/>
  <c r="BM115" i="51"/>
  <c r="BM88" i="51"/>
  <c r="BM89" i="51"/>
  <c r="BM130" i="51"/>
  <c r="BM86" i="51"/>
  <c r="BM142" i="51"/>
  <c r="BM132" i="51"/>
  <c r="BM133" i="51"/>
  <c r="BL91" i="51"/>
  <c r="BL107" i="51"/>
  <c r="BL86" i="51"/>
  <c r="BL144" i="51"/>
  <c r="BL142" i="51"/>
  <c r="BL104" i="51"/>
  <c r="BL139" i="51"/>
  <c r="BL109" i="51"/>
  <c r="BL137" i="51"/>
  <c r="BP117" i="51"/>
  <c r="BP138" i="51"/>
  <c r="BP120" i="51"/>
  <c r="BP148" i="51"/>
  <c r="BP112" i="51"/>
  <c r="BP139" i="51"/>
  <c r="BP102" i="51"/>
  <c r="BP87" i="51"/>
  <c r="BP142" i="51"/>
  <c r="BO98" i="51"/>
  <c r="BO82" i="51"/>
  <c r="BO91" i="51"/>
  <c r="BO92" i="51"/>
  <c r="BO85" i="51"/>
  <c r="BO117" i="51"/>
  <c r="BO123" i="51"/>
  <c r="BO120" i="51"/>
  <c r="BO100" i="51"/>
  <c r="BN89" i="51"/>
  <c r="BL128" i="51"/>
  <c r="BN86" i="51"/>
  <c r="BN98" i="51"/>
  <c r="BN142" i="51"/>
  <c r="BN105" i="51"/>
  <c r="BN138" i="51"/>
  <c r="BN87" i="51"/>
  <c r="BN146" i="51"/>
  <c r="BN96" i="51"/>
  <c r="BN129" i="51"/>
  <c r="BJ116" i="51"/>
  <c r="BJ112" i="51"/>
  <c r="BJ83" i="51"/>
  <c r="BJ115" i="51"/>
  <c r="BJ143" i="51"/>
  <c r="BJ109" i="51"/>
  <c r="BJ82" i="51"/>
  <c r="BJ114" i="51"/>
  <c r="BR80" i="51"/>
  <c r="BR118" i="51"/>
  <c r="BR103" i="51"/>
  <c r="BR128" i="51"/>
  <c r="BR89" i="51"/>
  <c r="BR142" i="51"/>
  <c r="BR106" i="51"/>
  <c r="BR134" i="51"/>
  <c r="BM83" i="51"/>
  <c r="BM135" i="51"/>
  <c r="BM107" i="51"/>
  <c r="BM97" i="51"/>
  <c r="BM143" i="51"/>
  <c r="BM90" i="51"/>
  <c r="BM141" i="51"/>
  <c r="BM136" i="51"/>
  <c r="BM137" i="51"/>
  <c r="BL115" i="51"/>
  <c r="BL136" i="51"/>
  <c r="BL90" i="51"/>
  <c r="BL121" i="51"/>
  <c r="BL141" i="51"/>
  <c r="BL108" i="51"/>
  <c r="BL81" i="51"/>
  <c r="BL113" i="51"/>
  <c r="BL126" i="51"/>
  <c r="BP134" i="51"/>
  <c r="BP105" i="51"/>
  <c r="BP124" i="51"/>
  <c r="BP140" i="51"/>
  <c r="BP116" i="51"/>
  <c r="BP146" i="51"/>
  <c r="BP106" i="51"/>
  <c r="BP91" i="51"/>
  <c r="BP119" i="51"/>
  <c r="BO122" i="51"/>
  <c r="BO95" i="51"/>
  <c r="BO118" i="51"/>
  <c r="BO121" i="51"/>
  <c r="BO89" i="51"/>
  <c r="BO149" i="51"/>
  <c r="BO127" i="51"/>
  <c r="BO124" i="51"/>
  <c r="BO104" i="51"/>
  <c r="BN123" i="51"/>
  <c r="BN119" i="51"/>
  <c r="BN124" i="51"/>
  <c r="BN109" i="51"/>
  <c r="BN141" i="51"/>
  <c r="BN91" i="51"/>
  <c r="BN145" i="51"/>
  <c r="BN100" i="51"/>
  <c r="BN143" i="51"/>
  <c r="BJ121" i="51"/>
  <c r="BJ119" i="51"/>
  <c r="BJ87" i="51"/>
  <c r="BJ120" i="51"/>
  <c r="BJ81" i="51"/>
  <c r="BJ113" i="51"/>
  <c r="BJ86" i="51"/>
  <c r="BJ118" i="51"/>
  <c r="BR92" i="51"/>
  <c r="BR133" i="51"/>
  <c r="BR126" i="51"/>
  <c r="BR107" i="51"/>
  <c r="BR132" i="51"/>
  <c r="BR93" i="51"/>
  <c r="BR141" i="51"/>
  <c r="BR110" i="51"/>
  <c r="BR119" i="51"/>
  <c r="BM96" i="51"/>
  <c r="BM80" i="51"/>
  <c r="BM119" i="51"/>
  <c r="BM101" i="51"/>
  <c r="BM112" i="51"/>
  <c r="BM94" i="51"/>
  <c r="BM149" i="51"/>
  <c r="BM147" i="51"/>
  <c r="BM145" i="51"/>
  <c r="BL132" i="51"/>
  <c r="BL99" i="51"/>
  <c r="BL94" i="51"/>
  <c r="BL119" i="51"/>
  <c r="BL80" i="51"/>
  <c r="BL112" i="51"/>
  <c r="BL85" i="51"/>
  <c r="BL117" i="51"/>
  <c r="BL134" i="51"/>
  <c r="BP85" i="51"/>
  <c r="BP109" i="51"/>
  <c r="BP128" i="51"/>
  <c r="BP131" i="51"/>
  <c r="BP121" i="51"/>
  <c r="BP145" i="51"/>
  <c r="BP110" i="51"/>
  <c r="BP95" i="51"/>
  <c r="BP127" i="51"/>
  <c r="BO83" i="51"/>
  <c r="BO138" i="51"/>
  <c r="BO94" i="51"/>
  <c r="BO125" i="51"/>
  <c r="BO93" i="51"/>
  <c r="BO148" i="51"/>
  <c r="BO131" i="51"/>
  <c r="BO128" i="51"/>
  <c r="BO108" i="51"/>
  <c r="BN90" i="51"/>
  <c r="BN125" i="51"/>
  <c r="BN128" i="51"/>
  <c r="BN117" i="51"/>
  <c r="BN149" i="51"/>
  <c r="BN95" i="51"/>
  <c r="BN120" i="51"/>
  <c r="BN104" i="51"/>
  <c r="BJ104" i="51"/>
  <c r="BJ92" i="51"/>
  <c r="BJ127" i="51"/>
  <c r="BJ91" i="51"/>
  <c r="BJ124" i="51"/>
  <c r="BJ85" i="51"/>
  <c r="BJ117" i="51"/>
  <c r="BJ90" i="51"/>
  <c r="BJ148" i="51"/>
  <c r="BR129" i="51"/>
  <c r="BR84" i="51"/>
  <c r="BR131" i="51"/>
  <c r="BR111" i="51"/>
  <c r="BR136" i="51"/>
  <c r="BR97" i="51"/>
  <c r="BR82" i="51"/>
  <c r="BR114" i="51"/>
  <c r="BR123" i="51"/>
  <c r="BM127" i="51"/>
  <c r="BM99" i="51"/>
  <c r="BM95" i="51"/>
  <c r="BM105" i="51"/>
  <c r="BM122" i="51"/>
  <c r="BM98" i="51"/>
  <c r="BM148" i="51"/>
  <c r="BM139" i="51"/>
  <c r="BM81" i="51"/>
  <c r="BL95" i="51"/>
  <c r="BL83" i="51"/>
  <c r="BL98" i="51"/>
  <c r="BL123" i="51"/>
  <c r="BL84" i="51"/>
  <c r="BL116" i="51"/>
  <c r="BL89" i="51"/>
  <c r="BL118" i="51"/>
  <c r="BL138" i="51"/>
  <c r="BP122" i="51"/>
  <c r="BP126" i="51"/>
  <c r="BP136" i="51"/>
  <c r="BP88" i="51"/>
  <c r="BP125" i="51"/>
  <c r="BP82" i="51"/>
  <c r="BP114" i="51"/>
  <c r="BP99" i="51"/>
  <c r="BP132" i="51"/>
  <c r="BO102" i="51"/>
  <c r="BO86" i="51"/>
  <c r="BO107" i="51"/>
  <c r="BO141" i="51"/>
  <c r="BO97" i="51"/>
  <c r="BO140" i="51"/>
  <c r="BO135" i="51"/>
  <c r="BO132" i="51"/>
  <c r="BO112" i="51"/>
  <c r="BN94" i="51"/>
  <c r="BN133" i="51"/>
  <c r="BN136" i="51"/>
  <c r="BN118" i="51"/>
  <c r="BN148" i="51"/>
  <c r="BN99" i="51"/>
  <c r="BN132" i="51"/>
  <c r="BN108" i="51"/>
  <c r="BJ137" i="51"/>
  <c r="BJ96" i="51"/>
  <c r="BJ135" i="51"/>
  <c r="BJ95" i="51"/>
  <c r="BJ128" i="51"/>
  <c r="BJ89" i="51"/>
  <c r="BJ142" i="51"/>
  <c r="BJ94" i="51"/>
  <c r="BJ140" i="51"/>
  <c r="BR96" i="51"/>
  <c r="BR116" i="51"/>
  <c r="BR83" i="51"/>
  <c r="BR115" i="51"/>
  <c r="BR145" i="51"/>
  <c r="BR101" i="51"/>
  <c r="BR86" i="51"/>
  <c r="BR149" i="51"/>
  <c r="BR127" i="51"/>
  <c r="BM87" i="51"/>
  <c r="BM84" i="51"/>
  <c r="BM108" i="51"/>
  <c r="BM109" i="51"/>
  <c r="BM126" i="51"/>
  <c r="BM102" i="51"/>
  <c r="BM140" i="51"/>
  <c r="BM146" i="51"/>
  <c r="BM85" i="51"/>
  <c r="BL120" i="51"/>
  <c r="BL124" i="51"/>
  <c r="BL102" i="51"/>
  <c r="BL127" i="51"/>
  <c r="BL88" i="51"/>
  <c r="BL149" i="51"/>
  <c r="BL93" i="51"/>
  <c r="BL146" i="51"/>
  <c r="BL145" i="51"/>
  <c r="BP89" i="51"/>
  <c r="BP93" i="51"/>
  <c r="BP80" i="51"/>
  <c r="BP92" i="51"/>
  <c r="BP129" i="51"/>
  <c r="BP86" i="51"/>
  <c r="BP144" i="51"/>
  <c r="BP103" i="51"/>
  <c r="BP141" i="51"/>
  <c r="BO87" i="51"/>
  <c r="BO99" i="51"/>
  <c r="BO114" i="51"/>
  <c r="BO129" i="51"/>
  <c r="BO101" i="51"/>
  <c r="BO147" i="51"/>
  <c r="BO145" i="51"/>
  <c r="BO136" i="51"/>
  <c r="BO116" i="51"/>
  <c r="BN102" i="51"/>
  <c r="BN114" i="51"/>
  <c r="BN137" i="51"/>
  <c r="BN81" i="51"/>
  <c r="BN122" i="51"/>
  <c r="BN140" i="51"/>
  <c r="BN103" i="51"/>
  <c r="BN80" i="51"/>
  <c r="BN112" i="51"/>
  <c r="BJ108" i="51"/>
  <c r="BJ129" i="51"/>
  <c r="BJ146" i="51"/>
  <c r="BJ99" i="51"/>
  <c r="BJ132" i="51"/>
  <c r="BJ93" i="51"/>
  <c r="BJ141" i="51"/>
  <c r="BJ98" i="51"/>
  <c r="BJ123" i="51"/>
  <c r="BR112" i="51"/>
  <c r="BR121" i="51"/>
  <c r="BR87" i="51"/>
  <c r="BR146" i="51"/>
  <c r="BR144" i="51"/>
  <c r="BR105" i="51"/>
  <c r="BR90" i="51"/>
  <c r="BR148" i="51"/>
  <c r="BR135" i="51"/>
  <c r="BM100" i="51"/>
  <c r="BM103" i="51"/>
  <c r="BM123" i="51"/>
  <c r="BM113" i="51"/>
  <c r="BM134" i="51"/>
  <c r="BM106" i="51"/>
  <c r="BM120" i="51"/>
  <c r="BM121" i="51"/>
  <c r="BM93" i="51"/>
  <c r="BL103" i="51"/>
  <c r="BL122" i="51"/>
  <c r="BL106" i="51"/>
  <c r="BL131" i="51"/>
  <c r="BL92" i="51"/>
  <c r="BL148" i="51"/>
  <c r="BL97" i="51"/>
  <c r="BL125" i="51"/>
  <c r="BP97" i="51"/>
  <c r="BP113" i="51"/>
  <c r="BP84" i="51"/>
  <c r="BP96" i="51"/>
  <c r="BP133" i="51"/>
  <c r="BP90" i="51"/>
  <c r="BP143" i="51"/>
  <c r="BP107" i="51"/>
  <c r="BO106" i="51"/>
  <c r="BO126" i="51"/>
  <c r="BO134" i="51"/>
  <c r="BO133" i="51"/>
  <c r="BO105" i="51"/>
  <c r="BO139" i="51"/>
  <c r="BO144" i="51"/>
  <c r="BO143" i="51"/>
  <c r="BO142" i="51"/>
  <c r="BN106" i="51"/>
  <c r="BN131" i="51"/>
  <c r="BN93" i="51"/>
  <c r="BN85" i="51"/>
  <c r="BN126" i="51"/>
  <c r="BN147" i="51"/>
  <c r="BN107" i="51"/>
  <c r="BN84" i="51"/>
  <c r="BN116" i="51"/>
  <c r="BJ125" i="51"/>
  <c r="BJ84" i="51"/>
  <c r="BJ149" i="51"/>
  <c r="BJ103" i="51"/>
  <c r="BJ136" i="51"/>
  <c r="BJ97" i="51"/>
  <c r="BJ122" i="51"/>
  <c r="BJ102" i="51"/>
  <c r="BJ131" i="51"/>
  <c r="BR100" i="51"/>
  <c r="BR104" i="51"/>
  <c r="BR91" i="51"/>
  <c r="BR138" i="51"/>
  <c r="BR143" i="51"/>
  <c r="BR109" i="51"/>
  <c r="BR94" i="51"/>
  <c r="BR140" i="51"/>
  <c r="BR147" i="51"/>
  <c r="BM91" i="51"/>
  <c r="BM111" i="51"/>
  <c r="BM92" i="51"/>
  <c r="BM117" i="51"/>
  <c r="BM138" i="51"/>
  <c r="BM110" i="51"/>
  <c r="BM124" i="51"/>
  <c r="BM125" i="51"/>
  <c r="BM144" i="51"/>
  <c r="BL111" i="51"/>
  <c r="BL130" i="51"/>
  <c r="BL110" i="51"/>
  <c r="BL135" i="51"/>
  <c r="BL96" i="51"/>
  <c r="BL140" i="51"/>
  <c r="BL101" i="51"/>
  <c r="BL129" i="51"/>
  <c r="BP118" i="51"/>
  <c r="BP130" i="51"/>
  <c r="BP108" i="51"/>
  <c r="BP100" i="51"/>
  <c r="BP137" i="51"/>
  <c r="BP94" i="51"/>
  <c r="BP135" i="51"/>
  <c r="BP111" i="51"/>
  <c r="BO110" i="51"/>
  <c r="BO90" i="51"/>
  <c r="BO80" i="51"/>
  <c r="BO137" i="51"/>
  <c r="BO109" i="51"/>
  <c r="BO146" i="51"/>
  <c r="BO111" i="51"/>
  <c r="BO88" i="51"/>
  <c r="BA146" i="51"/>
  <c r="BA118" i="51"/>
  <c r="BA114" i="51"/>
  <c r="BA110" i="51"/>
  <c r="BA106" i="51"/>
  <c r="BA102" i="51"/>
  <c r="BA98" i="51"/>
  <c r="BA117" i="51"/>
  <c r="BA109" i="51"/>
  <c r="BA139" i="51"/>
  <c r="BA147" i="51"/>
  <c r="BA138" i="51"/>
  <c r="BA134" i="51"/>
  <c r="BA130" i="51"/>
  <c r="BA126" i="51"/>
  <c r="BA122" i="51"/>
  <c r="BA140" i="51"/>
  <c r="BA148" i="51"/>
  <c r="BA149" i="51"/>
  <c r="BA141" i="51"/>
  <c r="BA137" i="51"/>
  <c r="BA133" i="51"/>
  <c r="BA129" i="51"/>
  <c r="BA125" i="51"/>
  <c r="BA121" i="51"/>
  <c r="BA142" i="51"/>
  <c r="BA143" i="51"/>
  <c r="BA144" i="51"/>
  <c r="BA115" i="51"/>
  <c r="BA111" i="51"/>
  <c r="BA107" i="51"/>
  <c r="BA103" i="51"/>
  <c r="BA99" i="51"/>
  <c r="BA95" i="51"/>
  <c r="BA91" i="51"/>
  <c r="BA87" i="51"/>
  <c r="BA83" i="51"/>
  <c r="BA135" i="51"/>
  <c r="BA131" i="51"/>
  <c r="BA127" i="51"/>
  <c r="BA145" i="51"/>
  <c r="BA123" i="51"/>
  <c r="BA119" i="51"/>
  <c r="BA94" i="51"/>
  <c r="BA90" i="51"/>
  <c r="BA86" i="51"/>
  <c r="BA82" i="51"/>
  <c r="BA113" i="51"/>
  <c r="BA96" i="51"/>
  <c r="BA81" i="51"/>
  <c r="BA128" i="51"/>
  <c r="BA97" i="51"/>
  <c r="BA80" i="51"/>
  <c r="BA124" i="51"/>
  <c r="BA92" i="51"/>
  <c r="BA136" i="51"/>
  <c r="BA116" i="51"/>
  <c r="BA105" i="51"/>
  <c r="BA88" i="51"/>
  <c r="BA101" i="51"/>
  <c r="BA84" i="51"/>
  <c r="BA108" i="51"/>
  <c r="BA93" i="51"/>
  <c r="BA120" i="51"/>
  <c r="BA104" i="51"/>
  <c r="BA89" i="51"/>
  <c r="BA132" i="51"/>
  <c r="BA112" i="51"/>
  <c r="BA100" i="51"/>
  <c r="BA85" i="51"/>
  <c r="BG140" i="51"/>
  <c r="BG148" i="51"/>
  <c r="BG149" i="51"/>
  <c r="BG91" i="51"/>
  <c r="BG83" i="51"/>
  <c r="BG114" i="51"/>
  <c r="BG141" i="51"/>
  <c r="BG135" i="51"/>
  <c r="BG131" i="51"/>
  <c r="BG127" i="51"/>
  <c r="BG123" i="51"/>
  <c r="BG119" i="51"/>
  <c r="BG142" i="51"/>
  <c r="BG143" i="51"/>
  <c r="BG138" i="51"/>
  <c r="BG134" i="51"/>
  <c r="BG130" i="51"/>
  <c r="BG126" i="51"/>
  <c r="BG122" i="51"/>
  <c r="BG118" i="51"/>
  <c r="BG144" i="51"/>
  <c r="BG145" i="51"/>
  <c r="BG146" i="51"/>
  <c r="BG116" i="51"/>
  <c r="BG112" i="51"/>
  <c r="BG108" i="51"/>
  <c r="BG104" i="51"/>
  <c r="BG100" i="51"/>
  <c r="BG96" i="51"/>
  <c r="BG92" i="51"/>
  <c r="BG88" i="51"/>
  <c r="BG84" i="51"/>
  <c r="BG80" i="51"/>
  <c r="BG136" i="51"/>
  <c r="BG132" i="51"/>
  <c r="BG128" i="51"/>
  <c r="BG124" i="51"/>
  <c r="BG120" i="51"/>
  <c r="BG139" i="51"/>
  <c r="BG147" i="51"/>
  <c r="BG115" i="51"/>
  <c r="BG111" i="51"/>
  <c r="BG107" i="51"/>
  <c r="BG103" i="51"/>
  <c r="BG99" i="51"/>
  <c r="BG95" i="51"/>
  <c r="BG87" i="51"/>
  <c r="BG110" i="51"/>
  <c r="BG129" i="51"/>
  <c r="BG109" i="51"/>
  <c r="BG105" i="51"/>
  <c r="BG90" i="51"/>
  <c r="BG106" i="51"/>
  <c r="BG89" i="51"/>
  <c r="BG101" i="51"/>
  <c r="BG86" i="51"/>
  <c r="BG121" i="51"/>
  <c r="BG97" i="51"/>
  <c r="BG82" i="51"/>
  <c r="BG133" i="51"/>
  <c r="BG113" i="51"/>
  <c r="BG93" i="51"/>
  <c r="BG125" i="51"/>
  <c r="BG102" i="51"/>
  <c r="BG85" i="51"/>
  <c r="BG137" i="51"/>
  <c r="BG117" i="51"/>
  <c r="BG98" i="51"/>
  <c r="BG81" i="51"/>
  <c r="BG94" i="51"/>
  <c r="CL21" i="14"/>
  <c r="BT21" i="14"/>
  <c r="BU21" i="14"/>
  <c r="BB21" i="14"/>
  <c r="T2" i="14"/>
  <c r="BS173" i="51" l="1"/>
  <c r="G9" i="56"/>
  <c r="J24" i="8"/>
  <c r="H10" i="56"/>
  <c r="G7" i="56"/>
  <c r="H33" i="8"/>
  <c r="F8" i="56"/>
  <c r="F6" i="56"/>
  <c r="G31" i="8"/>
  <c r="G4" i="56"/>
  <c r="AL159" i="14"/>
  <c r="A160" i="14"/>
  <c r="B159" i="14"/>
  <c r="BM159" i="14"/>
  <c r="BV159" i="14"/>
  <c r="T159" i="14"/>
  <c r="CE159" i="14"/>
  <c r="K159" i="14"/>
  <c r="BD159" i="14"/>
  <c r="AC159" i="14"/>
  <c r="AU159" i="14"/>
  <c r="BQ168" i="51"/>
  <c r="BQ167" i="51"/>
  <c r="BK172" i="51"/>
  <c r="BQ166" i="51"/>
  <c r="BK171" i="51"/>
  <c r="BK170" i="51"/>
  <c r="BQ172" i="51"/>
  <c r="BK169" i="51"/>
  <c r="BQ171" i="51"/>
  <c r="BK168" i="51"/>
  <c r="BQ170" i="51"/>
  <c r="BK167" i="51"/>
  <c r="BQ169" i="51"/>
  <c r="BK166" i="51"/>
  <c r="BS159" i="51"/>
  <c r="BI159" i="51"/>
  <c r="BI160" i="51"/>
  <c r="BS160" i="51"/>
  <c r="BI163" i="51"/>
  <c r="BI168" i="51"/>
  <c r="BS163" i="51"/>
  <c r="BI165" i="51"/>
  <c r="BS165" i="51"/>
  <c r="BI161" i="51"/>
  <c r="BI167" i="51"/>
  <c r="BS161" i="51"/>
  <c r="BI171" i="51"/>
  <c r="BI169" i="51"/>
  <c r="BS158" i="51"/>
  <c r="BI162" i="51"/>
  <c r="BS164" i="51"/>
  <c r="BI158" i="51"/>
  <c r="BS162" i="51"/>
  <c r="BI164" i="51"/>
  <c r="BI166" i="51"/>
  <c r="BI170" i="51"/>
  <c r="BI172" i="51"/>
  <c r="BI151" i="51"/>
  <c r="BI155" i="51"/>
  <c r="BI157" i="51"/>
  <c r="BK152" i="51"/>
  <c r="BQ151" i="51"/>
  <c r="BK153" i="51"/>
  <c r="BQ155" i="51"/>
  <c r="BK157" i="51"/>
  <c r="BQ156" i="51"/>
  <c r="BK150" i="51"/>
  <c r="BQ152" i="51"/>
  <c r="BK154" i="51"/>
  <c r="BQ153" i="51"/>
  <c r="BK151" i="51"/>
  <c r="BQ157" i="51"/>
  <c r="BK155" i="51"/>
  <c r="BQ150" i="51"/>
  <c r="BK156" i="51"/>
  <c r="BQ154" i="51"/>
  <c r="BI153" i="51"/>
  <c r="BI154" i="51"/>
  <c r="BI156" i="51"/>
  <c r="BI152" i="51"/>
  <c r="BI150" i="51"/>
  <c r="H34" i="8"/>
  <c r="BI125" i="51"/>
  <c r="BI108" i="51"/>
  <c r="BI137" i="51"/>
  <c r="BI120" i="51"/>
  <c r="BI148" i="51"/>
  <c r="BI136" i="51"/>
  <c r="BI132" i="51"/>
  <c r="BI128" i="51"/>
  <c r="BI119" i="51"/>
  <c r="BI91" i="51"/>
  <c r="BI145" i="51"/>
  <c r="BI93" i="51"/>
  <c r="BI82" i="51"/>
  <c r="BI126" i="51"/>
  <c r="BI98" i="51"/>
  <c r="BI131" i="51"/>
  <c r="BI86" i="51"/>
  <c r="BI130" i="51"/>
  <c r="BI129" i="51"/>
  <c r="BI106" i="51"/>
  <c r="BI104" i="51"/>
  <c r="BI84" i="51"/>
  <c r="BI85" i="51"/>
  <c r="BI124" i="51"/>
  <c r="BI135" i="51"/>
  <c r="BI111" i="51"/>
  <c r="BI133" i="51"/>
  <c r="BI102" i="51"/>
  <c r="BI100" i="51"/>
  <c r="BI80" i="51"/>
  <c r="BI90" i="51"/>
  <c r="BI115" i="51"/>
  <c r="BI89" i="51"/>
  <c r="BI95" i="51"/>
  <c r="BI114" i="51"/>
  <c r="BI112" i="51"/>
  <c r="BI97" i="51"/>
  <c r="BI94" i="51"/>
  <c r="BI144" i="51"/>
  <c r="BI141" i="51"/>
  <c r="BI138" i="51"/>
  <c r="BI121" i="51"/>
  <c r="BI140" i="51"/>
  <c r="BI127" i="51"/>
  <c r="BQ81" i="51"/>
  <c r="BQ113" i="51"/>
  <c r="BQ106" i="51"/>
  <c r="BQ99" i="51"/>
  <c r="BQ124" i="51"/>
  <c r="BQ96" i="51"/>
  <c r="BQ144" i="51"/>
  <c r="BQ142" i="51"/>
  <c r="BQ83" i="51"/>
  <c r="BK132" i="51"/>
  <c r="BK88" i="51"/>
  <c r="BK128" i="51"/>
  <c r="BK119" i="51"/>
  <c r="BK91" i="51"/>
  <c r="BK143" i="51"/>
  <c r="BK149" i="51"/>
  <c r="BK147" i="51"/>
  <c r="BK114" i="51"/>
  <c r="BI142" i="51"/>
  <c r="BI143" i="51"/>
  <c r="BQ98" i="51"/>
  <c r="BQ133" i="51"/>
  <c r="BQ90" i="51"/>
  <c r="BQ103" i="51"/>
  <c r="BQ128" i="51"/>
  <c r="BQ100" i="51"/>
  <c r="BQ118" i="51"/>
  <c r="BQ119" i="51"/>
  <c r="BQ91" i="51"/>
  <c r="BK89" i="51"/>
  <c r="BK105" i="51"/>
  <c r="BK81" i="51"/>
  <c r="BK123" i="51"/>
  <c r="BK95" i="51"/>
  <c r="BK142" i="51"/>
  <c r="BK148" i="51"/>
  <c r="BK139" i="51"/>
  <c r="BK118" i="51"/>
  <c r="BQ95" i="51"/>
  <c r="BQ145" i="51"/>
  <c r="BK112" i="51"/>
  <c r="BK87" i="51"/>
  <c r="BQ82" i="51"/>
  <c r="BQ105" i="51"/>
  <c r="BQ107" i="51"/>
  <c r="BQ132" i="51"/>
  <c r="BQ104" i="51"/>
  <c r="BQ122" i="51"/>
  <c r="BQ123" i="51"/>
  <c r="BQ149" i="51"/>
  <c r="BK104" i="51"/>
  <c r="BK96" i="51"/>
  <c r="BK145" i="51"/>
  <c r="BK99" i="51"/>
  <c r="BK121" i="51"/>
  <c r="BK140" i="51"/>
  <c r="BK109" i="51"/>
  <c r="BK146" i="51"/>
  <c r="BI149" i="51"/>
  <c r="BI99" i="51"/>
  <c r="BQ137" i="51"/>
  <c r="BQ97" i="51"/>
  <c r="BQ109" i="51"/>
  <c r="BQ111" i="51"/>
  <c r="BQ136" i="51"/>
  <c r="BQ108" i="51"/>
  <c r="BQ126" i="51"/>
  <c r="BQ127" i="51"/>
  <c r="BQ148" i="51"/>
  <c r="BK120" i="51"/>
  <c r="BK136" i="51"/>
  <c r="BK113" i="51"/>
  <c r="BK127" i="51"/>
  <c r="BK103" i="51"/>
  <c r="BK125" i="51"/>
  <c r="BK122" i="51"/>
  <c r="BK117" i="51"/>
  <c r="BI123" i="51"/>
  <c r="BI113" i="51"/>
  <c r="BI139" i="51"/>
  <c r="BQ94" i="51"/>
  <c r="BQ92" i="51"/>
  <c r="BK97" i="51"/>
  <c r="BK138" i="51"/>
  <c r="BQ117" i="51"/>
  <c r="BK116" i="51"/>
  <c r="BQ85" i="51"/>
  <c r="BQ121" i="51"/>
  <c r="BQ129" i="51"/>
  <c r="BQ115" i="51"/>
  <c r="BQ80" i="51"/>
  <c r="BQ112" i="51"/>
  <c r="BQ130" i="51"/>
  <c r="BQ131" i="51"/>
  <c r="BQ140" i="51"/>
  <c r="BK93" i="51"/>
  <c r="BK92" i="51"/>
  <c r="BK82" i="51"/>
  <c r="BK131" i="51"/>
  <c r="BK107" i="51"/>
  <c r="BK129" i="51"/>
  <c r="BK126" i="51"/>
  <c r="BK98" i="51"/>
  <c r="BI92" i="51"/>
  <c r="BI118" i="51"/>
  <c r="BI87" i="51"/>
  <c r="BI116" i="51"/>
  <c r="BI88" i="51"/>
  <c r="BI107" i="51"/>
  <c r="BQ89" i="51"/>
  <c r="BQ143" i="51"/>
  <c r="BK101" i="51"/>
  <c r="BK141" i="51"/>
  <c r="BQ102" i="51"/>
  <c r="BQ86" i="51"/>
  <c r="BQ110" i="51"/>
  <c r="BQ147" i="51"/>
  <c r="BQ84" i="51"/>
  <c r="BQ116" i="51"/>
  <c r="BQ134" i="51"/>
  <c r="BQ135" i="51"/>
  <c r="BK85" i="51"/>
  <c r="BK108" i="51"/>
  <c r="BK124" i="51"/>
  <c r="BK86" i="51"/>
  <c r="BK135" i="51"/>
  <c r="BK111" i="51"/>
  <c r="BK133" i="51"/>
  <c r="BK130" i="51"/>
  <c r="BK102" i="51"/>
  <c r="BI122" i="51"/>
  <c r="BI146" i="51"/>
  <c r="BI117" i="51"/>
  <c r="BI105" i="51"/>
  <c r="BI134" i="51"/>
  <c r="BI147" i="51"/>
  <c r="BQ93" i="51"/>
  <c r="BQ120" i="51"/>
  <c r="BQ114" i="51"/>
  <c r="BK94" i="51"/>
  <c r="BK144" i="51"/>
  <c r="BK110" i="51"/>
  <c r="BQ125" i="51"/>
  <c r="BQ101" i="51"/>
  <c r="BQ87" i="51"/>
  <c r="BQ139" i="51"/>
  <c r="BQ88" i="51"/>
  <c r="BQ146" i="51"/>
  <c r="BQ138" i="51"/>
  <c r="BQ141" i="51"/>
  <c r="BK100" i="51"/>
  <c r="BK84" i="51"/>
  <c r="BK80" i="51"/>
  <c r="BK90" i="51"/>
  <c r="BK83" i="51"/>
  <c r="BK115" i="51"/>
  <c r="BK137" i="51"/>
  <c r="BK134" i="51"/>
  <c r="BK106" i="51"/>
  <c r="BI103" i="51"/>
  <c r="BI96" i="51"/>
  <c r="BI81" i="51"/>
  <c r="BI109" i="51"/>
  <c r="BI83" i="51"/>
  <c r="BI110" i="51"/>
  <c r="BI101" i="51"/>
  <c r="Q3" i="14"/>
  <c r="R2" i="14"/>
  <c r="BS172" i="51" l="1"/>
  <c r="BS168" i="51"/>
  <c r="G8" i="56"/>
  <c r="BS166" i="51"/>
  <c r="J21" i="8"/>
  <c r="H7" i="56"/>
  <c r="J18" i="8"/>
  <c r="H4" i="56"/>
  <c r="I10" i="56"/>
  <c r="J35" i="8"/>
  <c r="BS170" i="51"/>
  <c r="G6" i="56"/>
  <c r="H31" i="8"/>
  <c r="J23" i="8"/>
  <c r="H9" i="56"/>
  <c r="CE160" i="14"/>
  <c r="BV160" i="14"/>
  <c r="AC160" i="14"/>
  <c r="AU160" i="14"/>
  <c r="B160" i="14"/>
  <c r="BD160" i="14"/>
  <c r="AL160" i="14"/>
  <c r="BM160" i="14"/>
  <c r="A161" i="14"/>
  <c r="K160" i="14"/>
  <c r="T160" i="14"/>
  <c r="BS167" i="51"/>
  <c r="BS171" i="51"/>
  <c r="BS169" i="51"/>
  <c r="BS156" i="51"/>
  <c r="BS153" i="51"/>
  <c r="BS157" i="51"/>
  <c r="BS154" i="51"/>
  <c r="BS150" i="51"/>
  <c r="BS152" i="51"/>
  <c r="BS151" i="51"/>
  <c r="BS155" i="51"/>
  <c r="I31" i="8"/>
  <c r="I29" i="8"/>
  <c r="I35" i="8"/>
  <c r="I32" i="8"/>
  <c r="BS119" i="51"/>
  <c r="BS116" i="51"/>
  <c r="BS132" i="51"/>
  <c r="BS105" i="51"/>
  <c r="BS118" i="51"/>
  <c r="BS130" i="51"/>
  <c r="BS136" i="51"/>
  <c r="BS117" i="51"/>
  <c r="BS80" i="51"/>
  <c r="BS109" i="51"/>
  <c r="BS131" i="51"/>
  <c r="BS81" i="51"/>
  <c r="BS87" i="51"/>
  <c r="BS85" i="51"/>
  <c r="BS91" i="51"/>
  <c r="BS98" i="51"/>
  <c r="BS92" i="51"/>
  <c r="BS128" i="51"/>
  <c r="BS93" i="51"/>
  <c r="BS123" i="51"/>
  <c r="BS134" i="51"/>
  <c r="BS139" i="51"/>
  <c r="BS124" i="51"/>
  <c r="BS107" i="51"/>
  <c r="BS89" i="51"/>
  <c r="BS102" i="51"/>
  <c r="BS82" i="51"/>
  <c r="BS90" i="51"/>
  <c r="BS112" i="51"/>
  <c r="BS95" i="51"/>
  <c r="BS144" i="51"/>
  <c r="BS125" i="51"/>
  <c r="BS83" i="51"/>
  <c r="BS84" i="51"/>
  <c r="BS135" i="51"/>
  <c r="BS88" i="51"/>
  <c r="BS108" i="51"/>
  <c r="BS140" i="51"/>
  <c r="BS103" i="51"/>
  <c r="BS121" i="51"/>
  <c r="BS133" i="51"/>
  <c r="BS143" i="51"/>
  <c r="BS99" i="51"/>
  <c r="BS96" i="51"/>
  <c r="BS147" i="51"/>
  <c r="BS115" i="51"/>
  <c r="BS114" i="51"/>
  <c r="BS148" i="51"/>
  <c r="BS122" i="51"/>
  <c r="BS94" i="51"/>
  <c r="BS126" i="51"/>
  <c r="BS113" i="51"/>
  <c r="BS100" i="51"/>
  <c r="BS120" i="51"/>
  <c r="BS149" i="51"/>
  <c r="BS145" i="51"/>
  <c r="BS142" i="51"/>
  <c r="BS86" i="51"/>
  <c r="BS146" i="51"/>
  <c r="BS111" i="51"/>
  <c r="BS127" i="51"/>
  <c r="BS138" i="51"/>
  <c r="BS137" i="51"/>
  <c r="BS97" i="51"/>
  <c r="BS106" i="51"/>
  <c r="BS141" i="51"/>
  <c r="BS110" i="51"/>
  <c r="BS129" i="51"/>
  <c r="BS101" i="51"/>
  <c r="BS104" i="51"/>
  <c r="Q2" i="14"/>
  <c r="I9" i="56" l="1"/>
  <c r="J34" i="8"/>
  <c r="I4" i="56"/>
  <c r="J29" i="8"/>
  <c r="H6" i="56"/>
  <c r="J20" i="8"/>
  <c r="J32" i="8"/>
  <c r="I7" i="56"/>
  <c r="H8" i="56"/>
  <c r="J22" i="8"/>
  <c r="C134" i="14"/>
  <c r="C135" i="14" s="1"/>
  <c r="C136" i="14" s="1"/>
  <c r="C137" i="14" s="1"/>
  <c r="C138" i="14" s="1"/>
  <c r="C139" i="14" s="1"/>
  <c r="C140" i="14" s="1"/>
  <c r="C141" i="14" s="1"/>
  <c r="C142" i="14" s="1"/>
  <c r="C143" i="14" s="1"/>
  <c r="C144" i="14" s="1"/>
  <c r="C145" i="14" s="1"/>
  <c r="C146" i="14" s="1"/>
  <c r="C147" i="14" s="1"/>
  <c r="BE120" i="14"/>
  <c r="BE121" i="14" s="1"/>
  <c r="BE122" i="14" s="1"/>
  <c r="BE123" i="14" s="1"/>
  <c r="BE124" i="14" s="1"/>
  <c r="BE125" i="14" s="1"/>
  <c r="BE126" i="14" s="1"/>
  <c r="BE127" i="14" s="1"/>
  <c r="BE128" i="14" s="1"/>
  <c r="BE129" i="14" s="1"/>
  <c r="BE130" i="14" s="1"/>
  <c r="BE131" i="14" s="1"/>
  <c r="BE132" i="14" s="1"/>
  <c r="BE133" i="14" s="1"/>
  <c r="BN134" i="14"/>
  <c r="BN135" i="14" s="1"/>
  <c r="BN136" i="14" s="1"/>
  <c r="BN137" i="14" s="1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78" i="14"/>
  <c r="BN79" i="14" s="1"/>
  <c r="BN80" i="14" s="1"/>
  <c r="BN81" i="14" s="1"/>
  <c r="BN82" i="14" s="1"/>
  <c r="BN83" i="14" s="1"/>
  <c r="BN84" i="14" s="1"/>
  <c r="BN85" i="14" s="1"/>
  <c r="BN86" i="14" s="1"/>
  <c r="BN87" i="14" s="1"/>
  <c r="BN88" i="14" s="1"/>
  <c r="BN89" i="14" s="1"/>
  <c r="BN90" i="14" s="1"/>
  <c r="BN91" i="14" s="1"/>
  <c r="AV78" i="14"/>
  <c r="AV79" i="14" s="1"/>
  <c r="AV80" i="14" s="1"/>
  <c r="AV81" i="14" s="1"/>
  <c r="AV82" i="14" s="1"/>
  <c r="AV83" i="14" s="1"/>
  <c r="AV84" i="14" s="1"/>
  <c r="AV85" i="14" s="1"/>
  <c r="AV86" i="14" s="1"/>
  <c r="AV87" i="14" s="1"/>
  <c r="AV88" i="14" s="1"/>
  <c r="AV89" i="14" s="1"/>
  <c r="AV90" i="14" s="1"/>
  <c r="AV91" i="14" s="1"/>
  <c r="AV134" i="14"/>
  <c r="AV135" i="14" s="1"/>
  <c r="AV136" i="14" s="1"/>
  <c r="AV137" i="14" s="1"/>
  <c r="AV138" i="14" s="1"/>
  <c r="AV139" i="14" s="1"/>
  <c r="AV140" i="14" s="1"/>
  <c r="AV141" i="14" s="1"/>
  <c r="AV142" i="14" s="1"/>
  <c r="AV143" i="14" s="1"/>
  <c r="AV144" i="14" s="1"/>
  <c r="AV145" i="14" s="1"/>
  <c r="AV146" i="14" s="1"/>
  <c r="AV147" i="14" s="1"/>
  <c r="AV19" i="14"/>
  <c r="AV20" i="14" s="1"/>
  <c r="BE134" i="14"/>
  <c r="BE135" i="14" s="1"/>
  <c r="BE136" i="14" s="1"/>
  <c r="BE137" i="14" s="1"/>
  <c r="BE138" i="14" s="1"/>
  <c r="BE139" i="14" s="1"/>
  <c r="BE140" i="14" s="1"/>
  <c r="BE141" i="14" s="1"/>
  <c r="BE142" i="14" s="1"/>
  <c r="BE143" i="14" s="1"/>
  <c r="BE144" i="14" s="1"/>
  <c r="BE145" i="14" s="1"/>
  <c r="BE146" i="14" s="1"/>
  <c r="BE147" i="14" s="1"/>
  <c r="C92" i="14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AV120" i="14"/>
  <c r="AV121" i="14" s="1"/>
  <c r="AV122" i="14" s="1"/>
  <c r="AV123" i="14" s="1"/>
  <c r="AV124" i="14" s="1"/>
  <c r="AV125" i="14" s="1"/>
  <c r="AV126" i="14" s="1"/>
  <c r="AV127" i="14" s="1"/>
  <c r="AV128" i="14" s="1"/>
  <c r="AV129" i="14" s="1"/>
  <c r="AV130" i="14" s="1"/>
  <c r="AV131" i="14" s="1"/>
  <c r="AV132" i="14" s="1"/>
  <c r="AV133" i="14" s="1"/>
  <c r="BE22" i="14"/>
  <c r="BE23" i="14" s="1"/>
  <c r="BE24" i="14" s="1"/>
  <c r="BE25" i="14" s="1"/>
  <c r="BE26" i="14" s="1"/>
  <c r="BE27" i="14" s="1"/>
  <c r="BE28" i="14" s="1"/>
  <c r="BE29" i="14" s="1"/>
  <c r="BE30" i="14" s="1"/>
  <c r="BE31" i="14" s="1"/>
  <c r="BE32" i="14" s="1"/>
  <c r="BE33" i="14" s="1"/>
  <c r="BE34" i="14" s="1"/>
  <c r="BE35" i="14" s="1"/>
  <c r="BE36" i="14" s="1"/>
  <c r="BE37" i="14" s="1"/>
  <c r="BE38" i="14" s="1"/>
  <c r="BE39" i="14" s="1"/>
  <c r="BE40" i="14" s="1"/>
  <c r="BE41" i="14" s="1"/>
  <c r="BE42" i="14" s="1"/>
  <c r="BE43" i="14" s="1"/>
  <c r="BE44" i="14" s="1"/>
  <c r="BE45" i="14" s="1"/>
  <c r="BE46" i="14" s="1"/>
  <c r="BE47" i="14" s="1"/>
  <c r="BE48" i="14" s="1"/>
  <c r="BE49" i="14" s="1"/>
  <c r="BE50" i="14" s="1"/>
  <c r="BE51" i="14" s="1"/>
  <c r="BE52" i="14" s="1"/>
  <c r="BE53" i="14" s="1"/>
  <c r="BE54" i="14" s="1"/>
  <c r="BE55" i="14" s="1"/>
  <c r="BE56" i="14" s="1"/>
  <c r="BE57" i="14" s="1"/>
  <c r="BE58" i="14" s="1"/>
  <c r="BE59" i="14" s="1"/>
  <c r="BE60" i="14" s="1"/>
  <c r="BE61" i="14" s="1"/>
  <c r="BE62" i="14" s="1"/>
  <c r="BE63" i="14" s="1"/>
  <c r="BE64" i="14" s="1"/>
  <c r="BE65" i="14" s="1"/>
  <c r="BE66" i="14" s="1"/>
  <c r="BE67" i="14" s="1"/>
  <c r="BE68" i="14" s="1"/>
  <c r="BE69" i="14" s="1"/>
  <c r="BE70" i="14" s="1"/>
  <c r="BE71" i="14" s="1"/>
  <c r="BE72" i="14" s="1"/>
  <c r="BE73" i="14" s="1"/>
  <c r="BE74" i="14" s="1"/>
  <c r="BE75" i="14" s="1"/>
  <c r="BE76" i="14" s="1"/>
  <c r="BE77" i="14" s="1"/>
  <c r="BN19" i="14"/>
  <c r="BN20" i="14" s="1"/>
  <c r="U120" i="14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BE92" i="14"/>
  <c r="BE93" i="14" s="1"/>
  <c r="BE94" i="14" s="1"/>
  <c r="BE95" i="14" s="1"/>
  <c r="BE96" i="14" s="1"/>
  <c r="BE97" i="14" s="1"/>
  <c r="BE98" i="14" s="1"/>
  <c r="BE99" i="14" s="1"/>
  <c r="BE100" i="14" s="1"/>
  <c r="BE101" i="14" s="1"/>
  <c r="BE102" i="14" s="1"/>
  <c r="BE103" i="14" s="1"/>
  <c r="BE104" i="14" s="1"/>
  <c r="BE105" i="14" s="1"/>
  <c r="BE19" i="14"/>
  <c r="BE20" i="14" s="1"/>
  <c r="BN120" i="14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06" i="14"/>
  <c r="BN107" i="14" s="1"/>
  <c r="BN108" i="14" s="1"/>
  <c r="BN109" i="14" s="1"/>
  <c r="BN110" i="14" s="1"/>
  <c r="BN111" i="14" s="1"/>
  <c r="BN112" i="14" s="1"/>
  <c r="BN113" i="14" s="1"/>
  <c r="BN114" i="14" s="1"/>
  <c r="BN115" i="14" s="1"/>
  <c r="BN116" i="14" s="1"/>
  <c r="BN117" i="14" s="1"/>
  <c r="BN118" i="14" s="1"/>
  <c r="BN119" i="14" s="1"/>
  <c r="BW106" i="14"/>
  <c r="BW107" i="14" s="1"/>
  <c r="BW108" i="14" s="1"/>
  <c r="BW109" i="14" s="1"/>
  <c r="BW110" i="14" s="1"/>
  <c r="BW111" i="14" s="1"/>
  <c r="BW112" i="14" s="1"/>
  <c r="BW113" i="14" s="1"/>
  <c r="BW114" i="14" s="1"/>
  <c r="BW115" i="14" s="1"/>
  <c r="BW116" i="14" s="1"/>
  <c r="BW117" i="14" s="1"/>
  <c r="BW118" i="14" s="1"/>
  <c r="BW119" i="14" s="1"/>
  <c r="AV92" i="14"/>
  <c r="AV93" i="14" s="1"/>
  <c r="AV94" i="14" s="1"/>
  <c r="AV95" i="14" s="1"/>
  <c r="AV96" i="14" s="1"/>
  <c r="AV97" i="14" s="1"/>
  <c r="AV98" i="14" s="1"/>
  <c r="AV99" i="14" s="1"/>
  <c r="AV100" i="14" s="1"/>
  <c r="AV101" i="14" s="1"/>
  <c r="AV102" i="14" s="1"/>
  <c r="AV103" i="14" s="1"/>
  <c r="AV104" i="14" s="1"/>
  <c r="AV105" i="14" s="1"/>
  <c r="C22" i="14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AV106" i="14"/>
  <c r="AV107" i="14" s="1"/>
  <c r="AV108" i="14" s="1"/>
  <c r="AV109" i="14" s="1"/>
  <c r="AV110" i="14" s="1"/>
  <c r="AV111" i="14" s="1"/>
  <c r="AV112" i="14" s="1"/>
  <c r="AV113" i="14" s="1"/>
  <c r="AV114" i="14" s="1"/>
  <c r="AV115" i="14" s="1"/>
  <c r="AV116" i="14" s="1"/>
  <c r="AV117" i="14" s="1"/>
  <c r="AV118" i="14" s="1"/>
  <c r="AV119" i="14" s="1"/>
  <c r="AV22" i="14"/>
  <c r="AV23" i="14" s="1"/>
  <c r="AV24" i="14" s="1"/>
  <c r="AV25" i="14" s="1"/>
  <c r="AV26" i="14" s="1"/>
  <c r="AV27" i="14" s="1"/>
  <c r="AV28" i="14" s="1"/>
  <c r="AV29" i="14" s="1"/>
  <c r="AV30" i="14" s="1"/>
  <c r="AV31" i="14" s="1"/>
  <c r="AV32" i="14" s="1"/>
  <c r="AV33" i="14" s="1"/>
  <c r="AV34" i="14" s="1"/>
  <c r="AV35" i="14" s="1"/>
  <c r="AV36" i="14" s="1"/>
  <c r="AV37" i="14" s="1"/>
  <c r="AV38" i="14" s="1"/>
  <c r="AV39" i="14" s="1"/>
  <c r="AV40" i="14" s="1"/>
  <c r="AV41" i="14" s="1"/>
  <c r="AV42" i="14" s="1"/>
  <c r="AV43" i="14" s="1"/>
  <c r="AV44" i="14" s="1"/>
  <c r="AV45" i="14" s="1"/>
  <c r="AV46" i="14" s="1"/>
  <c r="AV47" i="14" s="1"/>
  <c r="AV48" i="14" s="1"/>
  <c r="AV49" i="14" s="1"/>
  <c r="AV50" i="14" s="1"/>
  <c r="AV51" i="14" s="1"/>
  <c r="AV52" i="14" s="1"/>
  <c r="AV53" i="14" s="1"/>
  <c r="AV54" i="14" s="1"/>
  <c r="AV55" i="14" s="1"/>
  <c r="AV56" i="14" s="1"/>
  <c r="AV57" i="14" s="1"/>
  <c r="AV58" i="14" s="1"/>
  <c r="AV59" i="14" s="1"/>
  <c r="AV60" i="14" s="1"/>
  <c r="AV61" i="14" s="1"/>
  <c r="AV62" i="14" s="1"/>
  <c r="AV63" i="14" s="1"/>
  <c r="AV64" i="14" s="1"/>
  <c r="AV65" i="14" s="1"/>
  <c r="AV66" i="14" s="1"/>
  <c r="AV67" i="14" s="1"/>
  <c r="AV68" i="14" s="1"/>
  <c r="AV69" i="14" s="1"/>
  <c r="AV70" i="14" s="1"/>
  <c r="AV71" i="14" s="1"/>
  <c r="AV72" i="14" s="1"/>
  <c r="AV73" i="14" s="1"/>
  <c r="AV74" i="14" s="1"/>
  <c r="AV75" i="14" s="1"/>
  <c r="AV76" i="14" s="1"/>
  <c r="AV77" i="14" s="1"/>
  <c r="BW134" i="14"/>
  <c r="BW135" i="14" s="1"/>
  <c r="BW136" i="14" s="1"/>
  <c r="BW137" i="14" s="1"/>
  <c r="BW138" i="14" s="1"/>
  <c r="BW139" i="14" s="1"/>
  <c r="BW140" i="14" s="1"/>
  <c r="BW141" i="14" s="1"/>
  <c r="BW142" i="14" s="1"/>
  <c r="BW143" i="14" s="1"/>
  <c r="BW144" i="14" s="1"/>
  <c r="BW145" i="14" s="1"/>
  <c r="BW146" i="14" s="1"/>
  <c r="BW147" i="14" s="1"/>
  <c r="C120" i="14"/>
  <c r="C121" i="14" s="1"/>
  <c r="C122" i="14" s="1"/>
  <c r="C123" i="14" s="1"/>
  <c r="C124" i="14" s="1"/>
  <c r="C125" i="14" s="1"/>
  <c r="C126" i="14" s="1"/>
  <c r="C127" i="14" s="1"/>
  <c r="C128" i="14" s="1"/>
  <c r="C129" i="14" s="1"/>
  <c r="C130" i="14" s="1"/>
  <c r="C131" i="14" s="1"/>
  <c r="C132" i="14" s="1"/>
  <c r="C133" i="14" s="1"/>
  <c r="C19" i="14"/>
  <c r="C20" i="14" s="1"/>
  <c r="BN92" i="14"/>
  <c r="BN93" i="14" s="1"/>
  <c r="BN94" i="14" s="1"/>
  <c r="BN95" i="14" s="1"/>
  <c r="BN96" i="14" s="1"/>
  <c r="BN97" i="14" s="1"/>
  <c r="BN98" i="14" s="1"/>
  <c r="BN99" i="14" s="1"/>
  <c r="BN100" i="14" s="1"/>
  <c r="BN101" i="14" s="1"/>
  <c r="BN102" i="14" s="1"/>
  <c r="BN103" i="14" s="1"/>
  <c r="BN104" i="14" s="1"/>
  <c r="BN105" i="14" s="1"/>
  <c r="BN22" i="14"/>
  <c r="BN23" i="14" s="1"/>
  <c r="BN24" i="14" s="1"/>
  <c r="BN25" i="14" s="1"/>
  <c r="BN26" i="14" s="1"/>
  <c r="BN27" i="14" s="1"/>
  <c r="BN28" i="14" s="1"/>
  <c r="BN29" i="14" s="1"/>
  <c r="BN30" i="14" s="1"/>
  <c r="BN31" i="14" s="1"/>
  <c r="BN32" i="14" s="1"/>
  <c r="BN33" i="14" s="1"/>
  <c r="BN34" i="14" s="1"/>
  <c r="BN35" i="14" s="1"/>
  <c r="BN36" i="14" s="1"/>
  <c r="BN37" i="14" s="1"/>
  <c r="BN38" i="14" s="1"/>
  <c r="BN39" i="14" s="1"/>
  <c r="BN40" i="14" s="1"/>
  <c r="BN41" i="14" s="1"/>
  <c r="BN42" i="14" s="1"/>
  <c r="BN43" i="14" s="1"/>
  <c r="BN44" i="14" s="1"/>
  <c r="BN45" i="14" s="1"/>
  <c r="BN46" i="14" s="1"/>
  <c r="BN47" i="14" s="1"/>
  <c r="BN48" i="14" s="1"/>
  <c r="BN49" i="14" s="1"/>
  <c r="BN50" i="14" s="1"/>
  <c r="BN51" i="14" s="1"/>
  <c r="BN52" i="14" s="1"/>
  <c r="BN53" i="14" s="1"/>
  <c r="BN54" i="14" s="1"/>
  <c r="BN55" i="14" s="1"/>
  <c r="BN56" i="14" s="1"/>
  <c r="BN57" i="14" s="1"/>
  <c r="BN58" i="14" s="1"/>
  <c r="BN59" i="14" s="1"/>
  <c r="BN60" i="14" s="1"/>
  <c r="BN61" i="14" s="1"/>
  <c r="BN62" i="14" s="1"/>
  <c r="BN63" i="14" s="1"/>
  <c r="BN64" i="14" s="1"/>
  <c r="BN65" i="14" s="1"/>
  <c r="BN66" i="14" s="1"/>
  <c r="BN67" i="14" s="1"/>
  <c r="BN68" i="14" s="1"/>
  <c r="BN69" i="14" s="1"/>
  <c r="BN70" i="14" s="1"/>
  <c r="BN71" i="14" s="1"/>
  <c r="BN72" i="14" s="1"/>
  <c r="BN73" i="14" s="1"/>
  <c r="BN74" i="14" s="1"/>
  <c r="BN75" i="14" s="1"/>
  <c r="BN76" i="14" s="1"/>
  <c r="BN77" i="14" s="1"/>
  <c r="BE78" i="14"/>
  <c r="BE79" i="14" s="1"/>
  <c r="BE80" i="14" s="1"/>
  <c r="BE81" i="14" s="1"/>
  <c r="BE82" i="14" s="1"/>
  <c r="BE83" i="14" s="1"/>
  <c r="BE84" i="14" s="1"/>
  <c r="BE85" i="14" s="1"/>
  <c r="BE86" i="14" s="1"/>
  <c r="BE87" i="14" s="1"/>
  <c r="BE88" i="14" s="1"/>
  <c r="BE89" i="14" s="1"/>
  <c r="BE90" i="14" s="1"/>
  <c r="BE91" i="14" s="1"/>
  <c r="BW120" i="14"/>
  <c r="BW121" i="14" s="1"/>
  <c r="BW122" i="14" s="1"/>
  <c r="BW123" i="14" s="1"/>
  <c r="BW124" i="14" s="1"/>
  <c r="BW125" i="14" s="1"/>
  <c r="BW126" i="14" s="1"/>
  <c r="BW127" i="14" s="1"/>
  <c r="BW128" i="14" s="1"/>
  <c r="BW129" i="14" s="1"/>
  <c r="BW130" i="14" s="1"/>
  <c r="BW131" i="14" s="1"/>
  <c r="BW132" i="14" s="1"/>
  <c r="BW133" i="14" s="1"/>
  <c r="L106" i="14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C106" i="14"/>
  <c r="C107" i="14" s="1"/>
  <c r="C108" i="14" s="1"/>
  <c r="C109" i="14" s="1"/>
  <c r="C110" i="14" s="1"/>
  <c r="C111" i="14" s="1"/>
  <c r="C112" i="14" s="1"/>
  <c r="C113" i="14" s="1"/>
  <c r="C114" i="14" s="1"/>
  <c r="C115" i="14" s="1"/>
  <c r="C116" i="14" s="1"/>
  <c r="C117" i="14" s="1"/>
  <c r="C118" i="14" s="1"/>
  <c r="C119" i="14" s="1"/>
  <c r="C78" i="14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BW92" i="14"/>
  <c r="BW93" i="14" s="1"/>
  <c r="BW94" i="14" s="1"/>
  <c r="BW95" i="14" s="1"/>
  <c r="BW96" i="14" s="1"/>
  <c r="BW97" i="14" s="1"/>
  <c r="BW98" i="14" s="1"/>
  <c r="BW99" i="14" s="1"/>
  <c r="BW100" i="14" s="1"/>
  <c r="BW101" i="14" s="1"/>
  <c r="BW102" i="14" s="1"/>
  <c r="BW103" i="14" s="1"/>
  <c r="BW104" i="14" s="1"/>
  <c r="BW105" i="14" s="1"/>
  <c r="L92" i="14"/>
  <c r="L93" i="14" s="1"/>
  <c r="L94" i="14" s="1"/>
  <c r="L95" i="14" s="1"/>
  <c r="L96" i="14" s="1"/>
  <c r="L97" i="14" s="1"/>
  <c r="L98" i="14" s="1"/>
  <c r="L99" i="14" s="1"/>
  <c r="L100" i="14" s="1"/>
  <c r="L101" i="14" s="1"/>
  <c r="L102" i="14" s="1"/>
  <c r="L103" i="14" s="1"/>
  <c r="L104" i="14" s="1"/>
  <c r="L105" i="14" s="1"/>
  <c r="BE106" i="14"/>
  <c r="BE107" i="14" s="1"/>
  <c r="BE108" i="14" s="1"/>
  <c r="BE109" i="14" s="1"/>
  <c r="BE110" i="14" s="1"/>
  <c r="BE111" i="14" s="1"/>
  <c r="BE112" i="14" s="1"/>
  <c r="BE113" i="14" s="1"/>
  <c r="BE114" i="14" s="1"/>
  <c r="BE115" i="14" s="1"/>
  <c r="BE116" i="14" s="1"/>
  <c r="BE117" i="14" s="1"/>
  <c r="BE118" i="14" s="1"/>
  <c r="BE119" i="14" s="1"/>
  <c r="U22" i="14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U76" i="14" s="1"/>
  <c r="U77" i="14" s="1"/>
  <c r="AD106" i="14"/>
  <c r="AD107" i="14" s="1"/>
  <c r="AD108" i="14" s="1"/>
  <c r="AD109" i="14" s="1"/>
  <c r="AD110" i="14" s="1"/>
  <c r="AD111" i="14" s="1"/>
  <c r="AD112" i="14" s="1"/>
  <c r="AD113" i="14" s="1"/>
  <c r="AD114" i="14" s="1"/>
  <c r="AD115" i="14" s="1"/>
  <c r="AD116" i="14" s="1"/>
  <c r="AD117" i="14" s="1"/>
  <c r="AD118" i="14" s="1"/>
  <c r="AD119" i="14" s="1"/>
  <c r="AD148" i="14"/>
  <c r="AD149" i="14" s="1"/>
  <c r="AD150" i="14" s="1"/>
  <c r="AD151" i="14" s="1"/>
  <c r="AD152" i="14" s="1"/>
  <c r="AD153" i="14" s="1"/>
  <c r="AD154" i="14" s="1"/>
  <c r="AD155" i="14" s="1"/>
  <c r="AD156" i="14" s="1"/>
  <c r="AD157" i="14" s="1"/>
  <c r="AD158" i="14" s="1"/>
  <c r="AD159" i="14" s="1"/>
  <c r="AD160" i="14" s="1"/>
  <c r="AD161" i="14" s="1"/>
  <c r="CF148" i="14"/>
  <c r="CF149" i="14" s="1"/>
  <c r="CF150" i="14" s="1"/>
  <c r="CF151" i="14" s="1"/>
  <c r="CF152" i="14" s="1"/>
  <c r="CF153" i="14" s="1"/>
  <c r="CF154" i="14" s="1"/>
  <c r="CF155" i="14" s="1"/>
  <c r="CF156" i="14" s="1"/>
  <c r="CF157" i="14" s="1"/>
  <c r="CF158" i="14" s="1"/>
  <c r="CF159" i="14" s="1"/>
  <c r="CF160" i="14" s="1"/>
  <c r="CF161" i="14" s="1"/>
  <c r="CF92" i="14"/>
  <c r="CF93" i="14" s="1"/>
  <c r="CF94" i="14" s="1"/>
  <c r="CF95" i="14" s="1"/>
  <c r="CF96" i="14" s="1"/>
  <c r="CF97" i="14" s="1"/>
  <c r="CF98" i="14" s="1"/>
  <c r="CF99" i="14" s="1"/>
  <c r="CF100" i="14" s="1"/>
  <c r="CF101" i="14" s="1"/>
  <c r="CF102" i="14" s="1"/>
  <c r="CF103" i="14" s="1"/>
  <c r="CF104" i="14" s="1"/>
  <c r="CF105" i="14" s="1"/>
  <c r="L19" i="14"/>
  <c r="L20" i="14" s="1"/>
  <c r="AD78" i="14"/>
  <c r="AD79" i="14" s="1"/>
  <c r="AD80" i="14" s="1"/>
  <c r="AD81" i="14" s="1"/>
  <c r="AD82" i="14" s="1"/>
  <c r="AD83" i="14" s="1"/>
  <c r="AD84" i="14" s="1"/>
  <c r="AD85" i="14" s="1"/>
  <c r="AD86" i="14" s="1"/>
  <c r="AD87" i="14" s="1"/>
  <c r="AD88" i="14" s="1"/>
  <c r="AD89" i="14" s="1"/>
  <c r="AD90" i="14" s="1"/>
  <c r="AD91" i="14" s="1"/>
  <c r="L22" i="14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L36" i="14" s="1"/>
  <c r="L37" i="14" s="1"/>
  <c r="L38" i="14" s="1"/>
  <c r="L39" i="14" s="1"/>
  <c r="L40" i="14" s="1"/>
  <c r="L41" i="14" s="1"/>
  <c r="L42" i="14" s="1"/>
  <c r="L43" i="14" s="1"/>
  <c r="L44" i="14" s="1"/>
  <c r="L45" i="14" s="1"/>
  <c r="L46" i="14" s="1"/>
  <c r="L47" i="14" s="1"/>
  <c r="L48" i="14" s="1"/>
  <c r="L49" i="14" s="1"/>
  <c r="L50" i="14" s="1"/>
  <c r="L51" i="14" s="1"/>
  <c r="L52" i="14" s="1"/>
  <c r="L53" i="14" s="1"/>
  <c r="L54" i="14" s="1"/>
  <c r="L55" i="14" s="1"/>
  <c r="L56" i="14" s="1"/>
  <c r="L57" i="14" s="1"/>
  <c r="L58" i="14" s="1"/>
  <c r="L59" i="14" s="1"/>
  <c r="L60" i="14" s="1"/>
  <c r="L61" i="14" s="1"/>
  <c r="L62" i="14" s="1"/>
  <c r="L63" i="14" s="1"/>
  <c r="L64" i="14" s="1"/>
  <c r="L65" i="14" s="1"/>
  <c r="L66" i="14" s="1"/>
  <c r="L67" i="14" s="1"/>
  <c r="L68" i="14" s="1"/>
  <c r="L69" i="14" s="1"/>
  <c r="L70" i="14" s="1"/>
  <c r="L71" i="14" s="1"/>
  <c r="L72" i="14" s="1"/>
  <c r="L73" i="14" s="1"/>
  <c r="L74" i="14" s="1"/>
  <c r="L75" i="14" s="1"/>
  <c r="L76" i="14" s="1"/>
  <c r="L77" i="14" s="1"/>
  <c r="BW78" i="14"/>
  <c r="BW79" i="14" s="1"/>
  <c r="BW80" i="14" s="1"/>
  <c r="BW81" i="14" s="1"/>
  <c r="BW82" i="14" s="1"/>
  <c r="BW83" i="14" s="1"/>
  <c r="BW84" i="14" s="1"/>
  <c r="BW85" i="14" s="1"/>
  <c r="BW86" i="14" s="1"/>
  <c r="BW87" i="14" s="1"/>
  <c r="BW88" i="14" s="1"/>
  <c r="BW89" i="14" s="1"/>
  <c r="BW90" i="14" s="1"/>
  <c r="BW91" i="14" s="1"/>
  <c r="BE148" i="14"/>
  <c r="BE149" i="14" s="1"/>
  <c r="BE150" i="14" s="1"/>
  <c r="BE151" i="14" s="1"/>
  <c r="BE152" i="14" s="1"/>
  <c r="BE153" i="14" s="1"/>
  <c r="BE154" i="14" s="1"/>
  <c r="BE155" i="14" s="1"/>
  <c r="BE156" i="14" s="1"/>
  <c r="BE157" i="14" s="1"/>
  <c r="BE158" i="14" s="1"/>
  <c r="BE159" i="14" s="1"/>
  <c r="BE160" i="14" s="1"/>
  <c r="BE161" i="14" s="1"/>
  <c r="L78" i="14"/>
  <c r="L79" i="14" s="1"/>
  <c r="L80" i="14" s="1"/>
  <c r="L81" i="14" s="1"/>
  <c r="L82" i="14" s="1"/>
  <c r="L83" i="14" s="1"/>
  <c r="L84" i="14" s="1"/>
  <c r="L85" i="14" s="1"/>
  <c r="L86" i="14" s="1"/>
  <c r="L87" i="14" s="1"/>
  <c r="L88" i="14" s="1"/>
  <c r="L89" i="14" s="1"/>
  <c r="L90" i="14" s="1"/>
  <c r="L91" i="14" s="1"/>
  <c r="AM148" i="14"/>
  <c r="AM149" i="14" s="1"/>
  <c r="AM150" i="14" s="1"/>
  <c r="AM151" i="14" s="1"/>
  <c r="AM152" i="14" s="1"/>
  <c r="AM153" i="14" s="1"/>
  <c r="AM154" i="14" s="1"/>
  <c r="AM155" i="14" s="1"/>
  <c r="AM156" i="14" s="1"/>
  <c r="AM157" i="14" s="1"/>
  <c r="AM158" i="14" s="1"/>
  <c r="AM159" i="14" s="1"/>
  <c r="AM160" i="14" s="1"/>
  <c r="AM161" i="14" s="1"/>
  <c r="L134" i="14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U92" i="14"/>
  <c r="U93" i="14" s="1"/>
  <c r="U94" i="14" s="1"/>
  <c r="U95" i="14" s="1"/>
  <c r="U96" i="14" s="1"/>
  <c r="U97" i="14" s="1"/>
  <c r="U98" i="14" s="1"/>
  <c r="U99" i="14" s="1"/>
  <c r="U100" i="14" s="1"/>
  <c r="U101" i="14" s="1"/>
  <c r="U102" i="14" s="1"/>
  <c r="U103" i="14" s="1"/>
  <c r="U104" i="14" s="1"/>
  <c r="U105" i="14" s="1"/>
  <c r="BW19" i="14"/>
  <c r="BW20" i="14" s="1"/>
  <c r="CF19" i="14"/>
  <c r="CF20" i="14" s="1"/>
  <c r="AM19" i="14"/>
  <c r="AM20" i="14" s="1"/>
  <c r="AM22" i="14"/>
  <c r="AM23" i="14" s="1"/>
  <c r="AM24" i="14" s="1"/>
  <c r="AM25" i="14" s="1"/>
  <c r="AM26" i="14" s="1"/>
  <c r="AM27" i="14" s="1"/>
  <c r="AM28" i="14" s="1"/>
  <c r="AM29" i="14" s="1"/>
  <c r="AM30" i="14" s="1"/>
  <c r="AM31" i="14" s="1"/>
  <c r="AM32" i="14" s="1"/>
  <c r="AM33" i="14" s="1"/>
  <c r="AM34" i="14" s="1"/>
  <c r="AM35" i="14" s="1"/>
  <c r="AM36" i="14" s="1"/>
  <c r="AM37" i="14" s="1"/>
  <c r="AM38" i="14" s="1"/>
  <c r="AM39" i="14" s="1"/>
  <c r="AM40" i="14" s="1"/>
  <c r="AM41" i="14" s="1"/>
  <c r="AM42" i="14" s="1"/>
  <c r="AM43" i="14" s="1"/>
  <c r="AM44" i="14" s="1"/>
  <c r="AM45" i="14" s="1"/>
  <c r="AM46" i="14" s="1"/>
  <c r="AM47" i="14" s="1"/>
  <c r="AM48" i="14" s="1"/>
  <c r="AM49" i="14" s="1"/>
  <c r="AM50" i="14" s="1"/>
  <c r="AM51" i="14" s="1"/>
  <c r="AM52" i="14" s="1"/>
  <c r="AM53" i="14" s="1"/>
  <c r="AM54" i="14" s="1"/>
  <c r="AM55" i="14" s="1"/>
  <c r="AM56" i="14" s="1"/>
  <c r="AM57" i="14" s="1"/>
  <c r="AM58" i="14" s="1"/>
  <c r="AM59" i="14" s="1"/>
  <c r="AM60" i="14" s="1"/>
  <c r="AM61" i="14" s="1"/>
  <c r="AM62" i="14" s="1"/>
  <c r="AM63" i="14" s="1"/>
  <c r="AM64" i="14" s="1"/>
  <c r="AM65" i="14" s="1"/>
  <c r="AM66" i="14" s="1"/>
  <c r="AM67" i="14" s="1"/>
  <c r="AM68" i="14" s="1"/>
  <c r="AM69" i="14" s="1"/>
  <c r="AM70" i="14" s="1"/>
  <c r="AM71" i="14" s="1"/>
  <c r="AM72" i="14" s="1"/>
  <c r="AM73" i="14" s="1"/>
  <c r="AM74" i="14" s="1"/>
  <c r="AM75" i="14" s="1"/>
  <c r="AM76" i="14" s="1"/>
  <c r="AM77" i="14" s="1"/>
  <c r="AM120" i="14"/>
  <c r="AM121" i="14" s="1"/>
  <c r="AM122" i="14" s="1"/>
  <c r="AM123" i="14" s="1"/>
  <c r="AM124" i="14" s="1"/>
  <c r="AM125" i="14" s="1"/>
  <c r="AM126" i="14" s="1"/>
  <c r="AM127" i="14" s="1"/>
  <c r="AM128" i="14" s="1"/>
  <c r="AM129" i="14" s="1"/>
  <c r="AM130" i="14" s="1"/>
  <c r="AM131" i="14" s="1"/>
  <c r="AM132" i="14" s="1"/>
  <c r="AM133" i="14" s="1"/>
  <c r="AV148" i="14"/>
  <c r="AV149" i="14" s="1"/>
  <c r="AV150" i="14" s="1"/>
  <c r="AV151" i="14" s="1"/>
  <c r="AV152" i="14" s="1"/>
  <c r="AV153" i="14" s="1"/>
  <c r="AV154" i="14" s="1"/>
  <c r="AV155" i="14" s="1"/>
  <c r="AV156" i="14" s="1"/>
  <c r="AV157" i="14" s="1"/>
  <c r="AV158" i="14" s="1"/>
  <c r="AV159" i="14" s="1"/>
  <c r="AV160" i="14" s="1"/>
  <c r="AV161" i="14" s="1"/>
  <c r="BW22" i="14"/>
  <c r="BW23" i="14" s="1"/>
  <c r="BW24" i="14" s="1"/>
  <c r="BW25" i="14" s="1"/>
  <c r="BW26" i="14" s="1"/>
  <c r="BW27" i="14" s="1"/>
  <c r="BW28" i="14" s="1"/>
  <c r="BW29" i="14" s="1"/>
  <c r="BW30" i="14" s="1"/>
  <c r="BW31" i="14" s="1"/>
  <c r="BW32" i="14" s="1"/>
  <c r="BW33" i="14" s="1"/>
  <c r="BW34" i="14" s="1"/>
  <c r="BW35" i="14" s="1"/>
  <c r="BW36" i="14" s="1"/>
  <c r="BW37" i="14" s="1"/>
  <c r="BW38" i="14" s="1"/>
  <c r="BW39" i="14" s="1"/>
  <c r="BW40" i="14" s="1"/>
  <c r="BW41" i="14" s="1"/>
  <c r="BW42" i="14" s="1"/>
  <c r="BW43" i="14" s="1"/>
  <c r="BW44" i="14" s="1"/>
  <c r="BW45" i="14" s="1"/>
  <c r="BW46" i="14" s="1"/>
  <c r="BW47" i="14" s="1"/>
  <c r="BW48" i="14" s="1"/>
  <c r="BW49" i="14" s="1"/>
  <c r="BW50" i="14" s="1"/>
  <c r="BW51" i="14" s="1"/>
  <c r="BW52" i="14" s="1"/>
  <c r="BW53" i="14" s="1"/>
  <c r="BW54" i="14" s="1"/>
  <c r="BW55" i="14" s="1"/>
  <c r="BW56" i="14" s="1"/>
  <c r="BW57" i="14" s="1"/>
  <c r="BW58" i="14" s="1"/>
  <c r="BW59" i="14" s="1"/>
  <c r="BW60" i="14" s="1"/>
  <c r="BW61" i="14" s="1"/>
  <c r="BW62" i="14" s="1"/>
  <c r="BW63" i="14" s="1"/>
  <c r="BW64" i="14" s="1"/>
  <c r="BW65" i="14" s="1"/>
  <c r="BW66" i="14" s="1"/>
  <c r="BW67" i="14" s="1"/>
  <c r="BW68" i="14" s="1"/>
  <c r="BW69" i="14" s="1"/>
  <c r="BW70" i="14" s="1"/>
  <c r="BW71" i="14" s="1"/>
  <c r="BW72" i="14" s="1"/>
  <c r="BW73" i="14" s="1"/>
  <c r="BW74" i="14" s="1"/>
  <c r="BW75" i="14" s="1"/>
  <c r="BW76" i="14" s="1"/>
  <c r="BW77" i="14" s="1"/>
  <c r="CF106" i="14"/>
  <c r="CF107" i="14" s="1"/>
  <c r="CF108" i="14" s="1"/>
  <c r="CF109" i="14" s="1"/>
  <c r="CF110" i="14" s="1"/>
  <c r="CF111" i="14" s="1"/>
  <c r="CF112" i="14" s="1"/>
  <c r="CF113" i="14" s="1"/>
  <c r="CF114" i="14" s="1"/>
  <c r="CF115" i="14" s="1"/>
  <c r="CF116" i="14" s="1"/>
  <c r="CF117" i="14" s="1"/>
  <c r="CF118" i="14" s="1"/>
  <c r="CF119" i="14" s="1"/>
  <c r="AD134" i="14"/>
  <c r="AD135" i="14" s="1"/>
  <c r="AD136" i="14" s="1"/>
  <c r="AD137" i="14" s="1"/>
  <c r="AD138" i="14" s="1"/>
  <c r="AD139" i="14" s="1"/>
  <c r="AD140" i="14" s="1"/>
  <c r="AD141" i="14" s="1"/>
  <c r="AD142" i="14" s="1"/>
  <c r="AD143" i="14" s="1"/>
  <c r="AD144" i="14" s="1"/>
  <c r="AD145" i="14" s="1"/>
  <c r="AD146" i="14" s="1"/>
  <c r="AD147" i="14" s="1"/>
  <c r="AD22" i="14"/>
  <c r="AD23" i="14" s="1"/>
  <c r="AD24" i="14" s="1"/>
  <c r="AD25" i="14" s="1"/>
  <c r="AD26" i="14" s="1"/>
  <c r="AD27" i="14" s="1"/>
  <c r="AD28" i="14" s="1"/>
  <c r="AD29" i="14" s="1"/>
  <c r="AD30" i="14" s="1"/>
  <c r="AD31" i="14" s="1"/>
  <c r="AD32" i="14" s="1"/>
  <c r="AD33" i="14" s="1"/>
  <c r="AD34" i="14" s="1"/>
  <c r="AD35" i="14" s="1"/>
  <c r="AD36" i="14" s="1"/>
  <c r="AD37" i="14" s="1"/>
  <c r="AD38" i="14" s="1"/>
  <c r="AD39" i="14" s="1"/>
  <c r="AD40" i="14" s="1"/>
  <c r="AD41" i="14" s="1"/>
  <c r="AD42" i="14" s="1"/>
  <c r="AD43" i="14" s="1"/>
  <c r="AD44" i="14" s="1"/>
  <c r="AD45" i="14" s="1"/>
  <c r="AD46" i="14" s="1"/>
  <c r="AD47" i="14" s="1"/>
  <c r="AD48" i="14" s="1"/>
  <c r="AD49" i="14" s="1"/>
  <c r="AD50" i="14" s="1"/>
  <c r="AD51" i="14" s="1"/>
  <c r="AD52" i="14" s="1"/>
  <c r="AD53" i="14" s="1"/>
  <c r="AD54" i="14" s="1"/>
  <c r="AD55" i="14" s="1"/>
  <c r="AD56" i="14" s="1"/>
  <c r="AD57" i="14" s="1"/>
  <c r="AD58" i="14" s="1"/>
  <c r="AD59" i="14" s="1"/>
  <c r="AD60" i="14" s="1"/>
  <c r="AD61" i="14" s="1"/>
  <c r="AD62" i="14" s="1"/>
  <c r="AD63" i="14" s="1"/>
  <c r="AD64" i="14" s="1"/>
  <c r="AD65" i="14" s="1"/>
  <c r="AD66" i="14" s="1"/>
  <c r="AD67" i="14" s="1"/>
  <c r="AD68" i="14" s="1"/>
  <c r="AD69" i="14" s="1"/>
  <c r="AD70" i="14" s="1"/>
  <c r="AD71" i="14" s="1"/>
  <c r="AD72" i="14" s="1"/>
  <c r="AD73" i="14" s="1"/>
  <c r="AD74" i="14" s="1"/>
  <c r="AD75" i="14" s="1"/>
  <c r="AD76" i="14" s="1"/>
  <c r="AD77" i="14" s="1"/>
  <c r="U78" i="14"/>
  <c r="U79" i="14" s="1"/>
  <c r="U80" i="14" s="1"/>
  <c r="U81" i="14" s="1"/>
  <c r="U82" i="14" s="1"/>
  <c r="U83" i="14" s="1"/>
  <c r="U84" i="14" s="1"/>
  <c r="U85" i="14" s="1"/>
  <c r="U86" i="14" s="1"/>
  <c r="U87" i="14" s="1"/>
  <c r="U88" i="14" s="1"/>
  <c r="U89" i="14" s="1"/>
  <c r="U90" i="14" s="1"/>
  <c r="U91" i="14" s="1"/>
  <c r="AM92" i="14"/>
  <c r="AM93" i="14" s="1"/>
  <c r="AM94" i="14" s="1"/>
  <c r="AM95" i="14" s="1"/>
  <c r="AM96" i="14" s="1"/>
  <c r="AM97" i="14" s="1"/>
  <c r="AM98" i="14" s="1"/>
  <c r="AM99" i="14" s="1"/>
  <c r="AM100" i="14" s="1"/>
  <c r="AM101" i="14" s="1"/>
  <c r="AM102" i="14" s="1"/>
  <c r="AM103" i="14" s="1"/>
  <c r="AM104" i="14" s="1"/>
  <c r="AM105" i="14" s="1"/>
  <c r="AM106" i="14"/>
  <c r="AM107" i="14" s="1"/>
  <c r="AM108" i="14" s="1"/>
  <c r="AM109" i="14" s="1"/>
  <c r="AM110" i="14" s="1"/>
  <c r="AM111" i="14" s="1"/>
  <c r="AM112" i="14" s="1"/>
  <c r="AM113" i="14" s="1"/>
  <c r="AM114" i="14" s="1"/>
  <c r="AM115" i="14" s="1"/>
  <c r="AM116" i="14" s="1"/>
  <c r="AM117" i="14" s="1"/>
  <c r="AM118" i="14" s="1"/>
  <c r="AM119" i="14" s="1"/>
  <c r="AD120" i="14"/>
  <c r="AD121" i="14" s="1"/>
  <c r="AD122" i="14" s="1"/>
  <c r="AD123" i="14" s="1"/>
  <c r="AD124" i="14" s="1"/>
  <c r="AD125" i="14" s="1"/>
  <c r="AD126" i="14" s="1"/>
  <c r="AD127" i="14" s="1"/>
  <c r="AD128" i="14" s="1"/>
  <c r="AD129" i="14" s="1"/>
  <c r="AD130" i="14" s="1"/>
  <c r="AD131" i="14" s="1"/>
  <c r="AD132" i="14" s="1"/>
  <c r="AD133" i="14" s="1"/>
  <c r="AM134" i="14"/>
  <c r="AM135" i="14" s="1"/>
  <c r="AM136" i="14" s="1"/>
  <c r="AM137" i="14" s="1"/>
  <c r="AM138" i="14" s="1"/>
  <c r="AM139" i="14" s="1"/>
  <c r="AM140" i="14" s="1"/>
  <c r="AM141" i="14" s="1"/>
  <c r="AM142" i="14" s="1"/>
  <c r="AM143" i="14" s="1"/>
  <c r="AM144" i="14" s="1"/>
  <c r="AM145" i="14" s="1"/>
  <c r="AM146" i="14" s="1"/>
  <c r="AM147" i="14" s="1"/>
  <c r="AD92" i="14"/>
  <c r="AD93" i="14" s="1"/>
  <c r="AD94" i="14" s="1"/>
  <c r="AD95" i="14" s="1"/>
  <c r="AD96" i="14" s="1"/>
  <c r="AD97" i="14" s="1"/>
  <c r="AD98" i="14" s="1"/>
  <c r="AD99" i="14" s="1"/>
  <c r="AD100" i="14" s="1"/>
  <c r="AD101" i="14" s="1"/>
  <c r="AD102" i="14" s="1"/>
  <c r="AD103" i="14" s="1"/>
  <c r="AD104" i="14" s="1"/>
  <c r="AD105" i="14" s="1"/>
  <c r="BW148" i="14"/>
  <c r="BW149" i="14" s="1"/>
  <c r="BW150" i="14" s="1"/>
  <c r="BW151" i="14" s="1"/>
  <c r="BW152" i="14" s="1"/>
  <c r="BW153" i="14" s="1"/>
  <c r="BW154" i="14" s="1"/>
  <c r="BW155" i="14" s="1"/>
  <c r="BW156" i="14" s="1"/>
  <c r="BW157" i="14" s="1"/>
  <c r="BW158" i="14" s="1"/>
  <c r="BW159" i="14" s="1"/>
  <c r="BW160" i="14" s="1"/>
  <c r="BW161" i="14" s="1"/>
  <c r="U106" i="14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CF78" i="14"/>
  <c r="CF79" i="14" s="1"/>
  <c r="CF80" i="14" s="1"/>
  <c r="CF81" i="14" s="1"/>
  <c r="CF82" i="14" s="1"/>
  <c r="CF83" i="14" s="1"/>
  <c r="CF84" i="14" s="1"/>
  <c r="CF85" i="14" s="1"/>
  <c r="CF86" i="14" s="1"/>
  <c r="CF87" i="14" s="1"/>
  <c r="CF88" i="14" s="1"/>
  <c r="CF89" i="14" s="1"/>
  <c r="CF90" i="14" s="1"/>
  <c r="CF91" i="14" s="1"/>
  <c r="U134" i="14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C148" i="14"/>
  <c r="C149" i="14" s="1"/>
  <c r="C150" i="14" s="1"/>
  <c r="C151" i="14" s="1"/>
  <c r="C152" i="14" s="1"/>
  <c r="C153" i="14" s="1"/>
  <c r="C154" i="14" s="1"/>
  <c r="C155" i="14" s="1"/>
  <c r="C156" i="14" s="1"/>
  <c r="C157" i="14" s="1"/>
  <c r="C158" i="14" s="1"/>
  <c r="C159" i="14" s="1"/>
  <c r="C160" i="14" s="1"/>
  <c r="C161" i="14" s="1"/>
  <c r="U148" i="14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AD19" i="14"/>
  <c r="AD20" i="14" s="1"/>
  <c r="CF120" i="14"/>
  <c r="CF121" i="14" s="1"/>
  <c r="CF122" i="14" s="1"/>
  <c r="CF123" i="14" s="1"/>
  <c r="CF124" i="14" s="1"/>
  <c r="CF125" i="14" s="1"/>
  <c r="CF126" i="14" s="1"/>
  <c r="CF127" i="14" s="1"/>
  <c r="CF128" i="14" s="1"/>
  <c r="CF129" i="14" s="1"/>
  <c r="CF130" i="14" s="1"/>
  <c r="CF131" i="14" s="1"/>
  <c r="CF132" i="14" s="1"/>
  <c r="CF133" i="14" s="1"/>
  <c r="CF134" i="14"/>
  <c r="CF135" i="14" s="1"/>
  <c r="CF136" i="14" s="1"/>
  <c r="CF137" i="14" s="1"/>
  <c r="CF138" i="14" s="1"/>
  <c r="CF139" i="14" s="1"/>
  <c r="CF140" i="14" s="1"/>
  <c r="CF141" i="14" s="1"/>
  <c r="CF142" i="14" s="1"/>
  <c r="CF143" i="14" s="1"/>
  <c r="CF144" i="14" s="1"/>
  <c r="CF145" i="14" s="1"/>
  <c r="CF146" i="14" s="1"/>
  <c r="CF147" i="14" s="1"/>
  <c r="L120" i="14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CF22" i="14"/>
  <c r="CF23" i="14" s="1"/>
  <c r="CF24" i="14" s="1"/>
  <c r="CF25" i="14" s="1"/>
  <c r="CF26" i="14" s="1"/>
  <c r="CF27" i="14" s="1"/>
  <c r="CF28" i="14" s="1"/>
  <c r="CF29" i="14" s="1"/>
  <c r="CF30" i="14" s="1"/>
  <c r="CF31" i="14" s="1"/>
  <c r="CF32" i="14" s="1"/>
  <c r="CF33" i="14" s="1"/>
  <c r="CF34" i="14" s="1"/>
  <c r="CF35" i="14" s="1"/>
  <c r="CF36" i="14" s="1"/>
  <c r="CF37" i="14" s="1"/>
  <c r="CF38" i="14" s="1"/>
  <c r="CF39" i="14" s="1"/>
  <c r="CF40" i="14" s="1"/>
  <c r="CF41" i="14" s="1"/>
  <c r="CF42" i="14" s="1"/>
  <c r="CF43" i="14" s="1"/>
  <c r="CF44" i="14" s="1"/>
  <c r="CF45" i="14" s="1"/>
  <c r="CF46" i="14" s="1"/>
  <c r="CF47" i="14" s="1"/>
  <c r="CF48" i="14" s="1"/>
  <c r="CF49" i="14" s="1"/>
  <c r="CF50" i="14" s="1"/>
  <c r="CF51" i="14" s="1"/>
  <c r="CF52" i="14" s="1"/>
  <c r="CF53" i="14" s="1"/>
  <c r="CF54" i="14" s="1"/>
  <c r="CF55" i="14" s="1"/>
  <c r="CF56" i="14" s="1"/>
  <c r="CF57" i="14" s="1"/>
  <c r="CF58" i="14" s="1"/>
  <c r="CF59" i="14" s="1"/>
  <c r="CF60" i="14" s="1"/>
  <c r="CF61" i="14" s="1"/>
  <c r="CF62" i="14" s="1"/>
  <c r="CF63" i="14" s="1"/>
  <c r="CF64" i="14" s="1"/>
  <c r="CF65" i="14" s="1"/>
  <c r="CF66" i="14" s="1"/>
  <c r="CF67" i="14" s="1"/>
  <c r="CF68" i="14" s="1"/>
  <c r="CF69" i="14" s="1"/>
  <c r="CF70" i="14" s="1"/>
  <c r="CF71" i="14" s="1"/>
  <c r="CF72" i="14" s="1"/>
  <c r="CF73" i="14" s="1"/>
  <c r="CF74" i="14" s="1"/>
  <c r="CF75" i="14" s="1"/>
  <c r="CF76" i="14" s="1"/>
  <c r="CF77" i="14" s="1"/>
  <c r="BN148" i="14"/>
  <c r="BN149" i="14" s="1"/>
  <c r="BN150" i="14" s="1"/>
  <c r="BN151" i="14" s="1"/>
  <c r="BN152" i="14" s="1"/>
  <c r="BN153" i="14" s="1"/>
  <c r="BN154" i="14" s="1"/>
  <c r="BN155" i="14" s="1"/>
  <c r="BN156" i="14" s="1"/>
  <c r="BN157" i="14" s="1"/>
  <c r="BN158" i="14" s="1"/>
  <c r="BN159" i="14" s="1"/>
  <c r="BN160" i="14" s="1"/>
  <c r="BN161" i="14" s="1"/>
  <c r="U19" i="14"/>
  <c r="U20" i="14" s="1"/>
  <c r="L148" i="14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AM78" i="14"/>
  <c r="AM79" i="14" s="1"/>
  <c r="AM80" i="14" s="1"/>
  <c r="AM81" i="14" s="1"/>
  <c r="AM82" i="14" s="1"/>
  <c r="AM83" i="14" s="1"/>
  <c r="AM84" i="14" s="1"/>
  <c r="AM85" i="14" s="1"/>
  <c r="AM86" i="14" s="1"/>
  <c r="AM87" i="14" s="1"/>
  <c r="AM88" i="14" s="1"/>
  <c r="AM89" i="14" s="1"/>
  <c r="AM90" i="14" s="1"/>
  <c r="AM91" i="14" s="1"/>
  <c r="B161" i="14"/>
  <c r="BM161" i="14"/>
  <c r="AL161" i="14"/>
  <c r="BD161" i="14"/>
  <c r="T161" i="14"/>
  <c r="A162" i="14"/>
  <c r="AU161" i="14"/>
  <c r="CE161" i="14"/>
  <c r="AC161" i="14"/>
  <c r="BV161" i="14"/>
  <c r="K161" i="14"/>
  <c r="I33" i="8"/>
  <c r="I34" i="8"/>
  <c r="I6" i="56" l="1"/>
  <c r="J31" i="8"/>
  <c r="J33" i="8"/>
  <c r="I8" i="56"/>
  <c r="C162" i="14"/>
  <c r="BE162" i="14"/>
  <c r="AV162" i="14"/>
  <c r="BN162" i="14"/>
  <c r="BW162" i="14"/>
  <c r="L162" i="14"/>
  <c r="U162" i="14"/>
  <c r="CF162" i="14"/>
  <c r="AD162" i="14"/>
  <c r="AM162" i="14"/>
  <c r="T162" i="14"/>
  <c r="AO7" i="14" s="1"/>
  <c r="CE162" i="14"/>
  <c r="AO14" i="14" s="1"/>
  <c r="BD162" i="14"/>
  <c r="AO11" i="14" s="1"/>
  <c r="K162" i="14"/>
  <c r="AO6" i="14" s="1"/>
  <c r="B162" i="14"/>
  <c r="AO5" i="14" s="1"/>
  <c r="BM162" i="14"/>
  <c r="AO12" i="14" s="1"/>
  <c r="BV162" i="14"/>
  <c r="AO13" i="14" s="1"/>
  <c r="AU162" i="14"/>
  <c r="AO10" i="14" s="1"/>
  <c r="AC162" i="14"/>
  <c r="AO8" i="14" s="1"/>
  <c r="AL162" i="14"/>
  <c r="AO9" i="14" s="1"/>
  <c r="BH20" i="14"/>
  <c r="BG20" i="14"/>
  <c r="F20" i="14"/>
  <c r="E20" i="14"/>
  <c r="W20" i="14"/>
  <c r="X20" i="14"/>
  <c r="BP20" i="14"/>
  <c r="BQ20" i="14"/>
  <c r="AX20" i="14"/>
  <c r="AY20" i="14"/>
  <c r="AO20" i="14"/>
  <c r="AP20" i="14"/>
  <c r="AF20" i="14"/>
  <c r="AG20" i="14"/>
  <c r="CI20" i="14"/>
  <c r="CH20" i="14"/>
  <c r="O20" i="14"/>
  <c r="N20" i="14"/>
  <c r="BY20" i="14"/>
  <c r="BZ20" i="14"/>
  <c r="CH21" i="14" l="1"/>
  <c r="BY21" i="14"/>
  <c r="N21" i="14"/>
  <c r="AP21" i="14"/>
  <c r="AQ21" i="14"/>
  <c r="AR21" i="14"/>
  <c r="BP21" i="14"/>
  <c r="BG21" i="14"/>
  <c r="AO21" i="14"/>
  <c r="BH21" i="14"/>
  <c r="BI21" i="14"/>
  <c r="BJ21" i="14"/>
  <c r="O21" i="14"/>
  <c r="Q21" i="14"/>
  <c r="P21" i="14"/>
  <c r="AY21" i="14"/>
  <c r="AZ21" i="14"/>
  <c r="BA21" i="14"/>
  <c r="CI21" i="14"/>
  <c r="CK21" i="14"/>
  <c r="CJ21" i="14"/>
  <c r="AX21" i="14"/>
  <c r="X21" i="14"/>
  <c r="Y21" i="14"/>
  <c r="Z21" i="14"/>
  <c r="E21" i="14"/>
  <c r="AG21" i="14"/>
  <c r="AH21" i="14"/>
  <c r="AI21" i="14"/>
  <c r="AF21" i="14"/>
  <c r="BZ21" i="14"/>
  <c r="CB21" i="14"/>
  <c r="CA21" i="14"/>
  <c r="BQ21" i="14"/>
  <c r="BS21" i="14"/>
  <c r="BR21" i="14"/>
  <c r="W21" i="14"/>
  <c r="F21" i="14"/>
  <c r="G21" i="14"/>
  <c r="H21" i="14"/>
  <c r="BH22" i="14" l="1"/>
  <c r="CH22" i="14"/>
  <c r="W22" i="14"/>
  <c r="AO22" i="14"/>
  <c r="N22" i="14"/>
  <c r="AF22" i="14"/>
  <c r="BS22" i="14"/>
  <c r="BT22" i="14"/>
  <c r="AH22" i="14"/>
  <c r="AK22" i="14"/>
  <c r="Z22" i="14"/>
  <c r="AA22" i="14"/>
  <c r="AX22" i="14"/>
  <c r="CK22" i="14"/>
  <c r="CL22" i="14"/>
  <c r="Q22" i="14"/>
  <c r="R22" i="14"/>
  <c r="BQ22" i="14"/>
  <c r="AG22" i="14"/>
  <c r="Y22" i="14"/>
  <c r="AB22" i="14"/>
  <c r="CI22" i="14"/>
  <c r="O22" i="14"/>
  <c r="H22" i="14"/>
  <c r="I22" i="14"/>
  <c r="X22" i="14"/>
  <c r="BG22" i="14"/>
  <c r="G22" i="14"/>
  <c r="J22" i="14"/>
  <c r="BJ22" i="14"/>
  <c r="BK22" i="14"/>
  <c r="BP22" i="14"/>
  <c r="F22" i="14"/>
  <c r="BI22" i="14"/>
  <c r="BL22" i="14"/>
  <c r="AR22" i="14"/>
  <c r="AS22" i="14"/>
  <c r="CA22" i="14"/>
  <c r="CD22" i="14"/>
  <c r="BA22" i="14"/>
  <c r="BB22" i="14"/>
  <c r="AQ22" i="14"/>
  <c r="AT22" i="14"/>
  <c r="CB22" i="14"/>
  <c r="CC22" i="14"/>
  <c r="AZ22" i="14"/>
  <c r="BC22" i="14"/>
  <c r="AP22" i="14"/>
  <c r="BY22" i="14"/>
  <c r="BR22" i="14"/>
  <c r="BU22" i="14"/>
  <c r="BZ22" i="14"/>
  <c r="AI22" i="14"/>
  <c r="AJ22" i="14"/>
  <c r="E22" i="14"/>
  <c r="CJ22" i="14"/>
  <c r="CM22" i="14"/>
  <c r="AY22" i="14"/>
  <c r="P22" i="14"/>
  <c r="S22" i="14"/>
  <c r="BI23" i="14" l="1"/>
  <c r="BJ23" i="14"/>
  <c r="AI23" i="14"/>
  <c r="P23" i="14"/>
  <c r="E23" i="14"/>
  <c r="X23" i="14"/>
  <c r="BR23" i="14"/>
  <c r="CJ23" i="14"/>
  <c r="BZ23" i="14"/>
  <c r="AY23" i="14"/>
  <c r="AJ23" i="14"/>
  <c r="AP23" i="14"/>
  <c r="BU23" i="14"/>
  <c r="BC23" i="14"/>
  <c r="J23" i="14"/>
  <c r="AO23" i="14"/>
  <c r="AB23" i="14"/>
  <c r="BL23" i="14"/>
  <c r="I23" i="14"/>
  <c r="W23" i="14"/>
  <c r="BH23" i="14"/>
  <c r="AZ23" i="14"/>
  <c r="BP23" i="14"/>
  <c r="G23" i="14"/>
  <c r="H23" i="14"/>
  <c r="CI23" i="14"/>
  <c r="AG23" i="14"/>
  <c r="CK23" i="14"/>
  <c r="AK23" i="14"/>
  <c r="S23" i="14"/>
  <c r="CC23" i="14"/>
  <c r="BK23" i="14"/>
  <c r="AX23" i="14"/>
  <c r="AH23" i="14"/>
  <c r="CB23" i="14"/>
  <c r="CH23" i="14"/>
  <c r="BT23" i="14"/>
  <c r="CM23" i="14"/>
  <c r="AT23" i="14"/>
  <c r="AS23" i="14"/>
  <c r="O23" i="14"/>
  <c r="BQ23" i="14"/>
  <c r="BS23" i="14"/>
  <c r="BY23" i="14"/>
  <c r="AQ23" i="14"/>
  <c r="AF23" i="14"/>
  <c r="AR23" i="14"/>
  <c r="R23" i="14"/>
  <c r="CD23" i="14"/>
  <c r="F23" i="14"/>
  <c r="Q23" i="14"/>
  <c r="N23" i="14"/>
  <c r="BB23" i="14"/>
  <c r="CA23" i="14"/>
  <c r="BG23" i="14"/>
  <c r="AA23" i="14"/>
  <c r="BA23" i="14"/>
  <c r="Y23" i="14"/>
  <c r="CL23" i="14"/>
  <c r="Z23" i="14"/>
  <c r="BK24" i="14" l="1"/>
  <c r="CA24" i="14"/>
  <c r="BL24" i="14"/>
  <c r="BJ24" i="14"/>
  <c r="J24" i="14"/>
  <c r="AI24" i="14"/>
  <c r="CJ24" i="14"/>
  <c r="Q24" i="14"/>
  <c r="BR24" i="14"/>
  <c r="S24" i="14"/>
  <c r="Z24" i="14"/>
  <c r="CM24" i="14"/>
  <c r="BA24" i="14"/>
  <c r="F24" i="14"/>
  <c r="CB24" i="14"/>
  <c r="I24" i="14"/>
  <c r="Y24" i="14"/>
  <c r="BI24" i="14"/>
  <c r="BU24" i="14"/>
  <c r="AH24" i="14"/>
  <c r="AZ24" i="14"/>
  <c r="AJ24" i="14"/>
  <c r="AR24" i="14"/>
  <c r="AF24" i="14"/>
  <c r="AB24" i="14"/>
  <c r="AQ24" i="14"/>
  <c r="CL24" i="14"/>
  <c r="BC24" i="14"/>
  <c r="BG24" i="14"/>
  <c r="BS24" i="14"/>
  <c r="CK24" i="14"/>
  <c r="AT24" i="14"/>
  <c r="E24" i="14"/>
  <c r="BT24" i="14"/>
  <c r="CH24" i="14"/>
  <c r="CI24" i="14"/>
  <c r="O24" i="14"/>
  <c r="AX24" i="14"/>
  <c r="BP24" i="14"/>
  <c r="AP24" i="14"/>
  <c r="R24" i="14"/>
  <c r="CC24" i="14"/>
  <c r="AK24" i="14"/>
  <c r="H24" i="14"/>
  <c r="AY24" i="14"/>
  <c r="CD24" i="14"/>
  <c r="W24" i="14"/>
  <c r="AO24" i="14"/>
  <c r="AA24" i="14"/>
  <c r="BY24" i="14"/>
  <c r="P24" i="14"/>
  <c r="G24" i="14"/>
  <c r="BH24" i="14"/>
  <c r="BZ24" i="14"/>
  <c r="BB24" i="14"/>
  <c r="N24" i="14"/>
  <c r="X24" i="14"/>
  <c r="BQ24" i="14"/>
  <c r="AS24" i="14"/>
  <c r="AG24" i="14"/>
  <c r="BK25" i="14" l="1"/>
  <c r="CJ25" i="14"/>
  <c r="G25" i="14"/>
  <c r="CA25" i="14"/>
  <c r="CD25" i="14"/>
  <c r="BL25" i="14"/>
  <c r="BU25" i="14"/>
  <c r="CC25" i="14"/>
  <c r="CM25" i="14"/>
  <c r="CL25" i="14"/>
  <c r="P25" i="14"/>
  <c r="AR25" i="14"/>
  <c r="H25" i="14"/>
  <c r="CH25" i="14"/>
  <c r="BB25" i="14"/>
  <c r="AK25" i="14"/>
  <c r="AS25" i="14"/>
  <c r="AZ25" i="14"/>
  <c r="X25" i="14"/>
  <c r="AA25" i="14"/>
  <c r="AJ25" i="14"/>
  <c r="BA25" i="14"/>
  <c r="AB25" i="14"/>
  <c r="BQ25" i="14"/>
  <c r="BH25" i="14"/>
  <c r="CK25" i="14"/>
  <c r="AG25" i="14"/>
  <c r="BJ25" i="14"/>
  <c r="AT25" i="14"/>
  <c r="BT25" i="14"/>
  <c r="BC25" i="14"/>
  <c r="BI25" i="14"/>
  <c r="N25" i="14"/>
  <c r="BZ25" i="14"/>
  <c r="Z25" i="14"/>
  <c r="F25" i="14"/>
  <c r="AP25" i="14"/>
  <c r="BR25" i="14"/>
  <c r="AX25" i="14"/>
  <c r="O25" i="14"/>
  <c r="BS25" i="14"/>
  <c r="AQ25" i="14"/>
  <c r="AF25" i="14"/>
  <c r="S25" i="14"/>
  <c r="Q25" i="14"/>
  <c r="AH25" i="14"/>
  <c r="AI25" i="14"/>
  <c r="I25" i="14"/>
  <c r="BG25" i="14"/>
  <c r="CB25" i="14"/>
  <c r="BP25" i="14"/>
  <c r="E25" i="14"/>
  <c r="AY25" i="14"/>
  <c r="CI25" i="14"/>
  <c r="BY25" i="14"/>
  <c r="AO25" i="14"/>
  <c r="J25" i="14"/>
  <c r="W25" i="14"/>
  <c r="R25" i="14"/>
  <c r="Y25" i="14"/>
  <c r="J26" i="14" l="1"/>
  <c r="CA26" i="14"/>
  <c r="CD26" i="14"/>
  <c r="CM26" i="14"/>
  <c r="BL26" i="14"/>
  <c r="BS26" i="14"/>
  <c r="P26" i="14"/>
  <c r="I26" i="14"/>
  <c r="H26" i="14"/>
  <c r="CL26" i="14"/>
  <c r="AH26" i="14"/>
  <c r="AI26" i="14"/>
  <c r="BJ26" i="14"/>
  <c r="AR26" i="14"/>
  <c r="BB26" i="14"/>
  <c r="S26" i="14"/>
  <c r="BC26" i="14"/>
  <c r="CI26" i="14"/>
  <c r="AO26" i="14"/>
  <c r="AS26" i="14"/>
  <c r="Z26" i="14"/>
  <c r="AY26" i="14"/>
  <c r="Q26" i="14"/>
  <c r="BG26" i="14"/>
  <c r="BH26" i="14"/>
  <c r="BY26" i="14"/>
  <c r="CB26" i="14"/>
  <c r="G26" i="14"/>
  <c r="BT26" i="14"/>
  <c r="E26" i="14"/>
  <c r="AK26" i="14"/>
  <c r="BP26" i="14"/>
  <c r="BI26" i="14"/>
  <c r="R26" i="14"/>
  <c r="BK26" i="14"/>
  <c r="F26" i="14"/>
  <c r="AZ26" i="14"/>
  <c r="CH26" i="14"/>
  <c r="AG26" i="14"/>
  <c r="CK26" i="14"/>
  <c r="AQ26" i="14"/>
  <c r="AT26" i="14"/>
  <c r="O26" i="14"/>
  <c r="N26" i="14"/>
  <c r="Y26" i="14"/>
  <c r="AB26" i="14"/>
  <c r="W26" i="14"/>
  <c r="X26" i="14"/>
  <c r="AJ26" i="14"/>
  <c r="AX26" i="14"/>
  <c r="AP26" i="14"/>
  <c r="BA26" i="14"/>
  <c r="CC26" i="14"/>
  <c r="AA26" i="14"/>
  <c r="BZ26" i="14"/>
  <c r="BR26" i="14"/>
  <c r="BU26" i="14"/>
  <c r="BQ26" i="14"/>
  <c r="AF26" i="14"/>
  <c r="CJ26" i="14"/>
  <c r="R10" i="49" l="1"/>
  <c r="S10" i="49" s="1"/>
  <c r="R8" i="49"/>
  <c r="S8" i="49" s="1"/>
  <c r="R12" i="49"/>
  <c r="S12" i="49" s="1"/>
  <c r="R6" i="49"/>
  <c r="S6" i="49" s="1"/>
  <c r="R5" i="49"/>
  <c r="S5" i="49" s="1"/>
  <c r="R9" i="49"/>
  <c r="S9" i="49" s="1"/>
  <c r="R13" i="49"/>
  <c r="S13" i="49" s="1"/>
  <c r="R11" i="49"/>
  <c r="S11" i="49" s="1"/>
  <c r="R7" i="49"/>
  <c r="S7" i="49" s="1"/>
  <c r="T5" i="49"/>
  <c r="T9" i="49"/>
  <c r="T12" i="49"/>
  <c r="T7" i="49"/>
  <c r="T6" i="49"/>
  <c r="T11" i="49"/>
  <c r="T13" i="49"/>
  <c r="T10" i="49"/>
  <c r="T8" i="49"/>
  <c r="AI27" i="14"/>
  <c r="J27" i="14"/>
  <c r="CD27" i="14"/>
  <c r="P27" i="14"/>
  <c r="S27" i="14"/>
  <c r="BA27" i="14"/>
  <c r="BL27" i="14"/>
  <c r="BC27" i="14"/>
  <c r="AS27" i="14"/>
  <c r="I27" i="14"/>
  <c r="CB27" i="14"/>
  <c r="AJ27" i="14"/>
  <c r="BJ27" i="14"/>
  <c r="AK27" i="14"/>
  <c r="CK27" i="14"/>
  <c r="R27" i="14"/>
  <c r="AZ27" i="14"/>
  <c r="AH27" i="14"/>
  <c r="CI27" i="14"/>
  <c r="CC27" i="14"/>
  <c r="AP27" i="14"/>
  <c r="F27" i="14"/>
  <c r="AT27" i="14"/>
  <c r="N27" i="14"/>
  <c r="Q27" i="14"/>
  <c r="BI27" i="14"/>
  <c r="E27" i="14"/>
  <c r="BK27" i="14"/>
  <c r="H27" i="14"/>
  <c r="G27" i="14"/>
  <c r="BG27" i="14"/>
  <c r="BH27" i="14"/>
  <c r="CH27" i="14"/>
  <c r="AF27" i="14"/>
  <c r="BQ27" i="14"/>
  <c r="BY27" i="14"/>
  <c r="Y27" i="14"/>
  <c r="BU27" i="14"/>
  <c r="CL27" i="14"/>
  <c r="AA27" i="14"/>
  <c r="BR27" i="14"/>
  <c r="AQ27" i="14"/>
  <c r="AX27" i="14"/>
  <c r="AY27" i="14"/>
  <c r="BS27" i="14"/>
  <c r="AG27" i="14"/>
  <c r="W27" i="14"/>
  <c r="CJ27" i="14"/>
  <c r="CM27" i="14"/>
  <c r="AO27" i="14"/>
  <c r="BB27" i="14"/>
  <c r="BP27" i="14"/>
  <c r="AB27" i="14"/>
  <c r="O27" i="14"/>
  <c r="BT27" i="14"/>
  <c r="AR27" i="14"/>
  <c r="BZ27" i="14"/>
  <c r="CA27" i="14"/>
  <c r="X27" i="14"/>
  <c r="Z27" i="14"/>
  <c r="AL10" i="49" l="1"/>
  <c r="AJ10" i="49"/>
  <c r="A113" i="49"/>
  <c r="AI10" i="49"/>
  <c r="AM10" i="49"/>
  <c r="AK10" i="49"/>
  <c r="AH10" i="49"/>
  <c r="AN10" i="49" s="1"/>
  <c r="AM11" i="49"/>
  <c r="A114" i="49"/>
  <c r="AH11" i="49"/>
  <c r="AN11" i="49" s="1"/>
  <c r="AJ11" i="49"/>
  <c r="AL11" i="49"/>
  <c r="AK11" i="49"/>
  <c r="AI11" i="49"/>
  <c r="AI7" i="49"/>
  <c r="A110" i="49"/>
  <c r="AM7" i="49"/>
  <c r="AJ7" i="49"/>
  <c r="AH7" i="49"/>
  <c r="AN7" i="49" s="1"/>
  <c r="AK7" i="49"/>
  <c r="AL7" i="49"/>
  <c r="AK9" i="49"/>
  <c r="AJ9" i="49"/>
  <c r="AM9" i="49"/>
  <c r="AI9" i="49"/>
  <c r="A112" i="49"/>
  <c r="AH9" i="49"/>
  <c r="AN9" i="49" s="1"/>
  <c r="AL9" i="49"/>
  <c r="AI12" i="49"/>
  <c r="AJ12" i="49"/>
  <c r="AK12" i="49"/>
  <c r="AL12" i="49"/>
  <c r="A115" i="49"/>
  <c r="AM12" i="49"/>
  <c r="AH12" i="49"/>
  <c r="AN12" i="49" s="1"/>
  <c r="AJ8" i="49"/>
  <c r="AI8" i="49"/>
  <c r="AL8" i="49"/>
  <c r="AH8" i="49"/>
  <c r="AN8" i="49" s="1"/>
  <c r="AM8" i="49"/>
  <c r="A111" i="49"/>
  <c r="AK8" i="49"/>
  <c r="A116" i="49"/>
  <c r="AH13" i="49"/>
  <c r="AN13" i="49" s="1"/>
  <c r="AI13" i="49"/>
  <c r="AJ13" i="49"/>
  <c r="AK13" i="49"/>
  <c r="AL13" i="49"/>
  <c r="AM13" i="49"/>
  <c r="A109" i="49"/>
  <c r="AK6" i="49"/>
  <c r="AL6" i="49"/>
  <c r="AM6" i="49"/>
  <c r="AI6" i="49"/>
  <c r="AH6" i="49"/>
  <c r="AN6" i="49" s="1"/>
  <c r="AJ6" i="49"/>
  <c r="AI5" i="49"/>
  <c r="AL5" i="49"/>
  <c r="AH5" i="49"/>
  <c r="AN5" i="49" s="1"/>
  <c r="AJ5" i="49"/>
  <c r="AM5" i="49"/>
  <c r="AK5" i="49"/>
  <c r="AI28" i="14"/>
  <c r="AJ28" i="14"/>
  <c r="BA28" i="14"/>
  <c r="H28" i="14"/>
  <c r="S28" i="14"/>
  <c r="BL28" i="14"/>
  <c r="BC28" i="14"/>
  <c r="AR28" i="14"/>
  <c r="CK28" i="14"/>
  <c r="BB28" i="14"/>
  <c r="BK28" i="14"/>
  <c r="AQ28" i="14"/>
  <c r="BJ28" i="14"/>
  <c r="CJ28" i="14"/>
  <c r="AK28" i="14"/>
  <c r="R28" i="14"/>
  <c r="O28" i="14"/>
  <c r="BH28" i="14"/>
  <c r="CC28" i="14"/>
  <c r="G28" i="14"/>
  <c r="AB28" i="14"/>
  <c r="J28" i="14"/>
  <c r="CL28" i="14"/>
  <c r="E28" i="14"/>
  <c r="I28" i="14"/>
  <c r="F28" i="14"/>
  <c r="BI28" i="14"/>
  <c r="BG28" i="14"/>
  <c r="BT28" i="14"/>
  <c r="AG28" i="14"/>
  <c r="CH28" i="14"/>
  <c r="AS28" i="14"/>
  <c r="BS28" i="14"/>
  <c r="P28" i="14"/>
  <c r="BU28" i="14"/>
  <c r="BQ28" i="14"/>
  <c r="X28" i="14"/>
  <c r="BR28" i="14"/>
  <c r="BZ28" i="14"/>
  <c r="AT28" i="14"/>
  <c r="AO28" i="14"/>
  <c r="AA28" i="14"/>
  <c r="CI28" i="14"/>
  <c r="N28" i="14"/>
  <c r="AF28" i="14"/>
  <c r="W28" i="14"/>
  <c r="Q28" i="14"/>
  <c r="CA28" i="14"/>
  <c r="CD28" i="14"/>
  <c r="BP28" i="14"/>
  <c r="AP28" i="14"/>
  <c r="CM28" i="14"/>
  <c r="AY28" i="14"/>
  <c r="AZ28" i="14"/>
  <c r="AX28" i="14"/>
  <c r="Z28" i="14"/>
  <c r="Y28" i="14"/>
  <c r="BY28" i="14"/>
  <c r="CB28" i="14"/>
  <c r="AH28" i="14"/>
  <c r="AI29" i="14" l="1"/>
  <c r="AP12" i="49"/>
  <c r="AO12" i="49"/>
  <c r="AP6" i="49"/>
  <c r="AP13" i="49"/>
  <c r="AO13" i="49"/>
  <c r="AO11" i="49"/>
  <c r="AP10" i="49"/>
  <c r="AO6" i="49"/>
  <c r="AP8" i="49"/>
  <c r="AO9" i="49"/>
  <c r="AO7" i="49"/>
  <c r="AP11" i="49"/>
  <c r="AO10" i="49"/>
  <c r="AO8" i="49"/>
  <c r="AO5" i="49"/>
  <c r="AP9" i="49"/>
  <c r="AP7" i="49"/>
  <c r="AP5" i="49"/>
  <c r="BA29" i="14"/>
  <c r="H29" i="14"/>
  <c r="CM29" i="14"/>
  <c r="CI29" i="14"/>
  <c r="BB29" i="14"/>
  <c r="AT29" i="14"/>
  <c r="AS29" i="14"/>
  <c r="BJ29" i="14"/>
  <c r="CL29" i="14"/>
  <c r="P29" i="14"/>
  <c r="BS29" i="14"/>
  <c r="G29" i="14"/>
  <c r="CA29" i="14"/>
  <c r="CB29" i="14"/>
  <c r="BI29" i="14"/>
  <c r="E29" i="14"/>
  <c r="I29" i="14"/>
  <c r="BL29" i="14"/>
  <c r="J29" i="14"/>
  <c r="BP29" i="14"/>
  <c r="BK29" i="14"/>
  <c r="BH29" i="14"/>
  <c r="Y29" i="14"/>
  <c r="BG29" i="14"/>
  <c r="BT29" i="14"/>
  <c r="AH29" i="14"/>
  <c r="AG29" i="14"/>
  <c r="BR29" i="14"/>
  <c r="F29" i="14"/>
  <c r="AP29" i="14"/>
  <c r="S29" i="14"/>
  <c r="Z29" i="14"/>
  <c r="CK29" i="14"/>
  <c r="X29" i="14"/>
  <c r="CJ29" i="14"/>
  <c r="O29" i="14"/>
  <c r="AR29" i="14"/>
  <c r="BU29" i="14"/>
  <c r="N29" i="14"/>
  <c r="AJ29" i="14"/>
  <c r="AK29" i="14"/>
  <c r="CD29" i="14"/>
  <c r="W29" i="14"/>
  <c r="AF29" i="14"/>
  <c r="AQ29" i="14"/>
  <c r="V38" i="14"/>
  <c r="V39" i="14" s="1"/>
  <c r="V40" i="14" s="1"/>
  <c r="V41" i="14" s="1"/>
  <c r="V42" i="14" s="1"/>
  <c r="V43" i="14" s="1"/>
  <c r="V44" i="14" s="1"/>
  <c r="V45" i="14" s="1"/>
  <c r="V46" i="14" s="1"/>
  <c r="V47" i="14" s="1"/>
  <c r="V48" i="14" s="1"/>
  <c r="V49" i="14" s="1"/>
  <c r="V50" i="14" s="1"/>
  <c r="V51" i="14" s="1"/>
  <c r="V52" i="14" s="1"/>
  <c r="V53" i="14" s="1"/>
  <c r="V54" i="14" s="1"/>
  <c r="V55" i="14" s="1"/>
  <c r="V56" i="14" s="1"/>
  <c r="V57" i="14" s="1"/>
  <c r="V58" i="14" s="1"/>
  <c r="V59" i="14" s="1"/>
  <c r="V60" i="14" s="1"/>
  <c r="V61" i="14" s="1"/>
  <c r="V62" i="14" s="1"/>
  <c r="V63" i="14" s="1"/>
  <c r="V64" i="14" s="1"/>
  <c r="V65" i="14" s="1"/>
  <c r="V66" i="14" s="1"/>
  <c r="V67" i="14" s="1"/>
  <c r="V68" i="14" s="1"/>
  <c r="V69" i="14" s="1"/>
  <c r="V70" i="14" s="1"/>
  <c r="V71" i="14" s="1"/>
  <c r="V72" i="14" s="1"/>
  <c r="V73" i="14" s="1"/>
  <c r="V74" i="14" s="1"/>
  <c r="V75" i="14" s="1"/>
  <c r="V76" i="14" s="1"/>
  <c r="V77" i="14" s="1"/>
  <c r="V78" i="14" s="1"/>
  <c r="V79" i="14" s="1"/>
  <c r="V80" i="14" s="1"/>
  <c r="V81" i="14" s="1"/>
  <c r="V82" i="14" s="1"/>
  <c r="V83" i="14" s="1"/>
  <c r="V84" i="14" s="1"/>
  <c r="V85" i="14" s="1"/>
  <c r="V86" i="14" s="1"/>
  <c r="V87" i="14" s="1"/>
  <c r="V88" i="14" s="1"/>
  <c r="V89" i="14" s="1"/>
  <c r="V90" i="14" s="1"/>
  <c r="V91" i="14" s="1"/>
  <c r="V92" i="14" s="1"/>
  <c r="V93" i="14" s="1"/>
  <c r="V94" i="14" s="1"/>
  <c r="V95" i="14" s="1"/>
  <c r="V96" i="14" s="1"/>
  <c r="V97" i="14" s="1"/>
  <c r="V98" i="14" s="1"/>
  <c r="V99" i="14" s="1"/>
  <c r="V100" i="14" s="1"/>
  <c r="V101" i="14" s="1"/>
  <c r="V102" i="14" s="1"/>
  <c r="V103" i="14" s="1"/>
  <c r="V104" i="14" s="1"/>
  <c r="V105" i="14" s="1"/>
  <c r="V106" i="14" s="1"/>
  <c r="V107" i="14" s="1"/>
  <c r="V108" i="14" s="1"/>
  <c r="V109" i="14" s="1"/>
  <c r="V110" i="14" s="1"/>
  <c r="V111" i="14" s="1"/>
  <c r="V112" i="14" s="1"/>
  <c r="V113" i="14" s="1"/>
  <c r="V114" i="14" s="1"/>
  <c r="V115" i="14" s="1"/>
  <c r="V116" i="14" s="1"/>
  <c r="V117" i="14" s="1"/>
  <c r="V118" i="14" s="1"/>
  <c r="V119" i="14" s="1"/>
  <c r="V120" i="14" s="1"/>
  <c r="V121" i="14" s="1"/>
  <c r="V122" i="14" s="1"/>
  <c r="V123" i="14" s="1"/>
  <c r="V124" i="14" s="1"/>
  <c r="V125" i="14" s="1"/>
  <c r="V126" i="14" s="1"/>
  <c r="V127" i="14" s="1"/>
  <c r="V128" i="14" s="1"/>
  <c r="V129" i="14" s="1"/>
  <c r="V130" i="14" s="1"/>
  <c r="V131" i="14" s="1"/>
  <c r="V132" i="14" s="1"/>
  <c r="V133" i="14" s="1"/>
  <c r="V134" i="14" s="1"/>
  <c r="V135" i="14" s="1"/>
  <c r="V136" i="14" s="1"/>
  <c r="V137" i="14" s="1"/>
  <c r="V138" i="14" s="1"/>
  <c r="V139" i="14" s="1"/>
  <c r="V140" i="14" s="1"/>
  <c r="V141" i="14" s="1"/>
  <c r="V142" i="14" s="1"/>
  <c r="V143" i="14" s="1"/>
  <c r="V144" i="14" s="1"/>
  <c r="V145" i="14" s="1"/>
  <c r="V146" i="14" s="1"/>
  <c r="V147" i="14" s="1"/>
  <c r="V148" i="14" s="1"/>
  <c r="V149" i="14" s="1"/>
  <c r="V150" i="14" s="1"/>
  <c r="V151" i="14" s="1"/>
  <c r="V152" i="14" s="1"/>
  <c r="V153" i="14" s="1"/>
  <c r="V154" i="14" s="1"/>
  <c r="V155" i="14" s="1"/>
  <c r="V156" i="14" s="1"/>
  <c r="V157" i="14" s="1"/>
  <c r="V158" i="14" s="1"/>
  <c r="V159" i="14" s="1"/>
  <c r="V160" i="14" s="1"/>
  <c r="V161" i="14" s="1"/>
  <c r="V162" i="14" s="1"/>
  <c r="CG38" i="14"/>
  <c r="CG39" i="14" s="1"/>
  <c r="CG40" i="14" s="1"/>
  <c r="CG41" i="14" s="1"/>
  <c r="CG42" i="14" s="1"/>
  <c r="CG43" i="14" s="1"/>
  <c r="CG44" i="14" s="1"/>
  <c r="CG45" i="14" s="1"/>
  <c r="CG46" i="14" s="1"/>
  <c r="CG47" i="14" s="1"/>
  <c r="CG48" i="14" s="1"/>
  <c r="CG49" i="14" s="1"/>
  <c r="CG50" i="14" s="1"/>
  <c r="CG51" i="14" s="1"/>
  <c r="CG52" i="14" s="1"/>
  <c r="CG53" i="14" s="1"/>
  <c r="CG54" i="14" s="1"/>
  <c r="CG55" i="14" s="1"/>
  <c r="CG56" i="14" s="1"/>
  <c r="CG57" i="14" s="1"/>
  <c r="CG58" i="14" s="1"/>
  <c r="CG59" i="14" s="1"/>
  <c r="CG60" i="14" s="1"/>
  <c r="CG61" i="14" s="1"/>
  <c r="CG62" i="14" s="1"/>
  <c r="CG63" i="14" s="1"/>
  <c r="CG64" i="14" s="1"/>
  <c r="CG65" i="14" s="1"/>
  <c r="CG66" i="14" s="1"/>
  <c r="CG67" i="14" s="1"/>
  <c r="CG68" i="14" s="1"/>
  <c r="CG69" i="14" s="1"/>
  <c r="CG70" i="14" s="1"/>
  <c r="CG71" i="14" s="1"/>
  <c r="CG72" i="14" s="1"/>
  <c r="CG73" i="14" s="1"/>
  <c r="CG74" i="14" s="1"/>
  <c r="CG75" i="14" s="1"/>
  <c r="CG76" i="14" s="1"/>
  <c r="CG77" i="14" s="1"/>
  <c r="CG78" i="14" s="1"/>
  <c r="CG79" i="14" s="1"/>
  <c r="CG80" i="14" s="1"/>
  <c r="CG81" i="14" s="1"/>
  <c r="CG82" i="14" s="1"/>
  <c r="CG83" i="14" s="1"/>
  <c r="CG84" i="14" s="1"/>
  <c r="CG85" i="14" s="1"/>
  <c r="CG86" i="14" s="1"/>
  <c r="CG87" i="14" s="1"/>
  <c r="CG88" i="14" s="1"/>
  <c r="CG89" i="14" s="1"/>
  <c r="CG90" i="14" s="1"/>
  <c r="CG91" i="14" s="1"/>
  <c r="CG92" i="14" s="1"/>
  <c r="CG93" i="14" s="1"/>
  <c r="CG94" i="14" s="1"/>
  <c r="CG95" i="14" s="1"/>
  <c r="CG96" i="14" s="1"/>
  <c r="CG97" i="14" s="1"/>
  <c r="CG98" i="14" s="1"/>
  <c r="CG99" i="14" s="1"/>
  <c r="CG100" i="14" s="1"/>
  <c r="CG101" i="14" s="1"/>
  <c r="CG102" i="14" s="1"/>
  <c r="CG103" i="14" s="1"/>
  <c r="CG104" i="14" s="1"/>
  <c r="CG105" i="14" s="1"/>
  <c r="CG106" i="14" s="1"/>
  <c r="CG107" i="14" s="1"/>
  <c r="CG108" i="14" s="1"/>
  <c r="CG109" i="14" s="1"/>
  <c r="CG110" i="14" s="1"/>
  <c r="CG111" i="14" s="1"/>
  <c r="CG112" i="14" s="1"/>
  <c r="CG113" i="14" s="1"/>
  <c r="CG114" i="14" s="1"/>
  <c r="CG115" i="14" s="1"/>
  <c r="CG116" i="14" s="1"/>
  <c r="CG117" i="14" s="1"/>
  <c r="CG118" i="14" s="1"/>
  <c r="CG119" i="14" s="1"/>
  <c r="CG120" i="14" s="1"/>
  <c r="CG121" i="14" s="1"/>
  <c r="CG122" i="14" s="1"/>
  <c r="CG123" i="14" s="1"/>
  <c r="CG124" i="14" s="1"/>
  <c r="CG125" i="14" s="1"/>
  <c r="CG126" i="14" s="1"/>
  <c r="CG127" i="14" s="1"/>
  <c r="CG128" i="14" s="1"/>
  <c r="CG129" i="14" s="1"/>
  <c r="CG130" i="14" s="1"/>
  <c r="CG131" i="14" s="1"/>
  <c r="CG132" i="14" s="1"/>
  <c r="CG133" i="14" s="1"/>
  <c r="CG134" i="14" s="1"/>
  <c r="CG135" i="14" s="1"/>
  <c r="CG136" i="14" s="1"/>
  <c r="CG137" i="14" s="1"/>
  <c r="CG138" i="14" s="1"/>
  <c r="CG139" i="14" s="1"/>
  <c r="CG140" i="14" s="1"/>
  <c r="CG141" i="14" s="1"/>
  <c r="CG142" i="14" s="1"/>
  <c r="CG143" i="14" s="1"/>
  <c r="CG144" i="14" s="1"/>
  <c r="CG145" i="14" s="1"/>
  <c r="CG146" i="14" s="1"/>
  <c r="CG147" i="14" s="1"/>
  <c r="CG148" i="14" s="1"/>
  <c r="CG149" i="14" s="1"/>
  <c r="CG150" i="14" s="1"/>
  <c r="CG151" i="14" s="1"/>
  <c r="CG152" i="14" s="1"/>
  <c r="CG153" i="14" s="1"/>
  <c r="CG154" i="14" s="1"/>
  <c r="CG155" i="14" s="1"/>
  <c r="CG156" i="14" s="1"/>
  <c r="CG157" i="14" s="1"/>
  <c r="CG158" i="14" s="1"/>
  <c r="CG159" i="14" s="1"/>
  <c r="CG160" i="14" s="1"/>
  <c r="CG161" i="14" s="1"/>
  <c r="CG162" i="14" s="1"/>
  <c r="BX38" i="14"/>
  <c r="BX39" i="14" s="1"/>
  <c r="BX40" i="14" s="1"/>
  <c r="BX41" i="14" s="1"/>
  <c r="BX42" i="14" s="1"/>
  <c r="BX43" i="14" s="1"/>
  <c r="BX44" i="14" s="1"/>
  <c r="BX45" i="14" s="1"/>
  <c r="BX46" i="14" s="1"/>
  <c r="BX47" i="14" s="1"/>
  <c r="BX48" i="14" s="1"/>
  <c r="BX49" i="14" s="1"/>
  <c r="BX50" i="14" s="1"/>
  <c r="BX51" i="14" s="1"/>
  <c r="BX52" i="14" s="1"/>
  <c r="BX53" i="14" s="1"/>
  <c r="BX54" i="14" s="1"/>
  <c r="BX55" i="14" s="1"/>
  <c r="BX56" i="14" s="1"/>
  <c r="BX57" i="14" s="1"/>
  <c r="BX58" i="14" s="1"/>
  <c r="BX59" i="14" s="1"/>
  <c r="BX60" i="14" s="1"/>
  <c r="BX61" i="14" s="1"/>
  <c r="BX62" i="14" s="1"/>
  <c r="BX63" i="14" s="1"/>
  <c r="BX64" i="14" s="1"/>
  <c r="BX65" i="14" s="1"/>
  <c r="BX66" i="14" s="1"/>
  <c r="BX67" i="14" s="1"/>
  <c r="BX68" i="14" s="1"/>
  <c r="BX69" i="14" s="1"/>
  <c r="BX70" i="14" s="1"/>
  <c r="BX71" i="14" s="1"/>
  <c r="BX72" i="14" s="1"/>
  <c r="BX73" i="14" s="1"/>
  <c r="BX74" i="14" s="1"/>
  <c r="BX75" i="14" s="1"/>
  <c r="BX76" i="14" s="1"/>
  <c r="BX77" i="14" s="1"/>
  <c r="BX78" i="14" s="1"/>
  <c r="BX79" i="14" s="1"/>
  <c r="BX80" i="14" s="1"/>
  <c r="BX81" i="14" s="1"/>
  <c r="BX82" i="14" s="1"/>
  <c r="BX83" i="14" s="1"/>
  <c r="BX84" i="14" s="1"/>
  <c r="BX85" i="14" s="1"/>
  <c r="BX86" i="14" s="1"/>
  <c r="BX87" i="14" s="1"/>
  <c r="BX88" i="14" s="1"/>
  <c r="BX89" i="14" s="1"/>
  <c r="BX90" i="14" s="1"/>
  <c r="BX91" i="14" s="1"/>
  <c r="BX92" i="14" s="1"/>
  <c r="BX93" i="14" s="1"/>
  <c r="BX94" i="14" s="1"/>
  <c r="BX95" i="14" s="1"/>
  <c r="BX96" i="14" s="1"/>
  <c r="BX97" i="14" s="1"/>
  <c r="BX98" i="14" s="1"/>
  <c r="BX99" i="14" s="1"/>
  <c r="BX100" i="14" s="1"/>
  <c r="BX101" i="14" s="1"/>
  <c r="BX102" i="14" s="1"/>
  <c r="BX103" i="14" s="1"/>
  <c r="BX104" i="14" s="1"/>
  <c r="BX105" i="14" s="1"/>
  <c r="BX106" i="14" s="1"/>
  <c r="BX107" i="14" s="1"/>
  <c r="BX108" i="14" s="1"/>
  <c r="BX109" i="14" s="1"/>
  <c r="BX110" i="14" s="1"/>
  <c r="BX111" i="14" s="1"/>
  <c r="BX112" i="14" s="1"/>
  <c r="BX113" i="14" s="1"/>
  <c r="BX114" i="14" s="1"/>
  <c r="BX115" i="14" s="1"/>
  <c r="BX116" i="14" s="1"/>
  <c r="BX117" i="14" s="1"/>
  <c r="BX118" i="14" s="1"/>
  <c r="BX119" i="14" s="1"/>
  <c r="BX120" i="14" s="1"/>
  <c r="BX121" i="14" s="1"/>
  <c r="BX122" i="14" s="1"/>
  <c r="BX123" i="14" s="1"/>
  <c r="BX124" i="14" s="1"/>
  <c r="BX125" i="14" s="1"/>
  <c r="BX126" i="14" s="1"/>
  <c r="BX127" i="14" s="1"/>
  <c r="BX128" i="14" s="1"/>
  <c r="BX129" i="14" s="1"/>
  <c r="BX130" i="14" s="1"/>
  <c r="BX131" i="14" s="1"/>
  <c r="BX132" i="14" s="1"/>
  <c r="BX133" i="14" s="1"/>
  <c r="BX134" i="14" s="1"/>
  <c r="BX135" i="14" s="1"/>
  <c r="BX136" i="14" s="1"/>
  <c r="BX137" i="14" s="1"/>
  <c r="BX138" i="14" s="1"/>
  <c r="BX139" i="14" s="1"/>
  <c r="BX140" i="14" s="1"/>
  <c r="BX141" i="14" s="1"/>
  <c r="BX142" i="14" s="1"/>
  <c r="BX143" i="14" s="1"/>
  <c r="BX144" i="14" s="1"/>
  <c r="BX145" i="14" s="1"/>
  <c r="BX146" i="14" s="1"/>
  <c r="BX147" i="14" s="1"/>
  <c r="BX148" i="14" s="1"/>
  <c r="BX149" i="14" s="1"/>
  <c r="BX150" i="14" s="1"/>
  <c r="BX151" i="14" s="1"/>
  <c r="BX152" i="14" s="1"/>
  <c r="BX153" i="14" s="1"/>
  <c r="BX154" i="14" s="1"/>
  <c r="BX155" i="14" s="1"/>
  <c r="BX156" i="14" s="1"/>
  <c r="BX157" i="14" s="1"/>
  <c r="BX158" i="14" s="1"/>
  <c r="BX159" i="14" s="1"/>
  <c r="BX160" i="14" s="1"/>
  <c r="BX161" i="14" s="1"/>
  <c r="BX162" i="14" s="1"/>
  <c r="D38" i="14"/>
  <c r="D39" i="14" s="1"/>
  <c r="D40" i="14" s="1"/>
  <c r="D41" i="14" s="1"/>
  <c r="D42" i="14" s="1"/>
  <c r="D43" i="14" s="1"/>
  <c r="D44" i="14" s="1"/>
  <c r="BO38" i="14"/>
  <c r="BO39" i="14" s="1"/>
  <c r="BO40" i="14" s="1"/>
  <c r="BO41" i="14" s="1"/>
  <c r="BO42" i="14" s="1"/>
  <c r="BO43" i="14" s="1"/>
  <c r="BO44" i="14" s="1"/>
  <c r="BO45" i="14" s="1"/>
  <c r="BO46" i="14" s="1"/>
  <c r="BO47" i="14" s="1"/>
  <c r="BO48" i="14" s="1"/>
  <c r="BO49" i="14" s="1"/>
  <c r="BO50" i="14" s="1"/>
  <c r="BO51" i="14" s="1"/>
  <c r="BO52" i="14" s="1"/>
  <c r="BO53" i="14" s="1"/>
  <c r="BO54" i="14" s="1"/>
  <c r="BO55" i="14" s="1"/>
  <c r="BO56" i="14" s="1"/>
  <c r="BO57" i="14" s="1"/>
  <c r="BO58" i="14" s="1"/>
  <c r="BO59" i="14" s="1"/>
  <c r="BO60" i="14" s="1"/>
  <c r="BO61" i="14" s="1"/>
  <c r="BO62" i="14" s="1"/>
  <c r="BO63" i="14" s="1"/>
  <c r="BO64" i="14" s="1"/>
  <c r="BO65" i="14" s="1"/>
  <c r="BO66" i="14" s="1"/>
  <c r="BO67" i="14" s="1"/>
  <c r="BO68" i="14" s="1"/>
  <c r="BO69" i="14" s="1"/>
  <c r="BO70" i="14" s="1"/>
  <c r="BO71" i="14" s="1"/>
  <c r="BO72" i="14" s="1"/>
  <c r="BO73" i="14" s="1"/>
  <c r="BO74" i="14" s="1"/>
  <c r="BO75" i="14" s="1"/>
  <c r="BO76" i="14" s="1"/>
  <c r="BO77" i="14" s="1"/>
  <c r="BO78" i="14" s="1"/>
  <c r="BO79" i="14" s="1"/>
  <c r="BO80" i="14" s="1"/>
  <c r="BO81" i="14" s="1"/>
  <c r="BO82" i="14" s="1"/>
  <c r="BO83" i="14" s="1"/>
  <c r="BO84" i="14" s="1"/>
  <c r="BO85" i="14" s="1"/>
  <c r="BO86" i="14" s="1"/>
  <c r="BO87" i="14" s="1"/>
  <c r="BO88" i="14" s="1"/>
  <c r="BO89" i="14" s="1"/>
  <c r="BO90" i="14" s="1"/>
  <c r="BO91" i="14" s="1"/>
  <c r="BO92" i="14" s="1"/>
  <c r="BO93" i="14" s="1"/>
  <c r="BO94" i="14" s="1"/>
  <c r="BO95" i="14" s="1"/>
  <c r="BO96" i="14" s="1"/>
  <c r="BO97" i="14" s="1"/>
  <c r="BO98" i="14" s="1"/>
  <c r="BO99" i="14" s="1"/>
  <c r="BO100" i="14" s="1"/>
  <c r="BO101" i="14" s="1"/>
  <c r="BO102" i="14" s="1"/>
  <c r="BO103" i="14" s="1"/>
  <c r="BO104" i="14" s="1"/>
  <c r="BO105" i="14" s="1"/>
  <c r="BO106" i="14" s="1"/>
  <c r="BO107" i="14" s="1"/>
  <c r="BO108" i="14" s="1"/>
  <c r="BO109" i="14" s="1"/>
  <c r="BO110" i="14" s="1"/>
  <c r="BO111" i="14" s="1"/>
  <c r="BO112" i="14" s="1"/>
  <c r="BO113" i="14" s="1"/>
  <c r="BO114" i="14" s="1"/>
  <c r="BO115" i="14" s="1"/>
  <c r="BO116" i="14" s="1"/>
  <c r="BO117" i="14" s="1"/>
  <c r="BO118" i="14" s="1"/>
  <c r="BO119" i="14" s="1"/>
  <c r="BO120" i="14" s="1"/>
  <c r="BO121" i="14" s="1"/>
  <c r="BO122" i="14" s="1"/>
  <c r="BO123" i="14" s="1"/>
  <c r="BO124" i="14" s="1"/>
  <c r="BO125" i="14" s="1"/>
  <c r="BO126" i="14" s="1"/>
  <c r="BO127" i="14" s="1"/>
  <c r="BO128" i="14" s="1"/>
  <c r="BO129" i="14" s="1"/>
  <c r="BO130" i="14" s="1"/>
  <c r="BO131" i="14" s="1"/>
  <c r="BO132" i="14" s="1"/>
  <c r="BO133" i="14" s="1"/>
  <c r="BO134" i="14" s="1"/>
  <c r="BO135" i="14" s="1"/>
  <c r="BO136" i="14" s="1"/>
  <c r="BO137" i="14" s="1"/>
  <c r="BO138" i="14" s="1"/>
  <c r="BO139" i="14" s="1"/>
  <c r="BO140" i="14" s="1"/>
  <c r="BO141" i="14" s="1"/>
  <c r="BO142" i="14" s="1"/>
  <c r="BO143" i="14" s="1"/>
  <c r="BO144" i="14" s="1"/>
  <c r="BO145" i="14" s="1"/>
  <c r="BO146" i="14" s="1"/>
  <c r="BO147" i="14" s="1"/>
  <c r="BO148" i="14" s="1"/>
  <c r="BO149" i="14" s="1"/>
  <c r="BO150" i="14" s="1"/>
  <c r="BO151" i="14" s="1"/>
  <c r="BO152" i="14" s="1"/>
  <c r="BO153" i="14" s="1"/>
  <c r="BO154" i="14" s="1"/>
  <c r="BO155" i="14" s="1"/>
  <c r="BO156" i="14" s="1"/>
  <c r="BO157" i="14" s="1"/>
  <c r="BO158" i="14" s="1"/>
  <c r="BO159" i="14" s="1"/>
  <c r="BO160" i="14" s="1"/>
  <c r="BO161" i="14" s="1"/>
  <c r="BO162" i="14" s="1"/>
  <c r="AW38" i="14"/>
  <c r="AW39" i="14" s="1"/>
  <c r="AW40" i="14" s="1"/>
  <c r="AW41" i="14" s="1"/>
  <c r="AW42" i="14" s="1"/>
  <c r="AW43" i="14" s="1"/>
  <c r="AW44" i="14" s="1"/>
  <c r="AW45" i="14" s="1"/>
  <c r="AW46" i="14" s="1"/>
  <c r="AW47" i="14" s="1"/>
  <c r="AW48" i="14" s="1"/>
  <c r="AW49" i="14" s="1"/>
  <c r="AW50" i="14" s="1"/>
  <c r="AW51" i="14" s="1"/>
  <c r="AW52" i="14" s="1"/>
  <c r="AW53" i="14" s="1"/>
  <c r="AW54" i="14" s="1"/>
  <c r="AW55" i="14" s="1"/>
  <c r="AW56" i="14" s="1"/>
  <c r="AW57" i="14" s="1"/>
  <c r="AW58" i="14" s="1"/>
  <c r="AW59" i="14" s="1"/>
  <c r="AW60" i="14" s="1"/>
  <c r="AW61" i="14" s="1"/>
  <c r="AW62" i="14" s="1"/>
  <c r="AW63" i="14" s="1"/>
  <c r="AW64" i="14" s="1"/>
  <c r="AW65" i="14" s="1"/>
  <c r="AW66" i="14" s="1"/>
  <c r="AW67" i="14" s="1"/>
  <c r="AW68" i="14" s="1"/>
  <c r="AW69" i="14" s="1"/>
  <c r="AW70" i="14" s="1"/>
  <c r="AW71" i="14" s="1"/>
  <c r="AW72" i="14" s="1"/>
  <c r="AW73" i="14" s="1"/>
  <c r="AW74" i="14" s="1"/>
  <c r="AW75" i="14" s="1"/>
  <c r="AW76" i="14" s="1"/>
  <c r="AW77" i="14" s="1"/>
  <c r="AW78" i="14" s="1"/>
  <c r="AW79" i="14" s="1"/>
  <c r="AW80" i="14" s="1"/>
  <c r="AW81" i="14" s="1"/>
  <c r="AW82" i="14" s="1"/>
  <c r="AW83" i="14" s="1"/>
  <c r="AW84" i="14" s="1"/>
  <c r="AW85" i="14" s="1"/>
  <c r="AW86" i="14" s="1"/>
  <c r="AW87" i="14" s="1"/>
  <c r="AW88" i="14" s="1"/>
  <c r="AW89" i="14" s="1"/>
  <c r="AW90" i="14" s="1"/>
  <c r="AW91" i="14" s="1"/>
  <c r="AW92" i="14" s="1"/>
  <c r="AW93" i="14" s="1"/>
  <c r="AW94" i="14" s="1"/>
  <c r="AW95" i="14" s="1"/>
  <c r="AW96" i="14" s="1"/>
  <c r="AW97" i="14" s="1"/>
  <c r="AW98" i="14" s="1"/>
  <c r="AW99" i="14" s="1"/>
  <c r="AW100" i="14" s="1"/>
  <c r="AW101" i="14" s="1"/>
  <c r="AW102" i="14" s="1"/>
  <c r="AW103" i="14" s="1"/>
  <c r="AW104" i="14" s="1"/>
  <c r="AW105" i="14" s="1"/>
  <c r="AW106" i="14" s="1"/>
  <c r="AW107" i="14" s="1"/>
  <c r="AW108" i="14" s="1"/>
  <c r="AW109" i="14" s="1"/>
  <c r="AW110" i="14" s="1"/>
  <c r="AW111" i="14" s="1"/>
  <c r="AW112" i="14" s="1"/>
  <c r="AW113" i="14" s="1"/>
  <c r="AW114" i="14" s="1"/>
  <c r="AW115" i="14" s="1"/>
  <c r="AW116" i="14" s="1"/>
  <c r="AW117" i="14" s="1"/>
  <c r="AW118" i="14" s="1"/>
  <c r="AW119" i="14" s="1"/>
  <c r="AW120" i="14" s="1"/>
  <c r="AW121" i="14" s="1"/>
  <c r="AW122" i="14" s="1"/>
  <c r="AW123" i="14" s="1"/>
  <c r="AW124" i="14" s="1"/>
  <c r="AW125" i="14" s="1"/>
  <c r="AW126" i="14" s="1"/>
  <c r="AW127" i="14" s="1"/>
  <c r="AW128" i="14" s="1"/>
  <c r="AW129" i="14" s="1"/>
  <c r="AW130" i="14" s="1"/>
  <c r="AW131" i="14" s="1"/>
  <c r="AW132" i="14" s="1"/>
  <c r="AW133" i="14" s="1"/>
  <c r="AW134" i="14" s="1"/>
  <c r="AW135" i="14" s="1"/>
  <c r="AW136" i="14" s="1"/>
  <c r="AW137" i="14" s="1"/>
  <c r="AW138" i="14" s="1"/>
  <c r="AW139" i="14" s="1"/>
  <c r="AW140" i="14" s="1"/>
  <c r="AW141" i="14" s="1"/>
  <c r="AW142" i="14" s="1"/>
  <c r="AW143" i="14" s="1"/>
  <c r="AW144" i="14" s="1"/>
  <c r="AW145" i="14" s="1"/>
  <c r="AW146" i="14" s="1"/>
  <c r="AW147" i="14" s="1"/>
  <c r="AW148" i="14" s="1"/>
  <c r="AW149" i="14" s="1"/>
  <c r="AW150" i="14" s="1"/>
  <c r="AW151" i="14" s="1"/>
  <c r="AW152" i="14" s="1"/>
  <c r="AW153" i="14" s="1"/>
  <c r="AW154" i="14" s="1"/>
  <c r="AW155" i="14" s="1"/>
  <c r="AW156" i="14" s="1"/>
  <c r="AW157" i="14" s="1"/>
  <c r="AW158" i="14" s="1"/>
  <c r="AW159" i="14" s="1"/>
  <c r="AW160" i="14" s="1"/>
  <c r="AW161" i="14" s="1"/>
  <c r="AW162" i="14" s="1"/>
  <c r="AE38" i="14"/>
  <c r="AE39" i="14" s="1"/>
  <c r="AE40" i="14" s="1"/>
  <c r="AE41" i="14" s="1"/>
  <c r="AE42" i="14" s="1"/>
  <c r="AE43" i="14" s="1"/>
  <c r="AE44" i="14" s="1"/>
  <c r="AE45" i="14" s="1"/>
  <c r="AE46" i="14" s="1"/>
  <c r="AE47" i="14" s="1"/>
  <c r="AE48" i="14" s="1"/>
  <c r="AE49" i="14" s="1"/>
  <c r="AE50" i="14" s="1"/>
  <c r="AE51" i="14" s="1"/>
  <c r="AE52" i="14" s="1"/>
  <c r="AE53" i="14" s="1"/>
  <c r="AE54" i="14" s="1"/>
  <c r="AE55" i="14" s="1"/>
  <c r="AE56" i="14" s="1"/>
  <c r="AE57" i="14" s="1"/>
  <c r="AE58" i="14" s="1"/>
  <c r="AE59" i="14" s="1"/>
  <c r="AE60" i="14" s="1"/>
  <c r="AE61" i="14" s="1"/>
  <c r="AE62" i="14" s="1"/>
  <c r="AE63" i="14" s="1"/>
  <c r="AE64" i="14" s="1"/>
  <c r="AE65" i="14" s="1"/>
  <c r="AE66" i="14" s="1"/>
  <c r="AE67" i="14" s="1"/>
  <c r="AE68" i="14" s="1"/>
  <c r="AE69" i="14" s="1"/>
  <c r="AE70" i="14" s="1"/>
  <c r="AE71" i="14" s="1"/>
  <c r="AE72" i="14" s="1"/>
  <c r="AE73" i="14" s="1"/>
  <c r="AE74" i="14" s="1"/>
  <c r="AE75" i="14" s="1"/>
  <c r="AE76" i="14" s="1"/>
  <c r="AE77" i="14" s="1"/>
  <c r="AE78" i="14" s="1"/>
  <c r="AE79" i="14" s="1"/>
  <c r="AE80" i="14" s="1"/>
  <c r="AE81" i="14" s="1"/>
  <c r="AE82" i="14" s="1"/>
  <c r="AE83" i="14" s="1"/>
  <c r="AE84" i="14" s="1"/>
  <c r="AE85" i="14" s="1"/>
  <c r="AE86" i="14" s="1"/>
  <c r="AE87" i="14" s="1"/>
  <c r="AE88" i="14" s="1"/>
  <c r="AE89" i="14" s="1"/>
  <c r="AE90" i="14" s="1"/>
  <c r="AE91" i="14" s="1"/>
  <c r="AE92" i="14" s="1"/>
  <c r="AE93" i="14" s="1"/>
  <c r="AE94" i="14" s="1"/>
  <c r="AE95" i="14" s="1"/>
  <c r="AE96" i="14" s="1"/>
  <c r="AE97" i="14" s="1"/>
  <c r="AE98" i="14" s="1"/>
  <c r="AE99" i="14" s="1"/>
  <c r="AE100" i="14" s="1"/>
  <c r="AE101" i="14" s="1"/>
  <c r="AE102" i="14" s="1"/>
  <c r="AE103" i="14" s="1"/>
  <c r="AE104" i="14" s="1"/>
  <c r="AE105" i="14" s="1"/>
  <c r="AE106" i="14" s="1"/>
  <c r="AE107" i="14" s="1"/>
  <c r="AE108" i="14" s="1"/>
  <c r="AE109" i="14" s="1"/>
  <c r="AE110" i="14" s="1"/>
  <c r="AE111" i="14" s="1"/>
  <c r="AE112" i="14" s="1"/>
  <c r="AE113" i="14" s="1"/>
  <c r="AE114" i="14" s="1"/>
  <c r="AE115" i="14" s="1"/>
  <c r="AE116" i="14" s="1"/>
  <c r="AE117" i="14" s="1"/>
  <c r="AE118" i="14" s="1"/>
  <c r="AE119" i="14" s="1"/>
  <c r="AE120" i="14" s="1"/>
  <c r="AE121" i="14" s="1"/>
  <c r="AE122" i="14" s="1"/>
  <c r="AE123" i="14" s="1"/>
  <c r="AE124" i="14" s="1"/>
  <c r="AE125" i="14" s="1"/>
  <c r="AE126" i="14" s="1"/>
  <c r="AE127" i="14" s="1"/>
  <c r="AE128" i="14" s="1"/>
  <c r="AE129" i="14" s="1"/>
  <c r="AE130" i="14" s="1"/>
  <c r="AE131" i="14" s="1"/>
  <c r="AE132" i="14" s="1"/>
  <c r="AE133" i="14" s="1"/>
  <c r="AE134" i="14" s="1"/>
  <c r="AE135" i="14" s="1"/>
  <c r="AE136" i="14" s="1"/>
  <c r="AE137" i="14" s="1"/>
  <c r="AE138" i="14" s="1"/>
  <c r="AE139" i="14" s="1"/>
  <c r="AE140" i="14" s="1"/>
  <c r="AE141" i="14" s="1"/>
  <c r="AE142" i="14" s="1"/>
  <c r="AE143" i="14" s="1"/>
  <c r="AE144" i="14" s="1"/>
  <c r="AE145" i="14" s="1"/>
  <c r="AE146" i="14" s="1"/>
  <c r="AE147" i="14" s="1"/>
  <c r="AE148" i="14" s="1"/>
  <c r="AE149" i="14" s="1"/>
  <c r="AE150" i="14" s="1"/>
  <c r="AE151" i="14" s="1"/>
  <c r="AE152" i="14" s="1"/>
  <c r="AE153" i="14" s="1"/>
  <c r="AE154" i="14" s="1"/>
  <c r="AE155" i="14" s="1"/>
  <c r="AE156" i="14" s="1"/>
  <c r="AE157" i="14" s="1"/>
  <c r="AE158" i="14" s="1"/>
  <c r="AE159" i="14" s="1"/>
  <c r="AE160" i="14" s="1"/>
  <c r="AE161" i="14" s="1"/>
  <c r="AE162" i="14" s="1"/>
  <c r="AN38" i="14"/>
  <c r="AN39" i="14" s="1"/>
  <c r="AN40" i="14" s="1"/>
  <c r="AN41" i="14" s="1"/>
  <c r="AN42" i="14" s="1"/>
  <c r="AN43" i="14" s="1"/>
  <c r="AN44" i="14" s="1"/>
  <c r="AN45" i="14" s="1"/>
  <c r="AN46" i="14" s="1"/>
  <c r="AN47" i="14" s="1"/>
  <c r="AN48" i="14" s="1"/>
  <c r="AN49" i="14" s="1"/>
  <c r="AN50" i="14" s="1"/>
  <c r="AN51" i="14" s="1"/>
  <c r="AN52" i="14" s="1"/>
  <c r="AN53" i="14" s="1"/>
  <c r="AN54" i="14" s="1"/>
  <c r="AN55" i="14" s="1"/>
  <c r="AN56" i="14" s="1"/>
  <c r="AN57" i="14" s="1"/>
  <c r="AN58" i="14" s="1"/>
  <c r="AN59" i="14" s="1"/>
  <c r="AN60" i="14" s="1"/>
  <c r="AN61" i="14" s="1"/>
  <c r="AN62" i="14" s="1"/>
  <c r="AN63" i="14" s="1"/>
  <c r="AN64" i="14" s="1"/>
  <c r="AN65" i="14" s="1"/>
  <c r="AN66" i="14" s="1"/>
  <c r="AN67" i="14" s="1"/>
  <c r="AN68" i="14" s="1"/>
  <c r="AN69" i="14" s="1"/>
  <c r="AN70" i="14" s="1"/>
  <c r="AN71" i="14" s="1"/>
  <c r="AN72" i="14" s="1"/>
  <c r="AN73" i="14" s="1"/>
  <c r="AN74" i="14" s="1"/>
  <c r="AN75" i="14" s="1"/>
  <c r="AN76" i="14" s="1"/>
  <c r="AN77" i="14" s="1"/>
  <c r="AN78" i="14" s="1"/>
  <c r="AN79" i="14" s="1"/>
  <c r="AN80" i="14" s="1"/>
  <c r="AN81" i="14" s="1"/>
  <c r="AN82" i="14" s="1"/>
  <c r="AN83" i="14" s="1"/>
  <c r="AN84" i="14" s="1"/>
  <c r="AN85" i="14" s="1"/>
  <c r="AN86" i="14" s="1"/>
  <c r="AN87" i="14" s="1"/>
  <c r="AN88" i="14" s="1"/>
  <c r="AN89" i="14" s="1"/>
  <c r="AN90" i="14" s="1"/>
  <c r="AN91" i="14" s="1"/>
  <c r="AN92" i="14" s="1"/>
  <c r="AN93" i="14" s="1"/>
  <c r="AN94" i="14" s="1"/>
  <c r="AN95" i="14" s="1"/>
  <c r="AN96" i="14" s="1"/>
  <c r="AN97" i="14" s="1"/>
  <c r="AN98" i="14" s="1"/>
  <c r="AN99" i="14" s="1"/>
  <c r="AN100" i="14" s="1"/>
  <c r="AN101" i="14" s="1"/>
  <c r="AN102" i="14" s="1"/>
  <c r="AN103" i="14" s="1"/>
  <c r="AN104" i="14" s="1"/>
  <c r="AN105" i="14" s="1"/>
  <c r="AN106" i="14" s="1"/>
  <c r="AN107" i="14" s="1"/>
  <c r="AN108" i="14" s="1"/>
  <c r="AN109" i="14" s="1"/>
  <c r="AN110" i="14" s="1"/>
  <c r="AN111" i="14" s="1"/>
  <c r="AN112" i="14" s="1"/>
  <c r="AN113" i="14" s="1"/>
  <c r="AN114" i="14" s="1"/>
  <c r="AN115" i="14" s="1"/>
  <c r="AN116" i="14" s="1"/>
  <c r="AN117" i="14" s="1"/>
  <c r="AN118" i="14" s="1"/>
  <c r="AN119" i="14" s="1"/>
  <c r="AN120" i="14" s="1"/>
  <c r="AN121" i="14" s="1"/>
  <c r="AN122" i="14" s="1"/>
  <c r="AN123" i="14" s="1"/>
  <c r="AN124" i="14" s="1"/>
  <c r="AN125" i="14" s="1"/>
  <c r="AN126" i="14" s="1"/>
  <c r="AN127" i="14" s="1"/>
  <c r="AN128" i="14" s="1"/>
  <c r="AN129" i="14" s="1"/>
  <c r="AN130" i="14" s="1"/>
  <c r="AN131" i="14" s="1"/>
  <c r="AN132" i="14" s="1"/>
  <c r="AN133" i="14" s="1"/>
  <c r="AN134" i="14" s="1"/>
  <c r="AN135" i="14" s="1"/>
  <c r="AN136" i="14" s="1"/>
  <c r="AN137" i="14" s="1"/>
  <c r="AN138" i="14" s="1"/>
  <c r="AN139" i="14" s="1"/>
  <c r="AN140" i="14" s="1"/>
  <c r="AN141" i="14" s="1"/>
  <c r="AN142" i="14" s="1"/>
  <c r="AN143" i="14" s="1"/>
  <c r="AN144" i="14" s="1"/>
  <c r="AN145" i="14" s="1"/>
  <c r="AN146" i="14" s="1"/>
  <c r="AN147" i="14" s="1"/>
  <c r="AN148" i="14" s="1"/>
  <c r="AN149" i="14" s="1"/>
  <c r="AN150" i="14" s="1"/>
  <c r="AN151" i="14" s="1"/>
  <c r="AN152" i="14" s="1"/>
  <c r="AN153" i="14" s="1"/>
  <c r="AN154" i="14" s="1"/>
  <c r="AN155" i="14" s="1"/>
  <c r="AN156" i="14" s="1"/>
  <c r="AN157" i="14" s="1"/>
  <c r="AN158" i="14" s="1"/>
  <c r="AN159" i="14" s="1"/>
  <c r="AN160" i="14" s="1"/>
  <c r="AN161" i="14" s="1"/>
  <c r="AN162" i="14" s="1"/>
  <c r="BF38" i="14"/>
  <c r="BF39" i="14" s="1"/>
  <c r="BF40" i="14" s="1"/>
  <c r="BF41" i="14" s="1"/>
  <c r="BF42" i="14" s="1"/>
  <c r="BF43" i="14" s="1"/>
  <c r="BF44" i="14" s="1"/>
  <c r="BF45" i="14" s="1"/>
  <c r="BF46" i="14" s="1"/>
  <c r="BF47" i="14" s="1"/>
  <c r="BF48" i="14" s="1"/>
  <c r="BF49" i="14" s="1"/>
  <c r="BF50" i="14" s="1"/>
  <c r="BF51" i="14" s="1"/>
  <c r="BF52" i="14" s="1"/>
  <c r="BF53" i="14" s="1"/>
  <c r="BF54" i="14" s="1"/>
  <c r="BF55" i="14" s="1"/>
  <c r="BF56" i="14" s="1"/>
  <c r="BF57" i="14" s="1"/>
  <c r="BF58" i="14" s="1"/>
  <c r="BF59" i="14" s="1"/>
  <c r="BF60" i="14" s="1"/>
  <c r="BF61" i="14" s="1"/>
  <c r="BF62" i="14" s="1"/>
  <c r="BF63" i="14" s="1"/>
  <c r="BF64" i="14" s="1"/>
  <c r="BF65" i="14" s="1"/>
  <c r="BF66" i="14" s="1"/>
  <c r="BF67" i="14" s="1"/>
  <c r="BF68" i="14" s="1"/>
  <c r="BF69" i="14" s="1"/>
  <c r="BF70" i="14" s="1"/>
  <c r="BF71" i="14" s="1"/>
  <c r="BF72" i="14" s="1"/>
  <c r="BF73" i="14" s="1"/>
  <c r="BF74" i="14" s="1"/>
  <c r="BF75" i="14" s="1"/>
  <c r="BF76" i="14" s="1"/>
  <c r="BF77" i="14" s="1"/>
  <c r="BF78" i="14" s="1"/>
  <c r="BF79" i="14" s="1"/>
  <c r="BF80" i="14" s="1"/>
  <c r="BF81" i="14" s="1"/>
  <c r="BF82" i="14" s="1"/>
  <c r="BF83" i="14" s="1"/>
  <c r="BF84" i="14" s="1"/>
  <c r="BF85" i="14" s="1"/>
  <c r="BF86" i="14" s="1"/>
  <c r="BF87" i="14" s="1"/>
  <c r="BF88" i="14" s="1"/>
  <c r="BF89" i="14" s="1"/>
  <c r="BF90" i="14" s="1"/>
  <c r="BF91" i="14" s="1"/>
  <c r="BF92" i="14" s="1"/>
  <c r="BF93" i="14" s="1"/>
  <c r="BF94" i="14" s="1"/>
  <c r="BF95" i="14" s="1"/>
  <c r="BF96" i="14" s="1"/>
  <c r="BF97" i="14" s="1"/>
  <c r="BF98" i="14" s="1"/>
  <c r="BF99" i="14" s="1"/>
  <c r="BF100" i="14" s="1"/>
  <c r="BF101" i="14" s="1"/>
  <c r="BF102" i="14" s="1"/>
  <c r="BF103" i="14" s="1"/>
  <c r="BF104" i="14" s="1"/>
  <c r="BF105" i="14" s="1"/>
  <c r="BF106" i="14" s="1"/>
  <c r="BF107" i="14" s="1"/>
  <c r="BF108" i="14" s="1"/>
  <c r="BF109" i="14" s="1"/>
  <c r="BF110" i="14" s="1"/>
  <c r="BF111" i="14" s="1"/>
  <c r="BF112" i="14" s="1"/>
  <c r="BF113" i="14" s="1"/>
  <c r="BF114" i="14" s="1"/>
  <c r="BF115" i="14" s="1"/>
  <c r="BF116" i="14" s="1"/>
  <c r="BF117" i="14" s="1"/>
  <c r="BF118" i="14" s="1"/>
  <c r="BF119" i="14" s="1"/>
  <c r="BF120" i="14" s="1"/>
  <c r="BF121" i="14" s="1"/>
  <c r="BF122" i="14" s="1"/>
  <c r="BF123" i="14" s="1"/>
  <c r="BF124" i="14" s="1"/>
  <c r="BF125" i="14" s="1"/>
  <c r="BF126" i="14" s="1"/>
  <c r="BF127" i="14" s="1"/>
  <c r="BF128" i="14" s="1"/>
  <c r="BF129" i="14" s="1"/>
  <c r="BF130" i="14" s="1"/>
  <c r="BF131" i="14" s="1"/>
  <c r="BF132" i="14" s="1"/>
  <c r="BF133" i="14" s="1"/>
  <c r="BF134" i="14" s="1"/>
  <c r="BF135" i="14" s="1"/>
  <c r="BF136" i="14" s="1"/>
  <c r="BF137" i="14" s="1"/>
  <c r="BF138" i="14" s="1"/>
  <c r="BF139" i="14" s="1"/>
  <c r="BF140" i="14" s="1"/>
  <c r="BF141" i="14" s="1"/>
  <c r="BF142" i="14" s="1"/>
  <c r="BF143" i="14" s="1"/>
  <c r="BF144" i="14" s="1"/>
  <c r="BF145" i="14" s="1"/>
  <c r="BF146" i="14" s="1"/>
  <c r="BF147" i="14" s="1"/>
  <c r="BF148" i="14" s="1"/>
  <c r="BF149" i="14" s="1"/>
  <c r="BF150" i="14" s="1"/>
  <c r="BF151" i="14" s="1"/>
  <c r="BF152" i="14" s="1"/>
  <c r="BF153" i="14" s="1"/>
  <c r="BF154" i="14" s="1"/>
  <c r="BF155" i="14" s="1"/>
  <c r="BF156" i="14" s="1"/>
  <c r="BF157" i="14" s="1"/>
  <c r="BF158" i="14" s="1"/>
  <c r="BF159" i="14" s="1"/>
  <c r="BF160" i="14" s="1"/>
  <c r="BF161" i="14" s="1"/>
  <c r="BF162" i="14" s="1"/>
  <c r="M38" i="14"/>
  <c r="M39" i="14" s="1"/>
  <c r="M40" i="14" s="1"/>
  <c r="M41" i="14" s="1"/>
  <c r="M42" i="14" s="1"/>
  <c r="M43" i="14" s="1"/>
  <c r="M44" i="14" s="1"/>
  <c r="M45" i="14" s="1"/>
  <c r="M46" i="14" s="1"/>
  <c r="M47" i="14" s="1"/>
  <c r="M48" i="14" s="1"/>
  <c r="M49" i="14" s="1"/>
  <c r="M50" i="14" s="1"/>
  <c r="M51" i="14" s="1"/>
  <c r="M52" i="14" s="1"/>
  <c r="M53" i="14" s="1"/>
  <c r="M54" i="14" s="1"/>
  <c r="M55" i="14" s="1"/>
  <c r="M56" i="14" s="1"/>
  <c r="M57" i="14" s="1"/>
  <c r="M58" i="14" s="1"/>
  <c r="M59" i="14" s="1"/>
  <c r="M60" i="14" s="1"/>
  <c r="M61" i="14" s="1"/>
  <c r="M62" i="14" s="1"/>
  <c r="M63" i="14" s="1"/>
  <c r="M64" i="14" s="1"/>
  <c r="M65" i="14" s="1"/>
  <c r="M66" i="14" s="1"/>
  <c r="M67" i="14" s="1"/>
  <c r="M68" i="14" s="1"/>
  <c r="M69" i="14" s="1"/>
  <c r="M70" i="14" s="1"/>
  <c r="M71" i="14" s="1"/>
  <c r="M72" i="14" s="1"/>
  <c r="M73" i="14" s="1"/>
  <c r="M74" i="14" s="1"/>
  <c r="M75" i="14" s="1"/>
  <c r="M76" i="14" s="1"/>
  <c r="M77" i="14" s="1"/>
  <c r="M78" i="14" s="1"/>
  <c r="M79" i="14" s="1"/>
  <c r="M80" i="14" s="1"/>
  <c r="M81" i="14" s="1"/>
  <c r="M82" i="14" s="1"/>
  <c r="M83" i="14" s="1"/>
  <c r="M84" i="14" s="1"/>
  <c r="M85" i="14" s="1"/>
  <c r="M86" i="14" s="1"/>
  <c r="M87" i="14" s="1"/>
  <c r="M88" i="14" s="1"/>
  <c r="M89" i="14" s="1"/>
  <c r="M90" i="14" s="1"/>
  <c r="M91" i="14" s="1"/>
  <c r="M92" i="14" s="1"/>
  <c r="M93" i="14" s="1"/>
  <c r="M94" i="14" s="1"/>
  <c r="M95" i="14" s="1"/>
  <c r="M96" i="14" s="1"/>
  <c r="M97" i="14" s="1"/>
  <c r="M98" i="14" s="1"/>
  <c r="M99" i="14" s="1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BY29" i="14"/>
  <c r="AX29" i="14"/>
  <c r="AO29" i="14"/>
  <c r="CC29" i="14"/>
  <c r="AZ29" i="14"/>
  <c r="BC29" i="14"/>
  <c r="CH29" i="14"/>
  <c r="AB29" i="14"/>
  <c r="BQ29" i="14"/>
  <c r="AY29" i="14"/>
  <c r="BZ29" i="14"/>
  <c r="Q29" i="14"/>
  <c r="R29" i="14"/>
  <c r="AA29" i="14"/>
  <c r="AI30" i="14" l="1"/>
  <c r="CK30" i="14"/>
  <c r="CJ30" i="14"/>
  <c r="Y30" i="14"/>
  <c r="AB30" i="14"/>
  <c r="BJ30" i="14"/>
  <c r="CD30" i="14"/>
  <c r="CC30" i="14"/>
  <c r="P30" i="14"/>
  <c r="BG30" i="14"/>
  <c r="G30" i="14"/>
  <c r="BL30" i="14"/>
  <c r="I30" i="14"/>
  <c r="S30" i="14"/>
  <c r="E30" i="14"/>
  <c r="BI30" i="14"/>
  <c r="AA30" i="14"/>
  <c r="BK30" i="14"/>
  <c r="Q30" i="14"/>
  <c r="J30" i="14"/>
  <c r="AH30" i="14"/>
  <c r="BQ30" i="14"/>
  <c r="CH30" i="14"/>
  <c r="AK30" i="14"/>
  <c r="AJ30" i="14"/>
  <c r="AG30" i="14"/>
  <c r="AF30" i="14"/>
  <c r="BH30" i="14"/>
  <c r="BT30" i="14"/>
  <c r="BU30" i="14"/>
  <c r="AR30" i="14"/>
  <c r="CM30" i="14"/>
  <c r="F30" i="14"/>
  <c r="Z30" i="14"/>
  <c r="CL30" i="14"/>
  <c r="H30" i="14"/>
  <c r="AP30" i="14"/>
  <c r="BZ30" i="14"/>
  <c r="R30" i="14"/>
  <c r="BC30" i="14"/>
  <c r="AZ30" i="14"/>
  <c r="W30" i="14"/>
  <c r="AX30" i="14"/>
  <c r="AQ30" i="14"/>
  <c r="AT30" i="14"/>
  <c r="CA30" i="14"/>
  <c r="AY30" i="14"/>
  <c r="BP30" i="14"/>
  <c r="BA30" i="14"/>
  <c r="BY30" i="14"/>
  <c r="BB30" i="14"/>
  <c r="BS30" i="14"/>
  <c r="AO30" i="14"/>
  <c r="X30" i="14"/>
  <c r="N30" i="14"/>
  <c r="CB30" i="14"/>
  <c r="AS30" i="14"/>
  <c r="CI30" i="14"/>
  <c r="BR30" i="14"/>
  <c r="O30" i="14"/>
  <c r="AI31" i="14" l="1"/>
  <c r="S31" i="14"/>
  <c r="CM31" i="14"/>
  <c r="CL31" i="14"/>
  <c r="AB31" i="14"/>
  <c r="BJ31" i="14"/>
  <c r="CB31" i="14"/>
  <c r="BK31" i="14"/>
  <c r="J31" i="14"/>
  <c r="BL31" i="14"/>
  <c r="R31" i="14"/>
  <c r="G31" i="14"/>
  <c r="BA31" i="14"/>
  <c r="AA31" i="14"/>
  <c r="BH31" i="14"/>
  <c r="AK31" i="14"/>
  <c r="AR31" i="14"/>
  <c r="BG31" i="14"/>
  <c r="AF31" i="14"/>
  <c r="BI31" i="14"/>
  <c r="AS31" i="14"/>
  <c r="AJ31" i="14"/>
  <c r="F31" i="14"/>
  <c r="AG31" i="14"/>
  <c r="CA31" i="14"/>
  <c r="AH31" i="14"/>
  <c r="O31" i="14"/>
  <c r="X31" i="14"/>
  <c r="E31" i="14"/>
  <c r="I31" i="14"/>
  <c r="H31" i="14"/>
  <c r="AZ31" i="14"/>
  <c r="AQ31" i="14"/>
  <c r="BB31" i="14"/>
  <c r="BC31" i="14"/>
  <c r="AP31" i="14"/>
  <c r="BR31" i="14"/>
  <c r="BU31" i="14"/>
  <c r="BY31" i="14"/>
  <c r="AY31" i="14"/>
  <c r="CI31" i="14"/>
  <c r="CK31" i="14"/>
  <c r="CJ31" i="14"/>
  <c r="CD31" i="14"/>
  <c r="W31" i="14"/>
  <c r="Y31" i="14"/>
  <c r="BP31" i="14"/>
  <c r="Z31" i="14"/>
  <c r="AT31" i="14"/>
  <c r="BQ31" i="14"/>
  <c r="P31" i="14"/>
  <c r="N31" i="14"/>
  <c r="AO31" i="14"/>
  <c r="CC31" i="14"/>
  <c r="Q31" i="14"/>
  <c r="AX31" i="14"/>
  <c r="BZ31" i="14"/>
  <c r="BS31" i="14"/>
  <c r="BT31" i="14"/>
  <c r="CH31" i="14"/>
  <c r="BJ32" i="14" l="1"/>
  <c r="BG32" i="14"/>
  <c r="CC32" i="14"/>
  <c r="CD32" i="14"/>
  <c r="BL32" i="14"/>
  <c r="G32" i="14"/>
  <c r="J32" i="14"/>
  <c r="BI32" i="14"/>
  <c r="BK32" i="14"/>
  <c r="AK32" i="14"/>
  <c r="BH32" i="14"/>
  <c r="BA32" i="14"/>
  <c r="AJ32" i="14"/>
  <c r="AR32" i="14"/>
  <c r="AG32" i="14"/>
  <c r="AF32" i="14"/>
  <c r="H32" i="14"/>
  <c r="AI32" i="14"/>
  <c r="X32" i="14"/>
  <c r="AH32" i="14"/>
  <c r="AS32" i="14"/>
  <c r="Y32" i="14"/>
  <c r="BS32" i="14"/>
  <c r="BC32" i="14"/>
  <c r="AZ32" i="14"/>
  <c r="F32" i="14"/>
  <c r="BB32" i="14"/>
  <c r="I32" i="14"/>
  <c r="E32" i="14"/>
  <c r="AO32" i="14"/>
  <c r="AQ32" i="14"/>
  <c r="AT32" i="14"/>
  <c r="CH32" i="14"/>
  <c r="AX32" i="14"/>
  <c r="BT32" i="14"/>
  <c r="BZ32" i="14"/>
  <c r="BU32" i="14"/>
  <c r="AY32" i="14"/>
  <c r="BR32" i="14"/>
  <c r="N32" i="14"/>
  <c r="CJ32" i="14"/>
  <c r="CM32" i="14"/>
  <c r="Q32" i="14"/>
  <c r="R32" i="14"/>
  <c r="P32" i="14"/>
  <c r="S32" i="14"/>
  <c r="BQ32" i="14"/>
  <c r="W32" i="14"/>
  <c r="CK32" i="14"/>
  <c r="CL32" i="14"/>
  <c r="BY32" i="14"/>
  <c r="Z32" i="14"/>
  <c r="AA32" i="14"/>
  <c r="CA32" i="14"/>
  <c r="CI32" i="14"/>
  <c r="BP32" i="14"/>
  <c r="CB32" i="14"/>
  <c r="O32" i="14"/>
  <c r="AB32" i="14"/>
  <c r="AP32" i="14"/>
  <c r="J33" i="14" l="1"/>
  <c r="Z33" i="14"/>
  <c r="BJ33" i="14"/>
  <c r="BK33" i="14"/>
  <c r="BB33" i="14"/>
  <c r="CB33" i="14"/>
  <c r="CA33" i="14"/>
  <c r="Y33" i="14"/>
  <c r="AB33" i="14"/>
  <c r="G33" i="14"/>
  <c r="BI33" i="14"/>
  <c r="BS33" i="14"/>
  <c r="BG33" i="14"/>
  <c r="BL33" i="14"/>
  <c r="I33" i="14"/>
  <c r="H33" i="14"/>
  <c r="BH33" i="14"/>
  <c r="AG33" i="14"/>
  <c r="AH33" i="14"/>
  <c r="AI33" i="14"/>
  <c r="BC33" i="14"/>
  <c r="AS33" i="14"/>
  <c r="BU33" i="14"/>
  <c r="AK33" i="14"/>
  <c r="AJ33" i="14"/>
  <c r="AF33" i="14"/>
  <c r="AP33" i="14"/>
  <c r="AY33" i="14"/>
  <c r="BT33" i="14"/>
  <c r="AT33" i="14"/>
  <c r="F33" i="14"/>
  <c r="E33" i="14"/>
  <c r="BA33" i="14"/>
  <c r="AZ33" i="14"/>
  <c r="BP33" i="14"/>
  <c r="BZ33" i="14"/>
  <c r="AA33" i="14"/>
  <c r="S33" i="14"/>
  <c r="CL33" i="14"/>
  <c r="CH33" i="14"/>
  <c r="CI33" i="14"/>
  <c r="CC33" i="14"/>
  <c r="X33" i="14"/>
  <c r="P33" i="14"/>
  <c r="CM33" i="14"/>
  <c r="O33" i="14"/>
  <c r="AR33" i="14"/>
  <c r="AO33" i="14"/>
  <c r="CK33" i="14"/>
  <c r="BQ33" i="14"/>
  <c r="N33" i="14"/>
  <c r="BY33" i="14"/>
  <c r="BR33" i="14"/>
  <c r="AX33" i="14"/>
  <c r="AQ33" i="14"/>
  <c r="CD33" i="14"/>
  <c r="R33" i="14"/>
  <c r="W33" i="14"/>
  <c r="Q33" i="14"/>
  <c r="CJ33" i="14"/>
  <c r="J34" i="14" l="1"/>
  <c r="CA34" i="14"/>
  <c r="CJ34" i="14"/>
  <c r="BJ34" i="14"/>
  <c r="CK34" i="14"/>
  <c r="BK34" i="14"/>
  <c r="Q34" i="14"/>
  <c r="CD34" i="14"/>
  <c r="AA34" i="14"/>
  <c r="Y34" i="14"/>
  <c r="CC34" i="14"/>
  <c r="BS34" i="14"/>
  <c r="P34" i="14"/>
  <c r="AB34" i="14"/>
  <c r="BU34" i="14"/>
  <c r="BI34" i="14"/>
  <c r="BG34" i="14"/>
  <c r="I34" i="14"/>
  <c r="BL34" i="14"/>
  <c r="AG34" i="14"/>
  <c r="AH34" i="14"/>
  <c r="AI34" i="14"/>
  <c r="BH34" i="14"/>
  <c r="AK34" i="14"/>
  <c r="H34" i="14"/>
  <c r="AJ34" i="14"/>
  <c r="AF34" i="14"/>
  <c r="AZ34" i="14"/>
  <c r="Z34" i="14"/>
  <c r="AQ34" i="14"/>
  <c r="G34" i="14"/>
  <c r="E34" i="14"/>
  <c r="F34" i="14"/>
  <c r="BA34" i="14"/>
  <c r="AX34" i="14"/>
  <c r="BR34" i="14"/>
  <c r="BC34" i="14"/>
  <c r="BB34" i="14"/>
  <c r="W34" i="14"/>
  <c r="S34" i="14"/>
  <c r="CB34" i="14"/>
  <c r="BZ34" i="14"/>
  <c r="BY34" i="14"/>
  <c r="BT34" i="14"/>
  <c r="AY34" i="14"/>
  <c r="AT34" i="14"/>
  <c r="CM34" i="14"/>
  <c r="AO34" i="14"/>
  <c r="AR34" i="14"/>
  <c r="AS34" i="14"/>
  <c r="CH34" i="14"/>
  <c r="CL34" i="14"/>
  <c r="X34" i="14"/>
  <c r="AP34" i="14"/>
  <c r="N34" i="14"/>
  <c r="CI34" i="14"/>
  <c r="BP34" i="14"/>
  <c r="BQ34" i="14"/>
  <c r="R34" i="14"/>
  <c r="O34" i="14"/>
  <c r="J35" i="14" l="1"/>
  <c r="BL35" i="14"/>
  <c r="AT35" i="14"/>
  <c r="CD35" i="14"/>
  <c r="CA35" i="14"/>
  <c r="CM35" i="14"/>
  <c r="CL35" i="14"/>
  <c r="BJ35" i="14"/>
  <c r="AB35" i="14"/>
  <c r="BK35" i="14"/>
  <c r="R35" i="14"/>
  <c r="AA35" i="14"/>
  <c r="S35" i="14"/>
  <c r="CC35" i="14"/>
  <c r="BI35" i="14"/>
  <c r="BG35" i="14"/>
  <c r="BU35" i="14"/>
  <c r="AQ35" i="14"/>
  <c r="AF35" i="14"/>
  <c r="AK35" i="14"/>
  <c r="BR35" i="14"/>
  <c r="AI35" i="14"/>
  <c r="AH35" i="14"/>
  <c r="BH35" i="14"/>
  <c r="AG35" i="14"/>
  <c r="I35" i="14"/>
  <c r="CB35" i="14"/>
  <c r="AJ35" i="14"/>
  <c r="BB35" i="14"/>
  <c r="G35" i="14"/>
  <c r="BC35" i="14"/>
  <c r="E35" i="14"/>
  <c r="F35" i="14"/>
  <c r="H35" i="14"/>
  <c r="AY35" i="14"/>
  <c r="X35" i="14"/>
  <c r="BT35" i="14"/>
  <c r="BZ35" i="14"/>
  <c r="AX35" i="14"/>
  <c r="BY35" i="14"/>
  <c r="BA35" i="14"/>
  <c r="Z35" i="14"/>
  <c r="AP35" i="14"/>
  <c r="CI35" i="14"/>
  <c r="Y35" i="14"/>
  <c r="AZ35" i="14"/>
  <c r="O35" i="14"/>
  <c r="BP35" i="14"/>
  <c r="CJ35" i="14"/>
  <c r="N35" i="14"/>
  <c r="Q35" i="14"/>
  <c r="AO35" i="14"/>
  <c r="BQ35" i="14"/>
  <c r="P35" i="14"/>
  <c r="CH35" i="14"/>
  <c r="CK35" i="14"/>
  <c r="AS35" i="14"/>
  <c r="BS35" i="14"/>
  <c r="AR35" i="14"/>
  <c r="W35" i="14"/>
  <c r="J36" i="14" l="1"/>
  <c r="AK36" i="14"/>
  <c r="BL36" i="14"/>
  <c r="AT36" i="14"/>
  <c r="CD36" i="14"/>
  <c r="CA36" i="14"/>
  <c r="BK36" i="14"/>
  <c r="CC36" i="14"/>
  <c r="BU36" i="14"/>
  <c r="AQ36" i="14"/>
  <c r="BG36" i="14"/>
  <c r="BH36" i="14"/>
  <c r="AJ36" i="14"/>
  <c r="H36" i="14"/>
  <c r="AR36" i="14"/>
  <c r="BI36" i="14"/>
  <c r="BR36" i="14"/>
  <c r="AG36" i="14"/>
  <c r="BJ36" i="14"/>
  <c r="AI36" i="14"/>
  <c r="E36" i="14"/>
  <c r="AF36" i="14"/>
  <c r="AH36" i="14"/>
  <c r="I36" i="14"/>
  <c r="G36" i="14"/>
  <c r="Y36" i="14"/>
  <c r="BZ36" i="14"/>
  <c r="F36" i="14"/>
  <c r="BA36" i="14"/>
  <c r="Z36" i="14"/>
  <c r="BY36" i="14"/>
  <c r="AB36" i="14"/>
  <c r="AX36" i="14"/>
  <c r="AA36" i="14"/>
  <c r="CB36" i="14"/>
  <c r="W36" i="14"/>
  <c r="CK36" i="14"/>
  <c r="CJ36" i="14"/>
  <c r="BS36" i="14"/>
  <c r="AY36" i="14"/>
  <c r="AZ36" i="14"/>
  <c r="BB36" i="14"/>
  <c r="BC36" i="14"/>
  <c r="O36" i="14"/>
  <c r="CM36" i="14"/>
  <c r="Q36" i="14"/>
  <c r="P36" i="14"/>
  <c r="S36" i="14"/>
  <c r="BT36" i="14"/>
  <c r="BP36" i="14"/>
  <c r="CI36" i="14"/>
  <c r="CL36" i="14"/>
  <c r="N36" i="14"/>
  <c r="CH36" i="14"/>
  <c r="AO36" i="14"/>
  <c r="AS36" i="14"/>
  <c r="AP36" i="14"/>
  <c r="X36" i="14"/>
  <c r="BQ36" i="14"/>
  <c r="R36" i="14"/>
  <c r="J37" i="14" l="1"/>
  <c r="AT37" i="14"/>
  <c r="CD37" i="14"/>
  <c r="CC37" i="14"/>
  <c r="AR37" i="14"/>
  <c r="AS37" i="14"/>
  <c r="CB37" i="14"/>
  <c r="CA37" i="14"/>
  <c r="BU37" i="14"/>
  <c r="BJ37" i="14"/>
  <c r="BI37" i="14"/>
  <c r="BL37" i="14"/>
  <c r="BG37" i="14"/>
  <c r="AF37" i="14"/>
  <c r="BH37" i="14"/>
  <c r="AH37" i="14"/>
  <c r="AI37" i="14"/>
  <c r="AJ37" i="14"/>
  <c r="BK37" i="14"/>
  <c r="I37" i="14"/>
  <c r="CM37" i="14"/>
  <c r="AG37" i="14"/>
  <c r="G37" i="14"/>
  <c r="AK37" i="14"/>
  <c r="AB37" i="14"/>
  <c r="H37" i="14"/>
  <c r="F37" i="14"/>
  <c r="P37" i="14"/>
  <c r="BY37" i="14"/>
  <c r="E37" i="14"/>
  <c r="BT37" i="14"/>
  <c r="BQ37" i="14"/>
  <c r="CL37" i="14"/>
  <c r="CJ37" i="14"/>
  <c r="AZ37" i="14"/>
  <c r="R37" i="14"/>
  <c r="Q37" i="14"/>
  <c r="AA37" i="14"/>
  <c r="CH37" i="14"/>
  <c r="BZ37" i="14"/>
  <c r="CK37" i="14"/>
  <c r="S37" i="14"/>
  <c r="BC37" i="14"/>
  <c r="BB37" i="14"/>
  <c r="AY37" i="14"/>
  <c r="BA37" i="14"/>
  <c r="AX37" i="14"/>
  <c r="AO37" i="14"/>
  <c r="BP37" i="14"/>
  <c r="O37" i="14"/>
  <c r="X37" i="14"/>
  <c r="Y37" i="14"/>
  <c r="Z37" i="14"/>
  <c r="BR37" i="14"/>
  <c r="N37" i="14"/>
  <c r="CI37" i="14"/>
  <c r="W37" i="14"/>
  <c r="AP37" i="14"/>
  <c r="AQ37" i="14"/>
  <c r="BS37" i="14"/>
  <c r="J38" i="14" l="1"/>
  <c r="AS38" i="14"/>
  <c r="CD38" i="14"/>
  <c r="CC38" i="14"/>
  <c r="CB38" i="14"/>
  <c r="BK38" i="14"/>
  <c r="BI38" i="14"/>
  <c r="BL38" i="14"/>
  <c r="BH38" i="14"/>
  <c r="BJ38" i="14"/>
  <c r="BS38" i="14"/>
  <c r="AI38" i="14"/>
  <c r="CA38" i="14"/>
  <c r="AK38" i="14"/>
  <c r="AJ38" i="14"/>
  <c r="BG38" i="14"/>
  <c r="AF38" i="14"/>
  <c r="P38" i="14"/>
  <c r="BR38" i="14"/>
  <c r="I38" i="14"/>
  <c r="CM38" i="14"/>
  <c r="G38" i="14"/>
  <c r="AG38" i="14"/>
  <c r="AH38" i="14"/>
  <c r="BC38" i="14"/>
  <c r="E38" i="14"/>
  <c r="H38" i="14"/>
  <c r="BZ38" i="14"/>
  <c r="S38" i="14"/>
  <c r="F38" i="14"/>
  <c r="CL38" i="14"/>
  <c r="CI38" i="14"/>
  <c r="R38" i="14"/>
  <c r="AZ38" i="14"/>
  <c r="BY38" i="14"/>
  <c r="BA38" i="14"/>
  <c r="Q38" i="14"/>
  <c r="W38" i="14"/>
  <c r="AY38" i="14"/>
  <c r="AX38" i="14"/>
  <c r="BB38" i="14"/>
  <c r="N38" i="14"/>
  <c r="CK38" i="14"/>
  <c r="BU38" i="14"/>
  <c r="Z38" i="14"/>
  <c r="AA38" i="14"/>
  <c r="BT38" i="14"/>
  <c r="CJ38" i="14"/>
  <c r="Y38" i="14"/>
  <c r="AB38" i="14"/>
  <c r="O38" i="14"/>
  <c r="AQ38" i="14"/>
  <c r="AT38" i="14"/>
  <c r="BQ38" i="14"/>
  <c r="CH38" i="14"/>
  <c r="X38" i="14"/>
  <c r="AP38" i="14"/>
  <c r="BP38" i="14"/>
  <c r="AO38" i="14"/>
  <c r="AR38" i="14"/>
  <c r="J39" i="14" l="1"/>
  <c r="CD39" i="14"/>
  <c r="CB39" i="14"/>
  <c r="BI39" i="14"/>
  <c r="BT39" i="14"/>
  <c r="BK39" i="14"/>
  <c r="BH39" i="14"/>
  <c r="BU39" i="14"/>
  <c r="AI39" i="14"/>
  <c r="S39" i="14"/>
  <c r="BJ39" i="14"/>
  <c r="BL39" i="14"/>
  <c r="CC39" i="14"/>
  <c r="AJ39" i="14"/>
  <c r="BC39" i="14"/>
  <c r="AG39" i="14"/>
  <c r="BG39" i="14"/>
  <c r="AH39" i="14"/>
  <c r="E39" i="14"/>
  <c r="I39" i="14"/>
  <c r="AF39" i="14"/>
  <c r="AK39" i="14"/>
  <c r="CA39" i="14"/>
  <c r="BY39" i="14"/>
  <c r="BZ39" i="14"/>
  <c r="F39" i="14"/>
  <c r="G39" i="14"/>
  <c r="H39" i="14"/>
  <c r="R39" i="14"/>
  <c r="CK39" i="14"/>
  <c r="N39" i="14"/>
  <c r="O39" i="14"/>
  <c r="CL39" i="14"/>
  <c r="CH39" i="14"/>
  <c r="BA39" i="14"/>
  <c r="CI39" i="14"/>
  <c r="BB39" i="14"/>
  <c r="Q39" i="14"/>
  <c r="AZ39" i="14"/>
  <c r="AY39" i="14"/>
  <c r="AX39" i="14"/>
  <c r="W39" i="14"/>
  <c r="BQ39" i="14"/>
  <c r="AR39" i="14"/>
  <c r="AB39" i="14"/>
  <c r="X39" i="14"/>
  <c r="BS39" i="14"/>
  <c r="Y39" i="14"/>
  <c r="CJ39" i="14"/>
  <c r="CM39" i="14"/>
  <c r="D5" i="6"/>
  <c r="D10" i="6"/>
  <c r="D7" i="6"/>
  <c r="D6" i="6"/>
  <c r="D9" i="6"/>
  <c r="D8" i="6"/>
  <c r="D4" i="6"/>
  <c r="D2" i="6"/>
  <c r="D3" i="6"/>
  <c r="U4" i="8"/>
  <c r="W4" i="8" s="1"/>
  <c r="AA39" i="14"/>
  <c r="AO39" i="14"/>
  <c r="AP39" i="14"/>
  <c r="Z39" i="14"/>
  <c r="P39" i="14"/>
  <c r="BP39" i="14"/>
  <c r="AT39" i="14"/>
  <c r="BR39" i="14"/>
  <c r="AS39" i="14"/>
  <c r="AQ39" i="14"/>
  <c r="J40" i="14" l="1"/>
  <c r="CD40" i="14"/>
  <c r="BL40" i="14"/>
  <c r="Z40" i="14"/>
  <c r="CB40" i="14"/>
  <c r="BI40" i="14"/>
  <c r="AI40" i="14"/>
  <c r="AH40" i="14"/>
  <c r="BJ40" i="14"/>
  <c r="BH40" i="14"/>
  <c r="BK40" i="14"/>
  <c r="CK40" i="14"/>
  <c r="AJ40" i="14"/>
  <c r="BG40" i="14"/>
  <c r="AK40" i="14"/>
  <c r="P40" i="14"/>
  <c r="CA40" i="14"/>
  <c r="AG40" i="14"/>
  <c r="AF40" i="14"/>
  <c r="AQ40" i="14"/>
  <c r="BY40" i="14"/>
  <c r="CC40" i="14"/>
  <c r="G40" i="14"/>
  <c r="F40" i="14"/>
  <c r="BZ40" i="14"/>
  <c r="E40" i="14"/>
  <c r="Q40" i="14"/>
  <c r="I40" i="14"/>
  <c r="H40" i="14"/>
  <c r="BR40" i="14"/>
  <c r="CJ40" i="14"/>
  <c r="CH40" i="14"/>
  <c r="AR40" i="14"/>
  <c r="BS40" i="14"/>
  <c r="CI40" i="14"/>
  <c r="CL40" i="14"/>
  <c r="BA40" i="14"/>
  <c r="AB40" i="14"/>
  <c r="BB40" i="14"/>
  <c r="AY40" i="14"/>
  <c r="AX40" i="14"/>
  <c r="AZ40" i="14"/>
  <c r="BC40" i="14"/>
  <c r="R40" i="14"/>
  <c r="Y40" i="14"/>
  <c r="BQ40" i="14"/>
  <c r="S40" i="14"/>
  <c r="W40" i="14"/>
  <c r="E4" i="6"/>
  <c r="E6" i="6"/>
  <c r="O40" i="14"/>
  <c r="CM40" i="14"/>
  <c r="BU40" i="14"/>
  <c r="AP40" i="14"/>
  <c r="AA40" i="14"/>
  <c r="N40" i="14"/>
  <c r="H4" i="6"/>
  <c r="E7" i="6"/>
  <c r="H10" i="6"/>
  <c r="X40" i="14"/>
  <c r="H9" i="6"/>
  <c r="H7" i="6"/>
  <c r="AO40" i="14"/>
  <c r="E8" i="6"/>
  <c r="H2" i="6"/>
  <c r="E2" i="6"/>
  <c r="H5" i="6"/>
  <c r="BP40" i="14"/>
  <c r="E3" i="6"/>
  <c r="E9" i="6"/>
  <c r="H3" i="6"/>
  <c r="E5" i="6"/>
  <c r="AS40" i="14"/>
  <c r="BT40" i="14"/>
  <c r="AT40" i="14"/>
  <c r="H8" i="6"/>
  <c r="H6" i="6"/>
  <c r="E10" i="6"/>
  <c r="J41" i="14" l="1"/>
  <c r="BL41" i="14"/>
  <c r="CD41" i="14"/>
  <c r="Z41" i="14"/>
  <c r="CB41" i="14"/>
  <c r="AT41" i="14"/>
  <c r="BJ41" i="14"/>
  <c r="BI41" i="14"/>
  <c r="AH41" i="14"/>
  <c r="AJ41" i="14"/>
  <c r="AK41" i="14"/>
  <c r="BG41" i="14"/>
  <c r="AF41" i="14"/>
  <c r="BH41" i="14"/>
  <c r="AI41" i="14"/>
  <c r="BK41" i="14"/>
  <c r="CK41" i="14"/>
  <c r="AS41" i="14"/>
  <c r="AG41" i="14"/>
  <c r="AQ41" i="14"/>
  <c r="CL41" i="14"/>
  <c r="BT41" i="14"/>
  <c r="P41" i="14"/>
  <c r="CC41" i="14"/>
  <c r="S41" i="14"/>
  <c r="CH41" i="14"/>
  <c r="G41" i="14"/>
  <c r="I41" i="14"/>
  <c r="BR41" i="14"/>
  <c r="BZ41" i="14"/>
  <c r="BY41" i="14"/>
  <c r="CA41" i="14"/>
  <c r="CM41" i="14"/>
  <c r="CJ41" i="14"/>
  <c r="H41" i="14"/>
  <c r="R41" i="14"/>
  <c r="E41" i="14"/>
  <c r="F41" i="14"/>
  <c r="BS41" i="14"/>
  <c r="BU41" i="14"/>
  <c r="CI41" i="14"/>
  <c r="BB41" i="14"/>
  <c r="AB41" i="14"/>
  <c r="AY41" i="14"/>
  <c r="BC41" i="14"/>
  <c r="AZ41" i="14"/>
  <c r="AX41" i="14"/>
  <c r="BA41" i="14"/>
  <c r="N41" i="14"/>
  <c r="X41" i="14"/>
  <c r="W41" i="14"/>
  <c r="AA41" i="14"/>
  <c r="Y41" i="14"/>
  <c r="O41" i="14"/>
  <c r="Q41" i="14"/>
  <c r="BP41" i="14"/>
  <c r="AP41" i="14"/>
  <c r="BQ41" i="14"/>
  <c r="AR41" i="14"/>
  <c r="AO41" i="14"/>
  <c r="J42" i="14" l="1"/>
  <c r="BL42" i="14"/>
  <c r="BJ42" i="14"/>
  <c r="Z42" i="14"/>
  <c r="CB42" i="14"/>
  <c r="AT42" i="14"/>
  <c r="BI42" i="14"/>
  <c r="BG42" i="14"/>
  <c r="AJ42" i="14"/>
  <c r="BH42" i="14"/>
  <c r="BK42" i="14"/>
  <c r="AH42" i="14"/>
  <c r="AK42" i="14"/>
  <c r="AG42" i="14"/>
  <c r="CL42" i="14"/>
  <c r="CK42" i="14"/>
  <c r="AF42" i="14"/>
  <c r="AQ42" i="14"/>
  <c r="S42" i="14"/>
  <c r="P42" i="14"/>
  <c r="AI42" i="14"/>
  <c r="CC42" i="14"/>
  <c r="BU42" i="14"/>
  <c r="BR42" i="14"/>
  <c r="CM42" i="14"/>
  <c r="BT42" i="14"/>
  <c r="CI42" i="14"/>
  <c r="I42" i="14"/>
  <c r="G42" i="14"/>
  <c r="CA42" i="14"/>
  <c r="BZ42" i="14"/>
  <c r="BY42" i="14"/>
  <c r="E42" i="14"/>
  <c r="CD42" i="14"/>
  <c r="CH42" i="14"/>
  <c r="H42" i="14"/>
  <c r="CJ42" i="14"/>
  <c r="F42" i="14"/>
  <c r="AB42" i="14"/>
  <c r="BA42" i="14"/>
  <c r="AZ42" i="14"/>
  <c r="AA42" i="14"/>
  <c r="AY42" i="14"/>
  <c r="BC42" i="14"/>
  <c r="AX42" i="14"/>
  <c r="BB42" i="14"/>
  <c r="W42" i="14"/>
  <c r="X42" i="14"/>
  <c r="Y42" i="14"/>
  <c r="BQ42" i="14"/>
  <c r="AR42" i="14"/>
  <c r="AS42" i="14"/>
  <c r="AO42" i="14"/>
  <c r="N42" i="14"/>
  <c r="BS42" i="14"/>
  <c r="BP42" i="14"/>
  <c r="AP42" i="14"/>
  <c r="Q42" i="14"/>
  <c r="R42" i="14"/>
  <c r="O42" i="14"/>
  <c r="J43" i="14" l="1"/>
  <c r="BL43" i="14"/>
  <c r="BJ43" i="14"/>
  <c r="Z43" i="14"/>
  <c r="BI43" i="14"/>
  <c r="BK43" i="14"/>
  <c r="AT43" i="14"/>
  <c r="AI43" i="14"/>
  <c r="BG43" i="14"/>
  <c r="AH43" i="14"/>
  <c r="BH43" i="14"/>
  <c r="AF43" i="14"/>
  <c r="CK43" i="14"/>
  <c r="AK43" i="14"/>
  <c r="AJ43" i="14"/>
  <c r="BU43" i="14"/>
  <c r="AG43" i="14"/>
  <c r="BR43" i="14"/>
  <c r="S43" i="14"/>
  <c r="CC43" i="14"/>
  <c r="CM43" i="14"/>
  <c r="CJ43" i="14"/>
  <c r="CH43" i="14"/>
  <c r="G43" i="14"/>
  <c r="I43" i="14"/>
  <c r="CD43" i="14"/>
  <c r="BZ43" i="14"/>
  <c r="CI43" i="14"/>
  <c r="BY43" i="14"/>
  <c r="CL43" i="14"/>
  <c r="CA43" i="14"/>
  <c r="CB43" i="14"/>
  <c r="E43" i="14"/>
  <c r="F43" i="14"/>
  <c r="H43" i="14"/>
  <c r="BA43" i="14"/>
  <c r="BQ43" i="14"/>
  <c r="BC43" i="14"/>
  <c r="BB43" i="14"/>
  <c r="AZ43" i="14"/>
  <c r="O43" i="14"/>
  <c r="AP43" i="14"/>
  <c r="AY43" i="14"/>
  <c r="AX43" i="14"/>
  <c r="W43" i="14"/>
  <c r="X43" i="14"/>
  <c r="Y43" i="14"/>
  <c r="AS43" i="14"/>
  <c r="AR43" i="14"/>
  <c r="AB43" i="14"/>
  <c r="AA43" i="14"/>
  <c r="BP43" i="14"/>
  <c r="N43" i="14"/>
  <c r="AQ43" i="14"/>
  <c r="R43" i="14"/>
  <c r="P43" i="14"/>
  <c r="Q43" i="14"/>
  <c r="BS43" i="14"/>
  <c r="BT43" i="14"/>
  <c r="AO43" i="14"/>
  <c r="J44" i="14" l="1"/>
  <c r="BL44" i="14"/>
  <c r="Z44" i="14"/>
  <c r="AT44" i="14"/>
  <c r="BK44" i="14"/>
  <c r="AH44" i="14"/>
  <c r="AK44" i="14"/>
  <c r="AI44" i="14"/>
  <c r="AG44" i="14"/>
  <c r="BH44" i="14"/>
  <c r="BI44" i="14"/>
  <c r="BG44" i="14"/>
  <c r="BJ44" i="14"/>
  <c r="AF44" i="14"/>
  <c r="BR44" i="14"/>
  <c r="AJ44" i="14"/>
  <c r="BU44" i="14"/>
  <c r="CM44" i="14"/>
  <c r="CL44" i="14"/>
  <c r="CI44" i="14"/>
  <c r="CH44" i="14"/>
  <c r="CJ44" i="14"/>
  <c r="CK44" i="14"/>
  <c r="I44" i="14"/>
  <c r="CB44" i="14"/>
  <c r="G44" i="14"/>
  <c r="CD44" i="14"/>
  <c r="BZ44" i="14"/>
  <c r="BY44" i="14"/>
  <c r="CC44" i="14"/>
  <c r="BA44" i="14"/>
  <c r="Q44" i="14"/>
  <c r="CA44" i="14"/>
  <c r="H44" i="14"/>
  <c r="F44" i="14"/>
  <c r="E44" i="14"/>
  <c r="BC44" i="14"/>
  <c r="BB44" i="14"/>
  <c r="BS44" i="14"/>
  <c r="Y44" i="14"/>
  <c r="AR44" i="14"/>
  <c r="AB44" i="14"/>
  <c r="AZ44" i="14"/>
  <c r="AX44" i="14"/>
  <c r="AY44" i="14"/>
  <c r="AO44" i="14"/>
  <c r="X44" i="14"/>
  <c r="W44" i="14"/>
  <c r="AA44" i="14"/>
  <c r="BQ44" i="14"/>
  <c r="BP44" i="14"/>
  <c r="N44" i="14"/>
  <c r="BT44" i="14"/>
  <c r="AP44" i="14"/>
  <c r="P44" i="14"/>
  <c r="S44" i="14"/>
  <c r="R44" i="14"/>
  <c r="AQ44" i="14"/>
  <c r="AS44" i="14"/>
  <c r="O44" i="14"/>
  <c r="J45" i="14" l="1"/>
  <c r="BL45" i="14"/>
  <c r="Z45" i="14"/>
  <c r="AH45" i="14"/>
  <c r="AK45" i="14"/>
  <c r="AI45" i="14"/>
  <c r="AG45" i="14"/>
  <c r="BI45" i="14"/>
  <c r="BK45" i="14"/>
  <c r="BH45" i="14"/>
  <c r="BG45" i="14"/>
  <c r="BJ45" i="14"/>
  <c r="CJ45" i="14"/>
  <c r="CL45" i="14"/>
  <c r="BU45" i="14"/>
  <c r="CH45" i="14"/>
  <c r="CK45" i="14"/>
  <c r="AF45" i="14"/>
  <c r="AJ45" i="14"/>
  <c r="CI45" i="14"/>
  <c r="CM45" i="14"/>
  <c r="CB45" i="14"/>
  <c r="G45" i="14"/>
  <c r="I45" i="14"/>
  <c r="BZ45" i="14"/>
  <c r="CC45" i="14"/>
  <c r="BY45" i="14"/>
  <c r="CA45" i="14"/>
  <c r="AB45" i="14"/>
  <c r="CD45" i="14"/>
  <c r="H45" i="14"/>
  <c r="BT45" i="14"/>
  <c r="F45" i="14"/>
  <c r="E45" i="14"/>
  <c r="BB45" i="14"/>
  <c r="AA45" i="14"/>
  <c r="BS45" i="14"/>
  <c r="BC45" i="14"/>
  <c r="AX45" i="14"/>
  <c r="BR45" i="14"/>
  <c r="AY45" i="14"/>
  <c r="AZ45" i="14"/>
  <c r="BA45" i="14"/>
  <c r="Y45" i="14"/>
  <c r="W45" i="14"/>
  <c r="AQ45" i="14"/>
  <c r="R45" i="14"/>
  <c r="X45" i="14"/>
  <c r="O45" i="14"/>
  <c r="S45" i="14"/>
  <c r="P45" i="14"/>
  <c r="BP45" i="14"/>
  <c r="AO45" i="14"/>
  <c r="AT45" i="14"/>
  <c r="Q45" i="14"/>
  <c r="AS45" i="14"/>
  <c r="N45" i="14"/>
  <c r="AP45" i="14"/>
  <c r="AR45" i="14"/>
  <c r="BQ45" i="14"/>
  <c r="BL46" i="14" l="1"/>
  <c r="AK46" i="14"/>
  <c r="AH46" i="14"/>
  <c r="AI46" i="14"/>
  <c r="BJ46" i="14"/>
  <c r="BI46" i="14"/>
  <c r="AF46" i="14"/>
  <c r="CL46" i="14"/>
  <c r="AJ46" i="14"/>
  <c r="CK46" i="14"/>
  <c r="BK46" i="14"/>
  <c r="BH46" i="14"/>
  <c r="BG46" i="14"/>
  <c r="CJ46" i="14"/>
  <c r="BU46" i="14"/>
  <c r="CH46" i="14"/>
  <c r="CI46" i="14"/>
  <c r="CM46" i="14"/>
  <c r="AG46" i="14"/>
  <c r="CB46" i="14"/>
  <c r="I46" i="14"/>
  <c r="J46" i="14"/>
  <c r="G46" i="14"/>
  <c r="CC46" i="14"/>
  <c r="AB46" i="14"/>
  <c r="BZ46" i="14"/>
  <c r="CD46" i="14"/>
  <c r="CA46" i="14"/>
  <c r="BY46" i="14"/>
  <c r="BA46" i="14"/>
  <c r="F46" i="14"/>
  <c r="H46" i="14"/>
  <c r="E46" i="14"/>
  <c r="BQ46" i="14"/>
  <c r="AT46" i="14"/>
  <c r="AX46" i="14"/>
  <c r="BT46" i="14"/>
  <c r="AZ46" i="14"/>
  <c r="BC46" i="14"/>
  <c r="Q46" i="14"/>
  <c r="BB46" i="14"/>
  <c r="AY46" i="14"/>
  <c r="P46" i="14"/>
  <c r="W46" i="14"/>
  <c r="AA46" i="14"/>
  <c r="N46" i="14"/>
  <c r="R46" i="14"/>
  <c r="Z46" i="14"/>
  <c r="Y46" i="14"/>
  <c r="X46" i="14"/>
  <c r="AP46" i="14"/>
  <c r="O46" i="14"/>
  <c r="AQ46" i="14"/>
  <c r="AS46" i="14"/>
  <c r="BP46" i="14"/>
  <c r="AR46" i="14"/>
  <c r="BS46" i="14"/>
  <c r="S46" i="14"/>
  <c r="BR46" i="14"/>
  <c r="AO46" i="14"/>
  <c r="BL47" i="14" l="1"/>
  <c r="BJ47" i="14"/>
  <c r="AK47" i="14"/>
  <c r="AJ47" i="14"/>
  <c r="AH47" i="14"/>
  <c r="BK47" i="14"/>
  <c r="BI47" i="14"/>
  <c r="CK47" i="14"/>
  <c r="AI47" i="14"/>
  <c r="AF47" i="14"/>
  <c r="AG47" i="14"/>
  <c r="BH47" i="14"/>
  <c r="BG47" i="14"/>
  <c r="CL47" i="14"/>
  <c r="CJ47" i="14"/>
  <c r="CH47" i="14"/>
  <c r="CI47" i="14"/>
  <c r="CM47" i="14"/>
  <c r="CC47" i="14"/>
  <c r="CD47" i="14"/>
  <c r="CB47" i="14"/>
  <c r="G47" i="14"/>
  <c r="J47" i="14"/>
  <c r="I47" i="14"/>
  <c r="BA47" i="14"/>
  <c r="CA47" i="14"/>
  <c r="BY47" i="14"/>
  <c r="BZ47" i="14"/>
  <c r="F47" i="14"/>
  <c r="BS47" i="14"/>
  <c r="E47" i="14"/>
  <c r="H47" i="14"/>
  <c r="AQ47" i="14"/>
  <c r="BC47" i="14"/>
  <c r="S47" i="14"/>
  <c r="AR47" i="14"/>
  <c r="BB47" i="14"/>
  <c r="AT47" i="14"/>
  <c r="AO47" i="14"/>
  <c r="AX47" i="14"/>
  <c r="N47" i="14"/>
  <c r="AY47" i="14"/>
  <c r="AZ47" i="14"/>
  <c r="R47" i="14"/>
  <c r="O47" i="14"/>
  <c r="Q47" i="14"/>
  <c r="X47" i="14"/>
  <c r="AB47" i="14"/>
  <c r="Y47" i="14"/>
  <c r="W47" i="14"/>
  <c r="P47" i="14"/>
  <c r="AA47" i="14"/>
  <c r="Z47" i="14"/>
  <c r="BQ47" i="14"/>
  <c r="BR47" i="14"/>
  <c r="BU47" i="14"/>
  <c r="BP47" i="14"/>
  <c r="AS47" i="14"/>
  <c r="BT47" i="14"/>
  <c r="AP47" i="14"/>
  <c r="BL48" i="14" l="1"/>
  <c r="AK48" i="14"/>
  <c r="AJ48" i="14"/>
  <c r="CL48" i="14"/>
  <c r="BK48" i="14"/>
  <c r="CJ48" i="14"/>
  <c r="AF48" i="14"/>
  <c r="AH48" i="14"/>
  <c r="AG48" i="14"/>
  <c r="AI48" i="14"/>
  <c r="CH48" i="14"/>
  <c r="CK48" i="14"/>
  <c r="BH48" i="14"/>
  <c r="BI48" i="14"/>
  <c r="BJ48" i="14"/>
  <c r="BG48" i="14"/>
  <c r="CM48" i="14"/>
  <c r="CI48" i="14"/>
  <c r="CA48" i="14"/>
  <c r="BS48" i="14"/>
  <c r="BY48" i="14"/>
  <c r="CB48" i="14"/>
  <c r="BZ48" i="14"/>
  <c r="J48" i="14"/>
  <c r="BA48" i="14"/>
  <c r="CC48" i="14"/>
  <c r="G48" i="14"/>
  <c r="AT48" i="14"/>
  <c r="CD48" i="14"/>
  <c r="E48" i="14"/>
  <c r="H48" i="14"/>
  <c r="F48" i="14"/>
  <c r="I48" i="14"/>
  <c r="AS48" i="14"/>
  <c r="BC48" i="14"/>
  <c r="BB48" i="14"/>
  <c r="AZ48" i="14"/>
  <c r="P48" i="14"/>
  <c r="AX48" i="14"/>
  <c r="AY48" i="14"/>
  <c r="BR48" i="14"/>
  <c r="AB48" i="14"/>
  <c r="O48" i="14"/>
  <c r="AP48" i="14"/>
  <c r="W48" i="14"/>
  <c r="BT48" i="14"/>
  <c r="N48" i="14"/>
  <c r="X48" i="14"/>
  <c r="AA48" i="14"/>
  <c r="Y48" i="14"/>
  <c r="Q48" i="14"/>
  <c r="R48" i="14"/>
  <c r="Z48" i="14"/>
  <c r="S48" i="14"/>
  <c r="AO48" i="14"/>
  <c r="AR48" i="14"/>
  <c r="BP48" i="14"/>
  <c r="BU48" i="14"/>
  <c r="AQ48" i="14"/>
  <c r="BQ48" i="14"/>
  <c r="BL49" i="14" l="1"/>
  <c r="AK49" i="14"/>
  <c r="BK49" i="14"/>
  <c r="AF49" i="14"/>
  <c r="AJ49" i="14"/>
  <c r="AG49" i="14"/>
  <c r="AI49" i="14"/>
  <c r="CM49" i="14"/>
  <c r="AH49" i="14"/>
  <c r="CI49" i="14"/>
  <c r="CJ49" i="14"/>
  <c r="CL49" i="14"/>
  <c r="BJ49" i="14"/>
  <c r="BH49" i="14"/>
  <c r="BI49" i="14"/>
  <c r="BG49" i="14"/>
  <c r="CH49" i="14"/>
  <c r="CK49" i="14"/>
  <c r="CD49" i="14"/>
  <c r="CA49" i="14"/>
  <c r="CB49" i="14"/>
  <c r="BY49" i="14"/>
  <c r="BZ49" i="14"/>
  <c r="CC49" i="14"/>
  <c r="BA49" i="14"/>
  <c r="J49" i="14"/>
  <c r="H49" i="14"/>
  <c r="E49" i="14"/>
  <c r="I49" i="14"/>
  <c r="G49" i="14"/>
  <c r="F49" i="14"/>
  <c r="BC49" i="14"/>
  <c r="BT49" i="14"/>
  <c r="AZ49" i="14"/>
  <c r="BU49" i="14"/>
  <c r="BB49" i="14"/>
  <c r="AX49" i="14"/>
  <c r="AY49" i="14"/>
  <c r="P49" i="14"/>
  <c r="S49" i="14"/>
  <c r="Q49" i="14"/>
  <c r="AR49" i="14"/>
  <c r="Z49" i="14"/>
  <c r="BQ49" i="14"/>
  <c r="Y49" i="14"/>
  <c r="O49" i="14"/>
  <c r="N49" i="14"/>
  <c r="X49" i="14"/>
  <c r="AB49" i="14"/>
  <c r="R49" i="14"/>
  <c r="AA49" i="14"/>
  <c r="W49" i="14"/>
  <c r="AS49" i="14"/>
  <c r="AP49" i="14"/>
  <c r="BS49" i="14"/>
  <c r="BR49" i="14"/>
  <c r="AQ49" i="14"/>
  <c r="AT49" i="14"/>
  <c r="AO49" i="14"/>
  <c r="BP49" i="14"/>
  <c r="AK50" i="14" l="1"/>
  <c r="AI50" i="14"/>
  <c r="AF50" i="14"/>
  <c r="CJ50" i="14"/>
  <c r="BH50" i="14"/>
  <c r="BI50" i="14"/>
  <c r="BJ50" i="14"/>
  <c r="AJ50" i="14"/>
  <c r="AG50" i="14"/>
  <c r="CM50" i="14"/>
  <c r="AH50" i="14"/>
  <c r="BG50" i="14"/>
  <c r="BK50" i="14"/>
  <c r="BL50" i="14"/>
  <c r="CL50" i="14"/>
  <c r="CI50" i="14"/>
  <c r="CK50" i="14"/>
  <c r="CH50" i="14"/>
  <c r="CA50" i="14"/>
  <c r="CD50" i="14"/>
  <c r="CB50" i="14"/>
  <c r="BY50" i="14"/>
  <c r="BZ50" i="14"/>
  <c r="CC50" i="14"/>
  <c r="G50" i="14"/>
  <c r="H50" i="14"/>
  <c r="E50" i="14"/>
  <c r="I50" i="14"/>
  <c r="J50" i="14"/>
  <c r="BU50" i="14"/>
  <c r="F50" i="14"/>
  <c r="AQ50" i="14"/>
  <c r="BC50" i="14"/>
  <c r="BB50" i="14"/>
  <c r="AY50" i="14"/>
  <c r="Q50" i="14"/>
  <c r="AX50" i="14"/>
  <c r="BA50" i="14"/>
  <c r="S50" i="14"/>
  <c r="AZ50" i="14"/>
  <c r="P50" i="14"/>
  <c r="AR50" i="14"/>
  <c r="AA50" i="14"/>
  <c r="R50" i="14"/>
  <c r="BP50" i="14"/>
  <c r="BR50" i="14"/>
  <c r="Z50" i="14"/>
  <c r="BS50" i="14"/>
  <c r="AO50" i="14"/>
  <c r="N50" i="14"/>
  <c r="AB50" i="14"/>
  <c r="W50" i="14"/>
  <c r="O50" i="14"/>
  <c r="X50" i="14"/>
  <c r="Y50" i="14"/>
  <c r="BQ50" i="14"/>
  <c r="AS50" i="14"/>
  <c r="AT50" i="14"/>
  <c r="BT50" i="14"/>
  <c r="AP50" i="14"/>
  <c r="BJ51" i="14" l="1"/>
  <c r="AI51" i="14"/>
  <c r="CJ51" i="14"/>
  <c r="BL51" i="14"/>
  <c r="AF51" i="14"/>
  <c r="CM51" i="14"/>
  <c r="BI51" i="14"/>
  <c r="BK51" i="14"/>
  <c r="CD51" i="14"/>
  <c r="BG51" i="14"/>
  <c r="AG51" i="14"/>
  <c r="BH51" i="14"/>
  <c r="AJ51" i="14"/>
  <c r="AH51" i="14"/>
  <c r="AK51" i="14"/>
  <c r="CI51" i="14"/>
  <c r="CL51" i="14"/>
  <c r="CH51" i="14"/>
  <c r="CK51" i="14"/>
  <c r="CA51" i="14"/>
  <c r="BU51" i="14"/>
  <c r="BZ51" i="14"/>
  <c r="CC51" i="14"/>
  <c r="BY51" i="14"/>
  <c r="CB51" i="14"/>
  <c r="J51" i="14"/>
  <c r="I51" i="14"/>
  <c r="F51" i="14"/>
  <c r="AT51" i="14"/>
  <c r="G51" i="14"/>
  <c r="H51" i="14"/>
  <c r="E51" i="14"/>
  <c r="BA51" i="14"/>
  <c r="AS51" i="14"/>
  <c r="BC51" i="14"/>
  <c r="BB51" i="14"/>
  <c r="AY51" i="14"/>
  <c r="AX51" i="14"/>
  <c r="AR51" i="14"/>
  <c r="AZ51" i="14"/>
  <c r="N51" i="14"/>
  <c r="O51" i="14"/>
  <c r="P51" i="14"/>
  <c r="S51" i="14"/>
  <c r="AA51" i="14"/>
  <c r="R51" i="14"/>
  <c r="Z51" i="14"/>
  <c r="BT51" i="14"/>
  <c r="BR51" i="14"/>
  <c r="AB51" i="14"/>
  <c r="AP51" i="14"/>
  <c r="Q51" i="14"/>
  <c r="BS51" i="14"/>
  <c r="X51" i="14"/>
  <c r="W51" i="14"/>
  <c r="Y51" i="14"/>
  <c r="AO51" i="14"/>
  <c r="BQ51" i="14"/>
  <c r="BP51" i="14"/>
  <c r="AQ51" i="14"/>
  <c r="AI52" i="14" l="1"/>
  <c r="BK52" i="14"/>
  <c r="BL52" i="14"/>
  <c r="CM52" i="14"/>
  <c r="CJ52" i="14"/>
  <c r="BH52" i="14"/>
  <c r="BI52" i="14"/>
  <c r="BG52" i="14"/>
  <c r="BJ52" i="14"/>
  <c r="AF52" i="14"/>
  <c r="AG52" i="14"/>
  <c r="CD52" i="14"/>
  <c r="AK52" i="14"/>
  <c r="AJ52" i="14"/>
  <c r="AH52" i="14"/>
  <c r="CH52" i="14"/>
  <c r="CL52" i="14"/>
  <c r="CI52" i="14"/>
  <c r="CK52" i="14"/>
  <c r="BU52" i="14"/>
  <c r="CA52" i="14"/>
  <c r="BZ52" i="14"/>
  <c r="BY52" i="14"/>
  <c r="CB52" i="14"/>
  <c r="CC52" i="14"/>
  <c r="H52" i="14"/>
  <c r="I52" i="14"/>
  <c r="F52" i="14"/>
  <c r="E52" i="14"/>
  <c r="J52" i="14"/>
  <c r="G52" i="14"/>
  <c r="BA52" i="14"/>
  <c r="AR52" i="14"/>
  <c r="BB52" i="14"/>
  <c r="AZ52" i="14"/>
  <c r="BC52" i="14"/>
  <c r="S52" i="14"/>
  <c r="AY52" i="14"/>
  <c r="AX52" i="14"/>
  <c r="R52" i="14"/>
  <c r="AQ52" i="14"/>
  <c r="O52" i="14"/>
  <c r="P52" i="14"/>
  <c r="N52" i="14"/>
  <c r="AA52" i="14"/>
  <c r="BT52" i="14"/>
  <c r="BS52" i="14"/>
  <c r="BR52" i="14"/>
  <c r="BP52" i="14"/>
  <c r="Q52" i="14"/>
  <c r="X52" i="14"/>
  <c r="Z52" i="14"/>
  <c r="Y52" i="14"/>
  <c r="AB52" i="14"/>
  <c r="W52" i="14"/>
  <c r="AT52" i="14"/>
  <c r="BQ52" i="14"/>
  <c r="AP52" i="14"/>
  <c r="AO52" i="14"/>
  <c r="AS52" i="14"/>
  <c r="AI53" i="14" l="1"/>
  <c r="CM53" i="14"/>
  <c r="BJ53" i="14"/>
  <c r="BK53" i="14"/>
  <c r="BG53" i="14"/>
  <c r="BI53" i="14"/>
  <c r="CJ53" i="14"/>
  <c r="BL53" i="14"/>
  <c r="AJ53" i="14"/>
  <c r="BU53" i="14"/>
  <c r="AG53" i="14"/>
  <c r="AF53" i="14"/>
  <c r="BH53" i="14"/>
  <c r="CD53" i="14"/>
  <c r="CL53" i="14"/>
  <c r="AK53" i="14"/>
  <c r="AH53" i="14"/>
  <c r="CI53" i="14"/>
  <c r="CK53" i="14"/>
  <c r="CH53" i="14"/>
  <c r="CB53" i="14"/>
  <c r="CA53" i="14"/>
  <c r="BY53" i="14"/>
  <c r="BZ53" i="14"/>
  <c r="CC53" i="14"/>
  <c r="H53" i="14"/>
  <c r="BA53" i="14"/>
  <c r="AQ53" i="14"/>
  <c r="I53" i="14"/>
  <c r="E53" i="14"/>
  <c r="F53" i="14"/>
  <c r="G53" i="14"/>
  <c r="J53" i="14"/>
  <c r="AS53" i="14"/>
  <c r="BB53" i="14"/>
  <c r="AX53" i="14"/>
  <c r="AT53" i="14"/>
  <c r="AZ53" i="14"/>
  <c r="BC53" i="14"/>
  <c r="AY53" i="14"/>
  <c r="P53" i="14"/>
  <c r="S53" i="14"/>
  <c r="R53" i="14"/>
  <c r="BQ53" i="14"/>
  <c r="BT53" i="14"/>
  <c r="O53" i="14"/>
  <c r="N53" i="14"/>
  <c r="Q53" i="14"/>
  <c r="AB53" i="14"/>
  <c r="Z53" i="14"/>
  <c r="Y53" i="14"/>
  <c r="AA53" i="14"/>
  <c r="W53" i="14"/>
  <c r="X53" i="14"/>
  <c r="BS53" i="14"/>
  <c r="BR53" i="14"/>
  <c r="BP53" i="14"/>
  <c r="AP53" i="14"/>
  <c r="AR53" i="14"/>
  <c r="AO53" i="14"/>
  <c r="BK54" i="14" l="1"/>
  <c r="AI54" i="14"/>
  <c r="CM54" i="14"/>
  <c r="BJ54" i="14"/>
  <c r="BL54" i="14"/>
  <c r="AG54" i="14"/>
  <c r="BH54" i="14"/>
  <c r="BG54" i="14"/>
  <c r="CJ54" i="14"/>
  <c r="CD54" i="14"/>
  <c r="BI54" i="14"/>
  <c r="CC54" i="14"/>
  <c r="AH54" i="14"/>
  <c r="AK54" i="14"/>
  <c r="CK54" i="14"/>
  <c r="CI54" i="14"/>
  <c r="CL54" i="14"/>
  <c r="CH54" i="14"/>
  <c r="CA54" i="14"/>
  <c r="AF54" i="14"/>
  <c r="AJ54" i="14"/>
  <c r="BZ54" i="14"/>
  <c r="BY54" i="14"/>
  <c r="CB54" i="14"/>
  <c r="BA54" i="14"/>
  <c r="AT54" i="14"/>
  <c r="BB54" i="14"/>
  <c r="J54" i="14"/>
  <c r="I54" i="14"/>
  <c r="G54" i="14"/>
  <c r="F54" i="14"/>
  <c r="H54" i="14"/>
  <c r="E54" i="14"/>
  <c r="BC54" i="14"/>
  <c r="AY54" i="14"/>
  <c r="AX54" i="14"/>
  <c r="AZ54" i="14"/>
  <c r="R54" i="14"/>
  <c r="P54" i="14"/>
  <c r="S54" i="14"/>
  <c r="BR54" i="14"/>
  <c r="BS54" i="14"/>
  <c r="Q54" i="14"/>
  <c r="O54" i="14"/>
  <c r="N54" i="14"/>
  <c r="BU54" i="14"/>
  <c r="AB54" i="14"/>
  <c r="X54" i="14"/>
  <c r="AO54" i="14"/>
  <c r="BP54" i="14"/>
  <c r="AA54" i="14"/>
  <c r="BQ54" i="14"/>
  <c r="BT54" i="14"/>
  <c r="Y54" i="14"/>
  <c r="W54" i="14"/>
  <c r="Z54" i="14"/>
  <c r="AR54" i="14"/>
  <c r="AS54" i="14"/>
  <c r="AP54" i="14"/>
  <c r="AQ54" i="14"/>
  <c r="CJ55" i="14" l="1"/>
  <c r="AI55" i="14"/>
  <c r="CM55" i="14"/>
  <c r="BK55" i="14"/>
  <c r="BI55" i="14"/>
  <c r="BJ55" i="14"/>
  <c r="CD55" i="14"/>
  <c r="AH55" i="14"/>
  <c r="BG55" i="14"/>
  <c r="BH55" i="14"/>
  <c r="CC55" i="14"/>
  <c r="BL55" i="14"/>
  <c r="AJ55" i="14"/>
  <c r="AK55" i="14"/>
  <c r="CL55" i="14"/>
  <c r="CA55" i="14"/>
  <c r="CB55" i="14"/>
  <c r="BZ55" i="14"/>
  <c r="CI55" i="14"/>
  <c r="CK55" i="14"/>
  <c r="CH55" i="14"/>
  <c r="AF55" i="14"/>
  <c r="AG55" i="14"/>
  <c r="BY55" i="14"/>
  <c r="BA55" i="14"/>
  <c r="BB55" i="14"/>
  <c r="S55" i="14"/>
  <c r="R55" i="14"/>
  <c r="F55" i="14"/>
  <c r="E55" i="14"/>
  <c r="I55" i="14"/>
  <c r="H55" i="14"/>
  <c r="J55" i="14"/>
  <c r="G55" i="14"/>
  <c r="AZ55" i="14"/>
  <c r="AY55" i="14"/>
  <c r="AX55" i="14"/>
  <c r="BC55" i="14"/>
  <c r="BR55" i="14"/>
  <c r="N55" i="14"/>
  <c r="O55" i="14"/>
  <c r="BT55" i="14"/>
  <c r="BU55" i="14"/>
  <c r="Q55" i="14"/>
  <c r="P55" i="14"/>
  <c r="BS55" i="14"/>
  <c r="AR55" i="14"/>
  <c r="AO55" i="14"/>
  <c r="BP55" i="14"/>
  <c r="BQ55" i="14"/>
  <c r="AQ55" i="14"/>
  <c r="Z55" i="14"/>
  <c r="AA55" i="14"/>
  <c r="W55" i="14"/>
  <c r="X55" i="14"/>
  <c r="AB55" i="14"/>
  <c r="Y55" i="14"/>
  <c r="AS55" i="14"/>
  <c r="AT55" i="14"/>
  <c r="AP55" i="14"/>
  <c r="CJ56" i="14" l="1"/>
  <c r="CM56" i="14"/>
  <c r="BL56" i="14"/>
  <c r="BG56" i="14"/>
  <c r="BI56" i="14"/>
  <c r="BJ56" i="14"/>
  <c r="BH56" i="14"/>
  <c r="BK56" i="14"/>
  <c r="CD56" i="14"/>
  <c r="AK56" i="14"/>
  <c r="AH56" i="14"/>
  <c r="AJ56" i="14"/>
  <c r="CC56" i="14"/>
  <c r="CL56" i="14"/>
  <c r="CB56" i="14"/>
  <c r="CK56" i="14"/>
  <c r="CI56" i="14"/>
  <c r="CH56" i="14"/>
  <c r="CA56" i="14"/>
  <c r="AF56" i="14"/>
  <c r="BZ56" i="14"/>
  <c r="BY56" i="14"/>
  <c r="AI56" i="14"/>
  <c r="AG56" i="14"/>
  <c r="BA56" i="14"/>
  <c r="BB56" i="14"/>
  <c r="S56" i="14"/>
  <c r="G56" i="14"/>
  <c r="H56" i="14"/>
  <c r="I56" i="14"/>
  <c r="J56" i="14"/>
  <c r="E56" i="14"/>
  <c r="F56" i="14"/>
  <c r="BC56" i="14"/>
  <c r="BU56" i="14"/>
  <c r="AX56" i="14"/>
  <c r="AY56" i="14"/>
  <c r="AZ56" i="14"/>
  <c r="Q56" i="14"/>
  <c r="BT56" i="14"/>
  <c r="AT56" i="14"/>
  <c r="P56" i="14"/>
  <c r="N56" i="14"/>
  <c r="BS56" i="14"/>
  <c r="R56" i="14"/>
  <c r="O56" i="14"/>
  <c r="AS56" i="14"/>
  <c r="BR56" i="14"/>
  <c r="BP56" i="14"/>
  <c r="AP56" i="14"/>
  <c r="BQ56" i="14"/>
  <c r="AA56" i="14"/>
  <c r="Y56" i="14"/>
  <c r="W56" i="14"/>
  <c r="AB56" i="14"/>
  <c r="X56" i="14"/>
  <c r="Z56" i="14"/>
  <c r="AQ56" i="14"/>
  <c r="AO56" i="14"/>
  <c r="AR56" i="14"/>
  <c r="CJ57" i="14" l="1"/>
  <c r="CM57" i="14"/>
  <c r="BL57" i="14"/>
  <c r="BK57" i="14"/>
  <c r="BJ57" i="14"/>
  <c r="P57" i="14"/>
  <c r="BH57" i="14"/>
  <c r="BG57" i="14"/>
  <c r="BI57" i="14"/>
  <c r="BZ57" i="14"/>
  <c r="CC57" i="14"/>
  <c r="CD57" i="14"/>
  <c r="AK57" i="14"/>
  <c r="AJ57" i="14"/>
  <c r="AH57" i="14"/>
  <c r="CI57" i="14"/>
  <c r="CB57" i="14"/>
  <c r="CL57" i="14"/>
  <c r="CK57" i="14"/>
  <c r="BY57" i="14"/>
  <c r="CH57" i="14"/>
  <c r="CA57" i="14"/>
  <c r="AF57" i="14"/>
  <c r="AI57" i="14"/>
  <c r="AG57" i="14"/>
  <c r="S57" i="14"/>
  <c r="J57" i="14"/>
  <c r="BU57" i="14"/>
  <c r="I57" i="14"/>
  <c r="E57" i="14"/>
  <c r="G57" i="14"/>
  <c r="H57" i="14"/>
  <c r="F57" i="14"/>
  <c r="AR57" i="14"/>
  <c r="BC57" i="14"/>
  <c r="AZ57" i="14"/>
  <c r="AX57" i="14"/>
  <c r="AY57" i="14"/>
  <c r="BA57" i="14"/>
  <c r="BB57" i="14"/>
  <c r="AQ57" i="14"/>
  <c r="O57" i="14"/>
  <c r="BT57" i="14"/>
  <c r="R57" i="14"/>
  <c r="N57" i="14"/>
  <c r="BQ57" i="14"/>
  <c r="BS57" i="14"/>
  <c r="Q57" i="14"/>
  <c r="AT57" i="14"/>
  <c r="AS57" i="14"/>
  <c r="BP57" i="14"/>
  <c r="BR57" i="14"/>
  <c r="AP57" i="14"/>
  <c r="Z57" i="14"/>
  <c r="AB57" i="14"/>
  <c r="AA57" i="14"/>
  <c r="X57" i="14"/>
  <c r="Y57" i="14"/>
  <c r="W57" i="14"/>
  <c r="AO57" i="14"/>
  <c r="CJ58" i="14" l="1"/>
  <c r="CM58" i="14"/>
  <c r="BL58" i="14"/>
  <c r="BJ58" i="14"/>
  <c r="BK58" i="14"/>
  <c r="S58" i="14"/>
  <c r="P58" i="14"/>
  <c r="BG58" i="14"/>
  <c r="BH58" i="14"/>
  <c r="BI58" i="14"/>
  <c r="CA58" i="14"/>
  <c r="CK58" i="14"/>
  <c r="CB58" i="14"/>
  <c r="CD58" i="14"/>
  <c r="BY58" i="14"/>
  <c r="AK58" i="14"/>
  <c r="CL58" i="14"/>
  <c r="AH58" i="14"/>
  <c r="CC58" i="14"/>
  <c r="BZ58" i="14"/>
  <c r="AJ58" i="14"/>
  <c r="CI58" i="14"/>
  <c r="CH58" i="14"/>
  <c r="AF58" i="14"/>
  <c r="AG58" i="14"/>
  <c r="J58" i="14"/>
  <c r="AI58" i="14"/>
  <c r="BU58" i="14"/>
  <c r="I58" i="14"/>
  <c r="AZ58" i="14"/>
  <c r="H58" i="14"/>
  <c r="F58" i="14"/>
  <c r="E58" i="14"/>
  <c r="G58" i="14"/>
  <c r="BC58" i="14"/>
  <c r="BB58" i="14"/>
  <c r="AY58" i="14"/>
  <c r="AX58" i="14"/>
  <c r="BA58" i="14"/>
  <c r="AS58" i="14"/>
  <c r="AQ58" i="14"/>
  <c r="AT58" i="14"/>
  <c r="AR58" i="14"/>
  <c r="AO58" i="14"/>
  <c r="Q58" i="14"/>
  <c r="N58" i="14"/>
  <c r="O58" i="14"/>
  <c r="Z58" i="14"/>
  <c r="BS58" i="14"/>
  <c r="BR58" i="14"/>
  <c r="BQ58" i="14"/>
  <c r="R58" i="14"/>
  <c r="BP58" i="14"/>
  <c r="BT58" i="14"/>
  <c r="AB58" i="14"/>
  <c r="W58" i="14"/>
  <c r="AA58" i="14"/>
  <c r="X58" i="14"/>
  <c r="Y58" i="14"/>
  <c r="AP58" i="14"/>
  <c r="CM59" i="14" l="1"/>
  <c r="BL59" i="14"/>
  <c r="P59" i="14"/>
  <c r="BK59" i="14"/>
  <c r="BG59" i="14"/>
  <c r="BH59" i="14"/>
  <c r="BI59" i="14"/>
  <c r="BJ59" i="14"/>
  <c r="S59" i="14"/>
  <c r="CA59" i="14"/>
  <c r="CD59" i="14"/>
  <c r="CB59" i="14"/>
  <c r="BY59" i="14"/>
  <c r="BZ59" i="14"/>
  <c r="CL59" i="14"/>
  <c r="CC59" i="14"/>
  <c r="CK59" i="14"/>
  <c r="CJ59" i="14"/>
  <c r="AK59" i="14"/>
  <c r="AH59" i="14"/>
  <c r="AJ59" i="14"/>
  <c r="CI59" i="14"/>
  <c r="CH59" i="14"/>
  <c r="AG59" i="14"/>
  <c r="AI59" i="14"/>
  <c r="AF59" i="14"/>
  <c r="BU59" i="14"/>
  <c r="BC59" i="14"/>
  <c r="AZ59" i="14"/>
  <c r="F59" i="14"/>
  <c r="J59" i="14"/>
  <c r="G59" i="14"/>
  <c r="E59" i="14"/>
  <c r="H59" i="14"/>
  <c r="I59" i="14"/>
  <c r="AY59" i="14"/>
  <c r="AS59" i="14"/>
  <c r="AP59" i="14"/>
  <c r="AT59" i="14"/>
  <c r="AX59" i="14"/>
  <c r="BA59" i="14"/>
  <c r="BB59" i="14"/>
  <c r="Z59" i="14"/>
  <c r="BT59" i="14"/>
  <c r="R59" i="14"/>
  <c r="Q59" i="14"/>
  <c r="BS59" i="14"/>
  <c r="AR59" i="14"/>
  <c r="AQ59" i="14"/>
  <c r="O59" i="14"/>
  <c r="BQ59" i="14"/>
  <c r="BR59" i="14"/>
  <c r="N59" i="14"/>
  <c r="BP59" i="14"/>
  <c r="Y59" i="14"/>
  <c r="AA59" i="14"/>
  <c r="X59" i="14"/>
  <c r="W59" i="14"/>
  <c r="AB59" i="14"/>
  <c r="AO59" i="14"/>
  <c r="BL60" i="14" l="1"/>
  <c r="CM60" i="14"/>
  <c r="P60" i="14"/>
  <c r="S60" i="14"/>
  <c r="BJ60" i="14"/>
  <c r="BK60" i="14"/>
  <c r="BI60" i="14"/>
  <c r="BH60" i="14"/>
  <c r="BG60" i="14"/>
  <c r="CD60" i="14"/>
  <c r="CC60" i="14"/>
  <c r="BZ60" i="14"/>
  <c r="CA60" i="14"/>
  <c r="CB60" i="14"/>
  <c r="BY60" i="14"/>
  <c r="BU60" i="14"/>
  <c r="CL60" i="14"/>
  <c r="CJ60" i="14"/>
  <c r="AK60" i="14"/>
  <c r="CK60" i="14"/>
  <c r="AH60" i="14"/>
  <c r="CI60" i="14"/>
  <c r="CH60" i="14"/>
  <c r="AF60" i="14"/>
  <c r="AI60" i="14"/>
  <c r="AJ60" i="14"/>
  <c r="AG60" i="14"/>
  <c r="BC60" i="14"/>
  <c r="AZ60" i="14"/>
  <c r="BS60" i="14"/>
  <c r="AQ60" i="14"/>
  <c r="AR60" i="14"/>
  <c r="BB60" i="14"/>
  <c r="BA60" i="14"/>
  <c r="H60" i="14"/>
  <c r="G60" i="14"/>
  <c r="J60" i="14"/>
  <c r="I60" i="14"/>
  <c r="F60" i="14"/>
  <c r="E60" i="14"/>
  <c r="AX60" i="14"/>
  <c r="AY60" i="14"/>
  <c r="R60" i="14"/>
  <c r="Q60" i="14"/>
  <c r="Y60" i="14"/>
  <c r="N60" i="14"/>
  <c r="AS60" i="14"/>
  <c r="W60" i="14"/>
  <c r="BP60" i="14"/>
  <c r="O60" i="14"/>
  <c r="AO60" i="14"/>
  <c r="AT60" i="14"/>
  <c r="BR60" i="14"/>
  <c r="BT60" i="14"/>
  <c r="AA60" i="14"/>
  <c r="BQ60" i="14"/>
  <c r="AB60" i="14"/>
  <c r="Z60" i="14"/>
  <c r="X60" i="14"/>
  <c r="AP60" i="14"/>
  <c r="BL61" i="14" l="1"/>
  <c r="CM61" i="14"/>
  <c r="S61" i="14"/>
  <c r="BK61" i="14"/>
  <c r="BG61" i="14"/>
  <c r="BH61" i="14"/>
  <c r="BJ61" i="14"/>
  <c r="BI61" i="14"/>
  <c r="BU61" i="14"/>
  <c r="CD61" i="14"/>
  <c r="CB61" i="14"/>
  <c r="BY61" i="14"/>
  <c r="BZ61" i="14"/>
  <c r="CC61" i="14"/>
  <c r="CA61" i="14"/>
  <c r="CL61" i="14"/>
  <c r="AK61" i="14"/>
  <c r="CJ61" i="14"/>
  <c r="CI61" i="14"/>
  <c r="AH61" i="14"/>
  <c r="CK61" i="14"/>
  <c r="CH61" i="14"/>
  <c r="AJ61" i="14"/>
  <c r="AG61" i="14"/>
  <c r="AF61" i="14"/>
  <c r="AI61" i="14"/>
  <c r="BC61" i="14"/>
  <c r="R61" i="14"/>
  <c r="AZ61" i="14"/>
  <c r="BB61" i="14"/>
  <c r="BA61" i="14"/>
  <c r="AX61" i="14"/>
  <c r="AY61" i="14"/>
  <c r="AS61" i="14"/>
  <c r="AT61" i="14"/>
  <c r="J61" i="14"/>
  <c r="I61" i="14"/>
  <c r="E61" i="14"/>
  <c r="F61" i="14"/>
  <c r="H61" i="14"/>
  <c r="G61" i="14"/>
  <c r="AB61" i="14"/>
  <c r="BR61" i="14"/>
  <c r="Q61" i="14"/>
  <c r="N61" i="14"/>
  <c r="O61" i="14"/>
  <c r="P61" i="14"/>
  <c r="BT61" i="14"/>
  <c r="BS61" i="14"/>
  <c r="BP61" i="14"/>
  <c r="BQ61" i="14"/>
  <c r="X61" i="14"/>
  <c r="Z61" i="14"/>
  <c r="AA61" i="14"/>
  <c r="W61" i="14"/>
  <c r="Y61" i="14"/>
  <c r="AP61" i="14"/>
  <c r="AR61" i="14"/>
  <c r="AQ61" i="14"/>
  <c r="AO61" i="14"/>
  <c r="BL62" i="14" l="1"/>
  <c r="CM62" i="14"/>
  <c r="BI62" i="14"/>
  <c r="BK62" i="14"/>
  <c r="BH62" i="14"/>
  <c r="BJ62" i="14"/>
  <c r="BG62" i="14"/>
  <c r="BU62" i="14"/>
  <c r="CD62" i="14"/>
  <c r="CC62" i="14"/>
  <c r="CB62" i="14"/>
  <c r="CA62" i="14"/>
  <c r="BY62" i="14"/>
  <c r="BZ62" i="14"/>
  <c r="CJ62" i="14"/>
  <c r="AK62" i="14"/>
  <c r="CL62" i="14"/>
  <c r="AH62" i="14"/>
  <c r="CH62" i="14"/>
  <c r="CK62" i="14"/>
  <c r="CI62" i="14"/>
  <c r="AJ62" i="14"/>
  <c r="AI62" i="14"/>
  <c r="AF62" i="14"/>
  <c r="BC62" i="14"/>
  <c r="AG62" i="14"/>
  <c r="AZ62" i="14"/>
  <c r="BB62" i="14"/>
  <c r="AX62" i="14"/>
  <c r="BA62" i="14"/>
  <c r="AY62" i="14"/>
  <c r="F62" i="14"/>
  <c r="J62" i="14"/>
  <c r="G62" i="14"/>
  <c r="E62" i="14"/>
  <c r="H62" i="14"/>
  <c r="I62" i="14"/>
  <c r="AO62" i="14"/>
  <c r="N62" i="14"/>
  <c r="S62" i="14"/>
  <c r="P62" i="14"/>
  <c r="O62" i="14"/>
  <c r="Q62" i="14"/>
  <c r="R62" i="14"/>
  <c r="BT62" i="14"/>
  <c r="Y62" i="14"/>
  <c r="Z62" i="14"/>
  <c r="BP62" i="14"/>
  <c r="BS62" i="14"/>
  <c r="BQ62" i="14"/>
  <c r="BR62" i="14"/>
  <c r="AB62" i="14"/>
  <c r="W62" i="14"/>
  <c r="AA62" i="14"/>
  <c r="X62" i="14"/>
  <c r="AQ62" i="14"/>
  <c r="AT62" i="14"/>
  <c r="AR62" i="14"/>
  <c r="AS62" i="14"/>
  <c r="AP62" i="14"/>
  <c r="BL63" i="14" l="1"/>
  <c r="CM63" i="14"/>
  <c r="BI63" i="14"/>
  <c r="BH63" i="14"/>
  <c r="BJ63" i="14"/>
  <c r="BK63" i="14"/>
  <c r="BG63" i="14"/>
  <c r="CB63" i="14"/>
  <c r="BZ63" i="14"/>
  <c r="CC63" i="14"/>
  <c r="CD63" i="14"/>
  <c r="BY63" i="14"/>
  <c r="CA63" i="14"/>
  <c r="CJ63" i="14"/>
  <c r="AK63" i="14"/>
  <c r="CL63" i="14"/>
  <c r="CK63" i="14"/>
  <c r="CH63" i="14"/>
  <c r="BC63" i="14"/>
  <c r="CI63" i="14"/>
  <c r="AJ63" i="14"/>
  <c r="AI63" i="14"/>
  <c r="AH63" i="14"/>
  <c r="AF63" i="14"/>
  <c r="AG63" i="14"/>
  <c r="BB63" i="14"/>
  <c r="AZ63" i="14"/>
  <c r="BA63" i="14"/>
  <c r="AX63" i="14"/>
  <c r="AY63" i="14"/>
  <c r="G63" i="14"/>
  <c r="I63" i="14"/>
  <c r="H63" i="14"/>
  <c r="J63" i="14"/>
  <c r="E63" i="14"/>
  <c r="F63" i="14"/>
  <c r="P63" i="14"/>
  <c r="AB63" i="14"/>
  <c r="Y63" i="14"/>
  <c r="R63" i="14"/>
  <c r="Q63" i="14"/>
  <c r="O63" i="14"/>
  <c r="S63" i="14"/>
  <c r="N63" i="14"/>
  <c r="BP63" i="14"/>
  <c r="AA63" i="14"/>
  <c r="BT63" i="14"/>
  <c r="BU63" i="14"/>
  <c r="BR63" i="14"/>
  <c r="BQ63" i="14"/>
  <c r="BS63" i="14"/>
  <c r="W63" i="14"/>
  <c r="X63" i="14"/>
  <c r="Z63" i="14"/>
  <c r="AP63" i="14"/>
  <c r="AR63" i="14"/>
  <c r="AT63" i="14"/>
  <c r="AQ63" i="14"/>
  <c r="AS63" i="14"/>
  <c r="AO63" i="14"/>
  <c r="BL64" i="14" l="1"/>
  <c r="CM64" i="14"/>
  <c r="BI64" i="14"/>
  <c r="BH64" i="14"/>
  <c r="BJ64" i="14"/>
  <c r="BC64" i="14"/>
  <c r="CB64" i="14"/>
  <c r="BK64" i="14"/>
  <c r="BG64" i="14"/>
  <c r="CC64" i="14"/>
  <c r="CD64" i="14"/>
  <c r="BZ64" i="14"/>
  <c r="CA64" i="14"/>
  <c r="BY64" i="14"/>
  <c r="AK64" i="14"/>
  <c r="CL64" i="14"/>
  <c r="CK64" i="14"/>
  <c r="CH64" i="14"/>
  <c r="CI64" i="14"/>
  <c r="CJ64" i="14"/>
  <c r="AI64" i="14"/>
  <c r="AG64" i="14"/>
  <c r="AF64" i="14"/>
  <c r="AJ64" i="14"/>
  <c r="AH64" i="14"/>
  <c r="BB64" i="14"/>
  <c r="BA64" i="14"/>
  <c r="AZ64" i="14"/>
  <c r="AX64" i="14"/>
  <c r="AY64" i="14"/>
  <c r="J64" i="14"/>
  <c r="I64" i="14"/>
  <c r="E64" i="14"/>
  <c r="F64" i="14"/>
  <c r="G64" i="14"/>
  <c r="H64" i="14"/>
  <c r="AB64" i="14"/>
  <c r="S64" i="14"/>
  <c r="P64" i="14"/>
  <c r="R64" i="14"/>
  <c r="N64" i="14"/>
  <c r="AQ64" i="14"/>
  <c r="Q64" i="14"/>
  <c r="O64" i="14"/>
  <c r="AS64" i="14"/>
  <c r="BS64" i="14"/>
  <c r="BQ64" i="14"/>
  <c r="BR64" i="14"/>
  <c r="BP64" i="14"/>
  <c r="BU64" i="14"/>
  <c r="BT64" i="14"/>
  <c r="Z64" i="14"/>
  <c r="X64" i="14"/>
  <c r="W64" i="14"/>
  <c r="AA64" i="14"/>
  <c r="Y64" i="14"/>
  <c r="AR64" i="14"/>
  <c r="AO64" i="14"/>
  <c r="AT64" i="14"/>
  <c r="AP64" i="14"/>
  <c r="BL65" i="14" l="1"/>
  <c r="BI65" i="14"/>
  <c r="CB65" i="14"/>
  <c r="BJ65" i="14"/>
  <c r="BK65" i="14"/>
  <c r="BC65" i="14"/>
  <c r="BH65" i="14"/>
  <c r="BG65" i="14"/>
  <c r="BZ65" i="14"/>
  <c r="BY65" i="14"/>
  <c r="CC65" i="14"/>
  <c r="CD65" i="14"/>
  <c r="CA65" i="14"/>
  <c r="AK65" i="14"/>
  <c r="CK65" i="14"/>
  <c r="CH65" i="14"/>
  <c r="CJ65" i="14"/>
  <c r="CI65" i="14"/>
  <c r="CL65" i="14"/>
  <c r="CM65" i="14"/>
  <c r="AI65" i="14"/>
  <c r="AJ65" i="14"/>
  <c r="AF65" i="14"/>
  <c r="AG65" i="14"/>
  <c r="AH65" i="14"/>
  <c r="BB65" i="14"/>
  <c r="AX65" i="14"/>
  <c r="BA65" i="14"/>
  <c r="AY65" i="14"/>
  <c r="AZ65" i="14"/>
  <c r="F65" i="14"/>
  <c r="H65" i="14"/>
  <c r="I65" i="14"/>
  <c r="G65" i="14"/>
  <c r="J65" i="14"/>
  <c r="E65" i="14"/>
  <c r="S65" i="14"/>
  <c r="O65" i="14"/>
  <c r="AR65" i="14"/>
  <c r="AT65" i="14"/>
  <c r="Q65" i="14"/>
  <c r="BR65" i="14"/>
  <c r="P65" i="14"/>
  <c r="R65" i="14"/>
  <c r="N65" i="14"/>
  <c r="AS65" i="14"/>
  <c r="AP65" i="14"/>
  <c r="BU65" i="14"/>
  <c r="BT65" i="14"/>
  <c r="Z65" i="14"/>
  <c r="BP65" i="14"/>
  <c r="BQ65" i="14"/>
  <c r="BS65" i="14"/>
  <c r="Y65" i="14"/>
  <c r="X65" i="14"/>
  <c r="AB65" i="14"/>
  <c r="AA65" i="14"/>
  <c r="W65" i="14"/>
  <c r="AO65" i="14"/>
  <c r="AQ65" i="14"/>
  <c r="BL66" i="14" l="1"/>
  <c r="BI66" i="14"/>
  <c r="BK66" i="14"/>
  <c r="BJ66" i="14"/>
  <c r="BH66" i="14"/>
  <c r="BG66" i="14"/>
  <c r="CC66" i="14"/>
  <c r="CD66" i="14"/>
  <c r="BY66" i="14"/>
  <c r="CB66" i="14"/>
  <c r="CA66" i="14"/>
  <c r="BZ66" i="14"/>
  <c r="AK66" i="14"/>
  <c r="CI66" i="14"/>
  <c r="CM66" i="14"/>
  <c r="CK66" i="14"/>
  <c r="CJ66" i="14"/>
  <c r="CH66" i="14"/>
  <c r="CL66" i="14"/>
  <c r="AI66" i="14"/>
  <c r="AF66" i="14"/>
  <c r="AH66" i="14"/>
  <c r="AG66" i="14"/>
  <c r="AJ66" i="14"/>
  <c r="BA66" i="14"/>
  <c r="AZ66" i="14"/>
  <c r="BC66" i="14"/>
  <c r="AY66" i="14"/>
  <c r="AX66" i="14"/>
  <c r="BB66" i="14"/>
  <c r="H66" i="14"/>
  <c r="G66" i="14"/>
  <c r="J66" i="14"/>
  <c r="F66" i="14"/>
  <c r="E66" i="14"/>
  <c r="I66" i="14"/>
  <c r="BU66" i="14"/>
  <c r="Y66" i="14"/>
  <c r="AQ66" i="14"/>
  <c r="AR66" i="14"/>
  <c r="BT66" i="14"/>
  <c r="N66" i="14"/>
  <c r="S66" i="14"/>
  <c r="P66" i="14"/>
  <c r="Z66" i="14"/>
  <c r="R66" i="14"/>
  <c r="Q66" i="14"/>
  <c r="O66" i="14"/>
  <c r="BQ66" i="14"/>
  <c r="BP66" i="14"/>
  <c r="BS66" i="14"/>
  <c r="BR66" i="14"/>
  <c r="AA66" i="14"/>
  <c r="AB66" i="14"/>
  <c r="X66" i="14"/>
  <c r="W66" i="14"/>
  <c r="AP66" i="14"/>
  <c r="AS66" i="14"/>
  <c r="AO66" i="14"/>
  <c r="AT66" i="14"/>
  <c r="BL67" i="14" l="1"/>
  <c r="BI67" i="14"/>
  <c r="BK67" i="14"/>
  <c r="BJ67" i="14"/>
  <c r="CD67" i="14"/>
  <c r="BH67" i="14"/>
  <c r="BG67" i="14"/>
  <c r="BY67" i="14"/>
  <c r="CC67" i="14"/>
  <c r="BZ67" i="14"/>
  <c r="CA67" i="14"/>
  <c r="CB67" i="14"/>
  <c r="AK67" i="14"/>
  <c r="BB67" i="14"/>
  <c r="BC67" i="14"/>
  <c r="CK67" i="14"/>
  <c r="CM67" i="14"/>
  <c r="CL67" i="14"/>
  <c r="CI67" i="14"/>
  <c r="CJ67" i="14"/>
  <c r="CH67" i="14"/>
  <c r="AI67" i="14"/>
  <c r="AZ67" i="14"/>
  <c r="AJ67" i="14"/>
  <c r="AX67" i="14"/>
  <c r="AH67" i="14"/>
  <c r="AF67" i="14"/>
  <c r="AG67" i="14"/>
  <c r="BA67" i="14"/>
  <c r="AY67" i="14"/>
  <c r="BU67" i="14"/>
  <c r="I67" i="14"/>
  <c r="J67" i="14"/>
  <c r="AT67" i="14"/>
  <c r="E67" i="14"/>
  <c r="H67" i="14"/>
  <c r="G67" i="14"/>
  <c r="F67" i="14"/>
  <c r="AR67" i="14"/>
  <c r="AS67" i="14"/>
  <c r="AB67" i="14"/>
  <c r="Y67" i="14"/>
  <c r="AQ67" i="14"/>
  <c r="AO67" i="14"/>
  <c r="BS67" i="14"/>
  <c r="Q67" i="14"/>
  <c r="R67" i="14"/>
  <c r="AA67" i="14"/>
  <c r="S67" i="14"/>
  <c r="P67" i="14"/>
  <c r="O67" i="14"/>
  <c r="N67" i="14"/>
  <c r="BP67" i="14"/>
  <c r="BQ67" i="14"/>
  <c r="BT67" i="14"/>
  <c r="AP67" i="14"/>
  <c r="BR67" i="14"/>
  <c r="W67" i="14"/>
  <c r="X67" i="14"/>
  <c r="Z67" i="14"/>
  <c r="BL68" i="14" l="1"/>
  <c r="BK68" i="14"/>
  <c r="BJ68" i="14"/>
  <c r="BI68" i="14"/>
  <c r="BH68" i="14"/>
  <c r="BG68" i="14"/>
  <c r="CA68" i="14"/>
  <c r="BZ68" i="14"/>
  <c r="CD68" i="14"/>
  <c r="CC68" i="14"/>
  <c r="CB68" i="14"/>
  <c r="BY68" i="14"/>
  <c r="AK68" i="14"/>
  <c r="BC68" i="14"/>
  <c r="CK68" i="14"/>
  <c r="CM68" i="14"/>
  <c r="CJ68" i="14"/>
  <c r="CI68" i="14"/>
  <c r="CL68" i="14"/>
  <c r="CH68" i="14"/>
  <c r="BB68" i="14"/>
  <c r="AI68" i="14"/>
  <c r="AX68" i="14"/>
  <c r="AZ68" i="14"/>
  <c r="BA68" i="14"/>
  <c r="AY68" i="14"/>
  <c r="AJ68" i="14"/>
  <c r="AG68" i="14"/>
  <c r="AF68" i="14"/>
  <c r="AH68" i="14"/>
  <c r="AS68" i="14"/>
  <c r="F68" i="14"/>
  <c r="J68" i="14"/>
  <c r="G68" i="14"/>
  <c r="E68" i="14"/>
  <c r="H68" i="14"/>
  <c r="I68" i="14"/>
  <c r="AB68" i="14"/>
  <c r="AT68" i="14"/>
  <c r="AP68" i="14"/>
  <c r="S68" i="14"/>
  <c r="BS68" i="14"/>
  <c r="N68" i="14"/>
  <c r="AO68" i="14"/>
  <c r="AR68" i="14"/>
  <c r="AQ68" i="14"/>
  <c r="Q68" i="14"/>
  <c r="O68" i="14"/>
  <c r="P68" i="14"/>
  <c r="R68" i="14"/>
  <c r="BT68" i="14"/>
  <c r="BR68" i="14"/>
  <c r="BP68" i="14"/>
  <c r="BU68" i="14"/>
  <c r="BQ68" i="14"/>
  <c r="X68" i="14"/>
  <c r="W68" i="14"/>
  <c r="Z68" i="14"/>
  <c r="AA68" i="14"/>
  <c r="Y68" i="14"/>
  <c r="BK69" i="14" l="1"/>
  <c r="BJ69" i="14"/>
  <c r="BL69" i="14"/>
  <c r="BG69" i="14"/>
  <c r="BH69" i="14"/>
  <c r="BI69" i="14"/>
  <c r="CA69" i="14"/>
  <c r="CD69" i="14"/>
  <c r="BY69" i="14"/>
  <c r="BZ69" i="14"/>
  <c r="CB69" i="14"/>
  <c r="CC69" i="14"/>
  <c r="AK69" i="14"/>
  <c r="CM69" i="14"/>
  <c r="CL69" i="14"/>
  <c r="BA69" i="14"/>
  <c r="CH69" i="14"/>
  <c r="CJ69" i="14"/>
  <c r="CK69" i="14"/>
  <c r="CI69" i="14"/>
  <c r="AY69" i="14"/>
  <c r="AX69" i="14"/>
  <c r="AZ69" i="14"/>
  <c r="AI69" i="14"/>
  <c r="BB69" i="14"/>
  <c r="BC69" i="14"/>
  <c r="AG69" i="14"/>
  <c r="AF69" i="14"/>
  <c r="AH69" i="14"/>
  <c r="AJ69" i="14"/>
  <c r="AT69" i="14"/>
  <c r="H69" i="14"/>
  <c r="G69" i="14"/>
  <c r="I69" i="14"/>
  <c r="F69" i="14"/>
  <c r="E69" i="14"/>
  <c r="J69" i="14"/>
  <c r="AR69" i="14"/>
  <c r="AQ69" i="14"/>
  <c r="AO69" i="14"/>
  <c r="AP69" i="14"/>
  <c r="AS69" i="14"/>
  <c r="R69" i="14"/>
  <c r="P69" i="14"/>
  <c r="S69" i="14"/>
  <c r="O69" i="14"/>
  <c r="Q69" i="14"/>
  <c r="BU69" i="14"/>
  <c r="N69" i="14"/>
  <c r="BQ69" i="14"/>
  <c r="BS69" i="14"/>
  <c r="BP69" i="14"/>
  <c r="BR69" i="14"/>
  <c r="BT69" i="14"/>
  <c r="Z69" i="14"/>
  <c r="AA69" i="14"/>
  <c r="W69" i="14"/>
  <c r="AB69" i="14"/>
  <c r="Y69" i="14"/>
  <c r="X69" i="14"/>
  <c r="BL70" i="14" l="1"/>
  <c r="BJ70" i="14"/>
  <c r="CD70" i="14"/>
  <c r="CA70" i="14"/>
  <c r="BH70" i="14"/>
  <c r="BG70" i="14"/>
  <c r="BI70" i="14"/>
  <c r="BK70" i="14"/>
  <c r="BZ70" i="14"/>
  <c r="CB70" i="14"/>
  <c r="CC70" i="14"/>
  <c r="BY70" i="14"/>
  <c r="BB70" i="14"/>
  <c r="AT70" i="14"/>
  <c r="AX70" i="14"/>
  <c r="AZ70" i="14"/>
  <c r="AY70" i="14"/>
  <c r="CM70" i="14"/>
  <c r="BA70" i="14"/>
  <c r="CH70" i="14"/>
  <c r="CI70" i="14"/>
  <c r="CL70" i="14"/>
  <c r="CJ70" i="14"/>
  <c r="CK70" i="14"/>
  <c r="BC70" i="14"/>
  <c r="AF70" i="14"/>
  <c r="AJ70" i="14"/>
  <c r="AH70" i="14"/>
  <c r="AK70" i="14"/>
  <c r="AG70" i="14"/>
  <c r="AI70" i="14"/>
  <c r="J70" i="14"/>
  <c r="I70" i="14"/>
  <c r="E70" i="14"/>
  <c r="F70" i="14"/>
  <c r="G70" i="14"/>
  <c r="H70" i="14"/>
  <c r="AQ70" i="14"/>
  <c r="AS70" i="14"/>
  <c r="AP70" i="14"/>
  <c r="AO70" i="14"/>
  <c r="AR70" i="14"/>
  <c r="S70" i="14"/>
  <c r="R70" i="14"/>
  <c r="Q70" i="14"/>
  <c r="O70" i="14"/>
  <c r="P70" i="14"/>
  <c r="N70" i="14"/>
  <c r="BR70" i="14"/>
  <c r="BP70" i="14"/>
  <c r="BU70" i="14"/>
  <c r="BS70" i="14"/>
  <c r="BQ70" i="14"/>
  <c r="BT70" i="14"/>
  <c r="AA70" i="14"/>
  <c r="X70" i="14"/>
  <c r="W70" i="14"/>
  <c r="Z70" i="14"/>
  <c r="Y70" i="14"/>
  <c r="AB70" i="14"/>
  <c r="BL71" i="14" l="1"/>
  <c r="BI71" i="14"/>
  <c r="BJ71" i="14"/>
  <c r="CA71" i="14"/>
  <c r="BK71" i="14"/>
  <c r="CD71" i="14"/>
  <c r="BG71" i="14"/>
  <c r="BH71" i="14"/>
  <c r="BY71" i="14"/>
  <c r="BZ71" i="14"/>
  <c r="CB71" i="14"/>
  <c r="CC71" i="14"/>
  <c r="AZ71" i="14"/>
  <c r="BB71" i="14"/>
  <c r="AX71" i="14"/>
  <c r="AY71" i="14"/>
  <c r="AT71" i="14"/>
  <c r="BC71" i="14"/>
  <c r="BA71" i="14"/>
  <c r="CJ71" i="14"/>
  <c r="CL71" i="14"/>
  <c r="CI71" i="14"/>
  <c r="CM71" i="14"/>
  <c r="CK71" i="14"/>
  <c r="CH71" i="14"/>
  <c r="AF71" i="14"/>
  <c r="AI71" i="14"/>
  <c r="AH71" i="14"/>
  <c r="AG71" i="14"/>
  <c r="AK71" i="14"/>
  <c r="AJ71" i="14"/>
  <c r="AQ71" i="14"/>
  <c r="J71" i="14"/>
  <c r="F71" i="14"/>
  <c r="H71" i="14"/>
  <c r="I71" i="14"/>
  <c r="G71" i="14"/>
  <c r="E71" i="14"/>
  <c r="AO71" i="14"/>
  <c r="AS71" i="14"/>
  <c r="S71" i="14"/>
  <c r="AP71" i="14"/>
  <c r="AR71" i="14"/>
  <c r="N71" i="14"/>
  <c r="P71" i="14"/>
  <c r="O71" i="14"/>
  <c r="Q71" i="14"/>
  <c r="R71" i="14"/>
  <c r="BU71" i="14"/>
  <c r="Z71" i="14"/>
  <c r="BQ71" i="14"/>
  <c r="BR71" i="14"/>
  <c r="BS71" i="14"/>
  <c r="BP71" i="14"/>
  <c r="BT71" i="14"/>
  <c r="Y71" i="14"/>
  <c r="W71" i="14"/>
  <c r="AB71" i="14"/>
  <c r="X71" i="14"/>
  <c r="AA71" i="14"/>
  <c r="BL72" i="14" l="1"/>
  <c r="CD72" i="14"/>
  <c r="BI72" i="14"/>
  <c r="BK72" i="14"/>
  <c r="CA72" i="14"/>
  <c r="BJ72" i="14"/>
  <c r="BG72" i="14"/>
  <c r="BH72" i="14"/>
  <c r="CC72" i="14"/>
  <c r="BY72" i="14"/>
  <c r="BZ72" i="14"/>
  <c r="CB72" i="14"/>
  <c r="BB72" i="14"/>
  <c r="BC72" i="14"/>
  <c r="AT72" i="14"/>
  <c r="AX72" i="14"/>
  <c r="AZ72" i="14"/>
  <c r="AY72" i="14"/>
  <c r="BA72" i="14"/>
  <c r="CJ72" i="14"/>
  <c r="CM72" i="14"/>
  <c r="CK72" i="14"/>
  <c r="CI72" i="14"/>
  <c r="CL72" i="14"/>
  <c r="CH72" i="14"/>
  <c r="AJ72" i="14"/>
  <c r="AK72" i="14"/>
  <c r="AH72" i="14"/>
  <c r="AI72" i="14"/>
  <c r="AF72" i="14"/>
  <c r="AG72" i="14"/>
  <c r="AQ72" i="14"/>
  <c r="G72" i="14"/>
  <c r="H72" i="14"/>
  <c r="I72" i="14"/>
  <c r="J72" i="14"/>
  <c r="E72" i="14"/>
  <c r="F72" i="14"/>
  <c r="AP72" i="14"/>
  <c r="S72" i="14"/>
  <c r="AR72" i="14"/>
  <c r="AO72" i="14"/>
  <c r="AS72" i="14"/>
  <c r="AA72" i="14"/>
  <c r="R72" i="14"/>
  <c r="Q72" i="14"/>
  <c r="P72" i="14"/>
  <c r="O72" i="14"/>
  <c r="N72" i="14"/>
  <c r="BS72" i="14"/>
  <c r="BT72" i="14"/>
  <c r="BP72" i="14"/>
  <c r="BR72" i="14"/>
  <c r="BU72" i="14"/>
  <c r="BQ72" i="14"/>
  <c r="AB72" i="14"/>
  <c r="X72" i="14"/>
  <c r="W72" i="14"/>
  <c r="Z72" i="14"/>
  <c r="Y72" i="14"/>
  <c r="BL73" i="14" l="1"/>
  <c r="BK73" i="14"/>
  <c r="CD73" i="14"/>
  <c r="BJ73" i="14"/>
  <c r="BI73" i="14"/>
  <c r="BG73" i="14"/>
  <c r="BH73" i="14"/>
  <c r="CB73" i="14"/>
  <c r="CC73" i="14"/>
  <c r="BZ73" i="14"/>
  <c r="CA73" i="14"/>
  <c r="BY73" i="14"/>
  <c r="AZ73" i="14"/>
  <c r="BC73" i="14"/>
  <c r="BA73" i="14"/>
  <c r="BB73" i="14"/>
  <c r="AY73" i="14"/>
  <c r="AX73" i="14"/>
  <c r="AT73" i="14"/>
  <c r="CM73" i="14"/>
  <c r="CJ73" i="14"/>
  <c r="CL73" i="14"/>
  <c r="CK73" i="14"/>
  <c r="CI73" i="14"/>
  <c r="CH73" i="14"/>
  <c r="AF73" i="14"/>
  <c r="AG73" i="14"/>
  <c r="AJ73" i="14"/>
  <c r="AI73" i="14"/>
  <c r="AK73" i="14"/>
  <c r="AH73" i="14"/>
  <c r="AQ73" i="14"/>
  <c r="I73" i="14"/>
  <c r="J73" i="14"/>
  <c r="G73" i="14"/>
  <c r="H73" i="14"/>
  <c r="F73" i="14"/>
  <c r="E73" i="14"/>
  <c r="AR73" i="14"/>
  <c r="AP73" i="14"/>
  <c r="AO73" i="14"/>
  <c r="AS73" i="14"/>
  <c r="N73" i="14"/>
  <c r="Q73" i="14"/>
  <c r="O73" i="14"/>
  <c r="S73" i="14"/>
  <c r="R73" i="14"/>
  <c r="P73" i="14"/>
  <c r="BU73" i="14"/>
  <c r="BS73" i="14"/>
  <c r="BQ73" i="14"/>
  <c r="BR73" i="14"/>
  <c r="BP73" i="14"/>
  <c r="BT73" i="14"/>
  <c r="Z73" i="14"/>
  <c r="X73" i="14"/>
  <c r="Y73" i="14"/>
  <c r="AB73" i="14"/>
  <c r="W73" i="14"/>
  <c r="AA73" i="14"/>
  <c r="BL74" i="14" l="1"/>
  <c r="CB74" i="14"/>
  <c r="BK74" i="14"/>
  <c r="BJ74" i="14"/>
  <c r="BG74" i="14"/>
  <c r="BH74" i="14"/>
  <c r="BI74" i="14"/>
  <c r="CA74" i="14"/>
  <c r="CC74" i="14"/>
  <c r="BY74" i="14"/>
  <c r="BZ74" i="14"/>
  <c r="CD74" i="14"/>
  <c r="AZ74" i="14"/>
  <c r="BC74" i="14"/>
  <c r="AT74" i="14"/>
  <c r="BB74" i="14"/>
  <c r="AY74" i="14"/>
  <c r="BA74" i="14"/>
  <c r="AX74" i="14"/>
  <c r="CM74" i="14"/>
  <c r="CJ74" i="14"/>
  <c r="CL74" i="14"/>
  <c r="CK74" i="14"/>
  <c r="CH74" i="14"/>
  <c r="CI74" i="14"/>
  <c r="AQ74" i="14"/>
  <c r="AK74" i="14"/>
  <c r="AI74" i="14"/>
  <c r="AJ74" i="14"/>
  <c r="AH74" i="14"/>
  <c r="AF74" i="14"/>
  <c r="AG74" i="14"/>
  <c r="J74" i="14"/>
  <c r="E74" i="14"/>
  <c r="AS74" i="14"/>
  <c r="F74" i="14"/>
  <c r="H74" i="14"/>
  <c r="I74" i="14"/>
  <c r="G74" i="14"/>
  <c r="AP74" i="14"/>
  <c r="AR74" i="14"/>
  <c r="AO74" i="14"/>
  <c r="R74" i="14"/>
  <c r="P74" i="14"/>
  <c r="S74" i="14"/>
  <c r="O74" i="14"/>
  <c r="Q74" i="14"/>
  <c r="N74" i="14"/>
  <c r="Z74" i="14"/>
  <c r="BP74" i="14"/>
  <c r="BR74" i="14"/>
  <c r="BU74" i="14"/>
  <c r="BQ74" i="14"/>
  <c r="BS74" i="14"/>
  <c r="BT74" i="14"/>
  <c r="Y74" i="14"/>
  <c r="AA74" i="14"/>
  <c r="AB74" i="14"/>
  <c r="W74" i="14"/>
  <c r="X74" i="14"/>
  <c r="CB75" i="14" l="1"/>
  <c r="BK75" i="14"/>
  <c r="BJ75" i="14"/>
  <c r="BG75" i="14"/>
  <c r="BL75" i="14"/>
  <c r="BI75" i="14"/>
  <c r="BH75" i="14"/>
  <c r="BY75" i="14"/>
  <c r="CD75" i="14"/>
  <c r="CA75" i="14"/>
  <c r="CC75" i="14"/>
  <c r="BZ75" i="14"/>
  <c r="BC75" i="14"/>
  <c r="AZ75" i="14"/>
  <c r="BB75" i="14"/>
  <c r="AT75" i="14"/>
  <c r="AY75" i="14"/>
  <c r="BA75" i="14"/>
  <c r="AX75" i="14"/>
  <c r="CM75" i="14"/>
  <c r="CL75" i="14"/>
  <c r="CK75" i="14"/>
  <c r="CI75" i="14"/>
  <c r="CJ75" i="14"/>
  <c r="CH75" i="14"/>
  <c r="AQ75" i="14"/>
  <c r="AF75" i="14"/>
  <c r="AI75" i="14"/>
  <c r="AG75" i="14"/>
  <c r="AJ75" i="14"/>
  <c r="AK75" i="14"/>
  <c r="AH75" i="14"/>
  <c r="AS75" i="14"/>
  <c r="J75" i="14"/>
  <c r="F75" i="14"/>
  <c r="G75" i="14"/>
  <c r="I75" i="14"/>
  <c r="H75" i="14"/>
  <c r="E75" i="14"/>
  <c r="AP75" i="14"/>
  <c r="AR75" i="14"/>
  <c r="AO75" i="14"/>
  <c r="O75" i="14"/>
  <c r="S75" i="14"/>
  <c r="BU75" i="14"/>
  <c r="N75" i="14"/>
  <c r="Q75" i="14"/>
  <c r="P75" i="14"/>
  <c r="R75" i="14"/>
  <c r="BT75" i="14"/>
  <c r="BS75" i="14"/>
  <c r="BQ75" i="14"/>
  <c r="BR75" i="14"/>
  <c r="BP75" i="14"/>
  <c r="AB75" i="14"/>
  <c r="AA75" i="14"/>
  <c r="X75" i="14"/>
  <c r="W75" i="14"/>
  <c r="Y75" i="14"/>
  <c r="Z75" i="14"/>
  <c r="CB76" i="14" l="1"/>
  <c r="BK76" i="14"/>
  <c r="BJ76" i="14"/>
  <c r="BL76" i="14"/>
  <c r="BH76" i="14"/>
  <c r="BG76" i="14"/>
  <c r="BI76" i="14"/>
  <c r="CA76" i="14"/>
  <c r="CD76" i="14"/>
  <c r="CC76" i="14"/>
  <c r="BY76" i="14"/>
  <c r="BZ76" i="14"/>
  <c r="BC76" i="14"/>
  <c r="AZ76" i="14"/>
  <c r="AY76" i="14"/>
  <c r="BA76" i="14"/>
  <c r="AT76" i="14"/>
  <c r="BB76" i="14"/>
  <c r="AX76" i="14"/>
  <c r="CI76" i="14"/>
  <c r="CH76" i="14"/>
  <c r="CJ76" i="14"/>
  <c r="CM76" i="14"/>
  <c r="CL76" i="14"/>
  <c r="CK76" i="14"/>
  <c r="AQ76" i="14"/>
  <c r="AF76" i="14"/>
  <c r="AH76" i="14"/>
  <c r="AK76" i="14"/>
  <c r="AJ76" i="14"/>
  <c r="AG76" i="14"/>
  <c r="AI76" i="14"/>
  <c r="AR76" i="14"/>
  <c r="H76" i="14"/>
  <c r="G76" i="14"/>
  <c r="Q76" i="14"/>
  <c r="E76" i="14"/>
  <c r="F76" i="14"/>
  <c r="I76" i="14"/>
  <c r="J76" i="14"/>
  <c r="AS76" i="14"/>
  <c r="AO76" i="14"/>
  <c r="AP76" i="14"/>
  <c r="O76" i="14"/>
  <c r="R76" i="14"/>
  <c r="S76" i="14"/>
  <c r="P76" i="14"/>
  <c r="N76" i="14"/>
  <c r="BP76" i="14"/>
  <c r="BU76" i="14"/>
  <c r="BR76" i="14"/>
  <c r="BQ76" i="14"/>
  <c r="BS76" i="14"/>
  <c r="BT76" i="14"/>
  <c r="Y76" i="14"/>
  <c r="X76" i="14"/>
  <c r="AA76" i="14"/>
  <c r="AB76" i="14"/>
  <c r="Z76" i="14"/>
  <c r="W76" i="14"/>
  <c r="BK77" i="14" l="1"/>
  <c r="BJ77" i="14"/>
  <c r="BL77" i="14"/>
  <c r="BH77" i="14"/>
  <c r="BI77" i="14"/>
  <c r="BG77" i="14"/>
  <c r="CD77" i="14"/>
  <c r="CA77" i="14"/>
  <c r="CC77" i="14"/>
  <c r="BZ77" i="14"/>
  <c r="BY77" i="14"/>
  <c r="CB77" i="14"/>
  <c r="BC77" i="14"/>
  <c r="AZ77" i="14"/>
  <c r="AT77" i="14"/>
  <c r="AX77" i="14"/>
  <c r="BA77" i="14"/>
  <c r="AY77" i="14"/>
  <c r="BB77" i="14"/>
  <c r="Q77" i="14"/>
  <c r="CJ77" i="14"/>
  <c r="CK77" i="14"/>
  <c r="CM77" i="14"/>
  <c r="CL77" i="14"/>
  <c r="CH77" i="14"/>
  <c r="CI77" i="14"/>
  <c r="AS77" i="14"/>
  <c r="AK77" i="14"/>
  <c r="AI77" i="14"/>
  <c r="AH77" i="14"/>
  <c r="AG77" i="14"/>
  <c r="AJ77" i="14"/>
  <c r="AF77" i="14"/>
  <c r="J77" i="14"/>
  <c r="I77" i="14"/>
  <c r="AP77" i="14"/>
  <c r="AO77" i="14"/>
  <c r="AR77" i="14"/>
  <c r="AQ77" i="14"/>
  <c r="F77" i="14"/>
  <c r="G77" i="14"/>
  <c r="H77" i="14"/>
  <c r="E77" i="14"/>
  <c r="P77" i="14"/>
  <c r="N77" i="14"/>
  <c r="S77" i="14"/>
  <c r="R77" i="14"/>
  <c r="O77" i="14"/>
  <c r="BT77" i="14"/>
  <c r="AB77" i="14"/>
  <c r="BU77" i="14"/>
  <c r="BS77" i="14"/>
  <c r="BQ77" i="14"/>
  <c r="BR77" i="14"/>
  <c r="BP77" i="14"/>
  <c r="Y77" i="14"/>
  <c r="AA77" i="14"/>
  <c r="X77" i="14"/>
  <c r="W77" i="14"/>
  <c r="Z77" i="14"/>
  <c r="BJ78" i="14" l="1"/>
  <c r="CD78" i="14"/>
  <c r="BG78" i="14"/>
  <c r="BL78" i="14"/>
  <c r="BK78" i="14"/>
  <c r="BI78" i="14"/>
  <c r="BH78" i="14"/>
  <c r="CC78" i="14"/>
  <c r="CB78" i="14"/>
  <c r="BZ78" i="14"/>
  <c r="BY78" i="14"/>
  <c r="CA78" i="14"/>
  <c r="BC78" i="14"/>
  <c r="AZ78" i="14"/>
  <c r="AY78" i="14"/>
  <c r="BB78" i="14"/>
  <c r="BA78" i="14"/>
  <c r="AX78" i="14"/>
  <c r="CJ78" i="14"/>
  <c r="CL78" i="14"/>
  <c r="CM78" i="14"/>
  <c r="CH78" i="14"/>
  <c r="CK78" i="14"/>
  <c r="CI78" i="14"/>
  <c r="AK78" i="14"/>
  <c r="AF78" i="14"/>
  <c r="AJ78" i="14"/>
  <c r="AG78" i="14"/>
  <c r="AH78" i="14"/>
  <c r="AI78" i="14"/>
  <c r="AQ78" i="14"/>
  <c r="AP78" i="14"/>
  <c r="AT78" i="14"/>
  <c r="AS78" i="14"/>
  <c r="AO78" i="14"/>
  <c r="AR78" i="14"/>
  <c r="H78" i="14"/>
  <c r="G78" i="14"/>
  <c r="E78" i="14"/>
  <c r="F78" i="14"/>
  <c r="I78" i="14"/>
  <c r="J78" i="14"/>
  <c r="R78" i="14"/>
  <c r="S78" i="14"/>
  <c r="Q78" i="14"/>
  <c r="N78" i="14"/>
  <c r="O78" i="14"/>
  <c r="P78" i="14"/>
  <c r="BR78" i="14"/>
  <c r="BU78" i="14"/>
  <c r="BP78" i="14"/>
  <c r="AB78" i="14"/>
  <c r="BQ78" i="14"/>
  <c r="BS78" i="14"/>
  <c r="BT78" i="14"/>
  <c r="Z78" i="14"/>
  <c r="W78" i="14"/>
  <c r="Y78" i="14"/>
  <c r="AA78" i="14"/>
  <c r="X78" i="14"/>
  <c r="BL79" i="14" l="1"/>
  <c r="BI79" i="14"/>
  <c r="BK79" i="14"/>
  <c r="BH79" i="14"/>
  <c r="BG79" i="14"/>
  <c r="BJ79" i="14"/>
  <c r="CB79" i="14"/>
  <c r="CC79" i="14"/>
  <c r="BZ79" i="14"/>
  <c r="BY79" i="14"/>
  <c r="CD79" i="14"/>
  <c r="CA79" i="14"/>
  <c r="BC79" i="14"/>
  <c r="AZ79" i="14"/>
  <c r="AY79" i="14"/>
  <c r="BA79" i="14"/>
  <c r="AX79" i="14"/>
  <c r="BB79" i="14"/>
  <c r="CM79" i="14"/>
  <c r="CK79" i="14"/>
  <c r="CH79" i="14"/>
  <c r="CI79" i="14"/>
  <c r="CJ79" i="14"/>
  <c r="CL79" i="14"/>
  <c r="AI79" i="14"/>
  <c r="AJ79" i="14"/>
  <c r="AF79" i="14"/>
  <c r="AH79" i="14"/>
  <c r="AK79" i="14"/>
  <c r="AG79" i="14"/>
  <c r="J79" i="14"/>
  <c r="AQ79" i="14"/>
  <c r="AR79" i="14"/>
  <c r="AP79" i="14"/>
  <c r="AS79" i="14"/>
  <c r="AT79" i="14"/>
  <c r="AO79" i="14"/>
  <c r="I79" i="14"/>
  <c r="F79" i="14"/>
  <c r="G79" i="14"/>
  <c r="H79" i="14"/>
  <c r="E79" i="14"/>
  <c r="R79" i="14"/>
  <c r="BU79" i="14"/>
  <c r="S79" i="14"/>
  <c r="Z79" i="14"/>
  <c r="P79" i="14"/>
  <c r="O79" i="14"/>
  <c r="N79" i="14"/>
  <c r="Q79" i="14"/>
  <c r="AB79" i="14"/>
  <c r="BS79" i="14"/>
  <c r="BT79" i="14"/>
  <c r="BR79" i="14"/>
  <c r="BQ79" i="14"/>
  <c r="BP79" i="14"/>
  <c r="AA79" i="14"/>
  <c r="Y79" i="14"/>
  <c r="X79" i="14"/>
  <c r="W79" i="14"/>
  <c r="AG12" i="14" l="1"/>
  <c r="AG5" i="14"/>
  <c r="AG13" i="14"/>
  <c r="AG6" i="14"/>
  <c r="AG7" i="14"/>
  <c r="AG11" i="14"/>
  <c r="AG10" i="14"/>
  <c r="AG9" i="14"/>
  <c r="AG8" i="14"/>
  <c r="AG14" i="14"/>
  <c r="BL80" i="14"/>
  <c r="BK80" i="14"/>
  <c r="BG80" i="14"/>
  <c r="BH80" i="14"/>
  <c r="BI80" i="14"/>
  <c r="BJ80" i="14"/>
  <c r="BY80" i="14"/>
  <c r="CA80" i="14"/>
  <c r="CC80" i="14"/>
  <c r="BZ80" i="14"/>
  <c r="CB80" i="14"/>
  <c r="CD80" i="14"/>
  <c r="BA80" i="14"/>
  <c r="BC80" i="14"/>
  <c r="AZ80" i="14"/>
  <c r="AY80" i="14"/>
  <c r="AX80" i="14"/>
  <c r="BB80" i="14"/>
  <c r="CL80" i="14"/>
  <c r="CH80" i="14"/>
  <c r="CM80" i="14"/>
  <c r="CJ80" i="14"/>
  <c r="CK80" i="14"/>
  <c r="CI80" i="14"/>
  <c r="AQ80" i="14"/>
  <c r="AF80" i="14"/>
  <c r="AJ80" i="14"/>
  <c r="AG80" i="14"/>
  <c r="AK80" i="14"/>
  <c r="AH80" i="14"/>
  <c r="AI80" i="14"/>
  <c r="AS80" i="14"/>
  <c r="AR80" i="14"/>
  <c r="AT80" i="14"/>
  <c r="AO80" i="14"/>
  <c r="AP80" i="14"/>
  <c r="H80" i="14"/>
  <c r="E80" i="14"/>
  <c r="G80" i="14"/>
  <c r="F80" i="14"/>
  <c r="I80" i="14"/>
  <c r="J80" i="14"/>
  <c r="Z80" i="14"/>
  <c r="O80" i="14"/>
  <c r="Q80" i="14"/>
  <c r="N80" i="14"/>
  <c r="P80" i="14"/>
  <c r="S80" i="14"/>
  <c r="R80" i="14"/>
  <c r="Y80" i="14"/>
  <c r="BP80" i="14"/>
  <c r="BQ80" i="14"/>
  <c r="BR80" i="14"/>
  <c r="BU80" i="14"/>
  <c r="BS80" i="14"/>
  <c r="BT80" i="14"/>
  <c r="AA80" i="14"/>
  <c r="W80" i="14"/>
  <c r="AB80" i="14"/>
  <c r="X80" i="14"/>
  <c r="BL81" i="14" l="1"/>
  <c r="BJ81" i="14"/>
  <c r="CD81" i="14"/>
  <c r="BZ81" i="14"/>
  <c r="CC81" i="14"/>
  <c r="BI81" i="14"/>
  <c r="BG81" i="14"/>
  <c r="BH81" i="14"/>
  <c r="BK81" i="14"/>
  <c r="BY81" i="14"/>
  <c r="CA81" i="14"/>
  <c r="CB81" i="14"/>
  <c r="BA81" i="14"/>
  <c r="BC81" i="14"/>
  <c r="BB81" i="14"/>
  <c r="AZ81" i="14"/>
  <c r="AY81" i="14"/>
  <c r="AX81" i="14"/>
  <c r="CM81" i="14"/>
  <c r="CI81" i="14"/>
  <c r="CK81" i="14"/>
  <c r="CJ81" i="14"/>
  <c r="CH81" i="14"/>
  <c r="CL81" i="14"/>
  <c r="AQ81" i="14"/>
  <c r="AT81" i="14"/>
  <c r="AK81" i="14"/>
  <c r="AI81" i="14"/>
  <c r="AJ81" i="14"/>
  <c r="AH81" i="14"/>
  <c r="AF81" i="14"/>
  <c r="AG81" i="14"/>
  <c r="AS81" i="14"/>
  <c r="AO81" i="14"/>
  <c r="AR81" i="14"/>
  <c r="AP81" i="14"/>
  <c r="J81" i="14"/>
  <c r="I81" i="14"/>
  <c r="F81" i="14"/>
  <c r="G81" i="14"/>
  <c r="H81" i="14"/>
  <c r="E81" i="14"/>
  <c r="BS81" i="14"/>
  <c r="AA81" i="14"/>
  <c r="BR81" i="14"/>
  <c r="R81" i="14"/>
  <c r="Z81" i="14"/>
  <c r="AB81" i="14"/>
  <c r="Q81" i="14"/>
  <c r="S81" i="14"/>
  <c r="P81" i="14"/>
  <c r="N81" i="14"/>
  <c r="O81" i="14"/>
  <c r="X81" i="14"/>
  <c r="Y81" i="14"/>
  <c r="BU81" i="14"/>
  <c r="BT81" i="14"/>
  <c r="BQ81" i="14"/>
  <c r="BP81" i="14"/>
  <c r="W81" i="14"/>
  <c r="BL82" i="14" l="1"/>
  <c r="BJ82" i="14"/>
  <c r="BK82" i="14"/>
  <c r="BI82" i="14"/>
  <c r="BH82" i="14"/>
  <c r="BG82" i="14"/>
  <c r="CA82" i="14"/>
  <c r="CC82" i="14"/>
  <c r="CD82" i="14"/>
  <c r="BY82" i="14"/>
  <c r="CB82" i="14"/>
  <c r="BZ82" i="14"/>
  <c r="BC82" i="14"/>
  <c r="BA82" i="14"/>
  <c r="AZ82" i="14"/>
  <c r="AX82" i="14"/>
  <c r="AY82" i="14"/>
  <c r="BB82" i="14"/>
  <c r="CM82" i="14"/>
  <c r="CK82" i="14"/>
  <c r="CJ82" i="14"/>
  <c r="CL82" i="14"/>
  <c r="CH82" i="14"/>
  <c r="CI82" i="14"/>
  <c r="AQ82" i="14"/>
  <c r="AT82" i="14"/>
  <c r="AS82" i="14"/>
  <c r="AG82" i="14"/>
  <c r="AF82" i="14"/>
  <c r="AH82" i="14"/>
  <c r="AK82" i="14"/>
  <c r="AJ82" i="14"/>
  <c r="AI82" i="14"/>
  <c r="AP82" i="14"/>
  <c r="AO82" i="14"/>
  <c r="AR82" i="14"/>
  <c r="H82" i="14"/>
  <c r="G82" i="14"/>
  <c r="E82" i="14"/>
  <c r="I82" i="14"/>
  <c r="F82" i="14"/>
  <c r="J82" i="14"/>
  <c r="AA82" i="14"/>
  <c r="BU82" i="14"/>
  <c r="BT82" i="14"/>
  <c r="Z82" i="14"/>
  <c r="N82" i="14"/>
  <c r="Q82" i="14"/>
  <c r="O82" i="14"/>
  <c r="S82" i="14"/>
  <c r="P82" i="14"/>
  <c r="R82" i="14"/>
  <c r="AB82" i="14"/>
  <c r="Y82" i="14"/>
  <c r="W82" i="14"/>
  <c r="BQ82" i="14"/>
  <c r="BS82" i="14"/>
  <c r="BR82" i="14"/>
  <c r="BP82" i="14"/>
  <c r="X82" i="14"/>
  <c r="BL83" i="14" l="1"/>
  <c r="BI83" i="14"/>
  <c r="BJ83" i="14"/>
  <c r="CA83" i="14"/>
  <c r="BK83" i="14"/>
  <c r="BG83" i="14"/>
  <c r="BH83" i="14"/>
  <c r="CD83" i="14"/>
  <c r="BZ83" i="14"/>
  <c r="CB83" i="14"/>
  <c r="CC83" i="14"/>
  <c r="BY83" i="14"/>
  <c r="BC83" i="14"/>
  <c r="BA83" i="14"/>
  <c r="AZ83" i="14"/>
  <c r="BB83" i="14"/>
  <c r="AY83" i="14"/>
  <c r="AX83" i="14"/>
  <c r="CM83" i="14"/>
  <c r="CK83" i="14"/>
  <c r="CL83" i="14"/>
  <c r="CI83" i="14"/>
  <c r="CJ83" i="14"/>
  <c r="CH83" i="14"/>
  <c r="AQ83" i="14"/>
  <c r="AT83" i="14"/>
  <c r="AS83" i="14"/>
  <c r="AI83" i="14"/>
  <c r="AH83" i="14"/>
  <c r="AF83" i="14"/>
  <c r="AJ83" i="14"/>
  <c r="AK83" i="14"/>
  <c r="AG83" i="14"/>
  <c r="AR83" i="14"/>
  <c r="AP83" i="14"/>
  <c r="AO83" i="14"/>
  <c r="J83" i="14"/>
  <c r="G83" i="14"/>
  <c r="I83" i="14"/>
  <c r="F83" i="14"/>
  <c r="E83" i="14"/>
  <c r="H83" i="14"/>
  <c r="AA83" i="14"/>
  <c r="BS83" i="14"/>
  <c r="R83" i="14"/>
  <c r="S83" i="14"/>
  <c r="AB83" i="14"/>
  <c r="N83" i="14"/>
  <c r="P83" i="14"/>
  <c r="Q83" i="14"/>
  <c r="O83" i="14"/>
  <c r="X83" i="14"/>
  <c r="BP83" i="14"/>
  <c r="BR83" i="14"/>
  <c r="BU83" i="14"/>
  <c r="Y83" i="14"/>
  <c r="W83" i="14"/>
  <c r="Z83" i="14"/>
  <c r="BT83" i="14"/>
  <c r="BQ83" i="14"/>
  <c r="BI84" i="14" l="1"/>
  <c r="BL84" i="14"/>
  <c r="BJ84" i="14"/>
  <c r="BK84" i="14"/>
  <c r="CD84" i="14"/>
  <c r="BH84" i="14"/>
  <c r="BG84" i="14"/>
  <c r="CC84" i="14"/>
  <c r="BZ84" i="14"/>
  <c r="CB84" i="14"/>
  <c r="BY84" i="14"/>
  <c r="CA84" i="14"/>
  <c r="AZ84" i="14"/>
  <c r="BC84" i="14"/>
  <c r="BB84" i="14"/>
  <c r="BA84" i="14"/>
  <c r="AY84" i="14"/>
  <c r="AX84" i="14"/>
  <c r="AT84" i="14"/>
  <c r="CH84" i="14"/>
  <c r="CM84" i="14"/>
  <c r="CJ84" i="14"/>
  <c r="CI84" i="14"/>
  <c r="CK84" i="14"/>
  <c r="CL84" i="14"/>
  <c r="AQ84" i="14"/>
  <c r="AS84" i="14"/>
  <c r="AJ84" i="14"/>
  <c r="AK84" i="14"/>
  <c r="AI84" i="14"/>
  <c r="AG84" i="14"/>
  <c r="AF84" i="14"/>
  <c r="AH84" i="14"/>
  <c r="AO84" i="14"/>
  <c r="AR84" i="14"/>
  <c r="AP84" i="14"/>
  <c r="J84" i="14"/>
  <c r="G84" i="14"/>
  <c r="E84" i="14"/>
  <c r="F84" i="14"/>
  <c r="H84" i="14"/>
  <c r="I84" i="14"/>
  <c r="Z84" i="14"/>
  <c r="R84" i="14"/>
  <c r="AB84" i="14"/>
  <c r="Q84" i="14"/>
  <c r="O84" i="14"/>
  <c r="W84" i="14"/>
  <c r="P84" i="14"/>
  <c r="S84" i="14"/>
  <c r="N84" i="14"/>
  <c r="BQ84" i="14"/>
  <c r="BU84" i="14"/>
  <c r="AA84" i="14"/>
  <c r="X84" i="14"/>
  <c r="Y84" i="14"/>
  <c r="BS84" i="14"/>
  <c r="BR84" i="14"/>
  <c r="BT84" i="14"/>
  <c r="BP84" i="14"/>
  <c r="BL85" i="14" l="1"/>
  <c r="BI85" i="14"/>
  <c r="CD85" i="14"/>
  <c r="BJ85" i="14"/>
  <c r="BH85" i="14"/>
  <c r="BK85" i="14"/>
  <c r="BG85" i="14"/>
  <c r="CB85" i="14"/>
  <c r="BY85" i="14"/>
  <c r="CA85" i="14"/>
  <c r="BZ85" i="14"/>
  <c r="CC85" i="14"/>
  <c r="BC85" i="14"/>
  <c r="BB85" i="14"/>
  <c r="BA85" i="14"/>
  <c r="AY85" i="14"/>
  <c r="AX85" i="14"/>
  <c r="AZ85" i="14"/>
  <c r="AT85" i="14"/>
  <c r="CL85" i="14"/>
  <c r="CK85" i="14"/>
  <c r="CI85" i="14"/>
  <c r="CM85" i="14"/>
  <c r="CJ85" i="14"/>
  <c r="CH85" i="14"/>
  <c r="AQ85" i="14"/>
  <c r="AS85" i="14"/>
  <c r="AP85" i="14"/>
  <c r="AO85" i="14"/>
  <c r="AF85" i="14"/>
  <c r="AH85" i="14"/>
  <c r="AK85" i="14"/>
  <c r="AG85" i="14"/>
  <c r="AI85" i="14"/>
  <c r="AJ85" i="14"/>
  <c r="AR85" i="14"/>
  <c r="BU85" i="14"/>
  <c r="J85" i="14"/>
  <c r="G85" i="14"/>
  <c r="H85" i="14"/>
  <c r="I85" i="14"/>
  <c r="F85" i="14"/>
  <c r="E85" i="14"/>
  <c r="P85" i="14"/>
  <c r="N85" i="14"/>
  <c r="AA85" i="14"/>
  <c r="S85" i="14"/>
  <c r="W85" i="14"/>
  <c r="O85" i="14"/>
  <c r="Q85" i="14"/>
  <c r="R85" i="14"/>
  <c r="AB85" i="14"/>
  <c r="BS85" i="14"/>
  <c r="X85" i="14"/>
  <c r="Y85" i="14"/>
  <c r="Z85" i="14"/>
  <c r="BT85" i="14"/>
  <c r="BR85" i="14"/>
  <c r="BQ85" i="14"/>
  <c r="BP85" i="14"/>
  <c r="AC7" i="14"/>
  <c r="AC5" i="14"/>
  <c r="AC6" i="14"/>
  <c r="AC9" i="14"/>
  <c r="AC12" i="14"/>
  <c r="AC14" i="14"/>
  <c r="AC10" i="14"/>
  <c r="AC8" i="14"/>
  <c r="AC11" i="14"/>
  <c r="AC13" i="14"/>
  <c r="Y6" i="14"/>
  <c r="Y14" i="14"/>
  <c r="Y12" i="14"/>
  <c r="Y5" i="14"/>
  <c r="Y9" i="14"/>
  <c r="Y8" i="14"/>
  <c r="Y10" i="14"/>
  <c r="Y11" i="14"/>
  <c r="Y7" i="14"/>
  <c r="Y13" i="14"/>
  <c r="R12" i="14"/>
  <c r="U6" i="14"/>
  <c r="U7" i="14"/>
  <c r="R7" i="14"/>
  <c r="Q12" i="14"/>
  <c r="U10" i="14"/>
  <c r="U14" i="14"/>
  <c r="R14" i="14"/>
  <c r="R11" i="14"/>
  <c r="R5" i="14"/>
  <c r="U5" i="14"/>
  <c r="R9" i="14"/>
  <c r="U9" i="14"/>
  <c r="U11" i="14"/>
  <c r="U13" i="14"/>
  <c r="R10" i="14"/>
  <c r="U8" i="14"/>
  <c r="Q8" i="14"/>
  <c r="U12" i="14"/>
  <c r="R6" i="14"/>
  <c r="R8" i="14"/>
  <c r="Q9" i="14"/>
  <c r="Q6" i="14"/>
  <c r="R13" i="14"/>
  <c r="Q14" i="14"/>
  <c r="Q10" i="14"/>
  <c r="Q13" i="14"/>
  <c r="Q11" i="14"/>
  <c r="Q5" i="14"/>
  <c r="Q7" i="14"/>
  <c r="BL86" i="14" l="1"/>
  <c r="BI86" i="14"/>
  <c r="CD86" i="14"/>
  <c r="BJ86" i="14"/>
  <c r="BK86" i="14"/>
  <c r="BH86" i="14"/>
  <c r="BG86" i="14"/>
  <c r="CB86" i="14"/>
  <c r="CA86" i="14"/>
  <c r="CC86" i="14"/>
  <c r="BZ86" i="14"/>
  <c r="BY86" i="14"/>
  <c r="BC86" i="14"/>
  <c r="BB86" i="14"/>
  <c r="BA86" i="14"/>
  <c r="AZ86" i="14"/>
  <c r="AY86" i="14"/>
  <c r="AX86" i="14"/>
  <c r="AQ86" i="14"/>
  <c r="AT86" i="14"/>
  <c r="CM86" i="14"/>
  <c r="CI86" i="14"/>
  <c r="CH86" i="14"/>
  <c r="CJ86" i="14"/>
  <c r="CK86" i="14"/>
  <c r="CL86" i="14"/>
  <c r="AO86" i="14"/>
  <c r="AS86" i="14"/>
  <c r="AP86" i="14"/>
  <c r="AR86" i="14"/>
  <c r="AK86" i="14"/>
  <c r="AG86" i="14"/>
  <c r="AJ86" i="14"/>
  <c r="AI86" i="14"/>
  <c r="AH86" i="14"/>
  <c r="AF86" i="14"/>
  <c r="J86" i="14"/>
  <c r="I86" i="14"/>
  <c r="E86" i="14"/>
  <c r="F86" i="14"/>
  <c r="H86" i="14"/>
  <c r="G86" i="14"/>
  <c r="S86" i="14"/>
  <c r="AB86" i="14"/>
  <c r="AA86" i="14"/>
  <c r="BR86" i="14"/>
  <c r="R86" i="14"/>
  <c r="Q86" i="14"/>
  <c r="N86" i="14"/>
  <c r="O86" i="14"/>
  <c r="Y86" i="14"/>
  <c r="P86" i="14"/>
  <c r="W86" i="14"/>
  <c r="Z86" i="14"/>
  <c r="X86" i="14"/>
  <c r="BQ86" i="14"/>
  <c r="BP86" i="14"/>
  <c r="BS86" i="14"/>
  <c r="BT86" i="14"/>
  <c r="BU86" i="14"/>
  <c r="S13" i="14"/>
  <c r="S9" i="14"/>
  <c r="S11" i="14"/>
  <c r="S8" i="14"/>
  <c r="S6" i="14"/>
  <c r="S5" i="14"/>
  <c r="S10" i="14"/>
  <c r="S14" i="14"/>
  <c r="S12" i="14"/>
  <c r="S7" i="14"/>
  <c r="O14" i="14" l="1"/>
  <c r="BL87" i="14"/>
  <c r="BJ87" i="14"/>
  <c r="BI87" i="14"/>
  <c r="CD87" i="14"/>
  <c r="BK87" i="14"/>
  <c r="BG87" i="14"/>
  <c r="BH87" i="14"/>
  <c r="CA87" i="14"/>
  <c r="CB87" i="14"/>
  <c r="BZ87" i="14"/>
  <c r="BY87" i="14"/>
  <c r="CC87" i="14"/>
  <c r="BC87" i="14"/>
  <c r="AZ87" i="14"/>
  <c r="AY87" i="14"/>
  <c r="AX87" i="14"/>
  <c r="BA87" i="14"/>
  <c r="BB87" i="14"/>
  <c r="O10" i="14"/>
  <c r="O11" i="14"/>
  <c r="O9" i="14"/>
  <c r="O8" i="14"/>
  <c r="O12" i="14"/>
  <c r="O7" i="14"/>
  <c r="O13" i="14"/>
  <c r="O6" i="14"/>
  <c r="O5" i="14"/>
  <c r="AT87" i="14"/>
  <c r="AS87" i="14"/>
  <c r="AO87" i="14"/>
  <c r="AQ87" i="14"/>
  <c r="AP87" i="14"/>
  <c r="CL87" i="14"/>
  <c r="CM87" i="14"/>
  <c r="CK87" i="14"/>
  <c r="CJ87" i="14"/>
  <c r="CH87" i="14"/>
  <c r="CI87" i="14"/>
  <c r="AR87" i="14"/>
  <c r="AI87" i="14"/>
  <c r="AF87" i="14"/>
  <c r="AG87" i="14"/>
  <c r="AK87" i="14"/>
  <c r="AH87" i="14"/>
  <c r="AJ87" i="14"/>
  <c r="E87" i="14"/>
  <c r="G87" i="14"/>
  <c r="H87" i="14"/>
  <c r="BU87" i="14"/>
  <c r="I87" i="14"/>
  <c r="F87" i="14"/>
  <c r="J87" i="14"/>
  <c r="BR87" i="14"/>
  <c r="X87" i="14"/>
  <c r="AA87" i="14"/>
  <c r="Z87" i="14"/>
  <c r="AB87" i="14"/>
  <c r="W87" i="14"/>
  <c r="P87" i="14"/>
  <c r="Q87" i="14"/>
  <c r="O87" i="14"/>
  <c r="N87" i="14"/>
  <c r="BT87" i="14"/>
  <c r="R87" i="14"/>
  <c r="Y87" i="14"/>
  <c r="S87" i="14"/>
  <c r="BS87" i="14"/>
  <c r="BP87" i="14"/>
  <c r="BQ87" i="14"/>
  <c r="Z4" i="8" l="1"/>
  <c r="Z5" i="8"/>
  <c r="Z7" i="8"/>
  <c r="BK88" i="14"/>
  <c r="BL88" i="14"/>
  <c r="CD88" i="14"/>
  <c r="BG88" i="14"/>
  <c r="BH88" i="14"/>
  <c r="BJ88" i="14"/>
  <c r="BI88" i="14"/>
  <c r="CB88" i="14"/>
  <c r="BY88" i="14"/>
  <c r="CC88" i="14"/>
  <c r="CA88" i="14"/>
  <c r="BZ88" i="14"/>
  <c r="BC88" i="14"/>
  <c r="BA88" i="14"/>
  <c r="AY88" i="14"/>
  <c r="AZ88" i="14"/>
  <c r="AX88" i="14"/>
  <c r="BB88" i="14"/>
  <c r="AO88" i="14"/>
  <c r="AT88" i="14"/>
  <c r="AQ88" i="14"/>
  <c r="AP88" i="14"/>
  <c r="AR88" i="14"/>
  <c r="AS88" i="14"/>
  <c r="CM88" i="14"/>
  <c r="CK88" i="14"/>
  <c r="CL88" i="14"/>
  <c r="CJ88" i="14"/>
  <c r="CI88" i="14"/>
  <c r="CH88" i="14"/>
  <c r="AK88" i="14"/>
  <c r="AJ88" i="14"/>
  <c r="AH88" i="14"/>
  <c r="AI88" i="14"/>
  <c r="AG88" i="14"/>
  <c r="AF88" i="14"/>
  <c r="BU88" i="14"/>
  <c r="E88" i="14"/>
  <c r="J88" i="14"/>
  <c r="I88" i="14"/>
  <c r="S88" i="14"/>
  <c r="H88" i="14"/>
  <c r="F88" i="14"/>
  <c r="G88" i="14"/>
  <c r="AB88" i="14"/>
  <c r="Z88" i="14"/>
  <c r="R88" i="14"/>
  <c r="X88" i="14"/>
  <c r="AA88" i="14"/>
  <c r="Y88" i="14"/>
  <c r="N88" i="14"/>
  <c r="O88" i="14"/>
  <c r="W88" i="14"/>
  <c r="Q88" i="14"/>
  <c r="BT88" i="14"/>
  <c r="P88" i="14"/>
  <c r="BR88" i="14"/>
  <c r="BQ88" i="14"/>
  <c r="BP88" i="14"/>
  <c r="BS88" i="14"/>
  <c r="C2" i="56" l="1"/>
  <c r="C5" i="56"/>
  <c r="BL89" i="14"/>
  <c r="K3" i="6"/>
  <c r="AA5" i="8"/>
  <c r="L3" i="6" s="1"/>
  <c r="K2" i="6"/>
  <c r="AA4" i="8"/>
  <c r="L2" i="6" s="1"/>
  <c r="K5" i="6"/>
  <c r="AA7" i="8"/>
  <c r="L5" i="6" s="1"/>
  <c r="Z3" i="8"/>
  <c r="AA3" i="8" s="1"/>
  <c r="BJ89" i="14"/>
  <c r="BH89" i="14"/>
  <c r="BG89" i="14"/>
  <c r="BI89" i="14"/>
  <c r="BK89" i="14"/>
  <c r="CC89" i="14"/>
  <c r="CA89" i="14"/>
  <c r="CD89" i="14"/>
  <c r="CB89" i="14"/>
  <c r="BZ89" i="14"/>
  <c r="BY89" i="14"/>
  <c r="BC89" i="14"/>
  <c r="BA89" i="14"/>
  <c r="AZ89" i="14"/>
  <c r="BB89" i="14"/>
  <c r="AY89" i="14"/>
  <c r="AX89" i="14"/>
  <c r="AT89" i="14"/>
  <c r="AS89" i="14"/>
  <c r="AQ89" i="14"/>
  <c r="AO89" i="14"/>
  <c r="AR89" i="14"/>
  <c r="AP89" i="14"/>
  <c r="CL89" i="14"/>
  <c r="CK89" i="14"/>
  <c r="CJ89" i="14"/>
  <c r="CM89" i="14"/>
  <c r="CI89" i="14"/>
  <c r="CH89" i="14"/>
  <c r="AI89" i="14"/>
  <c r="AF89" i="14"/>
  <c r="AG89" i="14"/>
  <c r="AH89" i="14"/>
  <c r="AK89" i="14"/>
  <c r="AJ89" i="14"/>
  <c r="J89" i="14"/>
  <c r="F89" i="14"/>
  <c r="E89" i="14"/>
  <c r="I89" i="14"/>
  <c r="H89" i="14"/>
  <c r="G89" i="14"/>
  <c r="Z89" i="14"/>
  <c r="Y89" i="14"/>
  <c r="W89" i="14"/>
  <c r="AB89" i="14"/>
  <c r="AA89" i="14"/>
  <c r="X89" i="14"/>
  <c r="Q89" i="14"/>
  <c r="R89" i="14"/>
  <c r="O89" i="14"/>
  <c r="N89" i="14"/>
  <c r="P89" i="14"/>
  <c r="S89" i="14"/>
  <c r="BS89" i="14"/>
  <c r="BT89" i="14"/>
  <c r="BP89" i="14"/>
  <c r="BQ89" i="14"/>
  <c r="BR89" i="14"/>
  <c r="BU89" i="14"/>
  <c r="F30" i="8" l="1"/>
  <c r="D5" i="56"/>
  <c r="E28" i="8"/>
  <c r="C3" i="56"/>
  <c r="F27" i="8"/>
  <c r="D2" i="56"/>
  <c r="D30" i="8"/>
  <c r="D28" i="8"/>
  <c r="E30" i="8"/>
  <c r="E27" i="8"/>
  <c r="BJ90" i="14"/>
  <c r="BL90" i="14"/>
  <c r="BI90" i="14"/>
  <c r="BK90" i="14"/>
  <c r="BH90" i="14"/>
  <c r="BG90" i="14"/>
  <c r="CD90" i="14"/>
  <c r="CA90" i="14"/>
  <c r="CC90" i="14"/>
  <c r="BY90" i="14"/>
  <c r="CB90" i="14"/>
  <c r="BZ90" i="14"/>
  <c r="BC90" i="14"/>
  <c r="AZ90" i="14"/>
  <c r="BB90" i="14"/>
  <c r="BA90" i="14"/>
  <c r="AY90" i="14"/>
  <c r="AX90" i="14"/>
  <c r="AS90" i="14"/>
  <c r="AT90" i="14"/>
  <c r="AQ90" i="14"/>
  <c r="AR90" i="14"/>
  <c r="AO90" i="14"/>
  <c r="AP90" i="14"/>
  <c r="CL90" i="14"/>
  <c r="CK90" i="14"/>
  <c r="CH90" i="14"/>
  <c r="CM90" i="14"/>
  <c r="CI90" i="14"/>
  <c r="CJ90" i="14"/>
  <c r="AH90" i="14"/>
  <c r="AJ90" i="14"/>
  <c r="AK90" i="14"/>
  <c r="AI90" i="14"/>
  <c r="AG90" i="14"/>
  <c r="AF90" i="14"/>
  <c r="J90" i="14"/>
  <c r="E90" i="14"/>
  <c r="H90" i="14"/>
  <c r="F90" i="14"/>
  <c r="G90" i="14"/>
  <c r="I90" i="14"/>
  <c r="AB90" i="14"/>
  <c r="Y90" i="14"/>
  <c r="AA90" i="14"/>
  <c r="Z90" i="14"/>
  <c r="X90" i="14"/>
  <c r="W90" i="14"/>
  <c r="BU90" i="14"/>
  <c r="P90" i="14"/>
  <c r="N90" i="14"/>
  <c r="Q90" i="14"/>
  <c r="O90" i="14"/>
  <c r="R90" i="14"/>
  <c r="S90" i="14"/>
  <c r="BQ90" i="14"/>
  <c r="BP90" i="14"/>
  <c r="BT90" i="14"/>
  <c r="BS90" i="14"/>
  <c r="BR90" i="14"/>
  <c r="E2" i="56" l="1"/>
  <c r="D3" i="56"/>
  <c r="E5" i="56"/>
  <c r="G30" i="8"/>
  <c r="G27" i="8"/>
  <c r="BJ91" i="14"/>
  <c r="BI91" i="14"/>
  <c r="BG91" i="14"/>
  <c r="BK91" i="14"/>
  <c r="BH91" i="14"/>
  <c r="BL91" i="14"/>
  <c r="CD91" i="14"/>
  <c r="CC91" i="14"/>
  <c r="CB91" i="14"/>
  <c r="BY91" i="14"/>
  <c r="CA91" i="14"/>
  <c r="BZ91" i="14"/>
  <c r="BC91" i="14"/>
  <c r="AZ91" i="14"/>
  <c r="BB91" i="14"/>
  <c r="AY91" i="14"/>
  <c r="AX91" i="14"/>
  <c r="BA91" i="14"/>
  <c r="AS91" i="14"/>
  <c r="AR91" i="14"/>
  <c r="AT91" i="14"/>
  <c r="AQ91" i="14"/>
  <c r="AO91" i="14"/>
  <c r="AP91" i="14"/>
  <c r="CL91" i="14"/>
  <c r="CK91" i="14"/>
  <c r="CH91" i="14"/>
  <c r="CM91" i="14"/>
  <c r="CJ91" i="14"/>
  <c r="CI91" i="14"/>
  <c r="AK91" i="14"/>
  <c r="AI91" i="14"/>
  <c r="AF91" i="14"/>
  <c r="AG91" i="14"/>
  <c r="AH91" i="14"/>
  <c r="AJ91" i="14"/>
  <c r="H91" i="14"/>
  <c r="I91" i="14"/>
  <c r="G91" i="14"/>
  <c r="F91" i="14"/>
  <c r="J91" i="14"/>
  <c r="AB91" i="14"/>
  <c r="S91" i="14"/>
  <c r="E91" i="14"/>
  <c r="W91" i="14"/>
  <c r="AA91" i="14"/>
  <c r="Y91" i="14"/>
  <c r="Z91" i="14"/>
  <c r="X91" i="14"/>
  <c r="R91" i="14"/>
  <c r="O91" i="14"/>
  <c r="BS91" i="14"/>
  <c r="Q91" i="14"/>
  <c r="N91" i="14"/>
  <c r="P91" i="14"/>
  <c r="BT91" i="14"/>
  <c r="BQ91" i="14"/>
  <c r="BR91" i="14"/>
  <c r="BP91" i="14"/>
  <c r="BU91" i="14"/>
  <c r="F5" i="56" l="1"/>
  <c r="E3" i="56"/>
  <c r="F28" i="8"/>
  <c r="H27" i="8"/>
  <c r="F2" i="56"/>
  <c r="BJ92" i="14"/>
  <c r="H30" i="8"/>
  <c r="BH92" i="14"/>
  <c r="BG92" i="14"/>
  <c r="BK92" i="14"/>
  <c r="BL92" i="14"/>
  <c r="BI92" i="14"/>
  <c r="CD92" i="14"/>
  <c r="CB92" i="14"/>
  <c r="CC92" i="14"/>
  <c r="BY92" i="14"/>
  <c r="BZ92" i="14"/>
  <c r="CA92" i="14"/>
  <c r="BC92" i="14"/>
  <c r="BB92" i="14"/>
  <c r="AZ92" i="14"/>
  <c r="BA92" i="14"/>
  <c r="AY92" i="14"/>
  <c r="AX92" i="14"/>
  <c r="AT92" i="14"/>
  <c r="AS92" i="14"/>
  <c r="AR92" i="14"/>
  <c r="AQ92" i="14"/>
  <c r="AO92" i="14"/>
  <c r="AP92" i="14"/>
  <c r="CH92" i="14"/>
  <c r="CI92" i="14"/>
  <c r="CL92" i="14"/>
  <c r="CK92" i="14"/>
  <c r="CJ92" i="14"/>
  <c r="CM92" i="14"/>
  <c r="AJ92" i="14"/>
  <c r="AH92" i="14"/>
  <c r="AK92" i="14"/>
  <c r="AI92" i="14"/>
  <c r="AG92" i="14"/>
  <c r="AF92" i="14"/>
  <c r="I92" i="14"/>
  <c r="H92" i="14"/>
  <c r="F92" i="14"/>
  <c r="J92" i="14"/>
  <c r="G92" i="14"/>
  <c r="E92" i="14"/>
  <c r="Z92" i="14"/>
  <c r="W92" i="14"/>
  <c r="Y92" i="14"/>
  <c r="AA92" i="14"/>
  <c r="X92" i="14"/>
  <c r="AB92" i="14"/>
  <c r="BS92" i="14"/>
  <c r="P92" i="14"/>
  <c r="N92" i="14"/>
  <c r="O92" i="14"/>
  <c r="Q92" i="14"/>
  <c r="R92" i="14"/>
  <c r="BT92" i="14"/>
  <c r="S92" i="14"/>
  <c r="BR92" i="14"/>
  <c r="BP92" i="14"/>
  <c r="BU92" i="14"/>
  <c r="BQ92" i="14"/>
  <c r="G2" i="56" l="1"/>
  <c r="F3" i="56"/>
  <c r="G28" i="8"/>
  <c r="G5" i="56"/>
  <c r="BJ93" i="14"/>
  <c r="BG93" i="14"/>
  <c r="BL93" i="14"/>
  <c r="BH93" i="14"/>
  <c r="BI93" i="14"/>
  <c r="BK93" i="14"/>
  <c r="CD93" i="14"/>
  <c r="CC93" i="14"/>
  <c r="CA93" i="14"/>
  <c r="CB93" i="14"/>
  <c r="BZ93" i="14"/>
  <c r="BY93" i="14"/>
  <c r="BC93" i="14"/>
  <c r="BB93" i="14"/>
  <c r="AZ93" i="14"/>
  <c r="BA93" i="14"/>
  <c r="AX93" i="14"/>
  <c r="AY93" i="14"/>
  <c r="AT93" i="14"/>
  <c r="AS93" i="14"/>
  <c r="AP93" i="14"/>
  <c r="AR93" i="14"/>
  <c r="AO93" i="14"/>
  <c r="AQ93" i="14"/>
  <c r="CJ93" i="14"/>
  <c r="CK93" i="14"/>
  <c r="CM93" i="14"/>
  <c r="CI93" i="14"/>
  <c r="CL93" i="14"/>
  <c r="CH93" i="14"/>
  <c r="AK93" i="14"/>
  <c r="AF93" i="14"/>
  <c r="AG93" i="14"/>
  <c r="AI93" i="14"/>
  <c r="AJ93" i="14"/>
  <c r="AH93" i="14"/>
  <c r="H93" i="14"/>
  <c r="G93" i="14"/>
  <c r="J93" i="14"/>
  <c r="I93" i="14"/>
  <c r="F93" i="14"/>
  <c r="AA93" i="14"/>
  <c r="E93" i="14"/>
  <c r="AB93" i="14"/>
  <c r="W93" i="14"/>
  <c r="Y93" i="14"/>
  <c r="X93" i="14"/>
  <c r="Z93" i="14"/>
  <c r="BT93" i="14"/>
  <c r="S93" i="14"/>
  <c r="R93" i="14"/>
  <c r="Q93" i="14"/>
  <c r="BP93" i="14"/>
  <c r="O93" i="14"/>
  <c r="N93" i="14"/>
  <c r="P93" i="14"/>
  <c r="BU93" i="14"/>
  <c r="BQ93" i="14"/>
  <c r="BR93" i="14"/>
  <c r="BS93" i="14"/>
  <c r="H5" i="56" l="1"/>
  <c r="J19" i="8"/>
  <c r="G3" i="56"/>
  <c r="H28" i="8"/>
  <c r="H2" i="56"/>
  <c r="BJ94" i="14"/>
  <c r="I30" i="8"/>
  <c r="I27" i="8"/>
  <c r="I28" i="8"/>
  <c r="BI94" i="14"/>
  <c r="BG94" i="14"/>
  <c r="CD94" i="14"/>
  <c r="BL94" i="14"/>
  <c r="BH94" i="14"/>
  <c r="BK94" i="14"/>
  <c r="CC94" i="14"/>
  <c r="CB94" i="14"/>
  <c r="BY94" i="14"/>
  <c r="CA94" i="14"/>
  <c r="BZ94" i="14"/>
  <c r="BC94" i="14"/>
  <c r="BA94" i="14"/>
  <c r="BB94" i="14"/>
  <c r="AX94" i="14"/>
  <c r="AY94" i="14"/>
  <c r="AZ94" i="14"/>
  <c r="AT94" i="14"/>
  <c r="AS94" i="14"/>
  <c r="AR94" i="14"/>
  <c r="AP94" i="14"/>
  <c r="AQ94" i="14"/>
  <c r="AO94" i="14"/>
  <c r="CM94" i="14"/>
  <c r="CK94" i="14"/>
  <c r="CL94" i="14"/>
  <c r="CI94" i="14"/>
  <c r="CH94" i="14"/>
  <c r="CJ94" i="14"/>
  <c r="AI94" i="14"/>
  <c r="AK94" i="14"/>
  <c r="AH94" i="14"/>
  <c r="AJ94" i="14"/>
  <c r="AG94" i="14"/>
  <c r="AF94" i="14"/>
  <c r="I94" i="14"/>
  <c r="H94" i="14"/>
  <c r="J94" i="14"/>
  <c r="E94" i="14"/>
  <c r="G94" i="14"/>
  <c r="Y94" i="14"/>
  <c r="F94" i="14"/>
  <c r="Z94" i="14"/>
  <c r="AB94" i="14"/>
  <c r="AA94" i="14"/>
  <c r="W94" i="14"/>
  <c r="X94" i="14"/>
  <c r="P94" i="14"/>
  <c r="BU94" i="14"/>
  <c r="BP94" i="14"/>
  <c r="S94" i="14"/>
  <c r="R94" i="14"/>
  <c r="N94" i="14"/>
  <c r="Q94" i="14"/>
  <c r="O94" i="14"/>
  <c r="BS94" i="14"/>
  <c r="BT94" i="14"/>
  <c r="BR94" i="14"/>
  <c r="BQ94" i="14"/>
  <c r="I2" i="56" l="1"/>
  <c r="J27" i="8"/>
  <c r="H3" i="56"/>
  <c r="J17" i="8"/>
  <c r="I5" i="56"/>
  <c r="J30" i="8"/>
  <c r="BJ95" i="14"/>
  <c r="BL95" i="14"/>
  <c r="BI95" i="14"/>
  <c r="BH95" i="14"/>
  <c r="BG95" i="14"/>
  <c r="BK95" i="14"/>
  <c r="BY95" i="14"/>
  <c r="CA95" i="14"/>
  <c r="CB95" i="14"/>
  <c r="BZ95" i="14"/>
  <c r="CD95" i="14"/>
  <c r="CC95" i="14"/>
  <c r="BC95" i="14"/>
  <c r="BA95" i="14"/>
  <c r="AY95" i="14"/>
  <c r="BB95" i="14"/>
  <c r="AZ95" i="14"/>
  <c r="AX95" i="14"/>
  <c r="AT95" i="14"/>
  <c r="AQ95" i="14"/>
  <c r="AR95" i="14"/>
  <c r="AS95" i="14"/>
  <c r="AP95" i="14"/>
  <c r="AO95" i="14"/>
  <c r="CK95" i="14"/>
  <c r="CL95" i="14"/>
  <c r="CI95" i="14"/>
  <c r="CM95" i="14"/>
  <c r="CJ95" i="14"/>
  <c r="CH95" i="14"/>
  <c r="AK95" i="14"/>
  <c r="AF95" i="14"/>
  <c r="AI95" i="14"/>
  <c r="AG95" i="14"/>
  <c r="AJ95" i="14"/>
  <c r="AH95" i="14"/>
  <c r="AA95" i="14"/>
  <c r="AB95" i="14"/>
  <c r="I95" i="14"/>
  <c r="H95" i="14"/>
  <c r="J95" i="14"/>
  <c r="W95" i="14"/>
  <c r="F95" i="14"/>
  <c r="G95" i="14"/>
  <c r="E95" i="14"/>
  <c r="Z95" i="14"/>
  <c r="X95" i="14"/>
  <c r="Y95" i="14"/>
  <c r="S95" i="14"/>
  <c r="BS95" i="14"/>
  <c r="R95" i="14"/>
  <c r="BT95" i="14"/>
  <c r="Q95" i="14"/>
  <c r="N95" i="14"/>
  <c r="P95" i="14"/>
  <c r="BP95" i="14"/>
  <c r="BU95" i="14"/>
  <c r="BQ95" i="14"/>
  <c r="O95" i="14"/>
  <c r="BR95" i="14"/>
  <c r="J28" i="8" l="1"/>
  <c r="I3" i="56"/>
  <c r="BJ96" i="14"/>
  <c r="BL96" i="14"/>
  <c r="BK96" i="14"/>
  <c r="BI96" i="14"/>
  <c r="BG96" i="14"/>
  <c r="BH96" i="14"/>
  <c r="CD96" i="14"/>
  <c r="CB96" i="14"/>
  <c r="CC96" i="14"/>
  <c r="CA96" i="14"/>
  <c r="V13" i="14" s="1"/>
  <c r="W13" i="14" s="1"/>
  <c r="BZ96" i="14"/>
  <c r="BY96" i="14"/>
  <c r="BC96" i="14"/>
  <c r="BA96" i="14"/>
  <c r="AZ96" i="14"/>
  <c r="V10" i="14" s="1"/>
  <c r="W10" i="14" s="1"/>
  <c r="AX96" i="14"/>
  <c r="AY96" i="14"/>
  <c r="BB96" i="14"/>
  <c r="AR96" i="14"/>
  <c r="AS96" i="14"/>
  <c r="AP96" i="14"/>
  <c r="AO96" i="14"/>
  <c r="AQ96" i="14"/>
  <c r="V9" i="14" s="1"/>
  <c r="W9" i="14" s="1"/>
  <c r="AT96" i="14"/>
  <c r="CK96" i="14"/>
  <c r="CJ96" i="14"/>
  <c r="V14" i="14" s="1"/>
  <c r="W14" i="14" s="1"/>
  <c r="CH96" i="14"/>
  <c r="CL96" i="14"/>
  <c r="CI96" i="14"/>
  <c r="CM96" i="14"/>
  <c r="AG96" i="14"/>
  <c r="AK96" i="14"/>
  <c r="AH96" i="14"/>
  <c r="V8" i="14" s="1"/>
  <c r="W8" i="14" s="1"/>
  <c r="AJ96" i="14"/>
  <c r="AI96" i="14"/>
  <c r="AF96" i="14"/>
  <c r="Z96" i="14"/>
  <c r="AB96" i="14"/>
  <c r="J96" i="14"/>
  <c r="Y96" i="14"/>
  <c r="V7" i="14" s="1"/>
  <c r="W7" i="14" s="1"/>
  <c r="W96" i="14"/>
  <c r="AA96" i="14"/>
  <c r="E96" i="14"/>
  <c r="X96" i="14"/>
  <c r="H96" i="14"/>
  <c r="I96" i="14"/>
  <c r="G96" i="14"/>
  <c r="V5" i="14" s="1"/>
  <c r="W5" i="14" s="1"/>
  <c r="F96" i="14"/>
  <c r="S96" i="14"/>
  <c r="R96" i="14"/>
  <c r="O96" i="14"/>
  <c r="BP96" i="14"/>
  <c r="Q96" i="14"/>
  <c r="BU96" i="14"/>
  <c r="BR96" i="14"/>
  <c r="V12" i="14" s="1"/>
  <c r="W12" i="14" s="1"/>
  <c r="BQ96" i="14"/>
  <c r="BS96" i="14"/>
  <c r="N96" i="14"/>
  <c r="BT96" i="14"/>
  <c r="P96" i="14"/>
  <c r="V6" i="14" s="1"/>
  <c r="W6" i="14" s="1"/>
  <c r="BL97" i="14" l="1"/>
  <c r="V11" i="14"/>
  <c r="W11" i="14" s="1"/>
  <c r="BK97" i="14"/>
  <c r="BI97" i="14"/>
  <c r="BG97" i="14"/>
  <c r="BJ97" i="14"/>
  <c r="BH97" i="14"/>
  <c r="CD97" i="14"/>
  <c r="CC97" i="14"/>
  <c r="BZ97" i="14"/>
  <c r="BY97" i="14"/>
  <c r="CA97" i="14"/>
  <c r="CB97" i="14"/>
  <c r="BA97" i="14"/>
  <c r="AZ97" i="14"/>
  <c r="BC97" i="14"/>
  <c r="AX97" i="14"/>
  <c r="AY97" i="14"/>
  <c r="BB97" i="14"/>
  <c r="AS97" i="14"/>
  <c r="AP97" i="14"/>
  <c r="AR97" i="14"/>
  <c r="AO97" i="14"/>
  <c r="AQ97" i="14"/>
  <c r="AT97" i="14"/>
  <c r="J97" i="14"/>
  <c r="CM97" i="14"/>
  <c r="CL97" i="14"/>
  <c r="CI97" i="14"/>
  <c r="CJ97" i="14"/>
  <c r="CK97" i="14"/>
  <c r="CH97" i="14"/>
  <c r="AI97" i="14"/>
  <c r="AJ97" i="14"/>
  <c r="AH97" i="14"/>
  <c r="AG97" i="14"/>
  <c r="AF97" i="14"/>
  <c r="AK97" i="14"/>
  <c r="Z97" i="14"/>
  <c r="AB97" i="14"/>
  <c r="Y97" i="14"/>
  <c r="AA97" i="14"/>
  <c r="X97" i="14"/>
  <c r="W97" i="14"/>
  <c r="H97" i="14"/>
  <c r="I97" i="14"/>
  <c r="G97" i="14"/>
  <c r="E97" i="14"/>
  <c r="F97" i="14"/>
  <c r="Q97" i="14"/>
  <c r="BS97" i="14"/>
  <c r="P97" i="14"/>
  <c r="BP97" i="14"/>
  <c r="BQ97" i="14"/>
  <c r="BU97" i="14"/>
  <c r="S97" i="14"/>
  <c r="O97" i="14"/>
  <c r="BR97" i="14"/>
  <c r="BT97" i="14"/>
  <c r="R97" i="14"/>
  <c r="N97" i="14"/>
  <c r="BK98" i="14" l="1"/>
  <c r="BH98" i="14"/>
  <c r="BJ98" i="14"/>
  <c r="BG98" i="14"/>
  <c r="BI98" i="14"/>
  <c r="BL98" i="14"/>
  <c r="CA98" i="14"/>
  <c r="CB98" i="14"/>
  <c r="CC98" i="14"/>
  <c r="BY98" i="14"/>
  <c r="BZ98" i="14"/>
  <c r="CD98" i="14"/>
  <c r="BA98" i="14"/>
  <c r="BB98" i="14"/>
  <c r="BC98" i="14"/>
  <c r="AZ98" i="14"/>
  <c r="AX98" i="14"/>
  <c r="AY98" i="14"/>
  <c r="AR98" i="14"/>
  <c r="AS98" i="14"/>
  <c r="AQ98" i="14"/>
  <c r="AO98" i="14"/>
  <c r="AP98" i="14"/>
  <c r="AT98" i="14"/>
  <c r="CK98" i="14"/>
  <c r="CJ98" i="14"/>
  <c r="CH98" i="14"/>
  <c r="CL98" i="14"/>
  <c r="CI98" i="14"/>
  <c r="CM98" i="14"/>
  <c r="AK98" i="14"/>
  <c r="AF98" i="14"/>
  <c r="AJ98" i="14"/>
  <c r="AH98" i="14"/>
  <c r="AG98" i="14"/>
  <c r="AI98" i="14"/>
  <c r="Z98" i="14"/>
  <c r="AB98" i="14"/>
  <c r="Y98" i="14"/>
  <c r="AA98" i="14"/>
  <c r="W98" i="14"/>
  <c r="X98" i="14"/>
  <c r="I98" i="14"/>
  <c r="J98" i="14"/>
  <c r="F98" i="14"/>
  <c r="H98" i="14"/>
  <c r="E98" i="14"/>
  <c r="G98" i="14"/>
  <c r="BS98" i="14"/>
  <c r="R98" i="14"/>
  <c r="S98" i="14"/>
  <c r="N98" i="14"/>
  <c r="BT98" i="14"/>
  <c r="BQ98" i="14"/>
  <c r="BR98" i="14"/>
  <c r="BU98" i="14"/>
  <c r="O98" i="14"/>
  <c r="Q98" i="14"/>
  <c r="P98" i="14"/>
  <c r="BP98" i="14"/>
  <c r="BJ99" i="14" l="1"/>
  <c r="BL99" i="14"/>
  <c r="BK99" i="14"/>
  <c r="BI99" i="14"/>
  <c r="BH99" i="14"/>
  <c r="BG99" i="14"/>
  <c r="CD99" i="14"/>
  <c r="CB99" i="14"/>
  <c r="CA99" i="14"/>
  <c r="BZ99" i="14"/>
  <c r="BY99" i="14"/>
  <c r="CC99" i="14"/>
  <c r="BB99" i="14"/>
  <c r="BC99" i="14"/>
  <c r="AZ99" i="14"/>
  <c r="BA99" i="14"/>
  <c r="AX99" i="14"/>
  <c r="AY99" i="14"/>
  <c r="AS99" i="14"/>
  <c r="AO99" i="14"/>
  <c r="AR99" i="14"/>
  <c r="AQ99" i="14"/>
  <c r="AT99" i="14"/>
  <c r="AP99" i="14"/>
  <c r="CM99" i="14"/>
  <c r="CL99" i="14"/>
  <c r="CI99" i="14"/>
  <c r="CJ99" i="14"/>
  <c r="CK99" i="14"/>
  <c r="CH99" i="14"/>
  <c r="AG99" i="14"/>
  <c r="AI99" i="14"/>
  <c r="AJ99" i="14"/>
  <c r="AK99" i="14"/>
  <c r="AF99" i="14"/>
  <c r="AH99" i="14"/>
  <c r="AA99" i="14"/>
  <c r="Z99" i="14"/>
  <c r="AB99" i="14"/>
  <c r="Y99" i="14"/>
  <c r="W99" i="14"/>
  <c r="X99" i="14"/>
  <c r="G99" i="14"/>
  <c r="J99" i="14"/>
  <c r="F99" i="14"/>
  <c r="H99" i="14"/>
  <c r="I99" i="14"/>
  <c r="E99" i="14"/>
  <c r="BS99" i="14"/>
  <c r="BR99" i="14"/>
  <c r="BT99" i="14"/>
  <c r="BP99" i="14"/>
  <c r="BU99" i="14"/>
  <c r="Q99" i="14"/>
  <c r="N99" i="14"/>
  <c r="BQ99" i="14"/>
  <c r="R99" i="14"/>
  <c r="P99" i="14"/>
  <c r="S99" i="14"/>
  <c r="O99" i="14"/>
  <c r="BJ100" i="14" l="1"/>
  <c r="BI100" i="14"/>
  <c r="BK100" i="14"/>
  <c r="BL100" i="14"/>
  <c r="BH100" i="14"/>
  <c r="BG100" i="14"/>
  <c r="CB100" i="14"/>
  <c r="CD100" i="14"/>
  <c r="CA100" i="14"/>
  <c r="CC100" i="14"/>
  <c r="BY100" i="14"/>
  <c r="BZ100" i="14"/>
  <c r="BA100" i="14"/>
  <c r="AX100" i="14"/>
  <c r="BB100" i="14"/>
  <c r="BC100" i="14"/>
  <c r="AZ100" i="14"/>
  <c r="AY100" i="14"/>
  <c r="AS100" i="14"/>
  <c r="AQ100" i="14"/>
  <c r="AR100" i="14"/>
  <c r="AO100" i="14"/>
  <c r="AP100" i="14"/>
  <c r="AT100" i="14"/>
  <c r="CJ100" i="14"/>
  <c r="CK100" i="14"/>
  <c r="CH100" i="14"/>
  <c r="CL100" i="14"/>
  <c r="CI100" i="14"/>
  <c r="CM100" i="14"/>
  <c r="AI100" i="14"/>
  <c r="AJ100" i="14"/>
  <c r="AA100" i="14"/>
  <c r="AK100" i="14"/>
  <c r="AH100" i="14"/>
  <c r="AF100" i="14"/>
  <c r="AG100" i="14"/>
  <c r="AB100" i="14"/>
  <c r="Z100" i="14"/>
  <c r="Y100" i="14"/>
  <c r="W100" i="14"/>
  <c r="X100" i="14"/>
  <c r="J100" i="14"/>
  <c r="G100" i="14"/>
  <c r="I100" i="14"/>
  <c r="F100" i="14"/>
  <c r="H100" i="14"/>
  <c r="E100" i="14"/>
  <c r="BR100" i="14"/>
  <c r="BT100" i="14"/>
  <c r="BU100" i="14"/>
  <c r="S100" i="14"/>
  <c r="BS100" i="14"/>
  <c r="O100" i="14"/>
  <c r="BP100" i="14"/>
  <c r="BQ100" i="14"/>
  <c r="R100" i="14"/>
  <c r="Q100" i="14"/>
  <c r="N100" i="14"/>
  <c r="P100" i="14"/>
  <c r="BI101" i="14" l="1"/>
  <c r="BJ101" i="14"/>
  <c r="BL101" i="14"/>
  <c r="BK101" i="14"/>
  <c r="BG101" i="14"/>
  <c r="BH101" i="14"/>
  <c r="CC101" i="14"/>
  <c r="CB101" i="14"/>
  <c r="CD101" i="14"/>
  <c r="BZ101" i="14"/>
  <c r="CA101" i="14"/>
  <c r="BY101" i="14"/>
  <c r="AX101" i="14"/>
  <c r="BC101" i="14"/>
  <c r="AY101" i="14"/>
  <c r="BB101" i="14"/>
  <c r="BA101" i="14"/>
  <c r="AZ101" i="14"/>
  <c r="AQ101" i="14"/>
  <c r="AT101" i="14"/>
  <c r="AR101" i="14"/>
  <c r="AP101" i="14"/>
  <c r="AS101" i="14"/>
  <c r="AO101" i="14"/>
  <c r="CM101" i="14"/>
  <c r="CL101" i="14"/>
  <c r="CK101" i="14"/>
  <c r="CJ101" i="14"/>
  <c r="CI101" i="14"/>
  <c r="CH101" i="14"/>
  <c r="AA101" i="14"/>
  <c r="AK101" i="14"/>
  <c r="AF101" i="14"/>
  <c r="AB101" i="14"/>
  <c r="AG101" i="14"/>
  <c r="AI101" i="14"/>
  <c r="AH101" i="14"/>
  <c r="AJ101" i="14"/>
  <c r="W101" i="14"/>
  <c r="Y101" i="14"/>
  <c r="Z101" i="14"/>
  <c r="X101" i="14"/>
  <c r="BR101" i="14"/>
  <c r="J101" i="14"/>
  <c r="G101" i="14"/>
  <c r="BU101" i="14"/>
  <c r="F101" i="14"/>
  <c r="E101" i="14"/>
  <c r="H101" i="14"/>
  <c r="I101" i="14"/>
  <c r="BT101" i="14"/>
  <c r="P101" i="14"/>
  <c r="BS101" i="14"/>
  <c r="BP101" i="14"/>
  <c r="BQ101" i="14"/>
  <c r="N101" i="14"/>
  <c r="S101" i="14"/>
  <c r="Q101" i="14"/>
  <c r="R101" i="14"/>
  <c r="O101" i="14"/>
  <c r="BK102" i="14" l="1"/>
  <c r="BL102" i="14"/>
  <c r="BH102" i="14"/>
  <c r="BJ102" i="14"/>
  <c r="BI102" i="14"/>
  <c r="BG102" i="14"/>
  <c r="CD102" i="14"/>
  <c r="CC102" i="14"/>
  <c r="CA102" i="14"/>
  <c r="CB102" i="14"/>
  <c r="BY102" i="14"/>
  <c r="BZ102" i="14"/>
  <c r="BC102" i="14"/>
  <c r="BA102" i="14"/>
  <c r="AX102" i="14"/>
  <c r="AZ102" i="14"/>
  <c r="BB102" i="14"/>
  <c r="AY102" i="14"/>
  <c r="AT102" i="14"/>
  <c r="AQ102" i="14"/>
  <c r="AR102" i="14"/>
  <c r="AS102" i="14"/>
  <c r="AP102" i="14"/>
  <c r="AO102" i="14"/>
  <c r="BU102" i="14"/>
  <c r="CM102" i="14"/>
  <c r="AB102" i="14"/>
  <c r="CI102" i="14"/>
  <c r="CL102" i="14"/>
  <c r="CH102" i="14"/>
  <c r="CJ102" i="14"/>
  <c r="CK102" i="14"/>
  <c r="AA102" i="14"/>
  <c r="AG102" i="14"/>
  <c r="AJ102" i="14"/>
  <c r="AF102" i="14"/>
  <c r="AH102" i="14"/>
  <c r="AK102" i="14"/>
  <c r="AI102" i="14"/>
  <c r="Y102" i="14"/>
  <c r="Z102" i="14"/>
  <c r="W102" i="14"/>
  <c r="X102" i="14"/>
  <c r="BT102" i="14"/>
  <c r="J102" i="14"/>
  <c r="G102" i="14"/>
  <c r="I102" i="14"/>
  <c r="E102" i="14"/>
  <c r="H102" i="14"/>
  <c r="F102" i="14"/>
  <c r="S102" i="14"/>
  <c r="BS102" i="14"/>
  <c r="BP102" i="14"/>
  <c r="BQ102" i="14"/>
  <c r="BR102" i="14"/>
  <c r="N102" i="14"/>
  <c r="R102" i="14"/>
  <c r="O102" i="14"/>
  <c r="Q102" i="14"/>
  <c r="P102" i="14"/>
  <c r="BI103" i="14" l="1"/>
  <c r="BL103" i="14"/>
  <c r="BG103" i="14"/>
  <c r="BK103" i="14"/>
  <c r="BJ103" i="14"/>
  <c r="BH103" i="14"/>
  <c r="CD103" i="14"/>
  <c r="CA103" i="14"/>
  <c r="BZ103" i="14"/>
  <c r="BC103" i="14"/>
  <c r="CC103" i="14"/>
  <c r="CB103" i="14"/>
  <c r="BY103" i="14"/>
  <c r="BB103" i="14"/>
  <c r="BA103" i="14"/>
  <c r="AZ103" i="14"/>
  <c r="AX103" i="14"/>
  <c r="AY103" i="14"/>
  <c r="AT103" i="14"/>
  <c r="AQ103" i="14"/>
  <c r="AS103" i="14"/>
  <c r="AR103" i="14"/>
  <c r="AO103" i="14"/>
  <c r="AP103" i="14"/>
  <c r="BU103" i="14"/>
  <c r="CK103" i="14"/>
  <c r="CL103" i="14"/>
  <c r="CI103" i="14"/>
  <c r="CM103" i="14"/>
  <c r="CJ103" i="14"/>
  <c r="CH103" i="14"/>
  <c r="Z103" i="14"/>
  <c r="AI103" i="14"/>
  <c r="AH103" i="14"/>
  <c r="X103" i="14"/>
  <c r="AA103" i="14"/>
  <c r="W103" i="14"/>
  <c r="AK103" i="14"/>
  <c r="AB103" i="14"/>
  <c r="Y103" i="14"/>
  <c r="AG103" i="14"/>
  <c r="AF103" i="14"/>
  <c r="AJ103" i="14"/>
  <c r="J103" i="14"/>
  <c r="G103" i="14"/>
  <c r="I103" i="14"/>
  <c r="F103" i="14"/>
  <c r="E103" i="14"/>
  <c r="H103" i="14"/>
  <c r="BT103" i="14"/>
  <c r="BR103" i="14"/>
  <c r="BP103" i="14"/>
  <c r="BQ103" i="14"/>
  <c r="BS103" i="14"/>
  <c r="Q103" i="14"/>
  <c r="P103" i="14"/>
  <c r="S103" i="14"/>
  <c r="R103" i="14"/>
  <c r="O103" i="14"/>
  <c r="N103" i="14"/>
  <c r="BL104" i="14" l="1"/>
  <c r="BI104" i="14"/>
  <c r="BG104" i="14"/>
  <c r="BK104" i="14"/>
  <c r="BH104" i="14"/>
  <c r="BJ104" i="14"/>
  <c r="CD104" i="14"/>
  <c r="CB104" i="14"/>
  <c r="CC104" i="14"/>
  <c r="BZ104" i="14"/>
  <c r="CA104" i="14"/>
  <c r="BC104" i="14"/>
  <c r="BY104" i="14"/>
  <c r="AY104" i="14"/>
  <c r="AX104" i="14"/>
  <c r="BB104" i="14"/>
  <c r="AZ104" i="14"/>
  <c r="BA104" i="14"/>
  <c r="AR104" i="14"/>
  <c r="AQ104" i="14"/>
  <c r="AO104" i="14"/>
  <c r="AT104" i="14"/>
  <c r="AP104" i="14"/>
  <c r="AS104" i="14"/>
  <c r="BU104" i="14"/>
  <c r="Z104" i="14"/>
  <c r="CK104" i="14"/>
  <c r="CJ104" i="14"/>
  <c r="CH104" i="14"/>
  <c r="CL104" i="14"/>
  <c r="CI104" i="14"/>
  <c r="CM104" i="14"/>
  <c r="AB104" i="14"/>
  <c r="AA104" i="14"/>
  <c r="Y104" i="14"/>
  <c r="X104" i="14"/>
  <c r="W104" i="14"/>
  <c r="AK104" i="14"/>
  <c r="AJ104" i="14"/>
  <c r="AF104" i="14"/>
  <c r="AH104" i="14"/>
  <c r="AI104" i="14"/>
  <c r="AG104" i="14"/>
  <c r="J104" i="14"/>
  <c r="G104" i="14"/>
  <c r="H104" i="14"/>
  <c r="E104" i="14"/>
  <c r="F104" i="14"/>
  <c r="BT104" i="14"/>
  <c r="I104" i="14"/>
  <c r="BS104" i="14"/>
  <c r="BR104" i="14"/>
  <c r="BP104" i="14"/>
  <c r="BQ104" i="14"/>
  <c r="O104" i="14"/>
  <c r="P104" i="14"/>
  <c r="N104" i="14"/>
  <c r="R104" i="14"/>
  <c r="Q104" i="14"/>
  <c r="S104" i="14"/>
  <c r="BL105" i="14" l="1"/>
  <c r="BJ105" i="14"/>
  <c r="BI105" i="14"/>
  <c r="BK105" i="14"/>
  <c r="BG105" i="14"/>
  <c r="BH105" i="14"/>
  <c r="CD105" i="14"/>
  <c r="CB105" i="14"/>
  <c r="BC105" i="14"/>
  <c r="CC105" i="14"/>
  <c r="CA105" i="14"/>
  <c r="BZ105" i="14"/>
  <c r="BY105" i="14"/>
  <c r="BA105" i="14"/>
  <c r="AZ105" i="14"/>
  <c r="AY105" i="14"/>
  <c r="AX105" i="14"/>
  <c r="BB105" i="14"/>
  <c r="AS105" i="14"/>
  <c r="AT105" i="14"/>
  <c r="AP105" i="14"/>
  <c r="AQ105" i="14"/>
  <c r="AR105" i="14"/>
  <c r="AO105" i="14"/>
  <c r="BU105" i="14"/>
  <c r="Z105" i="14"/>
  <c r="AB105" i="14"/>
  <c r="CL105" i="14"/>
  <c r="CM105" i="14"/>
  <c r="Y105" i="14"/>
  <c r="CI105" i="14"/>
  <c r="AA105" i="14"/>
  <c r="CK105" i="14"/>
  <c r="CJ105" i="14"/>
  <c r="CH105" i="14"/>
  <c r="X105" i="14"/>
  <c r="W105" i="14"/>
  <c r="AG105" i="14"/>
  <c r="AJ105" i="14"/>
  <c r="AI105" i="14"/>
  <c r="AH105" i="14"/>
  <c r="AK105" i="14"/>
  <c r="AF105" i="14"/>
  <c r="J105" i="14"/>
  <c r="I105" i="14"/>
  <c r="F105" i="14"/>
  <c r="E105" i="14"/>
  <c r="G105" i="14"/>
  <c r="H105" i="14"/>
  <c r="BT105" i="14"/>
  <c r="BP105" i="14"/>
  <c r="BS105" i="14"/>
  <c r="BR105" i="14"/>
  <c r="BQ105" i="14"/>
  <c r="P105" i="14"/>
  <c r="Q105" i="14"/>
  <c r="R105" i="14"/>
  <c r="S105" i="14"/>
  <c r="N105" i="14"/>
  <c r="O105" i="14"/>
  <c r="BL106" i="14" l="1"/>
  <c r="BK106" i="14"/>
  <c r="BH106" i="14"/>
  <c r="BJ106" i="14"/>
  <c r="BI106" i="14"/>
  <c r="BG106" i="14"/>
  <c r="CD106" i="14"/>
  <c r="CB106" i="14"/>
  <c r="CC106" i="14"/>
  <c r="BY106" i="14"/>
  <c r="CA106" i="14"/>
  <c r="BZ106" i="14"/>
  <c r="AZ106" i="14"/>
  <c r="BB106" i="14"/>
  <c r="BC106" i="14"/>
  <c r="AX106" i="14"/>
  <c r="AY106" i="14"/>
  <c r="BA106" i="14"/>
  <c r="AQ106" i="14"/>
  <c r="AT106" i="14"/>
  <c r="AP106" i="14"/>
  <c r="AO106" i="14"/>
  <c r="AR106" i="14"/>
  <c r="AS106" i="14"/>
  <c r="BU106" i="14"/>
  <c r="Z106" i="14"/>
  <c r="Y106" i="14"/>
  <c r="AB106" i="14"/>
  <c r="AA106" i="14"/>
  <c r="CJ106" i="14"/>
  <c r="CK106" i="14"/>
  <c r="X106" i="14"/>
  <c r="W106" i="14"/>
  <c r="CH106" i="14"/>
  <c r="CL106" i="14"/>
  <c r="CI106" i="14"/>
  <c r="CM106" i="14"/>
  <c r="AK106" i="14"/>
  <c r="AF106" i="14"/>
  <c r="AH106" i="14"/>
  <c r="AI106" i="14"/>
  <c r="AJ106" i="14"/>
  <c r="AG106" i="14"/>
  <c r="G106" i="14"/>
  <c r="J106" i="14"/>
  <c r="E106" i="14"/>
  <c r="F106" i="14"/>
  <c r="H106" i="14"/>
  <c r="I106" i="14"/>
  <c r="BP106" i="14"/>
  <c r="BT106" i="14"/>
  <c r="BR106" i="14"/>
  <c r="BQ106" i="14"/>
  <c r="BS106" i="14"/>
  <c r="S106" i="14"/>
  <c r="R106" i="14"/>
  <c r="O106" i="14"/>
  <c r="Q106" i="14"/>
  <c r="N106" i="14"/>
  <c r="P106" i="14"/>
  <c r="BI107" i="14" l="1"/>
  <c r="BL107" i="14"/>
  <c r="BK107" i="14"/>
  <c r="BJ107" i="14"/>
  <c r="BG107" i="14"/>
  <c r="BH107" i="14"/>
  <c r="CC107" i="14"/>
  <c r="BZ107" i="14"/>
  <c r="CD107" i="14"/>
  <c r="CA107" i="14"/>
  <c r="CB107" i="14"/>
  <c r="BY107" i="14"/>
  <c r="BC107" i="14"/>
  <c r="AZ107" i="14"/>
  <c r="BB107" i="14"/>
  <c r="BA107" i="14"/>
  <c r="AX107" i="14"/>
  <c r="AY107" i="14"/>
  <c r="AT107" i="14"/>
  <c r="AQ107" i="14"/>
  <c r="BU107" i="14"/>
  <c r="AO107" i="14"/>
  <c r="AP107" i="14"/>
  <c r="AR107" i="14"/>
  <c r="AS107" i="14"/>
  <c r="S107" i="14"/>
  <c r="BS107" i="14"/>
  <c r="CM107" i="14"/>
  <c r="CL107" i="14"/>
  <c r="AB107" i="14"/>
  <c r="R107" i="14"/>
  <c r="J107" i="14"/>
  <c r="AJ107" i="14"/>
  <c r="CH107" i="14"/>
  <c r="Z107" i="14"/>
  <c r="AK107" i="14"/>
  <c r="N107" i="14"/>
  <c r="H107" i="14"/>
  <c r="AA107" i="14"/>
  <c r="P107" i="14"/>
  <c r="I107" i="14"/>
  <c r="CJ107" i="14"/>
  <c r="Q107" i="14"/>
  <c r="F107" i="14"/>
  <c r="CI107" i="14"/>
  <c r="O107" i="14"/>
  <c r="E107" i="14"/>
  <c r="AG107" i="14"/>
  <c r="Y107" i="14"/>
  <c r="BR107" i="14"/>
  <c r="G107" i="14"/>
  <c r="AI107" i="14"/>
  <c r="W107" i="14"/>
  <c r="BT107" i="14"/>
  <c r="AH107" i="14"/>
  <c r="X107" i="14"/>
  <c r="BQ107" i="14"/>
  <c r="BP107" i="14"/>
  <c r="AF107" i="14"/>
  <c r="CK107" i="14"/>
  <c r="BI108" i="14" l="1"/>
  <c r="BL108" i="14"/>
  <c r="BJ108" i="14"/>
  <c r="BK108" i="14"/>
  <c r="BG108" i="14"/>
  <c r="BH108" i="14"/>
  <c r="CB108" i="14"/>
  <c r="CA108" i="14"/>
  <c r="BY108" i="14"/>
  <c r="CD108" i="14"/>
  <c r="BZ108" i="14"/>
  <c r="CC108" i="14"/>
  <c r="BC108" i="14"/>
  <c r="BB108" i="14"/>
  <c r="BA108" i="14"/>
  <c r="AY108" i="14"/>
  <c r="AZ108" i="14"/>
  <c r="AX108" i="14"/>
  <c r="AT108" i="14"/>
  <c r="AQ108" i="14"/>
  <c r="AS108" i="14"/>
  <c r="AR108" i="14"/>
  <c r="AO108" i="14"/>
  <c r="AP108" i="14"/>
  <c r="BS108" i="14"/>
  <c r="S108" i="14"/>
  <c r="AH108" i="14"/>
  <c r="R108" i="14"/>
  <c r="BT108" i="14"/>
  <c r="G108" i="14"/>
  <c r="CL108" i="14"/>
  <c r="CH108" i="14"/>
  <c r="H108" i="14"/>
  <c r="AA108" i="14"/>
  <c r="W108" i="14"/>
  <c r="CI108" i="14"/>
  <c r="AI108" i="14"/>
  <c r="BP108" i="14"/>
  <c r="O108" i="14"/>
  <c r="BR108" i="14"/>
  <c r="E108" i="14"/>
  <c r="Q108" i="14"/>
  <c r="CJ108" i="14"/>
  <c r="CK108" i="14"/>
  <c r="X108" i="14"/>
  <c r="AK108" i="14"/>
  <c r="AF108" i="14"/>
  <c r="Z108" i="14"/>
  <c r="Y108" i="14"/>
  <c r="CM108" i="14"/>
  <c r="I108" i="14"/>
  <c r="AB108" i="14"/>
  <c r="P108" i="14"/>
  <c r="BQ108" i="14"/>
  <c r="AJ108" i="14"/>
  <c r="N108" i="14"/>
  <c r="J108" i="14"/>
  <c r="AG108" i="14"/>
  <c r="F108" i="14"/>
  <c r="BU108" i="14"/>
  <c r="BI109" i="14" l="1"/>
  <c r="BJ109" i="14"/>
  <c r="BL109" i="14"/>
  <c r="BK109" i="14"/>
  <c r="BG109" i="14"/>
  <c r="BH109" i="14"/>
  <c r="BJ110" i="14" s="1"/>
  <c r="CB109" i="14"/>
  <c r="CD109" i="14"/>
  <c r="BZ109" i="14"/>
  <c r="BY109" i="14"/>
  <c r="CC109" i="14"/>
  <c r="CA109" i="14"/>
  <c r="BC109" i="14"/>
  <c r="BA109" i="14"/>
  <c r="AZ109" i="14"/>
  <c r="BB109" i="14"/>
  <c r="AT109" i="14"/>
  <c r="AY109" i="14"/>
  <c r="AX109" i="14"/>
  <c r="AP109" i="14"/>
  <c r="AS109" i="14"/>
  <c r="AR109" i="14"/>
  <c r="AO109" i="14"/>
  <c r="AQ109" i="14"/>
  <c r="Q109" i="14"/>
  <c r="AK109" i="14"/>
  <c r="CL109" i="14"/>
  <c r="J109" i="14"/>
  <c r="I109" i="14"/>
  <c r="CM109" i="14"/>
  <c r="BT109" i="14"/>
  <c r="Y109" i="14"/>
  <c r="CK109" i="14"/>
  <c r="AJ109" i="14"/>
  <c r="F109" i="14"/>
  <c r="Z109" i="14"/>
  <c r="BQ109" i="14"/>
  <c r="CJ109" i="14"/>
  <c r="AG109" i="14"/>
  <c r="W109" i="14"/>
  <c r="BS109" i="14"/>
  <c r="P109" i="14"/>
  <c r="AH109" i="14"/>
  <c r="AB109" i="14"/>
  <c r="N109" i="14"/>
  <c r="CH109" i="14"/>
  <c r="BU109" i="14"/>
  <c r="CI109" i="14"/>
  <c r="O109" i="14"/>
  <c r="BR109" i="14"/>
  <c r="AI109" i="14"/>
  <c r="AF109" i="14"/>
  <c r="BP109" i="14"/>
  <c r="S109" i="14"/>
  <c r="G109" i="14"/>
  <c r="BK110" i="14"/>
  <c r="E109" i="14"/>
  <c r="AA109" i="14"/>
  <c r="X109" i="14"/>
  <c r="R109" i="14"/>
  <c r="H109" i="14"/>
  <c r="BL110" i="14" l="1"/>
  <c r="BH110" i="14"/>
  <c r="BJ111" i="14" s="1"/>
  <c r="BG110" i="14"/>
  <c r="BI110" i="14"/>
  <c r="Z11" i="14" s="1"/>
  <c r="AA11" i="14" s="1"/>
  <c r="CB110" i="14"/>
  <c r="AT110" i="14"/>
  <c r="CD110" i="14"/>
  <c r="CC110" i="14"/>
  <c r="CA110" i="14"/>
  <c r="Z13" i="14" s="1"/>
  <c r="BY110" i="14"/>
  <c r="BZ110" i="14"/>
  <c r="BC110" i="14"/>
  <c r="BB110" i="14"/>
  <c r="AZ110" i="14"/>
  <c r="Z10" i="14" s="1"/>
  <c r="AX110" i="14"/>
  <c r="BA110" i="14"/>
  <c r="AY110" i="14"/>
  <c r="AR110" i="14"/>
  <c r="AQ110" i="14"/>
  <c r="Z9" i="14" s="1"/>
  <c r="AS110" i="14"/>
  <c r="AO110" i="14"/>
  <c r="AP110" i="14"/>
  <c r="AK110" i="14"/>
  <c r="AB110" i="14"/>
  <c r="BQ110" i="14"/>
  <c r="CJ110" i="14"/>
  <c r="Z14" i="14" s="1"/>
  <c r="CK110" i="14"/>
  <c r="CM110" i="14"/>
  <c r="R110" i="14"/>
  <c r="BR110" i="14"/>
  <c r="Z12" i="14" s="1"/>
  <c r="H110" i="14"/>
  <c r="G110" i="14"/>
  <c r="Z5" i="14" s="1"/>
  <c r="X110" i="14"/>
  <c r="S110" i="14"/>
  <c r="AA110" i="14"/>
  <c r="O110" i="14"/>
  <c r="AH110" i="14"/>
  <c r="Z8" i="14" s="1"/>
  <c r="BU110" i="14"/>
  <c r="CH110" i="14"/>
  <c r="BS110" i="14"/>
  <c r="CL110" i="14"/>
  <c r="AI110" i="14"/>
  <c r="CI110" i="14"/>
  <c r="F110" i="14"/>
  <c r="BT110" i="14"/>
  <c r="BP110" i="14"/>
  <c r="Z110" i="14"/>
  <c r="P110" i="14"/>
  <c r="Z6" i="14" s="1"/>
  <c r="Y110" i="14"/>
  <c r="Z7" i="14" s="1"/>
  <c r="I110" i="14"/>
  <c r="AF110" i="14"/>
  <c r="W110" i="14"/>
  <c r="AG110" i="14"/>
  <c r="N110" i="14"/>
  <c r="J110" i="14"/>
  <c r="AJ110" i="14"/>
  <c r="E110" i="14"/>
  <c r="Q110" i="14"/>
  <c r="BL111" i="14" l="1"/>
  <c r="BK111" i="14"/>
  <c r="BI111" i="14"/>
  <c r="BH111" i="14"/>
  <c r="BJ112" i="14" s="1"/>
  <c r="BG111" i="14"/>
  <c r="CB111" i="14"/>
  <c r="AA13" i="14"/>
  <c r="AA7" i="14"/>
  <c r="AA6" i="14"/>
  <c r="AA9" i="14"/>
  <c r="AA5" i="14"/>
  <c r="AA8" i="14"/>
  <c r="AA12" i="14"/>
  <c r="AA10" i="14"/>
  <c r="AA14" i="14"/>
  <c r="AT111" i="14"/>
  <c r="BY111" i="14"/>
  <c r="CD111" i="14"/>
  <c r="CC111" i="14"/>
  <c r="BZ111" i="14"/>
  <c r="CA111" i="14"/>
  <c r="BC111" i="14"/>
  <c r="BA111" i="14"/>
  <c r="AX111" i="14"/>
  <c r="AZ111" i="14"/>
  <c r="AY111" i="14"/>
  <c r="BB111" i="14"/>
  <c r="AS111" i="14"/>
  <c r="AP111" i="14"/>
  <c r="AO111" i="14"/>
  <c r="AQ111" i="14"/>
  <c r="AR111" i="14"/>
  <c r="AI111" i="14"/>
  <c r="AK111" i="14"/>
  <c r="BL112" i="14"/>
  <c r="BS111" i="14"/>
  <c r="CM111" i="14"/>
  <c r="BR111" i="14"/>
  <c r="CL111" i="14"/>
  <c r="I111" i="14"/>
  <c r="H111" i="14"/>
  <c r="BU111" i="14"/>
  <c r="J111" i="14"/>
  <c r="Z111" i="14"/>
  <c r="W111" i="14"/>
  <c r="AA111" i="14"/>
  <c r="S111" i="14"/>
  <c r="AJ111" i="14"/>
  <c r="CH111" i="14"/>
  <c r="Q111" i="14"/>
  <c r="P111" i="14"/>
  <c r="G111" i="14"/>
  <c r="BT111" i="14"/>
  <c r="CI111" i="14"/>
  <c r="E111" i="14"/>
  <c r="BQ111" i="14"/>
  <c r="R111" i="14"/>
  <c r="AF111" i="14"/>
  <c r="CK111" i="14"/>
  <c r="BP111" i="14"/>
  <c r="CJ111" i="14"/>
  <c r="N111" i="14"/>
  <c r="X111" i="14"/>
  <c r="AG111" i="14"/>
  <c r="AH111" i="14"/>
  <c r="Y111" i="14"/>
  <c r="AB111" i="14"/>
  <c r="O111" i="14"/>
  <c r="F111" i="14"/>
  <c r="BK112" i="14" l="1"/>
  <c r="AT112" i="14"/>
  <c r="BI112" i="14"/>
  <c r="BL113" i="14" s="1"/>
  <c r="BH112" i="14"/>
  <c r="BG112" i="14"/>
  <c r="CB112" i="14"/>
  <c r="CD112" i="14"/>
  <c r="CA112" i="14"/>
  <c r="BZ112" i="14"/>
  <c r="BY112" i="14"/>
  <c r="CC112" i="14"/>
  <c r="BC112" i="14"/>
  <c r="BA112" i="14"/>
  <c r="AZ112" i="14"/>
  <c r="AY112" i="14"/>
  <c r="AX112" i="14"/>
  <c r="BB112" i="14"/>
  <c r="AR112" i="14"/>
  <c r="AP112" i="14"/>
  <c r="AQ112" i="14"/>
  <c r="AO112" i="14"/>
  <c r="AS112" i="14"/>
  <c r="BS112" i="14"/>
  <c r="BU112" i="14"/>
  <c r="BT112" i="14"/>
  <c r="Z112" i="14"/>
  <c r="J112" i="14"/>
  <c r="I112" i="14"/>
  <c r="CI112" i="14"/>
  <c r="Y112" i="14"/>
  <c r="AB112" i="14"/>
  <c r="S112" i="14"/>
  <c r="BP112" i="14"/>
  <c r="BQ112" i="14"/>
  <c r="R112" i="14"/>
  <c r="P112" i="14"/>
  <c r="F112" i="14"/>
  <c r="CK112" i="14"/>
  <c r="BR112" i="14"/>
  <c r="AF112" i="14"/>
  <c r="O112" i="14"/>
  <c r="CM112" i="14"/>
  <c r="CJ112" i="14"/>
  <c r="CH112" i="14"/>
  <c r="CL112" i="14"/>
  <c r="AG112" i="14"/>
  <c r="N112" i="14"/>
  <c r="AJ112" i="14"/>
  <c r="H112" i="14"/>
  <c r="AA112" i="14"/>
  <c r="AI112" i="14"/>
  <c r="G112" i="14"/>
  <c r="W112" i="14"/>
  <c r="E112" i="14"/>
  <c r="Q112" i="14"/>
  <c r="AH112" i="14"/>
  <c r="AK112" i="14"/>
  <c r="X112" i="14"/>
  <c r="BK113" i="14" l="1"/>
  <c r="BI113" i="14"/>
  <c r="AT113" i="14"/>
  <c r="BJ113" i="14"/>
  <c r="BG113" i="14"/>
  <c r="BH113" i="14"/>
  <c r="CB113" i="14"/>
  <c r="CC113" i="14"/>
  <c r="CD113" i="14"/>
  <c r="BY113" i="14"/>
  <c r="CA113" i="14"/>
  <c r="BZ113" i="14"/>
  <c r="BC113" i="14"/>
  <c r="AZ113" i="14"/>
  <c r="AX113" i="14"/>
  <c r="BA113" i="14"/>
  <c r="BB113" i="14"/>
  <c r="AY113" i="14"/>
  <c r="AR113" i="14"/>
  <c r="AQ113" i="14"/>
  <c r="AS113" i="14"/>
  <c r="AP113" i="14"/>
  <c r="AO113" i="14"/>
  <c r="BU113" i="14"/>
  <c r="CK113" i="14"/>
  <c r="S113" i="14"/>
  <c r="AB113" i="14"/>
  <c r="AH113" i="14"/>
  <c r="AA113" i="14"/>
  <c r="P113" i="14"/>
  <c r="BQ113" i="14"/>
  <c r="BS113" i="14"/>
  <c r="H113" i="14"/>
  <c r="BP113" i="14"/>
  <c r="CM113" i="14"/>
  <c r="CH113" i="14"/>
  <c r="CJ113" i="14"/>
  <c r="G113" i="14"/>
  <c r="BT113" i="14"/>
  <c r="BR113" i="14"/>
  <c r="F113" i="14"/>
  <c r="AI113" i="14"/>
  <c r="CL113" i="14"/>
  <c r="CI113" i="14"/>
  <c r="X113" i="14"/>
  <c r="E113" i="14"/>
  <c r="N113" i="14"/>
  <c r="I113" i="14"/>
  <c r="Q113" i="14"/>
  <c r="R113" i="14"/>
  <c r="AG113" i="14"/>
  <c r="AJ113" i="14"/>
  <c r="Z113" i="14"/>
  <c r="BL114" i="14"/>
  <c r="J113" i="14"/>
  <c r="Y113" i="14"/>
  <c r="O113" i="14"/>
  <c r="AK113" i="14"/>
  <c r="W113" i="14"/>
  <c r="AF113" i="14"/>
  <c r="BK114" i="14" l="1"/>
  <c r="BJ114" i="14"/>
  <c r="AT114" i="14"/>
  <c r="BI114" i="14"/>
  <c r="BG114" i="14"/>
  <c r="BH114" i="14"/>
  <c r="CB114" i="14"/>
  <c r="CC114" i="14"/>
  <c r="CA114" i="14"/>
  <c r="BZ114" i="14"/>
  <c r="CD114" i="14"/>
  <c r="BY114" i="14"/>
  <c r="BA114" i="14"/>
  <c r="BC114" i="14"/>
  <c r="BB114" i="14"/>
  <c r="AY114" i="14"/>
  <c r="AZ114" i="14"/>
  <c r="AX114" i="14"/>
  <c r="AR114" i="14"/>
  <c r="AQ114" i="14"/>
  <c r="AS114" i="14"/>
  <c r="AP114" i="14"/>
  <c r="AO114" i="14"/>
  <c r="H114" i="14"/>
  <c r="BT114" i="14"/>
  <c r="BU114" i="14"/>
  <c r="CK114" i="14"/>
  <c r="AI114" i="14"/>
  <c r="CM114" i="14"/>
  <c r="S114" i="14"/>
  <c r="AK114" i="14"/>
  <c r="BS114" i="14"/>
  <c r="AH114" i="14"/>
  <c r="AJ114" i="14"/>
  <c r="G114" i="14"/>
  <c r="CL114" i="14"/>
  <c r="BP114" i="14"/>
  <c r="BQ114" i="14"/>
  <c r="I114" i="14"/>
  <c r="J114" i="14"/>
  <c r="BR114" i="14"/>
  <c r="F114" i="14"/>
  <c r="R114" i="14"/>
  <c r="CI114" i="14"/>
  <c r="E114" i="14"/>
  <c r="CH114" i="14"/>
  <c r="AF114" i="14"/>
  <c r="CJ114" i="14"/>
  <c r="W114" i="14"/>
  <c r="Z114" i="14"/>
  <c r="AA114" i="14"/>
  <c r="BL115" i="14"/>
  <c r="Q114" i="14"/>
  <c r="O114" i="14"/>
  <c r="P114" i="14"/>
  <c r="X114" i="14"/>
  <c r="AG114" i="14"/>
  <c r="Y114" i="14"/>
  <c r="AB114" i="14"/>
  <c r="N114" i="14"/>
  <c r="AT115" i="14" l="1"/>
  <c r="BK115" i="14"/>
  <c r="BJ115" i="14"/>
  <c r="BH115" i="14"/>
  <c r="BG115" i="14"/>
  <c r="BI115" i="14"/>
  <c r="BL116" i="14" s="1"/>
  <c r="CB115" i="14"/>
  <c r="CD115" i="14"/>
  <c r="CA115" i="14"/>
  <c r="BZ115" i="14"/>
  <c r="CC115" i="14"/>
  <c r="BY115" i="14"/>
  <c r="BC115" i="14"/>
  <c r="BA115" i="14"/>
  <c r="BB115" i="14"/>
  <c r="AX115" i="14"/>
  <c r="AY115" i="14"/>
  <c r="AZ115" i="14"/>
  <c r="AR115" i="14"/>
  <c r="AO115" i="14"/>
  <c r="AS115" i="14"/>
  <c r="AQ115" i="14"/>
  <c r="AP115" i="14"/>
  <c r="CJ115" i="14"/>
  <c r="I115" i="14"/>
  <c r="CK115" i="14"/>
  <c r="AK115" i="14"/>
  <c r="BS115" i="14"/>
  <c r="AJ115" i="14"/>
  <c r="G115" i="14"/>
  <c r="CI115" i="14"/>
  <c r="J115" i="14"/>
  <c r="CH115" i="14"/>
  <c r="BR115" i="14"/>
  <c r="H115" i="14"/>
  <c r="E115" i="14"/>
  <c r="CL115" i="14"/>
  <c r="F115" i="14"/>
  <c r="CM115" i="14"/>
  <c r="BP115" i="14"/>
  <c r="Z115" i="14"/>
  <c r="Q115" i="14"/>
  <c r="BU115" i="14"/>
  <c r="BT115" i="14"/>
  <c r="BQ115" i="14"/>
  <c r="AG115" i="14"/>
  <c r="Y115" i="14"/>
  <c r="AI115" i="14"/>
  <c r="N115" i="14"/>
  <c r="R115" i="14"/>
  <c r="P115" i="14"/>
  <c r="S115" i="14"/>
  <c r="O115" i="14"/>
  <c r="AB115" i="14"/>
  <c r="AH115" i="14"/>
  <c r="W115" i="14"/>
  <c r="AF115" i="14"/>
  <c r="AA115" i="14"/>
  <c r="X115" i="14"/>
  <c r="BI116" i="14" l="1"/>
  <c r="BL117" i="14" s="1"/>
  <c r="BJ116" i="14"/>
  <c r="BK116" i="14"/>
  <c r="BG116" i="14"/>
  <c r="BH116" i="14"/>
  <c r="CB116" i="14"/>
  <c r="CA116" i="14"/>
  <c r="CC116" i="14"/>
  <c r="CD116" i="14"/>
  <c r="BZ116" i="14"/>
  <c r="BA116" i="14"/>
  <c r="BY116" i="14"/>
  <c r="AY116" i="14"/>
  <c r="AZ116" i="14"/>
  <c r="AX116" i="14"/>
  <c r="BC116" i="14"/>
  <c r="BB116" i="14"/>
  <c r="AR116" i="14"/>
  <c r="AQ116" i="14"/>
  <c r="AS116" i="14"/>
  <c r="AO116" i="14"/>
  <c r="AP116" i="14"/>
  <c r="AT116" i="14"/>
  <c r="CL116" i="14"/>
  <c r="CJ116" i="14"/>
  <c r="CM116" i="14"/>
  <c r="J116" i="14"/>
  <c r="I116" i="14"/>
  <c r="BS116" i="14"/>
  <c r="CK116" i="14"/>
  <c r="BT116" i="14"/>
  <c r="F116" i="14"/>
  <c r="BU116" i="14"/>
  <c r="E116" i="14"/>
  <c r="BP116" i="14"/>
  <c r="G116" i="14"/>
  <c r="AA116" i="14"/>
  <c r="CH116" i="14"/>
  <c r="CI116" i="14"/>
  <c r="Q116" i="14"/>
  <c r="BQ116" i="14"/>
  <c r="H116" i="14"/>
  <c r="BR116" i="14"/>
  <c r="X116" i="14"/>
  <c r="AB116" i="14"/>
  <c r="S116" i="14"/>
  <c r="R116" i="14"/>
  <c r="AI116" i="14"/>
  <c r="AJ116" i="14"/>
  <c r="AF116" i="14"/>
  <c r="AG116" i="14"/>
  <c r="P116" i="14"/>
  <c r="W116" i="14"/>
  <c r="O116" i="14"/>
  <c r="Z116" i="14"/>
  <c r="N116" i="14"/>
  <c r="Y116" i="14"/>
  <c r="AH116" i="14"/>
  <c r="AK116" i="14"/>
  <c r="BJ117" i="14" l="1"/>
  <c r="BK117" i="14"/>
  <c r="BI117" i="14"/>
  <c r="BL118" i="14" s="1"/>
  <c r="BG117" i="14"/>
  <c r="BH117" i="14"/>
  <c r="CB117" i="14"/>
  <c r="BZ117" i="14"/>
  <c r="CC117" i="14"/>
  <c r="CD117" i="14"/>
  <c r="BY117" i="14"/>
  <c r="CA117" i="14"/>
  <c r="BA117" i="14"/>
  <c r="BB117" i="14"/>
  <c r="AZ117" i="14"/>
  <c r="BC117" i="14"/>
  <c r="AY117" i="14"/>
  <c r="AX117" i="14"/>
  <c r="AS117" i="14"/>
  <c r="AT117" i="14"/>
  <c r="AP117" i="14"/>
  <c r="AO117" i="14"/>
  <c r="AR117" i="14"/>
  <c r="AQ117" i="14"/>
  <c r="J117" i="14"/>
  <c r="CM117" i="14"/>
  <c r="CL117" i="14"/>
  <c r="BS117" i="14"/>
  <c r="Z117" i="14"/>
  <c r="BT117" i="14"/>
  <c r="CH117" i="14"/>
  <c r="H117" i="14"/>
  <c r="CK117" i="14"/>
  <c r="CI117" i="14"/>
  <c r="BQ117" i="14"/>
  <c r="G117" i="14"/>
  <c r="CJ117" i="14"/>
  <c r="BU117" i="14"/>
  <c r="BR117" i="14"/>
  <c r="F117" i="14"/>
  <c r="E117" i="14"/>
  <c r="BP117" i="14"/>
  <c r="Y117" i="14"/>
  <c r="I117" i="14"/>
  <c r="S117" i="14"/>
  <c r="N117" i="14"/>
  <c r="AK117" i="14"/>
  <c r="R117" i="14"/>
  <c r="W117" i="14"/>
  <c r="AA117" i="14"/>
  <c r="AB117" i="14"/>
  <c r="AH117" i="14"/>
  <c r="AG117" i="14"/>
  <c r="AI117" i="14"/>
  <c r="AF117" i="14"/>
  <c r="P117" i="14"/>
  <c r="AJ117" i="14"/>
  <c r="X117" i="14"/>
  <c r="O117" i="14"/>
  <c r="Q117" i="14"/>
  <c r="BK118" i="14" l="1"/>
  <c r="BI118" i="14"/>
  <c r="CB118" i="14"/>
  <c r="BJ118" i="14"/>
  <c r="BG118" i="14"/>
  <c r="BH118" i="14"/>
  <c r="BI119" i="14" s="1"/>
  <c r="CA118" i="14"/>
  <c r="CC118" i="14"/>
  <c r="CD118" i="14"/>
  <c r="BY118" i="14"/>
  <c r="BZ118" i="14"/>
  <c r="BB118" i="14"/>
  <c r="AZ118" i="14"/>
  <c r="BC118" i="14"/>
  <c r="AX118" i="14"/>
  <c r="BA118" i="14"/>
  <c r="AY118" i="14"/>
  <c r="AT118" i="14"/>
  <c r="AQ118" i="14"/>
  <c r="AO118" i="14"/>
  <c r="AR118" i="14"/>
  <c r="AP118" i="14"/>
  <c r="AS118" i="14"/>
  <c r="AA118" i="14"/>
  <c r="I118" i="14"/>
  <c r="J118" i="14"/>
  <c r="AB118" i="14"/>
  <c r="BU118" i="14"/>
  <c r="CM118" i="14"/>
  <c r="BS118" i="14"/>
  <c r="CL118" i="14"/>
  <c r="BT118" i="14"/>
  <c r="CI118" i="14"/>
  <c r="BP118" i="14"/>
  <c r="BL119" i="14"/>
  <c r="G118" i="14"/>
  <c r="CK118" i="14"/>
  <c r="BQ118" i="14"/>
  <c r="CJ118" i="14"/>
  <c r="CH118" i="14"/>
  <c r="BR118" i="14"/>
  <c r="H118" i="14"/>
  <c r="E118" i="14"/>
  <c r="F118" i="14"/>
  <c r="AK118" i="14"/>
  <c r="R118" i="14"/>
  <c r="AG118" i="14"/>
  <c r="X118" i="14"/>
  <c r="O118" i="14"/>
  <c r="AI118" i="14"/>
  <c r="Z118" i="14"/>
  <c r="P118" i="14"/>
  <c r="S118" i="14"/>
  <c r="N118" i="14"/>
  <c r="Y118" i="14"/>
  <c r="AH118" i="14"/>
  <c r="W118" i="14"/>
  <c r="Q118" i="14"/>
  <c r="AJ118" i="14"/>
  <c r="AF118" i="14"/>
  <c r="BK119" i="14" l="1"/>
  <c r="BH119" i="14"/>
  <c r="BI120" i="14" s="1"/>
  <c r="BG119" i="14"/>
  <c r="BJ119" i="14"/>
  <c r="CD119" i="14"/>
  <c r="CA119" i="14"/>
  <c r="CC119" i="14"/>
  <c r="BZ119" i="14"/>
  <c r="BY119" i="14"/>
  <c r="CB119" i="14"/>
  <c r="BC119" i="14"/>
  <c r="AZ119" i="14"/>
  <c r="BB119" i="14"/>
  <c r="AY119" i="14"/>
  <c r="AX119" i="14"/>
  <c r="BA119" i="14"/>
  <c r="AT119" i="14"/>
  <c r="AS119" i="14"/>
  <c r="AP119" i="14"/>
  <c r="AR119" i="14"/>
  <c r="AQ119" i="14"/>
  <c r="AO119" i="14"/>
  <c r="BS119" i="14"/>
  <c r="CM119" i="14"/>
  <c r="J119" i="14"/>
  <c r="CK119" i="14"/>
  <c r="CI119" i="14"/>
  <c r="F119" i="14"/>
  <c r="BR119" i="14"/>
  <c r="BL120" i="14"/>
  <c r="CH119" i="14"/>
  <c r="BP119" i="14"/>
  <c r="E119" i="14"/>
  <c r="CJ119" i="14"/>
  <c r="CL119" i="14"/>
  <c r="BT119" i="14"/>
  <c r="H119" i="14"/>
  <c r="BQ119" i="14"/>
  <c r="BU119" i="14"/>
  <c r="G119" i="14"/>
  <c r="I119" i="14"/>
  <c r="Q119" i="14"/>
  <c r="P119" i="14"/>
  <c r="W119" i="14"/>
  <c r="AI119" i="14"/>
  <c r="AG119" i="14"/>
  <c r="AJ119" i="14"/>
  <c r="AH119" i="14"/>
  <c r="AK119" i="14"/>
  <c r="Y119" i="14"/>
  <c r="AB119" i="14"/>
  <c r="S119" i="14"/>
  <c r="N119" i="14"/>
  <c r="AF119" i="14"/>
  <c r="Z119" i="14"/>
  <c r="AA119" i="14"/>
  <c r="O119" i="14"/>
  <c r="X119" i="14"/>
  <c r="R119" i="14"/>
  <c r="BH120" i="14" l="1"/>
  <c r="BK120" i="14"/>
  <c r="BJ120" i="14"/>
  <c r="BK121" i="14" s="1"/>
  <c r="BG120" i="14"/>
  <c r="CD120" i="14"/>
  <c r="CA120" i="14"/>
  <c r="CC120" i="14"/>
  <c r="CB120" i="14"/>
  <c r="BY120" i="14"/>
  <c r="BZ120" i="14"/>
  <c r="BC120" i="14"/>
  <c r="BB120" i="14"/>
  <c r="AZ120" i="14"/>
  <c r="AY120" i="14"/>
  <c r="BA120" i="14"/>
  <c r="AX120" i="14"/>
  <c r="AT120" i="14"/>
  <c r="AR120" i="14"/>
  <c r="AQ120" i="14"/>
  <c r="AP120" i="14"/>
  <c r="AS120" i="14"/>
  <c r="AO120" i="14"/>
  <c r="BS120" i="14"/>
  <c r="CM120" i="14"/>
  <c r="CK120" i="14"/>
  <c r="S120" i="14"/>
  <c r="BR120" i="14"/>
  <c r="H120" i="14"/>
  <c r="G120" i="14"/>
  <c r="BU120" i="14"/>
  <c r="BP120" i="14"/>
  <c r="E120" i="14"/>
  <c r="BL121" i="14"/>
  <c r="BT120" i="14"/>
  <c r="BQ120" i="14"/>
  <c r="BI121" i="14"/>
  <c r="I120" i="14"/>
  <c r="CH120" i="14"/>
  <c r="CJ120" i="14"/>
  <c r="CI120" i="14"/>
  <c r="CL120" i="14"/>
  <c r="R120" i="14"/>
  <c r="Q120" i="14"/>
  <c r="J120" i="14"/>
  <c r="F120" i="14"/>
  <c r="AB120" i="14"/>
  <c r="AI120" i="14"/>
  <c r="AA120" i="14"/>
  <c r="BG121" i="14"/>
  <c r="AH120" i="14"/>
  <c r="BH121" i="14"/>
  <c r="O120" i="14"/>
  <c r="P120" i="14"/>
  <c r="AK120" i="14"/>
  <c r="N120" i="14"/>
  <c r="Z120" i="14"/>
  <c r="W120" i="14"/>
  <c r="AJ120" i="14"/>
  <c r="X120" i="14"/>
  <c r="AF120" i="14"/>
  <c r="Y120" i="14"/>
  <c r="AG120" i="14"/>
  <c r="BJ121" i="14" l="1"/>
  <c r="BG122" i="14" s="1"/>
  <c r="CB121" i="14"/>
  <c r="CD121" i="14"/>
  <c r="CC121" i="14"/>
  <c r="CA121" i="14"/>
  <c r="BZ121" i="14"/>
  <c r="CB122" i="14" s="1"/>
  <c r="BY121" i="14"/>
  <c r="AY121" i="14"/>
  <c r="BC121" i="14"/>
  <c r="AT121" i="14"/>
  <c r="AZ121" i="14"/>
  <c r="AX121" i="14"/>
  <c r="BA121" i="14"/>
  <c r="BB121" i="14"/>
  <c r="BI122" i="14"/>
  <c r="BL122" i="14"/>
  <c r="BJ122" i="14"/>
  <c r="BK122" i="14"/>
  <c r="AR121" i="14"/>
  <c r="AQ121" i="14"/>
  <c r="AP121" i="14"/>
  <c r="AS121" i="14"/>
  <c r="AO121" i="14"/>
  <c r="BT121" i="14"/>
  <c r="CK121" i="14"/>
  <c r="J121" i="14"/>
  <c r="CM121" i="14"/>
  <c r="G121" i="14"/>
  <c r="S121" i="14"/>
  <c r="I121" i="14"/>
  <c r="E121" i="14"/>
  <c r="BQ121" i="14"/>
  <c r="BU121" i="14"/>
  <c r="H121" i="14"/>
  <c r="BR121" i="14"/>
  <c r="BP121" i="14"/>
  <c r="BS121" i="14"/>
  <c r="F121" i="14"/>
  <c r="CL121" i="14"/>
  <c r="Q121" i="14"/>
  <c r="CJ121" i="14"/>
  <c r="CI121" i="14"/>
  <c r="CH121" i="14"/>
  <c r="Z121" i="14"/>
  <c r="W121" i="14"/>
  <c r="N121" i="14"/>
  <c r="AK121" i="14"/>
  <c r="AJ121" i="14"/>
  <c r="AA121" i="14"/>
  <c r="AG121" i="14"/>
  <c r="Y121" i="14"/>
  <c r="P121" i="14"/>
  <c r="AF121" i="14"/>
  <c r="O121" i="14"/>
  <c r="AH121" i="14"/>
  <c r="AB121" i="14"/>
  <c r="AI121" i="14"/>
  <c r="X121" i="14"/>
  <c r="R121" i="14"/>
  <c r="BH122" i="14" l="1"/>
  <c r="BI123" i="14" s="1"/>
  <c r="CA122" i="14"/>
  <c r="CD122" i="14"/>
  <c r="CC122" i="14"/>
  <c r="BZ122" i="14"/>
  <c r="CB123" i="14" s="1"/>
  <c r="BY122" i="14"/>
  <c r="BC122" i="14"/>
  <c r="AZ122" i="14"/>
  <c r="BA122" i="14"/>
  <c r="AX122" i="14"/>
  <c r="BB122" i="14"/>
  <c r="AY122" i="14"/>
  <c r="BK123" i="14"/>
  <c r="BL123" i="14"/>
  <c r="CL122" i="14"/>
  <c r="BS122" i="14"/>
  <c r="BR122" i="14"/>
  <c r="CM122" i="14"/>
  <c r="Y122" i="14"/>
  <c r="CH122" i="14"/>
  <c r="AI122" i="14"/>
  <c r="AB122" i="14"/>
  <c r="AH122" i="14"/>
  <c r="O122" i="14"/>
  <c r="N122" i="14"/>
  <c r="F122" i="14"/>
  <c r="I122" i="14"/>
  <c r="AO122" i="14"/>
  <c r="AF122" i="14"/>
  <c r="AS122" i="14"/>
  <c r="Z122" i="14"/>
  <c r="BP122" i="14"/>
  <c r="AP122" i="14"/>
  <c r="P122" i="14"/>
  <c r="R122" i="14"/>
  <c r="AQ122" i="14"/>
  <c r="AT122" i="14"/>
  <c r="X122" i="14"/>
  <c r="AG122" i="14"/>
  <c r="CI122" i="14"/>
  <c r="H122" i="14"/>
  <c r="J122" i="14"/>
  <c r="AA122" i="14"/>
  <c r="CJ122" i="14"/>
  <c r="BU122" i="14"/>
  <c r="CK122" i="14"/>
  <c r="AR122" i="14"/>
  <c r="AJ122" i="14"/>
  <c r="Q122" i="14"/>
  <c r="BQ122" i="14"/>
  <c r="AK122" i="14"/>
  <c r="E122" i="14"/>
  <c r="BT122" i="14"/>
  <c r="W122" i="14"/>
  <c r="S122" i="14"/>
  <c r="G122" i="14"/>
  <c r="BG123" i="14" l="1"/>
  <c r="BJ123" i="14"/>
  <c r="BH123" i="14"/>
  <c r="CD123" i="14"/>
  <c r="CC123" i="14"/>
  <c r="BC123" i="14"/>
  <c r="CA123" i="14"/>
  <c r="BY123" i="14"/>
  <c r="BZ123" i="14"/>
  <c r="AZ123" i="14"/>
  <c r="BC124" i="14" s="1"/>
  <c r="BB123" i="14"/>
  <c r="BL124" i="14"/>
  <c r="BK124" i="14"/>
  <c r="S123" i="14"/>
  <c r="BA123" i="14"/>
  <c r="AY123" i="14"/>
  <c r="AX123" i="14"/>
  <c r="BT123" i="14"/>
  <c r="BU123" i="14"/>
  <c r="Z123" i="14"/>
  <c r="AK123" i="14"/>
  <c r="AJ123" i="14"/>
  <c r="AR123" i="14"/>
  <c r="AI123" i="14"/>
  <c r="AT123" i="14"/>
  <c r="AB123" i="14"/>
  <c r="AP123" i="14"/>
  <c r="F123" i="14"/>
  <c r="Q123" i="14"/>
  <c r="AA123" i="14"/>
  <c r="W123" i="14"/>
  <c r="P123" i="14"/>
  <c r="I123" i="14"/>
  <c r="H123" i="14"/>
  <c r="CK123" i="14"/>
  <c r="AF123" i="14"/>
  <c r="G123" i="14"/>
  <c r="BQ123" i="14"/>
  <c r="CJ123" i="14"/>
  <c r="BH124" i="14"/>
  <c r="BP123" i="14"/>
  <c r="AQ123" i="14"/>
  <c r="BS123" i="14"/>
  <c r="BI124" i="14"/>
  <c r="AD11" i="14" s="1"/>
  <c r="AE11" i="14" s="1"/>
  <c r="O123" i="14"/>
  <c r="J123" i="14"/>
  <c r="BG124" i="14"/>
  <c r="E123" i="14"/>
  <c r="CI123" i="14"/>
  <c r="CM123" i="14"/>
  <c r="CL123" i="14"/>
  <c r="AG123" i="14"/>
  <c r="BR123" i="14"/>
  <c r="N123" i="14"/>
  <c r="X123" i="14"/>
  <c r="R123" i="14"/>
  <c r="BJ124" i="14"/>
  <c r="AS123" i="14"/>
  <c r="AO123" i="14"/>
  <c r="AH123" i="14"/>
  <c r="CH123" i="14"/>
  <c r="Y123" i="14"/>
  <c r="CC124" i="14" l="1"/>
  <c r="CD124" i="14"/>
  <c r="CA124" i="14"/>
  <c r="AD13" i="14" s="1"/>
  <c r="AE13" i="14" s="1"/>
  <c r="BZ124" i="14"/>
  <c r="CB124" i="14"/>
  <c r="BY124" i="14"/>
  <c r="AZ124" i="14"/>
  <c r="AD10" i="14" s="1"/>
  <c r="AE10" i="14" s="1"/>
  <c r="BB124" i="14"/>
  <c r="S124" i="14"/>
  <c r="H124" i="14"/>
  <c r="BA124" i="14"/>
  <c r="AY124" i="14"/>
  <c r="AX124" i="14"/>
  <c r="AR124" i="14"/>
  <c r="CM124" i="14"/>
  <c r="G124" i="14"/>
  <c r="AD5" i="14" s="1"/>
  <c r="AE5" i="14" s="1"/>
  <c r="AH124" i="14"/>
  <c r="AD8" i="14" s="1"/>
  <c r="AE8" i="14" s="1"/>
  <c r="BJ125" i="14"/>
  <c r="W124" i="14"/>
  <c r="AI124" i="14"/>
  <c r="BR124" i="14"/>
  <c r="AD12" i="14" s="1"/>
  <c r="AE12" i="14" s="1"/>
  <c r="R124" i="14"/>
  <c r="J124" i="14"/>
  <c r="I124" i="14"/>
  <c r="CI124" i="14"/>
  <c r="AQ124" i="14"/>
  <c r="AD9" i="14" s="1"/>
  <c r="AE9" i="14" s="1"/>
  <c r="E124" i="14"/>
  <c r="AO124" i="14"/>
  <c r="AS124" i="14"/>
  <c r="O124" i="14"/>
  <c r="AT124" i="14"/>
  <c r="AG124" i="14"/>
  <c r="BI125" i="14"/>
  <c r="X124" i="14"/>
  <c r="CL124" i="14"/>
  <c r="BS124" i="14"/>
  <c r="CJ124" i="14"/>
  <c r="AD14" i="14" s="1"/>
  <c r="AE14" i="14" s="1"/>
  <c r="N124" i="14"/>
  <c r="AA124" i="14"/>
  <c r="AJ124" i="14"/>
  <c r="BU124" i="14"/>
  <c r="CK124" i="14"/>
  <c r="AK124" i="14"/>
  <c r="Q124" i="14"/>
  <c r="BQ124" i="14"/>
  <c r="BK125" i="14"/>
  <c r="BG125" i="14"/>
  <c r="BT124" i="14"/>
  <c r="BL125" i="14"/>
  <c r="AP124" i="14"/>
  <c r="P124" i="14"/>
  <c r="AD6" i="14" s="1"/>
  <c r="AE6" i="14" s="1"/>
  <c r="AF124" i="14"/>
  <c r="Y124" i="14"/>
  <c r="AD7" i="14" s="1"/>
  <c r="AE7" i="14" s="1"/>
  <c r="AB124" i="14"/>
  <c r="Z124" i="14"/>
  <c r="BP124" i="14"/>
  <c r="CH124" i="14"/>
  <c r="BH125" i="14"/>
  <c r="F124" i="14"/>
  <c r="CD125" i="14" l="1"/>
  <c r="CA125" i="14"/>
  <c r="AZ125" i="14"/>
  <c r="CC125" i="14"/>
  <c r="CB125" i="14"/>
  <c r="BY125" i="14"/>
  <c r="BC125" i="14"/>
  <c r="BC126" i="14" s="1"/>
  <c r="BZ125" i="14"/>
  <c r="BB125" i="14"/>
  <c r="AI125" i="14"/>
  <c r="CJ125" i="14"/>
  <c r="AX125" i="14"/>
  <c r="AY125" i="14"/>
  <c r="BA125" i="14"/>
  <c r="AT125" i="14"/>
  <c r="AK125" i="14"/>
  <c r="AJ125" i="14"/>
  <c r="I125" i="14"/>
  <c r="J125" i="14"/>
  <c r="Y125" i="14"/>
  <c r="E125" i="14"/>
  <c r="R125" i="14"/>
  <c r="AS125" i="14"/>
  <c r="CK125" i="14"/>
  <c r="BJ126" i="14"/>
  <c r="BK126" i="14"/>
  <c r="AH125" i="14"/>
  <c r="F125" i="14"/>
  <c r="H125" i="14"/>
  <c r="BL126" i="14"/>
  <c r="BT125" i="14"/>
  <c r="CM125" i="14"/>
  <c r="BU125" i="14"/>
  <c r="AF125" i="14"/>
  <c r="BP125" i="14"/>
  <c r="BQ125" i="14"/>
  <c r="AP125" i="14"/>
  <c r="Q125" i="14"/>
  <c r="Z125" i="14"/>
  <c r="AA125" i="14"/>
  <c r="AB125" i="14"/>
  <c r="CD126" i="14"/>
  <c r="BG126" i="14"/>
  <c r="AG125" i="14"/>
  <c r="CH125" i="14"/>
  <c r="N125" i="14"/>
  <c r="P125" i="14"/>
  <c r="S125" i="14"/>
  <c r="AO125" i="14"/>
  <c r="O125" i="14"/>
  <c r="BH126" i="14"/>
  <c r="X125" i="14"/>
  <c r="CI125" i="14"/>
  <c r="AQ125" i="14"/>
  <c r="AR125" i="14"/>
  <c r="CL125" i="14"/>
  <c r="G125" i="14"/>
  <c r="BR125" i="14"/>
  <c r="BS125" i="14"/>
  <c r="BI126" i="14"/>
  <c r="W125" i="14"/>
  <c r="CC126" i="14" l="1"/>
  <c r="BY126" i="14"/>
  <c r="BZ126" i="14"/>
  <c r="CA126" i="14"/>
  <c r="CD127" i="14" s="1"/>
  <c r="CB126" i="14"/>
  <c r="BB126" i="14"/>
  <c r="CM126" i="14"/>
  <c r="AK126" i="14"/>
  <c r="BA126" i="14"/>
  <c r="AZ126" i="14"/>
  <c r="BC127" i="14" s="1"/>
  <c r="AX126" i="14"/>
  <c r="AY126" i="14"/>
  <c r="AB126" i="14"/>
  <c r="AH126" i="14"/>
  <c r="I126" i="14"/>
  <c r="AJ126" i="14"/>
  <c r="CL126" i="14"/>
  <c r="AR126" i="14"/>
  <c r="BH127" i="14"/>
  <c r="AA126" i="14"/>
  <c r="H126" i="14"/>
  <c r="F126" i="14"/>
  <c r="BS126" i="14"/>
  <c r="Z126" i="14"/>
  <c r="R126" i="14"/>
  <c r="BR126" i="14"/>
  <c r="W126" i="14"/>
  <c r="O126" i="14"/>
  <c r="AP126" i="14"/>
  <c r="CI126" i="14"/>
  <c r="P126" i="14"/>
  <c r="BI127" i="14"/>
  <c r="BP126" i="14"/>
  <c r="BK127" i="14"/>
  <c r="CH126" i="14"/>
  <c r="AQ126" i="14"/>
  <c r="AT126" i="14"/>
  <c r="BQ126" i="14"/>
  <c r="AG126" i="14"/>
  <c r="AI126" i="14"/>
  <c r="CJ126" i="14"/>
  <c r="CK126" i="14"/>
  <c r="G126" i="14"/>
  <c r="J126" i="14"/>
  <c r="X126" i="14"/>
  <c r="AO126" i="14"/>
  <c r="BU126" i="14"/>
  <c r="BL127" i="14"/>
  <c r="Y126" i="14"/>
  <c r="AS126" i="14"/>
  <c r="N126" i="14"/>
  <c r="E126" i="14"/>
  <c r="Q126" i="14"/>
  <c r="AF126" i="14"/>
  <c r="S126" i="14"/>
  <c r="BG127" i="14"/>
  <c r="BT126" i="14"/>
  <c r="BJ127" i="14"/>
  <c r="CA127" i="14" l="1"/>
  <c r="CD128" i="14" s="1"/>
  <c r="CB127" i="14"/>
  <c r="CC127" i="14"/>
  <c r="BZ127" i="14"/>
  <c r="BY127" i="14"/>
  <c r="AZ127" i="14"/>
  <c r="BC128" i="14" s="1"/>
  <c r="BB127" i="14"/>
  <c r="BA127" i="14"/>
  <c r="AY127" i="14"/>
  <c r="AX127" i="14"/>
  <c r="AK127" i="14"/>
  <c r="BJ128" i="14"/>
  <c r="AR127" i="14"/>
  <c r="Q127" i="14"/>
  <c r="CL127" i="14"/>
  <c r="S127" i="14"/>
  <c r="H127" i="14"/>
  <c r="G127" i="14"/>
  <c r="BT127" i="14"/>
  <c r="BS127" i="14"/>
  <c r="AT127" i="14"/>
  <c r="BI128" i="14"/>
  <c r="AQ127" i="14"/>
  <c r="P127" i="14"/>
  <c r="BU127" i="14"/>
  <c r="CK127" i="14"/>
  <c r="E127" i="14"/>
  <c r="AG127" i="14"/>
  <c r="BG128" i="14"/>
  <c r="N127" i="14"/>
  <c r="AO127" i="14"/>
  <c r="BR127" i="14"/>
  <c r="CI127" i="14"/>
  <c r="AS127" i="14"/>
  <c r="BK128" i="14"/>
  <c r="J127" i="14"/>
  <c r="O127" i="14"/>
  <c r="AH127" i="14"/>
  <c r="X127" i="14"/>
  <c r="BH128" i="14"/>
  <c r="Y127" i="14"/>
  <c r="AB127" i="14"/>
  <c r="AP127" i="14"/>
  <c r="R127" i="14"/>
  <c r="BP127" i="14"/>
  <c r="W127" i="14"/>
  <c r="BQ127" i="14"/>
  <c r="CH127" i="14"/>
  <c r="I127" i="14"/>
  <c r="AF127" i="14"/>
  <c r="BL128" i="14"/>
  <c r="CJ127" i="14"/>
  <c r="CM127" i="14"/>
  <c r="AA127" i="14"/>
  <c r="AI127" i="14"/>
  <c r="AJ127" i="14"/>
  <c r="F127" i="14"/>
  <c r="Z127" i="14"/>
  <c r="CB128" i="14" l="1"/>
  <c r="CC128" i="14"/>
  <c r="BY128" i="14"/>
  <c r="BZ128" i="14"/>
  <c r="CA128" i="14"/>
  <c r="CD129" i="14" s="1"/>
  <c r="BJ129" i="14"/>
  <c r="AK128" i="14"/>
  <c r="AY128" i="14"/>
  <c r="AX128" i="14"/>
  <c r="BA128" i="14"/>
  <c r="BB128" i="14"/>
  <c r="AZ128" i="14"/>
  <c r="BC129" i="14" s="1"/>
  <c r="Q128" i="14"/>
  <c r="I128" i="14"/>
  <c r="S128" i="14"/>
  <c r="J128" i="14"/>
  <c r="R128" i="14"/>
  <c r="BU128" i="14"/>
  <c r="AS128" i="14"/>
  <c r="CK128" i="14"/>
  <c r="BT128" i="14"/>
  <c r="BL129" i="14"/>
  <c r="AT128" i="14"/>
  <c r="BK129" i="14"/>
  <c r="E128" i="14"/>
  <c r="AH128" i="14"/>
  <c r="AJ128" i="14"/>
  <c r="AP128" i="14"/>
  <c r="AI128" i="14"/>
  <c r="AB128" i="14"/>
  <c r="Y128" i="14"/>
  <c r="Z128" i="14"/>
  <c r="CJ128" i="14"/>
  <c r="CL128" i="14"/>
  <c r="O128" i="14"/>
  <c r="AG128" i="14"/>
  <c r="BH129" i="14"/>
  <c r="G128" i="14"/>
  <c r="BQ128" i="14"/>
  <c r="CM128" i="14"/>
  <c r="P128" i="14"/>
  <c r="AF128" i="14"/>
  <c r="W128" i="14"/>
  <c r="AO128" i="14"/>
  <c r="AA128" i="14"/>
  <c r="BP128" i="14"/>
  <c r="AQ128" i="14"/>
  <c r="N128" i="14"/>
  <c r="BI129" i="14"/>
  <c r="BR128" i="14"/>
  <c r="X128" i="14"/>
  <c r="BG129" i="14"/>
  <c r="BS128" i="14"/>
  <c r="F128" i="14"/>
  <c r="CH128" i="14"/>
  <c r="H128" i="14"/>
  <c r="AR128" i="14"/>
  <c r="CI128" i="14"/>
  <c r="CB129" i="14" l="1"/>
  <c r="CC129" i="14"/>
  <c r="BY129" i="14"/>
  <c r="CA129" i="14"/>
  <c r="BZ129" i="14"/>
  <c r="CB130" i="14" s="1"/>
  <c r="BJ130" i="14"/>
  <c r="AK129" i="14"/>
  <c r="BA129" i="14"/>
  <c r="AY129" i="14"/>
  <c r="BB129" i="14"/>
  <c r="AX129" i="14"/>
  <c r="AZ129" i="14"/>
  <c r="Q129" i="14"/>
  <c r="R129" i="14"/>
  <c r="CK129" i="14"/>
  <c r="Y129" i="14"/>
  <c r="H129" i="14"/>
  <c r="AJ129" i="14"/>
  <c r="AI129" i="14"/>
  <c r="AB129" i="14"/>
  <c r="BS129" i="14"/>
  <c r="BI130" i="14"/>
  <c r="AP129" i="14"/>
  <c r="BR129" i="14"/>
  <c r="AA129" i="14"/>
  <c r="CM129" i="14"/>
  <c r="CL129" i="14"/>
  <c r="CH129" i="14"/>
  <c r="G129" i="14"/>
  <c r="W129" i="14"/>
  <c r="BK130" i="14"/>
  <c r="AH129" i="14"/>
  <c r="J129" i="14"/>
  <c r="BQ129" i="14"/>
  <c r="BL130" i="14"/>
  <c r="AF129" i="14"/>
  <c r="AR129" i="14"/>
  <c r="AS129" i="14"/>
  <c r="X129" i="14"/>
  <c r="AQ129" i="14"/>
  <c r="AT129" i="14"/>
  <c r="BU129" i="14"/>
  <c r="I129" i="14"/>
  <c r="F129" i="14"/>
  <c r="Z129" i="14"/>
  <c r="BT129" i="14"/>
  <c r="AG129" i="14"/>
  <c r="P129" i="14"/>
  <c r="S129" i="14"/>
  <c r="BP129" i="14"/>
  <c r="CI129" i="14"/>
  <c r="BG130" i="14"/>
  <c r="N129" i="14"/>
  <c r="AO129" i="14"/>
  <c r="BH130" i="14"/>
  <c r="CJ129" i="14"/>
  <c r="O129" i="14"/>
  <c r="E129" i="14"/>
  <c r="CC130" i="14" l="1"/>
  <c r="CD130" i="14"/>
  <c r="CA130" i="14"/>
  <c r="BY130" i="14"/>
  <c r="BZ130" i="14"/>
  <c r="CB131" i="14" s="1"/>
  <c r="AK130" i="14"/>
  <c r="BA130" i="14"/>
  <c r="BB130" i="14"/>
  <c r="AX130" i="14"/>
  <c r="AZ130" i="14"/>
  <c r="AY130" i="14"/>
  <c r="BC130" i="14"/>
  <c r="AB130" i="14"/>
  <c r="Y130" i="14"/>
  <c r="BL131" i="14"/>
  <c r="AT130" i="14"/>
  <c r="BK131" i="14"/>
  <c r="BI131" i="14"/>
  <c r="AG130" i="14"/>
  <c r="AQ130" i="14"/>
  <c r="AR130" i="14"/>
  <c r="BT130" i="14"/>
  <c r="BU130" i="14"/>
  <c r="BR130" i="14"/>
  <c r="P130" i="14"/>
  <c r="J130" i="14"/>
  <c r="W130" i="14"/>
  <c r="AJ130" i="14"/>
  <c r="I130" i="14"/>
  <c r="Z130" i="14"/>
  <c r="F130" i="14"/>
  <c r="CI130" i="14"/>
  <c r="BS130" i="14"/>
  <c r="BQ130" i="14"/>
  <c r="CJ130" i="14"/>
  <c r="S130" i="14"/>
  <c r="G130" i="14"/>
  <c r="AS130" i="14"/>
  <c r="AO130" i="14"/>
  <c r="N130" i="14"/>
  <c r="AP130" i="14"/>
  <c r="BG131" i="14"/>
  <c r="AI130" i="14"/>
  <c r="CM130" i="14"/>
  <c r="AF130" i="14"/>
  <c r="CL130" i="14"/>
  <c r="CK130" i="14"/>
  <c r="E130" i="14"/>
  <c r="BP130" i="14"/>
  <c r="AH130" i="14"/>
  <c r="AA130" i="14"/>
  <c r="BH131" i="14"/>
  <c r="BJ131" i="14"/>
  <c r="O130" i="14"/>
  <c r="Q130" i="14"/>
  <c r="H130" i="14"/>
  <c r="CH130" i="14"/>
  <c r="X130" i="14"/>
  <c r="R130" i="14"/>
  <c r="BY131" i="14" l="1"/>
  <c r="CA131" i="14"/>
  <c r="CC131" i="14"/>
  <c r="BZ131" i="14"/>
  <c r="CB132" i="14" s="1"/>
  <c r="CD131" i="14"/>
  <c r="BA131" i="14"/>
  <c r="AY131" i="14"/>
  <c r="BB131" i="14"/>
  <c r="AX131" i="14"/>
  <c r="AZ131" i="14"/>
  <c r="BC131" i="14"/>
  <c r="AB131" i="14"/>
  <c r="BU131" i="14"/>
  <c r="BL132" i="14"/>
  <c r="AQ131" i="14"/>
  <c r="AT131" i="14"/>
  <c r="AR131" i="14"/>
  <c r="AS131" i="14"/>
  <c r="CH131" i="14"/>
  <c r="BT131" i="14"/>
  <c r="H131" i="14"/>
  <c r="BP131" i="14"/>
  <c r="BR131" i="14"/>
  <c r="AA131" i="14"/>
  <c r="BS131" i="14"/>
  <c r="W131" i="14"/>
  <c r="S131" i="14"/>
  <c r="CI131" i="14"/>
  <c r="AF131" i="14"/>
  <c r="E131" i="14"/>
  <c r="O131" i="14"/>
  <c r="CK131" i="14"/>
  <c r="CJ131" i="14"/>
  <c r="R131" i="14"/>
  <c r="I131" i="14"/>
  <c r="AO131" i="14"/>
  <c r="X131" i="14"/>
  <c r="Y131" i="14"/>
  <c r="Q131" i="14"/>
  <c r="BG132" i="14"/>
  <c r="BJ132" i="14"/>
  <c r="BK132" i="14"/>
  <c r="P131" i="14"/>
  <c r="F131" i="14"/>
  <c r="BH132" i="14"/>
  <c r="CL131" i="14"/>
  <c r="AP131" i="14"/>
  <c r="BQ131" i="14"/>
  <c r="AG131" i="14"/>
  <c r="G131" i="14"/>
  <c r="J131" i="14"/>
  <c r="Z131" i="14"/>
  <c r="CM131" i="14"/>
  <c r="N131" i="14"/>
  <c r="BI132" i="14"/>
  <c r="AH131" i="14"/>
  <c r="AK131" i="14"/>
  <c r="AI131" i="14"/>
  <c r="AJ131" i="14"/>
  <c r="CD132" i="14" l="1"/>
  <c r="CA132" i="14"/>
  <c r="CC132" i="14"/>
  <c r="BZ132" i="14"/>
  <c r="CB133" i="14" s="1"/>
  <c r="BY132" i="14"/>
  <c r="AZ132" i="14"/>
  <c r="BB132" i="14"/>
  <c r="BA132" i="14"/>
  <c r="AY132" i="14"/>
  <c r="AX132" i="14"/>
  <c r="BC132" i="14"/>
  <c r="AB132" i="14"/>
  <c r="Q132" i="14"/>
  <c r="Z132" i="14"/>
  <c r="BU132" i="14"/>
  <c r="CM132" i="14"/>
  <c r="AT132" i="14"/>
  <c r="AS132" i="14"/>
  <c r="CJ132" i="14"/>
  <c r="BT132" i="14"/>
  <c r="AP132" i="14"/>
  <c r="BQ132" i="14"/>
  <c r="AI132" i="14"/>
  <c r="AK132" i="14"/>
  <c r="CK132" i="14"/>
  <c r="Y132" i="14"/>
  <c r="CL132" i="14"/>
  <c r="N132" i="14"/>
  <c r="BH133" i="14"/>
  <c r="BR132" i="14"/>
  <c r="F132" i="14"/>
  <c r="P132" i="14"/>
  <c r="BK133" i="14"/>
  <c r="G132" i="14"/>
  <c r="AJ132" i="14"/>
  <c r="J132" i="14"/>
  <c r="AG132" i="14"/>
  <c r="BG133" i="14"/>
  <c r="AF132" i="14"/>
  <c r="AH132" i="14"/>
  <c r="I132" i="14"/>
  <c r="CH132" i="14"/>
  <c r="BJ133" i="14"/>
  <c r="BP132" i="14"/>
  <c r="H132" i="14"/>
  <c r="AA132" i="14"/>
  <c r="AQ132" i="14"/>
  <c r="CI132" i="14"/>
  <c r="X132" i="14"/>
  <c r="O132" i="14"/>
  <c r="E132" i="14"/>
  <c r="W132" i="14"/>
  <c r="S132" i="14"/>
  <c r="R132" i="14"/>
  <c r="BI133" i="14"/>
  <c r="BL133" i="14"/>
  <c r="BS132" i="14"/>
  <c r="AO132" i="14"/>
  <c r="AR132" i="14"/>
  <c r="CC133" i="14" l="1"/>
  <c r="CD133" i="14"/>
  <c r="CA133" i="14"/>
  <c r="BZ133" i="14"/>
  <c r="BY133" i="14"/>
  <c r="BC133" i="14"/>
  <c r="BB133" i="14"/>
  <c r="BA133" i="14"/>
  <c r="AB133" i="14"/>
  <c r="AX133" i="14"/>
  <c r="AY133" i="14"/>
  <c r="AZ133" i="14"/>
  <c r="BU133" i="14"/>
  <c r="CM133" i="14"/>
  <c r="AR133" i="14"/>
  <c r="BI134" i="14"/>
  <c r="AQ133" i="14"/>
  <c r="AA133" i="14"/>
  <c r="AG133" i="14"/>
  <c r="CI133" i="14"/>
  <c r="R133" i="14"/>
  <c r="S133" i="14"/>
  <c r="CL133" i="14"/>
  <c r="AO133" i="14"/>
  <c r="E133" i="14"/>
  <c r="BS133" i="14"/>
  <c r="BR133" i="14"/>
  <c r="CD134" i="14"/>
  <c r="O133" i="14"/>
  <c r="I133" i="14"/>
  <c r="J133" i="14"/>
  <c r="BJ134" i="14"/>
  <c r="AF133" i="14"/>
  <c r="G133" i="14"/>
  <c r="W133" i="14"/>
  <c r="H133" i="14"/>
  <c r="P133" i="14"/>
  <c r="CJ133" i="14"/>
  <c r="X133" i="14"/>
  <c r="Y133" i="14"/>
  <c r="BP133" i="14"/>
  <c r="BG134" i="14"/>
  <c r="BL134" i="14"/>
  <c r="CH133" i="14"/>
  <c r="BH134" i="14"/>
  <c r="CK133" i="14"/>
  <c r="AT133" i="14"/>
  <c r="AP133" i="14"/>
  <c r="BQ133" i="14"/>
  <c r="BT133" i="14"/>
  <c r="F133" i="14"/>
  <c r="Z133" i="14"/>
  <c r="CC134" i="14"/>
  <c r="AH133" i="14"/>
  <c r="AK133" i="14"/>
  <c r="AJ133" i="14"/>
  <c r="BK134" i="14"/>
  <c r="Q133" i="14"/>
  <c r="AS133" i="14"/>
  <c r="N133" i="14"/>
  <c r="AI133" i="14"/>
  <c r="BY134" i="14" l="1"/>
  <c r="CA134" i="14"/>
  <c r="CB134" i="14"/>
  <c r="BZ134" i="14"/>
  <c r="CB135" i="14" s="1"/>
  <c r="BC134" i="14"/>
  <c r="BA134" i="14"/>
  <c r="BB134" i="14"/>
  <c r="AZ134" i="14"/>
  <c r="AX134" i="14"/>
  <c r="AY134" i="14"/>
  <c r="BU134" i="14"/>
  <c r="BK135" i="14"/>
  <c r="AI134" i="14"/>
  <c r="AH134" i="14"/>
  <c r="BL135" i="14"/>
  <c r="AS134" i="14"/>
  <c r="AT134" i="14"/>
  <c r="J134" i="14"/>
  <c r="CH134" i="14"/>
  <c r="BT134" i="14"/>
  <c r="I134" i="14"/>
  <c r="BS134" i="14"/>
  <c r="Z134" i="14"/>
  <c r="AO134" i="14"/>
  <c r="Q134" i="14"/>
  <c r="F134" i="14"/>
  <c r="P134" i="14"/>
  <c r="AK134" i="14"/>
  <c r="H134" i="14"/>
  <c r="G134" i="14"/>
  <c r="E134" i="14"/>
  <c r="N134" i="14"/>
  <c r="AR134" i="14"/>
  <c r="BH135" i="14"/>
  <c r="S134" i="14"/>
  <c r="AQ134" i="14"/>
  <c r="AJ134" i="14"/>
  <c r="AG134" i="14"/>
  <c r="AF134" i="14"/>
  <c r="BP134" i="14"/>
  <c r="AA134" i="14"/>
  <c r="Y134" i="14"/>
  <c r="AB134" i="14"/>
  <c r="X134" i="14"/>
  <c r="R134" i="14"/>
  <c r="O134" i="14"/>
  <c r="BI135" i="14"/>
  <c r="CJ134" i="14"/>
  <c r="CM134" i="14"/>
  <c r="CD135" i="14"/>
  <c r="CI134" i="14"/>
  <c r="BJ135" i="14"/>
  <c r="BQ134" i="14"/>
  <c r="BR134" i="14"/>
  <c r="W134" i="14"/>
  <c r="CC135" i="14"/>
  <c r="AP134" i="14"/>
  <c r="CK134" i="14"/>
  <c r="CL134" i="14"/>
  <c r="BG135" i="14"/>
  <c r="BY135" i="14" l="1"/>
  <c r="CA135" i="14"/>
  <c r="BZ135" i="14"/>
  <c r="CA136" i="14" s="1"/>
  <c r="BC135" i="14"/>
  <c r="AZ135" i="14"/>
  <c r="BB135" i="14"/>
  <c r="BA135" i="14"/>
  <c r="AY135" i="14"/>
  <c r="AX135" i="14"/>
  <c r="BI136" i="14"/>
  <c r="AK135" i="14"/>
  <c r="AT135" i="14"/>
  <c r="AJ135" i="14"/>
  <c r="I135" i="14"/>
  <c r="J135" i="14"/>
  <c r="BL136" i="14"/>
  <c r="E135" i="14"/>
  <c r="AS135" i="14"/>
  <c r="CM135" i="14"/>
  <c r="G135" i="14"/>
  <c r="S135" i="14"/>
  <c r="H135" i="14"/>
  <c r="BJ136" i="14"/>
  <c r="Q135" i="14"/>
  <c r="R135" i="14"/>
  <c r="CD136" i="14"/>
  <c r="AG135" i="14"/>
  <c r="F135" i="14"/>
  <c r="CK135" i="14"/>
  <c r="BQ135" i="14"/>
  <c r="AP135" i="14"/>
  <c r="CC136" i="14"/>
  <c r="X135" i="14"/>
  <c r="BH136" i="14"/>
  <c r="CJ135" i="14"/>
  <c r="AF135" i="14"/>
  <c r="CL135" i="14"/>
  <c r="AB135" i="14"/>
  <c r="BP135" i="14"/>
  <c r="BR135" i="14"/>
  <c r="BU135" i="14"/>
  <c r="Y135" i="14"/>
  <c r="CH135" i="14"/>
  <c r="AQ135" i="14"/>
  <c r="AA135" i="14"/>
  <c r="BT135" i="14"/>
  <c r="Z135" i="14"/>
  <c r="BK136" i="14"/>
  <c r="CI135" i="14"/>
  <c r="O135" i="14"/>
  <c r="P135" i="14"/>
  <c r="W135" i="14"/>
  <c r="AR135" i="14"/>
  <c r="AH135" i="14"/>
  <c r="AI135" i="14"/>
  <c r="AO135" i="14"/>
  <c r="BG136" i="14"/>
  <c r="BZ136" i="14"/>
  <c r="N135" i="14"/>
  <c r="BS135" i="14"/>
  <c r="BY136" i="14" l="1"/>
  <c r="CB136" i="14"/>
  <c r="BC136" i="14"/>
  <c r="AZ136" i="14"/>
  <c r="BB136" i="14"/>
  <c r="AX136" i="14"/>
  <c r="AY136" i="14"/>
  <c r="BA136" i="14"/>
  <c r="BL137" i="14"/>
  <c r="BI137" i="14"/>
  <c r="I136" i="14"/>
  <c r="BU136" i="14"/>
  <c r="F136" i="14"/>
  <c r="CK136" i="14"/>
  <c r="J136" i="14"/>
  <c r="G136" i="14"/>
  <c r="H136" i="14"/>
  <c r="R136" i="14"/>
  <c r="Q136" i="14"/>
  <c r="CM136" i="14"/>
  <c r="CD137" i="14"/>
  <c r="CL136" i="14"/>
  <c r="BS136" i="14"/>
  <c r="BK137" i="14"/>
  <c r="Y136" i="14"/>
  <c r="CC137" i="14"/>
  <c r="AF136" i="14"/>
  <c r="AI136" i="14"/>
  <c r="BR136" i="14"/>
  <c r="E136" i="14"/>
  <c r="N136" i="14"/>
  <c r="BJ137" i="14"/>
  <c r="AJ136" i="14"/>
  <c r="BG137" i="14"/>
  <c r="Z136" i="14"/>
  <c r="AB136" i="14"/>
  <c r="AO136" i="14"/>
  <c r="CH136" i="14"/>
  <c r="W136" i="14"/>
  <c r="AA136" i="14"/>
  <c r="AP136" i="14"/>
  <c r="BP136" i="14"/>
  <c r="BT136" i="14"/>
  <c r="AH136" i="14"/>
  <c r="AK136" i="14"/>
  <c r="P136" i="14"/>
  <c r="S136" i="14"/>
  <c r="AG136" i="14"/>
  <c r="X136" i="14"/>
  <c r="O136" i="14"/>
  <c r="CA137" i="14"/>
  <c r="AQ136" i="14"/>
  <c r="AT136" i="14"/>
  <c r="BH137" i="14"/>
  <c r="CI136" i="14"/>
  <c r="CJ136" i="14"/>
  <c r="AR136" i="14"/>
  <c r="AS136" i="14"/>
  <c r="BQ136" i="14"/>
  <c r="CB137" i="14"/>
  <c r="BY137" i="14" l="1"/>
  <c r="BZ137" i="14"/>
  <c r="BZ138" i="14" s="1"/>
  <c r="BC137" i="14"/>
  <c r="AZ137" i="14"/>
  <c r="BC138" i="14" s="1"/>
  <c r="BA137" i="14"/>
  <c r="AY137" i="14"/>
  <c r="AX137" i="14"/>
  <c r="BB137" i="14"/>
  <c r="BL138" i="14"/>
  <c r="H137" i="14"/>
  <c r="BU137" i="14"/>
  <c r="R137" i="14"/>
  <c r="I137" i="14"/>
  <c r="J137" i="14"/>
  <c r="F137" i="14"/>
  <c r="G137" i="14"/>
  <c r="E137" i="14"/>
  <c r="AB137" i="14"/>
  <c r="AA137" i="14"/>
  <c r="BH138" i="14"/>
  <c r="X137" i="14"/>
  <c r="AJ137" i="14"/>
  <c r="AR137" i="14"/>
  <c r="BT137" i="14"/>
  <c r="BJ138" i="14"/>
  <c r="CA138" i="14"/>
  <c r="BK138" i="14"/>
  <c r="CD138" i="14"/>
  <c r="AG137" i="14"/>
  <c r="CB138" i="14"/>
  <c r="BY138" i="14"/>
  <c r="AS137" i="14"/>
  <c r="BG138" i="14"/>
  <c r="BI138" i="14"/>
  <c r="CC138" i="14"/>
  <c r="S137" i="14"/>
  <c r="BQ137" i="14"/>
  <c r="AT137" i="14"/>
  <c r="CH137" i="14"/>
  <c r="O137" i="14"/>
  <c r="BR137" i="14"/>
  <c r="Z137" i="14"/>
  <c r="AI137" i="14"/>
  <c r="AP137" i="14"/>
  <c r="AQ137" i="14"/>
  <c r="P137" i="14"/>
  <c r="AK137" i="14"/>
  <c r="AO137" i="14"/>
  <c r="W137" i="14"/>
  <c r="CJ137" i="14"/>
  <c r="CM137" i="14"/>
  <c r="AH137" i="14"/>
  <c r="BP137" i="14"/>
  <c r="CI137" i="14"/>
  <c r="N137" i="14"/>
  <c r="BS137" i="14"/>
  <c r="AF137" i="14"/>
  <c r="CK137" i="14"/>
  <c r="CL137" i="14"/>
  <c r="Y137" i="14"/>
  <c r="Q137" i="14"/>
  <c r="CB139" i="14" l="1"/>
  <c r="CD139" i="14"/>
  <c r="BG139" i="14"/>
  <c r="BK139" i="14"/>
  <c r="BZ139" i="14"/>
  <c r="BY139" i="14"/>
  <c r="CC139" i="14"/>
  <c r="BH139" i="14"/>
  <c r="AH11" i="14"/>
  <c r="AI11" i="14" s="1"/>
  <c r="BI139" i="14"/>
  <c r="AH13" i="14"/>
  <c r="AI13" i="14" s="1"/>
  <c r="CA139" i="14"/>
  <c r="BJ139" i="14"/>
  <c r="BL139" i="14"/>
  <c r="AZ138" i="14"/>
  <c r="BC139" i="14" s="1"/>
  <c r="BA138" i="14"/>
  <c r="AY138" i="14"/>
  <c r="AX138" i="14"/>
  <c r="BB138" i="14"/>
  <c r="J138" i="14"/>
  <c r="BU138" i="14"/>
  <c r="I138" i="14"/>
  <c r="F138" i="14"/>
  <c r="G138" i="14"/>
  <c r="H138" i="14"/>
  <c r="Q138" i="14"/>
  <c r="Y138" i="14"/>
  <c r="E138" i="14"/>
  <c r="Z138" i="14"/>
  <c r="X138" i="14"/>
  <c r="AF138" i="14"/>
  <c r="AI138" i="14"/>
  <c r="AH138" i="14"/>
  <c r="AR138" i="14"/>
  <c r="S138" i="14"/>
  <c r="CK138" i="14"/>
  <c r="N138" i="14"/>
  <c r="BS138" i="14"/>
  <c r="AO138" i="14"/>
  <c r="CL138" i="14"/>
  <c r="CM138" i="14"/>
  <c r="BP138" i="14"/>
  <c r="AQ138" i="14"/>
  <c r="BQ138" i="14"/>
  <c r="AJ138" i="14"/>
  <c r="AP138" i="14"/>
  <c r="CJ138" i="14"/>
  <c r="W138" i="14"/>
  <c r="BR138" i="14"/>
  <c r="AB138" i="14"/>
  <c r="O138" i="14"/>
  <c r="AS138" i="14"/>
  <c r="BT138" i="14"/>
  <c r="AK138" i="14"/>
  <c r="CH138" i="14"/>
  <c r="AG138" i="14"/>
  <c r="CI138" i="14"/>
  <c r="P138" i="14"/>
  <c r="AT138" i="14"/>
  <c r="AT139" i="14" s="1"/>
  <c r="AA138" i="14"/>
  <c r="R138" i="14"/>
  <c r="CB140" i="14" l="1"/>
  <c r="AK139" i="14"/>
  <c r="AG139" i="14"/>
  <c r="AS139" i="14"/>
  <c r="AB139" i="14"/>
  <c r="CA140" i="14"/>
  <c r="CK139" i="14"/>
  <c r="BT139" i="14"/>
  <c r="BH140" i="14"/>
  <c r="BZ140" i="14"/>
  <c r="CH139" i="14"/>
  <c r="BA139" i="14"/>
  <c r="BG140" i="14"/>
  <c r="AA139" i="14"/>
  <c r="BQ139" i="14"/>
  <c r="E139" i="14"/>
  <c r="BL140" i="14"/>
  <c r="AJ139" i="14"/>
  <c r="F139" i="14"/>
  <c r="O139" i="14"/>
  <c r="AH9" i="14"/>
  <c r="AI9" i="14" s="1"/>
  <c r="AQ139" i="14"/>
  <c r="S139" i="14"/>
  <c r="AH7" i="14"/>
  <c r="AI7" i="14" s="1"/>
  <c r="Y139" i="14"/>
  <c r="AH6" i="14"/>
  <c r="AI6" i="14" s="1"/>
  <c r="P139" i="14"/>
  <c r="BP139" i="14"/>
  <c r="AR139" i="14"/>
  <c r="Q139" i="14"/>
  <c r="BB139" i="14"/>
  <c r="BJ140" i="14"/>
  <c r="BK140" i="14"/>
  <c r="CI139" i="14"/>
  <c r="AH12" i="14"/>
  <c r="AI12" i="14" s="1"/>
  <c r="BR139" i="14"/>
  <c r="CM139" i="14"/>
  <c r="AH8" i="14"/>
  <c r="AI8" i="14" s="1"/>
  <c r="AH139" i="14"/>
  <c r="H139" i="14"/>
  <c r="BU139" i="14"/>
  <c r="AX139" i="14"/>
  <c r="CC140" i="14"/>
  <c r="W139" i="14"/>
  <c r="CL139" i="14"/>
  <c r="AI139" i="14"/>
  <c r="AH5" i="14"/>
  <c r="AI5" i="14" s="1"/>
  <c r="G139" i="14"/>
  <c r="AY139" i="14"/>
  <c r="CD140" i="14"/>
  <c r="AH14" i="14"/>
  <c r="AI14" i="14" s="1"/>
  <c r="CJ139" i="14"/>
  <c r="AO139" i="14"/>
  <c r="AF139" i="14"/>
  <c r="AP139" i="14"/>
  <c r="BS139" i="14"/>
  <c r="X139" i="14"/>
  <c r="AH10" i="14"/>
  <c r="AI10" i="14" s="1"/>
  <c r="AZ139" i="14"/>
  <c r="BI140" i="14"/>
  <c r="BY140" i="14"/>
  <c r="R139" i="14"/>
  <c r="N139" i="14"/>
  <c r="Z139" i="14"/>
  <c r="I139" i="14"/>
  <c r="J139" i="14"/>
  <c r="CB141" i="14" l="1"/>
  <c r="AH140" i="14"/>
  <c r="AI140" i="14"/>
  <c r="CA141" i="14"/>
  <c r="BA140" i="14"/>
  <c r="AS140" i="14"/>
  <c r="CD141" i="14"/>
  <c r="CC141" i="14"/>
  <c r="CK140" i="14"/>
  <c r="AA140" i="14"/>
  <c r="BJ141" i="14"/>
  <c r="BI141" i="14"/>
  <c r="AZ140" i="14"/>
  <c r="J140" i="14"/>
  <c r="I140" i="14"/>
  <c r="CH140" i="14"/>
  <c r="BY141" i="14"/>
  <c r="AO140" i="14"/>
  <c r="CL140" i="14"/>
  <c r="AJ140" i="14"/>
  <c r="AK140" i="14"/>
  <c r="Y140" i="14"/>
  <c r="AF140" i="14"/>
  <c r="E140" i="14"/>
  <c r="Q140" i="14"/>
  <c r="CM140" i="14"/>
  <c r="BS140" i="14"/>
  <c r="W140" i="14"/>
  <c r="BR140" i="14"/>
  <c r="P140" i="14"/>
  <c r="F140" i="14"/>
  <c r="N140" i="14"/>
  <c r="X140" i="14"/>
  <c r="BB140" i="14"/>
  <c r="BL141" i="14"/>
  <c r="BT140" i="14"/>
  <c r="AP140" i="14"/>
  <c r="AG140" i="14"/>
  <c r="AR140" i="14"/>
  <c r="R140" i="14"/>
  <c r="BP140" i="14"/>
  <c r="S140" i="14"/>
  <c r="AY140" i="14"/>
  <c r="AX140" i="14"/>
  <c r="CI140" i="14"/>
  <c r="AB140" i="14"/>
  <c r="AQ140" i="14"/>
  <c r="BQ140" i="14"/>
  <c r="G140" i="14"/>
  <c r="BU140" i="14"/>
  <c r="BZ141" i="14"/>
  <c r="H140" i="14"/>
  <c r="BK141" i="14"/>
  <c r="O140" i="14"/>
  <c r="BC140" i="14"/>
  <c r="Z140" i="14"/>
  <c r="CJ140" i="14"/>
  <c r="BH141" i="14"/>
  <c r="AT140" i="14"/>
  <c r="BG141" i="14"/>
  <c r="CC142" i="14" l="1"/>
  <c r="AK141" i="14"/>
  <c r="AJ141" i="14"/>
  <c r="CD142" i="14"/>
  <c r="AZ141" i="14"/>
  <c r="BI142" i="14"/>
  <c r="BK142" i="14"/>
  <c r="BC141" i="14"/>
  <c r="H141" i="14"/>
  <c r="BB141" i="14"/>
  <c r="BL142" i="14"/>
  <c r="S141" i="14"/>
  <c r="AB141" i="14"/>
  <c r="R141" i="14"/>
  <c r="AT141" i="14"/>
  <c r="AG141" i="14"/>
  <c r="BZ142" i="14"/>
  <c r="BP141" i="14"/>
  <c r="AI141" i="14"/>
  <c r="CL141" i="14"/>
  <c r="AP141" i="14"/>
  <c r="BR141" i="14"/>
  <c r="O141" i="14"/>
  <c r="BS141" i="14"/>
  <c r="BT141" i="14"/>
  <c r="AS141" i="14"/>
  <c r="CA142" i="14"/>
  <c r="BH142" i="14"/>
  <c r="AO141" i="14"/>
  <c r="CI141" i="14"/>
  <c r="X141" i="14"/>
  <c r="AX141" i="14"/>
  <c r="N141" i="14"/>
  <c r="BU141" i="14"/>
  <c r="G141" i="14"/>
  <c r="AH141" i="14"/>
  <c r="CJ141" i="14"/>
  <c r="Z141" i="14"/>
  <c r="I141" i="14"/>
  <c r="J141" i="14"/>
  <c r="AY141" i="14"/>
  <c r="BG142" i="14"/>
  <c r="W141" i="14"/>
  <c r="CH141" i="14"/>
  <c r="Q141" i="14"/>
  <c r="BA141" i="14"/>
  <c r="BY142" i="14"/>
  <c r="F141" i="14"/>
  <c r="AA141" i="14"/>
  <c r="P141" i="14"/>
  <c r="BQ141" i="14"/>
  <c r="CB142" i="14"/>
  <c r="Y141" i="14"/>
  <c r="E141" i="14"/>
  <c r="AF141" i="14"/>
  <c r="BJ142" i="14"/>
  <c r="AQ141" i="14"/>
  <c r="CM141" i="14"/>
  <c r="AR141" i="14"/>
  <c r="CK141" i="14"/>
  <c r="BC142" i="14" l="1"/>
  <c r="CD143" i="14"/>
  <c r="BI143" i="14"/>
  <c r="BL143" i="14"/>
  <c r="AR142" i="14"/>
  <c r="I142" i="14"/>
  <c r="BT142" i="14"/>
  <c r="BJ143" i="14"/>
  <c r="BU142" i="14"/>
  <c r="CB143" i="14"/>
  <c r="AI142" i="14"/>
  <c r="P142" i="14"/>
  <c r="AJ142" i="14"/>
  <c r="AF142" i="14"/>
  <c r="F142" i="14"/>
  <c r="CA143" i="14"/>
  <c r="AQ142" i="14"/>
  <c r="BQ142" i="14"/>
  <c r="Q142" i="14"/>
  <c r="CJ142" i="14"/>
  <c r="CK142" i="14"/>
  <c r="J142" i="14"/>
  <c r="R142" i="14"/>
  <c r="CM142" i="14"/>
  <c r="Y142" i="14"/>
  <c r="BK143" i="14"/>
  <c r="BA142" i="14"/>
  <c r="Z142" i="14"/>
  <c r="CC143" i="14"/>
  <c r="AB142" i="14"/>
  <c r="AY142" i="14"/>
  <c r="AX142" i="14"/>
  <c r="G142" i="14"/>
  <c r="BY143" i="14"/>
  <c r="H142" i="14"/>
  <c r="CH142" i="14"/>
  <c r="AZ142" i="14"/>
  <c r="AH142" i="14"/>
  <c r="AK142" i="14"/>
  <c r="O142" i="14"/>
  <c r="BZ143" i="14"/>
  <c r="W142" i="14"/>
  <c r="BH143" i="14"/>
  <c r="BG143" i="14"/>
  <c r="X142" i="14"/>
  <c r="AG142" i="14"/>
  <c r="CL142" i="14"/>
  <c r="BB142" i="14"/>
  <c r="E142" i="14"/>
  <c r="CI142" i="14"/>
  <c r="AT142" i="14"/>
  <c r="BP142" i="14"/>
  <c r="N142" i="14"/>
  <c r="BR142" i="14"/>
  <c r="AS142" i="14"/>
  <c r="AA142" i="14"/>
  <c r="AO142" i="14"/>
  <c r="AP142" i="14"/>
  <c r="S142" i="14"/>
  <c r="BS142" i="14"/>
  <c r="BC143" i="14" l="1"/>
  <c r="CD144" i="14"/>
  <c r="CB144" i="14"/>
  <c r="BL144" i="14"/>
  <c r="S143" i="14"/>
  <c r="BK144" i="14"/>
  <c r="AA143" i="14"/>
  <c r="BB143" i="14"/>
  <c r="AJ143" i="14"/>
  <c r="E143" i="14"/>
  <c r="G143" i="14"/>
  <c r="AS143" i="14"/>
  <c r="AT143" i="14"/>
  <c r="H143" i="14"/>
  <c r="BR143" i="14"/>
  <c r="BS143" i="14"/>
  <c r="CL143" i="14"/>
  <c r="CM143" i="14"/>
  <c r="R143" i="14"/>
  <c r="CC144" i="14"/>
  <c r="BY144" i="14"/>
  <c r="AG143" i="14"/>
  <c r="AF143" i="14"/>
  <c r="N143" i="14"/>
  <c r="AK143" i="14"/>
  <c r="BP143" i="14"/>
  <c r="BG144" i="14"/>
  <c r="CI143" i="14"/>
  <c r="I143" i="14"/>
  <c r="AB143" i="14"/>
  <c r="X143" i="14"/>
  <c r="Z143" i="14"/>
  <c r="AP143" i="14"/>
  <c r="W143" i="14"/>
  <c r="CH143" i="14"/>
  <c r="BQ143" i="14"/>
  <c r="AQ143" i="14"/>
  <c r="AT144" i="14" s="1"/>
  <c r="AO143" i="14"/>
  <c r="BZ144" i="14"/>
  <c r="CA144" i="14"/>
  <c r="BU143" i="14"/>
  <c r="BH144" i="14"/>
  <c r="BI144" i="14"/>
  <c r="O143" i="14"/>
  <c r="P143" i="14"/>
  <c r="BJ144" i="14"/>
  <c r="AX143" i="14"/>
  <c r="BT143" i="14"/>
  <c r="AR143" i="14"/>
  <c r="CK143" i="14"/>
  <c r="AY143" i="14"/>
  <c r="F143" i="14"/>
  <c r="AI143" i="14"/>
  <c r="AH143" i="14"/>
  <c r="J143" i="14"/>
  <c r="BA143" i="14"/>
  <c r="Y143" i="14"/>
  <c r="CJ143" i="14"/>
  <c r="AZ143" i="14"/>
  <c r="Q143" i="14"/>
  <c r="AZ144" i="14" l="1"/>
  <c r="I144" i="14"/>
  <c r="J144" i="14"/>
  <c r="BU144" i="14"/>
  <c r="BT144" i="14"/>
  <c r="F144" i="14"/>
  <c r="AI144" i="14"/>
  <c r="CK144" i="14"/>
  <c r="BA144" i="14"/>
  <c r="CC145" i="14"/>
  <c r="Y144" i="14"/>
  <c r="AS144" i="14"/>
  <c r="AH144" i="14"/>
  <c r="H144" i="14"/>
  <c r="Z144" i="14"/>
  <c r="BQ144" i="14"/>
  <c r="BY145" i="14"/>
  <c r="AP144" i="14"/>
  <c r="CL144" i="14"/>
  <c r="G144" i="14"/>
  <c r="Q144" i="14"/>
  <c r="R144" i="14"/>
  <c r="AK144" i="14"/>
  <c r="E144" i="14"/>
  <c r="AA144" i="14"/>
  <c r="AO144" i="14"/>
  <c r="AF144" i="14"/>
  <c r="CI144" i="14"/>
  <c r="AB144" i="14"/>
  <c r="AQ144" i="14"/>
  <c r="BB144" i="14"/>
  <c r="AG144" i="14"/>
  <c r="AR144" i="14"/>
  <c r="P144" i="14"/>
  <c r="AJ144" i="14"/>
  <c r="CH144" i="14"/>
  <c r="X144" i="14"/>
  <c r="BR144" i="14"/>
  <c r="O144" i="14"/>
  <c r="CA145" i="14"/>
  <c r="CD145" i="14"/>
  <c r="W144" i="14"/>
  <c r="N144" i="14"/>
  <c r="CJ144" i="14"/>
  <c r="CM144" i="14"/>
  <c r="BS144" i="14"/>
  <c r="AX144" i="14"/>
  <c r="BI145" i="14"/>
  <c r="BL145" i="14"/>
  <c r="BZ145" i="14"/>
  <c r="BG145" i="14"/>
  <c r="S144" i="14"/>
  <c r="AY144" i="14"/>
  <c r="BJ145" i="14"/>
  <c r="BK145" i="14"/>
  <c r="BH145" i="14"/>
  <c r="BC144" i="14"/>
  <c r="BC145" i="14" s="1"/>
  <c r="BP144" i="14"/>
  <c r="CB145" i="14"/>
  <c r="H145" i="14" l="1"/>
  <c r="AI145" i="14"/>
  <c r="AB145" i="14"/>
  <c r="CL145" i="14"/>
  <c r="G145" i="14"/>
  <c r="CM145" i="14"/>
  <c r="BB145" i="14"/>
  <c r="AK145" i="14"/>
  <c r="R145" i="14"/>
  <c r="S145" i="14"/>
  <c r="BR145" i="14"/>
  <c r="CB146" i="14"/>
  <c r="AJ145" i="14"/>
  <c r="BS145" i="14"/>
  <c r="AA145" i="14"/>
  <c r="BL146" i="14"/>
  <c r="CD146" i="14"/>
  <c r="CA146" i="14"/>
  <c r="BK146" i="14"/>
  <c r="E145" i="14"/>
  <c r="I145" i="14"/>
  <c r="BQ145" i="14"/>
  <c r="BU145" i="14"/>
  <c r="N145" i="14"/>
  <c r="X145" i="14"/>
  <c r="AQ145" i="14"/>
  <c r="J145" i="14"/>
  <c r="BI146" i="14"/>
  <c r="CI145" i="14"/>
  <c r="BJ146" i="14"/>
  <c r="AX145" i="14"/>
  <c r="AF145" i="14"/>
  <c r="AY145" i="14"/>
  <c r="F145" i="14"/>
  <c r="AR145" i="14"/>
  <c r="AP145" i="14"/>
  <c r="Z145" i="14"/>
  <c r="AZ145" i="14"/>
  <c r="W145" i="14"/>
  <c r="AT145" i="14"/>
  <c r="Y145" i="14"/>
  <c r="CH145" i="14"/>
  <c r="Q145" i="14"/>
  <c r="O145" i="14"/>
  <c r="BP145" i="14"/>
  <c r="BT145" i="14"/>
  <c r="P145" i="14"/>
  <c r="CC146" i="14"/>
  <c r="AO145" i="14"/>
  <c r="BA145" i="14"/>
  <c r="BG146" i="14"/>
  <c r="AS145" i="14"/>
  <c r="CK145" i="14"/>
  <c r="BH146" i="14"/>
  <c r="BZ146" i="14"/>
  <c r="CJ145" i="14"/>
  <c r="AG145" i="14"/>
  <c r="AH145" i="14"/>
  <c r="BY146" i="14"/>
  <c r="I146" i="14" l="1"/>
  <c r="AI146" i="14"/>
  <c r="G146" i="14"/>
  <c r="Y146" i="14"/>
  <c r="BL147" i="14"/>
  <c r="J146" i="14"/>
  <c r="BA146" i="14"/>
  <c r="AZ146" i="14"/>
  <c r="F146" i="14"/>
  <c r="AJ146" i="14"/>
  <c r="CJ146" i="14"/>
  <c r="X146" i="14"/>
  <c r="Y147" i="14" s="1"/>
  <c r="BR146" i="14"/>
  <c r="CC147" i="14"/>
  <c r="AT146" i="14"/>
  <c r="BT146" i="14"/>
  <c r="BU146" i="14"/>
  <c r="AS146" i="14"/>
  <c r="AA146" i="14"/>
  <c r="AQ146" i="14"/>
  <c r="BJ147" i="14"/>
  <c r="BC146" i="14"/>
  <c r="CD147" i="14"/>
  <c r="CK146" i="14"/>
  <c r="BZ147" i="14"/>
  <c r="AX146" i="14"/>
  <c r="H146" i="14"/>
  <c r="BK147" i="14"/>
  <c r="E146" i="14"/>
  <c r="BS146" i="14"/>
  <c r="AH146" i="14"/>
  <c r="AR146" i="14"/>
  <c r="P146" i="14"/>
  <c r="BG147" i="14"/>
  <c r="Z146" i="14"/>
  <c r="CM146" i="14"/>
  <c r="O146" i="14"/>
  <c r="CH146" i="14"/>
  <c r="AK146" i="14"/>
  <c r="CA147" i="14"/>
  <c r="BH147" i="14"/>
  <c r="S146" i="14"/>
  <c r="BQ146" i="14"/>
  <c r="BY147" i="14"/>
  <c r="BP146" i="14"/>
  <c r="CB147" i="14"/>
  <c r="BB146" i="14"/>
  <c r="AY146" i="14"/>
  <c r="N146" i="14"/>
  <c r="AO146" i="14"/>
  <c r="Q146" i="14"/>
  <c r="R146" i="14"/>
  <c r="W146" i="14"/>
  <c r="CL146" i="14"/>
  <c r="AG146" i="14"/>
  <c r="AB146" i="14"/>
  <c r="AF146" i="14"/>
  <c r="CI146" i="14"/>
  <c r="BI147" i="14"/>
  <c r="AP146" i="14"/>
  <c r="I147" i="14" l="1"/>
  <c r="G147" i="14"/>
  <c r="J147" i="14"/>
  <c r="AB147" i="14"/>
  <c r="AB148" i="14" s="1"/>
  <c r="AK147" i="14"/>
  <c r="AA147" i="14"/>
  <c r="BB147" i="14"/>
  <c r="CM147" i="14"/>
  <c r="BC147" i="14"/>
  <c r="BU147" i="14"/>
  <c r="CI147" i="14"/>
  <c r="BK148" i="14"/>
  <c r="CB148" i="14"/>
  <c r="AJ147" i="14"/>
  <c r="BT147" i="14"/>
  <c r="W147" i="14"/>
  <c r="H147" i="14"/>
  <c r="AS147" i="14"/>
  <c r="Z147" i="14"/>
  <c r="AT147" i="14"/>
  <c r="AF147" i="14"/>
  <c r="CL147" i="14"/>
  <c r="AQ147" i="14"/>
  <c r="BQ147" i="14"/>
  <c r="R147" i="14"/>
  <c r="F147" i="14"/>
  <c r="G148" i="14" s="1"/>
  <c r="AL5" i="14" s="1"/>
  <c r="AM5" i="14" s="1"/>
  <c r="O147" i="14"/>
  <c r="AO147" i="14"/>
  <c r="S147" i="14"/>
  <c r="AY147" i="14"/>
  <c r="E147" i="14"/>
  <c r="Q147" i="14"/>
  <c r="BA147" i="14"/>
  <c r="BP147" i="14"/>
  <c r="AX147" i="14"/>
  <c r="BG148" i="14"/>
  <c r="BS147" i="14"/>
  <c r="CC148" i="14"/>
  <c r="BY148" i="14"/>
  <c r="BH148" i="14"/>
  <c r="BZ148" i="14"/>
  <c r="CJ147" i="14"/>
  <c r="AR147" i="14"/>
  <c r="CK147" i="14"/>
  <c r="P147" i="14"/>
  <c r="BJ148" i="14"/>
  <c r="AG147" i="14"/>
  <c r="AH147" i="14"/>
  <c r="AZ147" i="14"/>
  <c r="BR147" i="14"/>
  <c r="AP147" i="14"/>
  <c r="AI147" i="14"/>
  <c r="BI148" i="14"/>
  <c r="BL148" i="14"/>
  <c r="N147" i="14"/>
  <c r="CA148" i="14"/>
  <c r="CD148" i="14"/>
  <c r="CH147" i="14"/>
  <c r="X147" i="14"/>
  <c r="J148" i="14" l="1"/>
  <c r="J149" i="14" s="1"/>
  <c r="I148" i="14"/>
  <c r="AA148" i="14"/>
  <c r="CJ148" i="14"/>
  <c r="AL14" i="14" s="1"/>
  <c r="AM14" i="14" s="1"/>
  <c r="X148" i="14"/>
  <c r="CB149" i="14"/>
  <c r="CK148" i="14"/>
  <c r="AT148" i="14"/>
  <c r="F148" i="14"/>
  <c r="G149" i="14" s="1"/>
  <c r="BS148" i="14"/>
  <c r="BR148" i="14"/>
  <c r="AL12" i="14" s="1"/>
  <c r="AM12" i="14" s="1"/>
  <c r="P148" i="14"/>
  <c r="AL6" i="14" s="1"/>
  <c r="AM6" i="14" s="1"/>
  <c r="CH148" i="14"/>
  <c r="AO148" i="14"/>
  <c r="AH148" i="14"/>
  <c r="AL8" i="14" s="1"/>
  <c r="AM8" i="14" s="1"/>
  <c r="H148" i="14"/>
  <c r="I149" i="14" s="1"/>
  <c r="BA148" i="14"/>
  <c r="BK149" i="14"/>
  <c r="Q148" i="14"/>
  <c r="AP148" i="14"/>
  <c r="E148" i="14"/>
  <c r="AK148" i="14"/>
  <c r="N148" i="14"/>
  <c r="AI148" i="14"/>
  <c r="BU148" i="14"/>
  <c r="BP148" i="14"/>
  <c r="CA149" i="14"/>
  <c r="AL13" i="14"/>
  <c r="AM13" i="14" s="1"/>
  <c r="BH149" i="14"/>
  <c r="AX148" i="14"/>
  <c r="S148" i="14"/>
  <c r="AZ148" i="14"/>
  <c r="BC148" i="14"/>
  <c r="BY149" i="14"/>
  <c r="Y148" i="14"/>
  <c r="Z148" i="14"/>
  <c r="AJ148" i="14"/>
  <c r="BB148" i="14"/>
  <c r="W148" i="14"/>
  <c r="CL148" i="14"/>
  <c r="AR148" i="14"/>
  <c r="AS148" i="14"/>
  <c r="CC149" i="14"/>
  <c r="AY148" i="14"/>
  <c r="AF148" i="14"/>
  <c r="BL149" i="14"/>
  <c r="AG148" i="14"/>
  <c r="BQ148" i="14"/>
  <c r="BT148" i="14"/>
  <c r="O148" i="14"/>
  <c r="BI149" i="14"/>
  <c r="AL11" i="14"/>
  <c r="AM11" i="14" s="1"/>
  <c r="R148" i="14"/>
  <c r="CM148" i="14"/>
  <c r="CD149" i="14"/>
  <c r="CI148" i="14"/>
  <c r="BJ149" i="14"/>
  <c r="BZ149" i="14"/>
  <c r="BG149" i="14"/>
  <c r="AQ148" i="14"/>
  <c r="CM149" i="14" l="1"/>
  <c r="CK149" i="14"/>
  <c r="CL149" i="14"/>
  <c r="BJ150" i="14"/>
  <c r="BT149" i="14"/>
  <c r="BC149" i="14"/>
  <c r="H149" i="14"/>
  <c r="I150" i="14" s="1"/>
  <c r="BR149" i="14"/>
  <c r="R149" i="14"/>
  <c r="E149" i="14"/>
  <c r="BB149" i="14"/>
  <c r="AR149" i="14"/>
  <c r="CD150" i="14"/>
  <c r="S149" i="14"/>
  <c r="BU149" i="14"/>
  <c r="AK149" i="14"/>
  <c r="CC150" i="14"/>
  <c r="AJ149" i="14"/>
  <c r="F149" i="14"/>
  <c r="AI149" i="14"/>
  <c r="CH149" i="14"/>
  <c r="CJ149" i="14"/>
  <c r="BZ150" i="14"/>
  <c r="AY149" i="14"/>
  <c r="BS149" i="14"/>
  <c r="CB150" i="14"/>
  <c r="W149" i="14"/>
  <c r="AF149" i="14"/>
  <c r="O149" i="14"/>
  <c r="BG150" i="14"/>
  <c r="AQ149" i="14"/>
  <c r="AL9" i="14"/>
  <c r="AM9" i="14" s="1"/>
  <c r="X149" i="14"/>
  <c r="BA149" i="14"/>
  <c r="BY150" i="14"/>
  <c r="BH150" i="14"/>
  <c r="Q149" i="14"/>
  <c r="P149" i="14"/>
  <c r="AO149" i="14"/>
  <c r="AZ149" i="14"/>
  <c r="AL10" i="14"/>
  <c r="AM10" i="14" s="1"/>
  <c r="BQ149" i="14"/>
  <c r="AS149" i="14"/>
  <c r="Z149" i="14"/>
  <c r="AA149" i="14"/>
  <c r="J150" i="14"/>
  <c r="AG149" i="14"/>
  <c r="AT149" i="14"/>
  <c r="AP149" i="14"/>
  <c r="Y149" i="14"/>
  <c r="AL7" i="14"/>
  <c r="AM7" i="14" s="1"/>
  <c r="AB149" i="14"/>
  <c r="CA150" i="14"/>
  <c r="CI149" i="14"/>
  <c r="BI150" i="14"/>
  <c r="BL150" i="14"/>
  <c r="AH149" i="14"/>
  <c r="N149" i="14"/>
  <c r="BP149" i="14"/>
  <c r="AX149" i="14"/>
  <c r="BK150" i="14"/>
  <c r="CL150" i="14" l="1"/>
  <c r="H150" i="14"/>
  <c r="BT150" i="14"/>
  <c r="BU150" i="14"/>
  <c r="F150" i="14"/>
  <c r="CI150" i="14"/>
  <c r="AJ150" i="14"/>
  <c r="AT150" i="14"/>
  <c r="CM150" i="14"/>
  <c r="CA151" i="14"/>
  <c r="O150" i="14"/>
  <c r="G150" i="14"/>
  <c r="E150" i="14"/>
  <c r="Z150" i="14"/>
  <c r="Q150" i="14"/>
  <c r="BI151" i="14"/>
  <c r="AZ150" i="14"/>
  <c r="P150" i="14"/>
  <c r="CB151" i="14"/>
  <c r="AA150" i="14"/>
  <c r="AF150" i="14"/>
  <c r="S150" i="14"/>
  <c r="BA150" i="14"/>
  <c r="AX150" i="14"/>
  <c r="CC151" i="14"/>
  <c r="AS150" i="14"/>
  <c r="AP150" i="14"/>
  <c r="BQ150" i="14"/>
  <c r="W150" i="14"/>
  <c r="X150" i="14"/>
  <c r="BR150" i="14"/>
  <c r="BC150" i="14"/>
  <c r="CH150" i="14"/>
  <c r="BK151" i="14"/>
  <c r="AO150" i="14"/>
  <c r="CD151" i="14"/>
  <c r="BP150" i="14"/>
  <c r="AB150" i="14"/>
  <c r="AR150" i="14"/>
  <c r="R150" i="14"/>
  <c r="BS150" i="14"/>
  <c r="AY150" i="14"/>
  <c r="BH151" i="14"/>
  <c r="AQ150" i="14"/>
  <c r="N150" i="14"/>
  <c r="AG150" i="14"/>
  <c r="BJ151" i="14"/>
  <c r="CJ150" i="14"/>
  <c r="BY151" i="14"/>
  <c r="AI150" i="14"/>
  <c r="AH150" i="14"/>
  <c r="AK150" i="14"/>
  <c r="Y150" i="14"/>
  <c r="BZ151" i="14"/>
  <c r="CK150" i="14"/>
  <c r="BL151" i="14"/>
  <c r="BB150" i="14"/>
  <c r="BG151" i="14"/>
  <c r="H151" i="14" l="1"/>
  <c r="I151" i="14"/>
  <c r="BL152" i="14"/>
  <c r="BB151" i="14"/>
  <c r="BI152" i="14"/>
  <c r="Q151" i="14"/>
  <c r="CK151" i="14"/>
  <c r="BC151" i="14"/>
  <c r="P151" i="14"/>
  <c r="E151" i="14"/>
  <c r="F151" i="14"/>
  <c r="CD152" i="14"/>
  <c r="S151" i="14"/>
  <c r="G151" i="14"/>
  <c r="AJ151" i="14"/>
  <c r="R151" i="14"/>
  <c r="J151" i="14"/>
  <c r="AR151" i="14"/>
  <c r="CC152" i="14"/>
  <c r="BT151" i="14"/>
  <c r="AQ151" i="14"/>
  <c r="BY152" i="14"/>
  <c r="BS151" i="14"/>
  <c r="BJ152" i="14"/>
  <c r="BG152" i="14"/>
  <c r="Y151" i="14"/>
  <c r="AH151" i="14"/>
  <c r="AY151" i="14"/>
  <c r="BK152" i="14"/>
  <c r="BZ152" i="14"/>
  <c r="CB152" i="14"/>
  <c r="BQ151" i="14"/>
  <c r="CH151" i="14"/>
  <c r="X151" i="14"/>
  <c r="CJ151" i="14"/>
  <c r="CM151" i="14"/>
  <c r="AF151" i="14"/>
  <c r="W151" i="14"/>
  <c r="AK151" i="14"/>
  <c r="AG151" i="14"/>
  <c r="AB151" i="14"/>
  <c r="AO151" i="14"/>
  <c r="AZ151" i="14"/>
  <c r="N151" i="14"/>
  <c r="BP151" i="14"/>
  <c r="AS151" i="14"/>
  <c r="Z151" i="14"/>
  <c r="AA151" i="14"/>
  <c r="AX151" i="14"/>
  <c r="AT151" i="14"/>
  <c r="BR151" i="14"/>
  <c r="BU151" i="14"/>
  <c r="AP151" i="14"/>
  <c r="CL151" i="14"/>
  <c r="BA151" i="14"/>
  <c r="AI151" i="14"/>
  <c r="BH152" i="14"/>
  <c r="CA152" i="14"/>
  <c r="CI151" i="14"/>
  <c r="O151" i="14"/>
  <c r="H152" i="14" l="1"/>
  <c r="BL153" i="14"/>
  <c r="BC152" i="14"/>
  <c r="S152" i="14"/>
  <c r="G152" i="14"/>
  <c r="AK152" i="14"/>
  <c r="R152" i="14"/>
  <c r="CA153" i="14"/>
  <c r="F152" i="14"/>
  <c r="H153" i="14" s="1"/>
  <c r="J152" i="14"/>
  <c r="AT152" i="14"/>
  <c r="I152" i="14"/>
  <c r="E152" i="14"/>
  <c r="AP152" i="14"/>
  <c r="AS152" i="14"/>
  <c r="CL152" i="14"/>
  <c r="BT152" i="14"/>
  <c r="CM152" i="14"/>
  <c r="BH153" i="14"/>
  <c r="AH152" i="14"/>
  <c r="O152" i="14"/>
  <c r="CI152" i="14"/>
  <c r="BU152" i="14"/>
  <c r="BP152" i="14"/>
  <c r="Q152" i="14"/>
  <c r="AZ152" i="14"/>
  <c r="W152" i="14"/>
  <c r="AI152" i="14"/>
  <c r="BA152" i="14"/>
  <c r="AA152" i="14"/>
  <c r="AB152" i="14"/>
  <c r="CD153" i="14"/>
  <c r="CD154" i="14" s="1"/>
  <c r="BK153" i="14"/>
  <c r="BB152" i="14"/>
  <c r="BG153" i="14"/>
  <c r="N152" i="14"/>
  <c r="X152" i="14"/>
  <c r="BI153" i="14"/>
  <c r="AQ152" i="14"/>
  <c r="P152" i="14"/>
  <c r="AF152" i="14"/>
  <c r="CH152" i="14"/>
  <c r="AX152" i="14"/>
  <c r="BQ152" i="14"/>
  <c r="AY152" i="14"/>
  <c r="CK152" i="14"/>
  <c r="BS152" i="14"/>
  <c r="BY153" i="14"/>
  <c r="AO152" i="14"/>
  <c r="AR152" i="14"/>
  <c r="Z152" i="14"/>
  <c r="BJ153" i="14"/>
  <c r="CJ152" i="14"/>
  <c r="CB153" i="14"/>
  <c r="CC153" i="14"/>
  <c r="BR152" i="14"/>
  <c r="AG152" i="14"/>
  <c r="Y152" i="14"/>
  <c r="BZ153" i="14"/>
  <c r="AJ152" i="14"/>
  <c r="J153" i="14" l="1"/>
  <c r="G153" i="14"/>
  <c r="CA154" i="14"/>
  <c r="CD155" i="14" s="1"/>
  <c r="AK153" i="14"/>
  <c r="I153" i="14"/>
  <c r="F153" i="14"/>
  <c r="AR153" i="14"/>
  <c r="E153" i="14"/>
  <c r="Y153" i="14"/>
  <c r="Z153" i="14"/>
  <c r="AQ153" i="14"/>
  <c r="AG153" i="14"/>
  <c r="BJ154" i="14"/>
  <c r="BA153" i="14"/>
  <c r="AJ153" i="14"/>
  <c r="BI154" i="14"/>
  <c r="BR153" i="14"/>
  <c r="R153" i="14"/>
  <c r="CJ153" i="14"/>
  <c r="CK153" i="14"/>
  <c r="BH154" i="14"/>
  <c r="O153" i="14"/>
  <c r="BB153" i="14"/>
  <c r="AZ153" i="14"/>
  <c r="Q153" i="14"/>
  <c r="BC153" i="14"/>
  <c r="CB154" i="14"/>
  <c r="AX153" i="14"/>
  <c r="CM153" i="14"/>
  <c r="AI153" i="14"/>
  <c r="BG154" i="14"/>
  <c r="AO153" i="14"/>
  <c r="AS153" i="14"/>
  <c r="AB153" i="14"/>
  <c r="AA153" i="14"/>
  <c r="BK154" i="14"/>
  <c r="X153" i="14"/>
  <c r="AP153" i="14"/>
  <c r="CL153" i="14"/>
  <c r="CH153" i="14"/>
  <c r="W153" i="14"/>
  <c r="BP153" i="14"/>
  <c r="BU153" i="14"/>
  <c r="AY153" i="14"/>
  <c r="AF153" i="14"/>
  <c r="BL154" i="14"/>
  <c r="CI153" i="14"/>
  <c r="BY154" i="14"/>
  <c r="BQ153" i="14"/>
  <c r="P153" i="14"/>
  <c r="S153" i="14"/>
  <c r="N153" i="14"/>
  <c r="BZ154" i="14"/>
  <c r="CC154" i="14"/>
  <c r="BS153" i="14"/>
  <c r="AH153" i="14"/>
  <c r="AT153" i="14"/>
  <c r="BT153" i="14"/>
  <c r="J154" i="14" l="1"/>
  <c r="I154" i="14"/>
  <c r="G154" i="14"/>
  <c r="H154" i="14"/>
  <c r="AS154" i="14"/>
  <c r="F154" i="14"/>
  <c r="E154" i="14"/>
  <c r="Z154" i="14"/>
  <c r="AB154" i="14"/>
  <c r="AT154" i="14"/>
  <c r="AA154" i="14"/>
  <c r="AY154" i="14"/>
  <c r="BK155" i="14"/>
  <c r="BL155" i="14"/>
  <c r="AP154" i="14"/>
  <c r="AI154" i="14"/>
  <c r="Q154" i="14"/>
  <c r="BB154" i="14"/>
  <c r="BI155" i="14"/>
  <c r="CC155" i="14"/>
  <c r="BJ155" i="14"/>
  <c r="CM154" i="14"/>
  <c r="CL154" i="14"/>
  <c r="P154" i="14"/>
  <c r="BU154" i="14"/>
  <c r="BC154" i="14"/>
  <c r="W154" i="14"/>
  <c r="CI154" i="14"/>
  <c r="BS154" i="14"/>
  <c r="O154" i="14"/>
  <c r="AF154" i="14"/>
  <c r="AJ154" i="14"/>
  <c r="BG155" i="14"/>
  <c r="AG154" i="14"/>
  <c r="AQ154" i="14"/>
  <c r="BQ154" i="14"/>
  <c r="BY155" i="14"/>
  <c r="R154" i="14"/>
  <c r="BR154" i="14"/>
  <c r="AX154" i="14"/>
  <c r="BZ155" i="14"/>
  <c r="CA155" i="14"/>
  <c r="X154" i="14"/>
  <c r="BA154" i="14"/>
  <c r="CB155" i="14"/>
  <c r="BT154" i="14"/>
  <c r="BP154" i="14"/>
  <c r="AZ154" i="14"/>
  <c r="AR154" i="14"/>
  <c r="N154" i="14"/>
  <c r="CK154" i="14"/>
  <c r="AO154" i="14"/>
  <c r="CJ154" i="14"/>
  <c r="AH154" i="14"/>
  <c r="AK154" i="14"/>
  <c r="S154" i="14"/>
  <c r="CH154" i="14"/>
  <c r="Y154" i="14"/>
  <c r="BH155" i="14"/>
  <c r="H155" i="14" l="1"/>
  <c r="J155" i="14"/>
  <c r="G155" i="14"/>
  <c r="I155" i="14"/>
  <c r="F155" i="14"/>
  <c r="E155" i="14"/>
  <c r="Z155" i="14"/>
  <c r="BA155" i="14"/>
  <c r="AA155" i="14"/>
  <c r="Q155" i="14"/>
  <c r="BL156" i="14"/>
  <c r="AR155" i="14"/>
  <c r="BK156" i="14"/>
  <c r="R155" i="14"/>
  <c r="AQ155" i="14"/>
  <c r="CK155" i="14"/>
  <c r="BH156" i="14"/>
  <c r="BR155" i="14"/>
  <c r="N155" i="14"/>
  <c r="S155" i="14"/>
  <c r="CJ155" i="14"/>
  <c r="AK155" i="14"/>
  <c r="CB156" i="14"/>
  <c r="BS155" i="14"/>
  <c r="P155" i="14"/>
  <c r="AX155" i="14"/>
  <c r="W155" i="14"/>
  <c r="BB155" i="14"/>
  <c r="BG156" i="14"/>
  <c r="CC156" i="14"/>
  <c r="AT155" i="14"/>
  <c r="AG155" i="14"/>
  <c r="CA156" i="14"/>
  <c r="BI156" i="14"/>
  <c r="Y155" i="14"/>
  <c r="AP155" i="14"/>
  <c r="BY156" i="14"/>
  <c r="CD156" i="14"/>
  <c r="BZ156" i="14"/>
  <c r="CH155" i="14"/>
  <c r="BT155" i="14"/>
  <c r="CM155" i="14"/>
  <c r="BJ156" i="14"/>
  <c r="AB155" i="14"/>
  <c r="CL155" i="14"/>
  <c r="AH155" i="14"/>
  <c r="BU155" i="14"/>
  <c r="AS155" i="14"/>
  <c r="AF155" i="14"/>
  <c r="X155" i="14"/>
  <c r="CI155" i="14"/>
  <c r="AZ155" i="14"/>
  <c r="BC155" i="14"/>
  <c r="AY155" i="14"/>
  <c r="AJ155" i="14"/>
  <c r="AO155" i="14"/>
  <c r="BP155" i="14"/>
  <c r="AI155" i="14"/>
  <c r="BQ155" i="14"/>
  <c r="O155" i="14"/>
  <c r="J156" i="14" l="1"/>
  <c r="G156" i="14"/>
  <c r="H156" i="14"/>
  <c r="F156" i="14"/>
  <c r="BJ157" i="14"/>
  <c r="S156" i="14"/>
  <c r="I156" i="14"/>
  <c r="E156" i="14"/>
  <c r="AA156" i="14"/>
  <c r="BA156" i="14"/>
  <c r="AR156" i="14"/>
  <c r="AI156" i="14"/>
  <c r="AS156" i="14"/>
  <c r="AT156" i="14"/>
  <c r="BU156" i="14"/>
  <c r="O156" i="14"/>
  <c r="CL156" i="14"/>
  <c r="CJ156" i="14"/>
  <c r="CM156" i="14"/>
  <c r="AO156" i="14"/>
  <c r="BT156" i="14"/>
  <c r="AQ156" i="14"/>
  <c r="AT157" i="14" s="1"/>
  <c r="CD157" i="14"/>
  <c r="R156" i="14"/>
  <c r="CB157" i="14"/>
  <c r="BS156" i="14"/>
  <c r="CA157" i="14"/>
  <c r="X156" i="14"/>
  <c r="BK157" i="14"/>
  <c r="BP156" i="14"/>
  <c r="AJ156" i="14"/>
  <c r="CH156" i="14"/>
  <c r="AH156" i="14"/>
  <c r="CC157" i="14"/>
  <c r="BG157" i="14"/>
  <c r="AZ156" i="14"/>
  <c r="AB156" i="14"/>
  <c r="AK156" i="14"/>
  <c r="AF156" i="14"/>
  <c r="BR156" i="14"/>
  <c r="BI157" i="14"/>
  <c r="BL157" i="14"/>
  <c r="AY156" i="14"/>
  <c r="AX156" i="14"/>
  <c r="BB156" i="14"/>
  <c r="N156" i="14"/>
  <c r="BC156" i="14"/>
  <c r="BY157" i="14"/>
  <c r="W156" i="14"/>
  <c r="BH157" i="14"/>
  <c r="BQ156" i="14"/>
  <c r="CI156" i="14"/>
  <c r="BZ157" i="14"/>
  <c r="AP156" i="14"/>
  <c r="AG156" i="14"/>
  <c r="Q156" i="14"/>
  <c r="CK156" i="14"/>
  <c r="Y156" i="14"/>
  <c r="P156" i="14"/>
  <c r="Z156" i="14"/>
  <c r="J157" i="14" l="1"/>
  <c r="G157" i="14"/>
  <c r="I157" i="14"/>
  <c r="H157" i="14"/>
  <c r="BJ158" i="14"/>
  <c r="E157" i="14"/>
  <c r="F157" i="14"/>
  <c r="BA157" i="14"/>
  <c r="CM157" i="14"/>
  <c r="Q157" i="14"/>
  <c r="BK158" i="14"/>
  <c r="AP157" i="14"/>
  <c r="Z157" i="14"/>
  <c r="AS157" i="14"/>
  <c r="CD158" i="14"/>
  <c r="BC157" i="14"/>
  <c r="BZ158" i="14"/>
  <c r="AK157" i="14"/>
  <c r="AG157" i="14"/>
  <c r="BT157" i="14"/>
  <c r="CC158" i="14"/>
  <c r="Y157" i="14"/>
  <c r="CB158" i="14"/>
  <c r="BG158" i="14"/>
  <c r="BB157" i="14"/>
  <c r="CK157" i="14"/>
  <c r="AZ157" i="14"/>
  <c r="AF157" i="14"/>
  <c r="AJ157" i="14"/>
  <c r="BQ157" i="14"/>
  <c r="AI157" i="14"/>
  <c r="N157" i="14"/>
  <c r="BI158" i="14"/>
  <c r="AA157" i="14"/>
  <c r="AB157" i="14"/>
  <c r="BR157" i="14"/>
  <c r="CI157" i="14"/>
  <c r="O157" i="14"/>
  <c r="CA158" i="14"/>
  <c r="AQ157" i="14"/>
  <c r="BP157" i="14"/>
  <c r="X157" i="14"/>
  <c r="W157" i="14"/>
  <c r="CH157" i="14"/>
  <c r="AO157" i="14"/>
  <c r="AR157" i="14"/>
  <c r="BY158" i="14"/>
  <c r="AX157" i="14"/>
  <c r="BU157" i="14"/>
  <c r="R157" i="14"/>
  <c r="BH158" i="14"/>
  <c r="AH157" i="14"/>
  <c r="CJ157" i="14"/>
  <c r="P157" i="14"/>
  <c r="S157" i="14"/>
  <c r="CL157" i="14"/>
  <c r="AY157" i="14"/>
  <c r="BL158" i="14"/>
  <c r="BS157" i="14"/>
  <c r="J158" i="14" l="1"/>
  <c r="G158" i="14"/>
  <c r="I158" i="14"/>
  <c r="H158" i="14"/>
  <c r="Z158" i="14"/>
  <c r="F158" i="14"/>
  <c r="BK159" i="14"/>
  <c r="CM158" i="14"/>
  <c r="Q158" i="14"/>
  <c r="E158" i="14"/>
  <c r="AR158" i="14"/>
  <c r="BC158" i="14"/>
  <c r="AQ158" i="14"/>
  <c r="AB158" i="14"/>
  <c r="AA158" i="14"/>
  <c r="BB158" i="14"/>
  <c r="BH159" i="14"/>
  <c r="CB159" i="14"/>
  <c r="CC159" i="14"/>
  <c r="AI158" i="14"/>
  <c r="BS158" i="14"/>
  <c r="BL159" i="14"/>
  <c r="AG158" i="14"/>
  <c r="BY159" i="14"/>
  <c r="AY158" i="14"/>
  <c r="AP158" i="14"/>
  <c r="P158" i="14"/>
  <c r="W158" i="14"/>
  <c r="AJ158" i="14"/>
  <c r="BR158" i="14"/>
  <c r="CL158" i="14"/>
  <c r="BP158" i="14"/>
  <c r="AX158" i="14"/>
  <c r="CI158" i="14"/>
  <c r="CK158" i="14"/>
  <c r="AH158" i="14"/>
  <c r="AK158" i="14"/>
  <c r="BQ158" i="14"/>
  <c r="BJ159" i="14"/>
  <c r="BI159" i="14"/>
  <c r="X158" i="14"/>
  <c r="AF158" i="14"/>
  <c r="BT158" i="14"/>
  <c r="BG159" i="14"/>
  <c r="S158" i="14"/>
  <c r="AS158" i="14"/>
  <c r="N158" i="14"/>
  <c r="CJ158" i="14"/>
  <c r="R158" i="14"/>
  <c r="AO158" i="14"/>
  <c r="CA159" i="14"/>
  <c r="CD159" i="14"/>
  <c r="AZ158" i="14"/>
  <c r="BZ159" i="14"/>
  <c r="AT158" i="14"/>
  <c r="BU158" i="14"/>
  <c r="CH158" i="14"/>
  <c r="O158" i="14"/>
  <c r="Y158" i="14"/>
  <c r="BA158" i="14"/>
  <c r="J159" i="14" l="1"/>
  <c r="I159" i="14"/>
  <c r="H159" i="14"/>
  <c r="F159" i="14"/>
  <c r="G159" i="14"/>
  <c r="J160" i="14" s="1"/>
  <c r="BI160" i="14"/>
  <c r="E159" i="14"/>
  <c r="AQ159" i="14"/>
  <c r="AT159" i="14"/>
  <c r="AB159" i="14"/>
  <c r="AS159" i="14"/>
  <c r="AZ159" i="14"/>
  <c r="BA159" i="14"/>
  <c r="AI159" i="14"/>
  <c r="CD160" i="14"/>
  <c r="BS159" i="14"/>
  <c r="O159" i="14"/>
  <c r="BL160" i="14"/>
  <c r="BG160" i="14"/>
  <c r="BR159" i="14"/>
  <c r="BT159" i="14"/>
  <c r="AR159" i="14"/>
  <c r="AH159" i="14"/>
  <c r="BU159" i="14"/>
  <c r="R159" i="14"/>
  <c r="S159" i="14"/>
  <c r="AF159" i="14"/>
  <c r="CJ159" i="14"/>
  <c r="X159" i="14"/>
  <c r="BC159" i="14"/>
  <c r="AJ159" i="14"/>
  <c r="CA160" i="14"/>
  <c r="Z159" i="14"/>
  <c r="AO159" i="14"/>
  <c r="AG159" i="14"/>
  <c r="CC160" i="14"/>
  <c r="AK159" i="14"/>
  <c r="Q159" i="14"/>
  <c r="CK159" i="14"/>
  <c r="CH159" i="14"/>
  <c r="BJ160" i="14"/>
  <c r="BK160" i="14"/>
  <c r="CI159" i="14"/>
  <c r="BQ159" i="14"/>
  <c r="W159" i="14"/>
  <c r="P159" i="14"/>
  <c r="BY160" i="14"/>
  <c r="AX159" i="14"/>
  <c r="N159" i="14"/>
  <c r="BP159" i="14"/>
  <c r="AY159" i="14"/>
  <c r="BZ160" i="14"/>
  <c r="CB160" i="14"/>
  <c r="CL159" i="14"/>
  <c r="CM159" i="14"/>
  <c r="Y159" i="14"/>
  <c r="BB159" i="14"/>
  <c r="BH160" i="14"/>
  <c r="AA159" i="14"/>
  <c r="AP159" i="14"/>
  <c r="I160" i="14" l="1"/>
  <c r="H160" i="14"/>
  <c r="G160" i="14"/>
  <c r="J161" i="14" s="1"/>
  <c r="F160" i="14"/>
  <c r="BL161" i="14"/>
  <c r="AT160" i="14"/>
  <c r="E160" i="14"/>
  <c r="BB160" i="14"/>
  <c r="BC160" i="14"/>
  <c r="AS160" i="14"/>
  <c r="BA160" i="14"/>
  <c r="CD161" i="14"/>
  <c r="BS160" i="14"/>
  <c r="AI160" i="14"/>
  <c r="AP160" i="14"/>
  <c r="BK161" i="14"/>
  <c r="BU160" i="14"/>
  <c r="P160" i="14"/>
  <c r="BT160" i="14"/>
  <c r="Q160" i="14"/>
  <c r="AZ160" i="14"/>
  <c r="N160" i="14"/>
  <c r="CM160" i="14"/>
  <c r="BH161" i="14"/>
  <c r="AJ160" i="14"/>
  <c r="AK160" i="14"/>
  <c r="AH160" i="14"/>
  <c r="CC161" i="14"/>
  <c r="Y160" i="14"/>
  <c r="BZ161" i="14"/>
  <c r="R160" i="14"/>
  <c r="Z160" i="14"/>
  <c r="AF160" i="14"/>
  <c r="S160" i="14"/>
  <c r="AB160" i="14"/>
  <c r="CI160" i="14"/>
  <c r="AG160" i="14"/>
  <c r="BP160" i="14"/>
  <c r="AO160" i="14"/>
  <c r="CH160" i="14"/>
  <c r="CK160" i="14"/>
  <c r="CJ160" i="14"/>
  <c r="BI161" i="14"/>
  <c r="AX160" i="14"/>
  <c r="W160" i="14"/>
  <c r="BJ161" i="14"/>
  <c r="CB161" i="14"/>
  <c r="BY161" i="14"/>
  <c r="BQ160" i="14"/>
  <c r="BR160" i="14"/>
  <c r="AQ160" i="14"/>
  <c r="AA160" i="14"/>
  <c r="BG161" i="14"/>
  <c r="AR160" i="14"/>
  <c r="CL160" i="14"/>
  <c r="AY160" i="14"/>
  <c r="X160" i="14"/>
  <c r="CA161" i="14"/>
  <c r="O160" i="14"/>
  <c r="I161" i="14" l="1"/>
  <c r="G161" i="14"/>
  <c r="J162" i="14" s="1"/>
  <c r="F161" i="14"/>
  <c r="H161" i="14"/>
  <c r="E161" i="14"/>
  <c r="BC161" i="14"/>
  <c r="Y161" i="14"/>
  <c r="BB161" i="14"/>
  <c r="CM161" i="14"/>
  <c r="AQ161" i="14"/>
  <c r="S161" i="14"/>
  <c r="AR161" i="14"/>
  <c r="AJ161" i="14"/>
  <c r="R161" i="14"/>
  <c r="AK161" i="14"/>
  <c r="BJ162" i="14"/>
  <c r="AF161" i="14"/>
  <c r="AA161" i="14"/>
  <c r="CB162" i="14"/>
  <c r="O161" i="14"/>
  <c r="AB161" i="14"/>
  <c r="AY161" i="14"/>
  <c r="CI161" i="14"/>
  <c r="AG161" i="14"/>
  <c r="AT161" i="14"/>
  <c r="CL161" i="14"/>
  <c r="AH161" i="14"/>
  <c r="BG162" i="14"/>
  <c r="AZ161" i="14"/>
  <c r="CJ161" i="14"/>
  <c r="AI161" i="14"/>
  <c r="AO161" i="14"/>
  <c r="CK161" i="14"/>
  <c r="BR161" i="14"/>
  <c r="BU161" i="14"/>
  <c r="BT161" i="14"/>
  <c r="BY162" i="14"/>
  <c r="CH161" i="14"/>
  <c r="BI162" i="14"/>
  <c r="BL162" i="14"/>
  <c r="CC162" i="14"/>
  <c r="P161" i="14"/>
  <c r="BZ162" i="14"/>
  <c r="BK162" i="14"/>
  <c r="X161" i="14"/>
  <c r="Z161" i="14"/>
  <c r="AP161" i="14"/>
  <c r="BP161" i="14"/>
  <c r="BH162" i="14"/>
  <c r="Q161" i="14"/>
  <c r="W161" i="14"/>
  <c r="N161" i="14"/>
  <c r="CA162" i="14"/>
  <c r="CD162" i="14"/>
  <c r="AX161" i="14"/>
  <c r="AS161" i="14"/>
  <c r="BQ161" i="14"/>
  <c r="BS161" i="14"/>
  <c r="BA161" i="14"/>
  <c r="G162" i="14" l="1"/>
  <c r="AP5" i="14" s="1"/>
  <c r="AQ5" i="14" s="1"/>
  <c r="I162" i="14"/>
  <c r="E162" i="14"/>
  <c r="H162" i="14"/>
  <c r="F162" i="14"/>
  <c r="AB162" i="14"/>
  <c r="CM162" i="14"/>
  <c r="AT162" i="14"/>
  <c r="AR162" i="14"/>
  <c r="AS162" i="14"/>
  <c r="AA162" i="14"/>
  <c r="AG162" i="14"/>
  <c r="BA162" i="14"/>
  <c r="AI162" i="14"/>
  <c r="AZ162" i="14"/>
  <c r="AP10" i="14" s="1"/>
  <c r="AQ10" i="14" s="1"/>
  <c r="CK162" i="14"/>
  <c r="AH162" i="14"/>
  <c r="AP8" i="14" s="1"/>
  <c r="AQ8" i="14" s="1"/>
  <c r="BU162" i="14"/>
  <c r="AQ162" i="14"/>
  <c r="AP9" i="14" s="1"/>
  <c r="AQ9" i="14" s="1"/>
  <c r="CH162" i="14"/>
  <c r="N162" i="14"/>
  <c r="X162" i="14"/>
  <c r="CL162" i="14"/>
  <c r="BB162" i="14"/>
  <c r="BS162" i="14"/>
  <c r="BT162" i="14"/>
  <c r="AJ162" i="14"/>
  <c r="CJ162" i="14"/>
  <c r="BC162" i="14"/>
  <c r="AK162" i="14"/>
  <c r="AF162" i="14"/>
  <c r="P162" i="14"/>
  <c r="S162" i="14"/>
  <c r="BP162" i="14"/>
  <c r="W162" i="14"/>
  <c r="AP14" i="14"/>
  <c r="AQ14" i="14" s="1"/>
  <c r="AP11" i="14"/>
  <c r="AQ11" i="14" s="1"/>
  <c r="BR162" i="14"/>
  <c r="AP13" i="14"/>
  <c r="AQ13" i="14" s="1"/>
  <c r="Q162" i="14"/>
  <c r="R162" i="14"/>
  <c r="AP162" i="14"/>
  <c r="CI162" i="14"/>
  <c r="AO162" i="14"/>
  <c r="AY162" i="14"/>
  <c r="BQ162" i="14"/>
  <c r="AX162" i="14"/>
  <c r="O162" i="14"/>
  <c r="Z162" i="14"/>
  <c r="Y162" i="14"/>
  <c r="AP6" i="14" l="1"/>
  <c r="AQ6" i="14" s="1"/>
  <c r="AP7" i="14"/>
  <c r="AQ7" i="14" s="1"/>
  <c r="AP12" i="14"/>
  <c r="AQ12" i="14" s="1"/>
  <c r="U9" i="8" l="1"/>
  <c r="W9" i="8" s="1"/>
  <c r="J10" i="6" l="1"/>
  <c r="I2" i="6"/>
  <c r="I6" i="6"/>
  <c r="I7" i="6"/>
  <c r="I9" i="6"/>
  <c r="I5" i="6"/>
  <c r="I3" i="6"/>
  <c r="I8" i="6"/>
  <c r="I10" i="6"/>
  <c r="I4" i="6"/>
  <c r="U12" i="8" l="1"/>
  <c r="W12" i="8" s="1"/>
  <c r="J3" i="6"/>
  <c r="U5" i="8"/>
  <c r="W5" i="8" s="1"/>
  <c r="J6" i="6"/>
  <c r="U8" i="8"/>
  <c r="W8" i="8" s="1"/>
  <c r="J2" i="6"/>
  <c r="J4" i="6"/>
  <c r="U6" i="8"/>
  <c r="W6" i="8" s="1"/>
  <c r="J8" i="6"/>
  <c r="U10" i="8"/>
  <c r="W10" i="8" s="1"/>
  <c r="J7" i="6"/>
  <c r="J9" i="6"/>
  <c r="U11" i="8"/>
  <c r="W11" i="8" s="1"/>
  <c r="J5" i="6"/>
  <c r="U7" i="8"/>
  <c r="W7" i="8" s="1"/>
  <c r="F10" i="6" l="1"/>
  <c r="G10" i="6"/>
  <c r="F5" i="6"/>
  <c r="G5" i="6"/>
  <c r="F6" i="6"/>
  <c r="G6" i="6"/>
  <c r="F8" i="6"/>
  <c r="G8" i="6"/>
  <c r="G3" i="6"/>
  <c r="F3" i="6"/>
  <c r="F9" i="6"/>
  <c r="G9" i="6"/>
  <c r="F4" i="6"/>
  <c r="G4" i="6"/>
  <c r="G2" i="6"/>
  <c r="F7" i="6"/>
  <c r="G7" i="6"/>
</calcChain>
</file>

<file path=xl/sharedStrings.xml><?xml version="1.0" encoding="utf-8"?>
<sst xmlns="http://schemas.openxmlformats.org/spreadsheetml/2006/main" count="9251" uniqueCount="2481">
  <si>
    <t>Recovered</t>
  </si>
  <si>
    <t>Dead</t>
  </si>
  <si>
    <t>City of Johannesburg Metropolitan Municipality</t>
  </si>
  <si>
    <t>City of Cape Town Metropolitan Municipality</t>
  </si>
  <si>
    <t>City of Tshwane Metropolitan Municipality</t>
  </si>
  <si>
    <t>Ekurhuleni Metropolitan Municipality</t>
  </si>
  <si>
    <t>eThekwini Metropolitan Municipality</t>
  </si>
  <si>
    <t>Nelson Mandela Bay Metropolitan Municipality</t>
  </si>
  <si>
    <t>Nkangala</t>
  </si>
  <si>
    <t>Ehlanzeni</t>
  </si>
  <si>
    <t>Bojanala</t>
  </si>
  <si>
    <t>uMgungundlovu</t>
  </si>
  <si>
    <t>Sedibeng</t>
  </si>
  <si>
    <t>Buffalo City Metropolitan Municipality</t>
  </si>
  <si>
    <t>Gert Sibande</t>
  </si>
  <si>
    <t>Capricorn</t>
  </si>
  <si>
    <t>Mangaung Metropolitan Municipality</t>
  </si>
  <si>
    <t>West Rand</t>
  </si>
  <si>
    <t>Garden Route</t>
  </si>
  <si>
    <t>Vhembe</t>
  </si>
  <si>
    <t>Cape Winelands</t>
  </si>
  <si>
    <t>King Cetshwayo</t>
  </si>
  <si>
    <t>Dr Kenneth Kaunda</t>
  </si>
  <si>
    <t>Waterberg</t>
  </si>
  <si>
    <t>Mopani</t>
  </si>
  <si>
    <t>Thabo Mofutsanyana</t>
  </si>
  <si>
    <t>Ngaka Modiri Molema</t>
  </si>
  <si>
    <t>Sekhukhune</t>
  </si>
  <si>
    <t>Lejweleputswa</t>
  </si>
  <si>
    <t>OR Tambo</t>
  </si>
  <si>
    <t>Sarah Baartman</t>
  </si>
  <si>
    <t>Ugu</t>
  </si>
  <si>
    <t>Chris Hani</t>
  </si>
  <si>
    <t>iLembe</t>
  </si>
  <si>
    <t>West Coast</t>
  </si>
  <si>
    <t>Amathole</t>
  </si>
  <si>
    <t>Frances Baard</t>
  </si>
  <si>
    <t>Fezile Dabi</t>
  </si>
  <si>
    <t>Overberg</t>
  </si>
  <si>
    <t>Zululand</t>
  </si>
  <si>
    <t>Umkhanyakude</t>
  </si>
  <si>
    <t>Uthukela</t>
  </si>
  <si>
    <t>Amajuba</t>
  </si>
  <si>
    <t>Dr Ruth Segomotsi Mompati</t>
  </si>
  <si>
    <t>Alfred Nzo</t>
  </si>
  <si>
    <t>ZF Mgcawu</t>
  </si>
  <si>
    <t>Harry Gwala</t>
  </si>
  <si>
    <t>John Taolo Gaetsewe</t>
  </si>
  <si>
    <t>Umzinyathi</t>
  </si>
  <si>
    <t>Joe Gqabi</t>
  </si>
  <si>
    <t>Xhariep</t>
  </si>
  <si>
    <t>Pixley ka Seme</t>
  </si>
  <si>
    <t>Namakwa</t>
  </si>
  <si>
    <t>Central Karoo</t>
  </si>
  <si>
    <t>EASTERN CAPE</t>
  </si>
  <si>
    <t>FREE STATE</t>
  </si>
  <si>
    <t>GAUTENG</t>
  </si>
  <si>
    <t>KWAZULU-NATAL</t>
  </si>
  <si>
    <t>LIMPOPO</t>
  </si>
  <si>
    <t>MPUMALANGA</t>
  </si>
  <si>
    <t>NORTH WEST</t>
  </si>
  <si>
    <t>NORTHERN CAPE</t>
  </si>
  <si>
    <t>WESTERN CAPE</t>
  </si>
  <si>
    <t>Nr</t>
  </si>
  <si>
    <t>Location</t>
  </si>
  <si>
    <t>N</t>
  </si>
  <si>
    <t>R</t>
  </si>
  <si>
    <t>I</t>
  </si>
  <si>
    <t>U</t>
  </si>
  <si>
    <t>E</t>
  </si>
  <si>
    <t>D</t>
  </si>
  <si>
    <t>mu</t>
  </si>
  <si>
    <t>perc_u</t>
  </si>
  <si>
    <t>R0</t>
  </si>
  <si>
    <t>beta</t>
  </si>
  <si>
    <t>Tinc</t>
  </si>
  <si>
    <t>Tinf</t>
  </si>
  <si>
    <t>Province</t>
  </si>
  <si>
    <t>N = initial popn</t>
  </si>
  <si>
    <t>Age based COVID case fatality rate</t>
  </si>
  <si>
    <t>% undetected</t>
  </si>
  <si>
    <t>I = initial infected</t>
  </si>
  <si>
    <t>U= initial undetected</t>
  </si>
  <si>
    <t>D= initial deaths</t>
  </si>
  <si>
    <t>E = initial exposed</t>
  </si>
  <si>
    <t>R = initial recovered</t>
  </si>
  <si>
    <t>S = initial susceptible</t>
  </si>
  <si>
    <t>Population Density</t>
  </si>
  <si>
    <t>Beta</t>
  </si>
  <si>
    <t>Probability of exiting to:</t>
  </si>
  <si>
    <t>Age 0 - 9</t>
  </si>
  <si>
    <t>Age 10 - 19</t>
  </si>
  <si>
    <t>Age 20 - 29</t>
  </si>
  <si>
    <t>Age 30 - 39</t>
  </si>
  <si>
    <t>Age 40 - 49</t>
  </si>
  <si>
    <t>Age 50 - 59</t>
  </si>
  <si>
    <t>Age 60 - 69</t>
  </si>
  <si>
    <t>Age 70 - 79</t>
  </si>
  <si>
    <t xml:space="preserve">Age 80 + </t>
  </si>
  <si>
    <t>Actuals</t>
  </si>
  <si>
    <t>District</t>
  </si>
  <si>
    <t>Recoveries</t>
  </si>
  <si>
    <t>Deaths</t>
  </si>
  <si>
    <t>Nelson Mandela Bay</t>
  </si>
  <si>
    <t>Buffalo City</t>
  </si>
  <si>
    <t>Eastern Cape</t>
  </si>
  <si>
    <t>Mangaung</t>
  </si>
  <si>
    <t>Free State</t>
  </si>
  <si>
    <t>City of Johannesburg</t>
  </si>
  <si>
    <t>City of Tshwane</t>
  </si>
  <si>
    <t>Ekurhuleni</t>
  </si>
  <si>
    <t>Gauteng</t>
  </si>
  <si>
    <t>eThekwini</t>
  </si>
  <si>
    <t>KwaZulu-Natal</t>
  </si>
  <si>
    <t>Limpopo</t>
  </si>
  <si>
    <t>Mpumalanga</t>
  </si>
  <si>
    <t>North West</t>
  </si>
  <si>
    <t>Northern Cape</t>
  </si>
  <si>
    <t>City of Cape Town</t>
  </si>
  <si>
    <t>Western Cape</t>
  </si>
  <si>
    <t>DISTRICT</t>
  </si>
  <si>
    <t>KEY</t>
  </si>
  <si>
    <t>PROVINCE</t>
  </si>
  <si>
    <t>MUNIC_CD</t>
  </si>
  <si>
    <t>MUNIC</t>
  </si>
  <si>
    <t>POP</t>
  </si>
  <si>
    <t>YOUNG</t>
  </si>
  <si>
    <t>WORKAGE</t>
  </si>
  <si>
    <t>WORKAGENR</t>
  </si>
  <si>
    <t>ELDERLY</t>
  </si>
  <si>
    <t>DEPRATIO</t>
  </si>
  <si>
    <t>SEXRATIO</t>
  </si>
  <si>
    <t>POPGRWTH</t>
  </si>
  <si>
    <t>POPDENSTY</t>
  </si>
  <si>
    <t>UNEMPL</t>
  </si>
  <si>
    <t>EMPL</t>
  </si>
  <si>
    <t>YTHUNEMP</t>
  </si>
  <si>
    <t>NOSCHL</t>
  </si>
  <si>
    <t>HIGHEDU</t>
  </si>
  <si>
    <t>MATRIC</t>
  </si>
  <si>
    <t>HHLD</t>
  </si>
  <si>
    <t>AGRISHHLD</t>
  </si>
  <si>
    <t>HHSIZE</t>
  </si>
  <si>
    <t>FEMHHEAD</t>
  </si>
  <si>
    <t>FRMLDWEL</t>
  </si>
  <si>
    <t>HOWN</t>
  </si>
  <si>
    <t>FLTOILT</t>
  </si>
  <si>
    <t>WREFRMVL</t>
  </si>
  <si>
    <t>PIPWTR</t>
  </si>
  <si>
    <t>ELECLGHT</t>
  </si>
  <si>
    <t>BLACK</t>
  </si>
  <si>
    <t>CLRD</t>
  </si>
  <si>
    <t>INDAS</t>
  </si>
  <si>
    <t>WHITE</t>
  </si>
  <si>
    <t>OTH</t>
  </si>
  <si>
    <t>AGE00M</t>
  </si>
  <si>
    <t>AGE00F</t>
  </si>
  <si>
    <t>AGE05M</t>
  </si>
  <si>
    <t>AGE05F</t>
  </si>
  <si>
    <t>AGE10M</t>
  </si>
  <si>
    <t>AGE10F</t>
  </si>
  <si>
    <t>AGE15M</t>
  </si>
  <si>
    <t>AGE15F</t>
  </si>
  <si>
    <t>AGE20M</t>
  </si>
  <si>
    <t>AGE20F</t>
  </si>
  <si>
    <t>AGE25M</t>
  </si>
  <si>
    <t>AGE30M</t>
  </si>
  <si>
    <t>AGE30F</t>
  </si>
  <si>
    <t>AGE35M</t>
  </si>
  <si>
    <t>AGE35F</t>
  </si>
  <si>
    <t>AGE40M</t>
  </si>
  <si>
    <t>AGE40F</t>
  </si>
  <si>
    <t>AGE45M</t>
  </si>
  <si>
    <t>AGE45F</t>
  </si>
  <si>
    <t>AGE50M</t>
  </si>
  <si>
    <t>AGE50F</t>
  </si>
  <si>
    <t>AGE55M</t>
  </si>
  <si>
    <t>AGE55F</t>
  </si>
  <si>
    <t>AGE60M</t>
  </si>
  <si>
    <t>AGE60F</t>
  </si>
  <si>
    <t>AGE65M</t>
  </si>
  <si>
    <t>AGE65F</t>
  </si>
  <si>
    <t>AGE70M</t>
  </si>
  <si>
    <t>AGE75M</t>
  </si>
  <si>
    <t>AGE75F</t>
  </si>
  <si>
    <t>AGE80M</t>
  </si>
  <si>
    <t>AGE80F</t>
  </si>
  <si>
    <t>AGE85M</t>
  </si>
  <si>
    <t>AGE85F</t>
  </si>
  <si>
    <t>EMPLOYED</t>
  </si>
  <si>
    <t>WRKSKR</t>
  </si>
  <si>
    <t>NOACTIV</t>
  </si>
  <si>
    <t>INC0000</t>
  </si>
  <si>
    <t>INC0048</t>
  </si>
  <si>
    <t>INC0096</t>
  </si>
  <si>
    <t>INC0196</t>
  </si>
  <si>
    <t>INC0382</t>
  </si>
  <si>
    <t>INC0764</t>
  </si>
  <si>
    <t>INC1538</t>
  </si>
  <si>
    <t>INC3076</t>
  </si>
  <si>
    <t>INC6144</t>
  </si>
  <si>
    <t>INC12888</t>
  </si>
  <si>
    <t>INC24576</t>
  </si>
  <si>
    <t>INC24576P</t>
  </si>
  <si>
    <t>WRKAGENR</t>
  </si>
  <si>
    <t>Adjusted Population</t>
  </si>
  <si>
    <t>Space</t>
  </si>
  <si>
    <t>Adj_popn density</t>
  </si>
  <si>
    <t>CPT</t>
  </si>
  <si>
    <t>WC011</t>
  </si>
  <si>
    <t>Matzikama</t>
  </si>
  <si>
    <t>WC012</t>
  </si>
  <si>
    <t>Cederberg</t>
  </si>
  <si>
    <t>WC013</t>
  </si>
  <si>
    <t>Bergrivier</t>
  </si>
  <si>
    <t>WC014</t>
  </si>
  <si>
    <t>Saldanha Bay</t>
  </si>
  <si>
    <t>WC015</t>
  </si>
  <si>
    <t>Swartland</t>
  </si>
  <si>
    <t>WC022</t>
  </si>
  <si>
    <t>Witzenberg</t>
  </si>
  <si>
    <t>WC023</t>
  </si>
  <si>
    <t>Drakenstein</t>
  </si>
  <si>
    <t>WC024</t>
  </si>
  <si>
    <t>Stellenbosch</t>
  </si>
  <si>
    <t>WC025</t>
  </si>
  <si>
    <t>Breede Valley</t>
  </si>
  <si>
    <t>WC026</t>
  </si>
  <si>
    <t>Langeberg</t>
  </si>
  <si>
    <t>WC031</t>
  </si>
  <si>
    <t>Theewaterskloof</t>
  </si>
  <si>
    <t>WC032</t>
  </si>
  <si>
    <t>Overstrand</t>
  </si>
  <si>
    <t>WC033</t>
  </si>
  <si>
    <t>Cape Agulhas</t>
  </si>
  <si>
    <t>WC034</t>
  </si>
  <si>
    <t>Swellendam</t>
  </si>
  <si>
    <t>WC041</t>
  </si>
  <si>
    <t>Kannaland</t>
  </si>
  <si>
    <t>WC042</t>
  </si>
  <si>
    <t>Hessequa</t>
  </si>
  <si>
    <t>WC043</t>
  </si>
  <si>
    <t>Mossel Bay</t>
  </si>
  <si>
    <t>WC044</t>
  </si>
  <si>
    <t>George</t>
  </si>
  <si>
    <t>WC045</t>
  </si>
  <si>
    <t>Oudtshoorn</t>
  </si>
  <si>
    <t>WC047</t>
  </si>
  <si>
    <t>Bitou</t>
  </si>
  <si>
    <t>WC048</t>
  </si>
  <si>
    <t>Knysna</t>
  </si>
  <si>
    <t>WC051</t>
  </si>
  <si>
    <t>Laingsburg</t>
  </si>
  <si>
    <t>WC052</t>
  </si>
  <si>
    <t>Prince Albert</t>
  </si>
  <si>
    <t>WC053</t>
  </si>
  <si>
    <t>Beaufort West</t>
  </si>
  <si>
    <t>BUF</t>
  </si>
  <si>
    <t>EC101</t>
  </si>
  <si>
    <t>Camdeboo</t>
  </si>
  <si>
    <t>EC102</t>
  </si>
  <si>
    <t>Blue Crane Route</t>
  </si>
  <si>
    <t>EC103</t>
  </si>
  <si>
    <t>Ikwezi</t>
  </si>
  <si>
    <t>EC104</t>
  </si>
  <si>
    <t>Makana</t>
  </si>
  <si>
    <t>EC105</t>
  </si>
  <si>
    <t>Ndlambe</t>
  </si>
  <si>
    <t>EC106</t>
  </si>
  <si>
    <t>Sundays River Valley</t>
  </si>
  <si>
    <t>EC107</t>
  </si>
  <si>
    <t>Baviaans</t>
  </si>
  <si>
    <t>EC108</t>
  </si>
  <si>
    <t>Kouga</t>
  </si>
  <si>
    <t>EC109</t>
  </si>
  <si>
    <t>Kou-Kamma</t>
  </si>
  <si>
    <t>EC121</t>
  </si>
  <si>
    <t>Mbhashe</t>
  </si>
  <si>
    <t>EC122</t>
  </si>
  <si>
    <t>Mnquma</t>
  </si>
  <si>
    <t>EC123</t>
  </si>
  <si>
    <t>Great Kei</t>
  </si>
  <si>
    <t>EC124</t>
  </si>
  <si>
    <t>Amahlathi</t>
  </si>
  <si>
    <t>EC126</t>
  </si>
  <si>
    <t>Ngqushwa</t>
  </si>
  <si>
    <t>EC127</t>
  </si>
  <si>
    <t>Nkonkobe</t>
  </si>
  <si>
    <t>EC128</t>
  </si>
  <si>
    <t>Nxuba</t>
  </si>
  <si>
    <t>EC131</t>
  </si>
  <si>
    <t>Inxuba Yethemba</t>
  </si>
  <si>
    <t>EC132</t>
  </si>
  <si>
    <t>Tsolwana</t>
  </si>
  <si>
    <t>EC133</t>
  </si>
  <si>
    <t>Inkwanca</t>
  </si>
  <si>
    <t>EC134</t>
  </si>
  <si>
    <t>Lukhanji</t>
  </si>
  <si>
    <t>EC135</t>
  </si>
  <si>
    <t>Intsika Yethu</t>
  </si>
  <si>
    <t>EC136</t>
  </si>
  <si>
    <t>Emalahleni</t>
  </si>
  <si>
    <t>EC137</t>
  </si>
  <si>
    <t>Engcobo</t>
  </si>
  <si>
    <t>EC138</t>
  </si>
  <si>
    <t>Sakhisizwe</t>
  </si>
  <si>
    <t>EC141</t>
  </si>
  <si>
    <t>Elundini</t>
  </si>
  <si>
    <t>EC142</t>
  </si>
  <si>
    <t>Senqu</t>
  </si>
  <si>
    <t>EC143</t>
  </si>
  <si>
    <t>Maletswai</t>
  </si>
  <si>
    <t>EC144</t>
  </si>
  <si>
    <t>Gariep</t>
  </si>
  <si>
    <t>EC153</t>
  </si>
  <si>
    <t>Ingquza Hill</t>
  </si>
  <si>
    <t>EC154</t>
  </si>
  <si>
    <t>Port St Johns</t>
  </si>
  <si>
    <t>EC155</t>
  </si>
  <si>
    <t>Nyandeni</t>
  </si>
  <si>
    <t>EC156</t>
  </si>
  <si>
    <t>Mhlontlo</t>
  </si>
  <si>
    <t>EC157</t>
  </si>
  <si>
    <t>King Sabata Dalindyebo</t>
  </si>
  <si>
    <t>EC441</t>
  </si>
  <si>
    <t>Matatiele</t>
  </si>
  <si>
    <t>EC442</t>
  </si>
  <si>
    <t>Umzimvubu</t>
  </si>
  <si>
    <t>EC443</t>
  </si>
  <si>
    <t>Mbizana</t>
  </si>
  <si>
    <t>EC444</t>
  </si>
  <si>
    <t>Ntabankulu</t>
  </si>
  <si>
    <t>NMA</t>
  </si>
  <si>
    <t>FS161</t>
  </si>
  <si>
    <t>Letsemeng</t>
  </si>
  <si>
    <t>FS162</t>
  </si>
  <si>
    <t>Kopanong</t>
  </si>
  <si>
    <t>FS163</t>
  </si>
  <si>
    <t>Mohokare</t>
  </si>
  <si>
    <t>FS164</t>
  </si>
  <si>
    <t>Naledi</t>
  </si>
  <si>
    <t>FS181</t>
  </si>
  <si>
    <t>Masilonyana</t>
  </si>
  <si>
    <t>FS182</t>
  </si>
  <si>
    <t>Tokologo</t>
  </si>
  <si>
    <t>FS183</t>
  </si>
  <si>
    <t>Tswelopele</t>
  </si>
  <si>
    <t>FS184</t>
  </si>
  <si>
    <t>Matjhabeng</t>
  </si>
  <si>
    <t>FS185</t>
  </si>
  <si>
    <t>Nala</t>
  </si>
  <si>
    <t>FS191</t>
  </si>
  <si>
    <t>Setsoto</t>
  </si>
  <si>
    <t>FS192</t>
  </si>
  <si>
    <t>Dihlabeng</t>
  </si>
  <si>
    <t>FS193</t>
  </si>
  <si>
    <t>Nketoana</t>
  </si>
  <si>
    <t>FS194</t>
  </si>
  <si>
    <t>Maluti a Phofung</t>
  </si>
  <si>
    <t>FS195</t>
  </si>
  <si>
    <t>Phumelela</t>
  </si>
  <si>
    <t>FS196</t>
  </si>
  <si>
    <t>Mantsopa</t>
  </si>
  <si>
    <t>FS201</t>
  </si>
  <si>
    <t>Moqhaka</t>
  </si>
  <si>
    <t>FS203</t>
  </si>
  <si>
    <t>Ngwathe</t>
  </si>
  <si>
    <t>FS204</t>
  </si>
  <si>
    <t>Metsimaholo</t>
  </si>
  <si>
    <t>FS205</t>
  </si>
  <si>
    <t>Mafube</t>
  </si>
  <si>
    <t>MAN</t>
  </si>
  <si>
    <t>NC061</t>
  </si>
  <si>
    <t>Richtersveld</t>
  </si>
  <si>
    <t>NC062</t>
  </si>
  <si>
    <t>Nama Khoi</t>
  </si>
  <si>
    <t>NC064</t>
  </si>
  <si>
    <t>Kamiesberg</t>
  </si>
  <si>
    <t>NC065</t>
  </si>
  <si>
    <t>Hantam</t>
  </si>
  <si>
    <t>NC066</t>
  </si>
  <si>
    <t>Karoo Hoogland</t>
  </si>
  <si>
    <t>NC067</t>
  </si>
  <si>
    <t>Khâi-Ma</t>
  </si>
  <si>
    <t>NC071</t>
  </si>
  <si>
    <t>Ubuntu</t>
  </si>
  <si>
    <t>NC072</t>
  </si>
  <si>
    <t>Umsobomvu</t>
  </si>
  <si>
    <t>NC073</t>
  </si>
  <si>
    <t>Emthanjeni</t>
  </si>
  <si>
    <t>NC074</t>
  </si>
  <si>
    <t>Kareeberg</t>
  </si>
  <si>
    <t>NC075</t>
  </si>
  <si>
    <t>Renosterberg</t>
  </si>
  <si>
    <t>NC076</t>
  </si>
  <si>
    <t>Thembelihle</t>
  </si>
  <si>
    <t>NC077</t>
  </si>
  <si>
    <t>Siyathemba</t>
  </si>
  <si>
    <t>NC078</t>
  </si>
  <si>
    <t>Siyancuma</t>
  </si>
  <si>
    <t>NC081</t>
  </si>
  <si>
    <t>Mier</t>
  </si>
  <si>
    <t>NC082</t>
  </si>
  <si>
    <t>Kai !Garib</t>
  </si>
  <si>
    <t>NC083</t>
  </si>
  <si>
    <t>//Khara Hais</t>
  </si>
  <si>
    <t>NC084</t>
  </si>
  <si>
    <t>!Kheis</t>
  </si>
  <si>
    <t>NC085</t>
  </si>
  <si>
    <t>Tsantsabane</t>
  </si>
  <si>
    <t>NC086</t>
  </si>
  <si>
    <t>Kgatelopele</t>
  </si>
  <si>
    <t>NC091</t>
  </si>
  <si>
    <t>Sol Plaatjie</t>
  </si>
  <si>
    <t>NC092</t>
  </si>
  <si>
    <t>Dikgatlong</t>
  </si>
  <si>
    <t>NC093</t>
  </si>
  <si>
    <t>Magareng</t>
  </si>
  <si>
    <t>NC094</t>
  </si>
  <si>
    <t>Phokwane</t>
  </si>
  <si>
    <t>NC451</t>
  </si>
  <si>
    <t>Joe Morolong</t>
  </si>
  <si>
    <t>NC452</t>
  </si>
  <si>
    <t>Ga-Segonyana</t>
  </si>
  <si>
    <t>NC453</t>
  </si>
  <si>
    <t>Gamagara</t>
  </si>
  <si>
    <t>ETH</t>
  </si>
  <si>
    <t>Ethekwini</t>
  </si>
  <si>
    <t>KZN211</t>
  </si>
  <si>
    <t>Vulamehlo</t>
  </si>
  <si>
    <t>KZN212</t>
  </si>
  <si>
    <t>Umdoni</t>
  </si>
  <si>
    <t>KZN213</t>
  </si>
  <si>
    <t>Umzumbe</t>
  </si>
  <si>
    <t>KZN214</t>
  </si>
  <si>
    <t>Umuziwabantu</t>
  </si>
  <si>
    <t>KZN215</t>
  </si>
  <si>
    <t>Ezingoleni</t>
  </si>
  <si>
    <t>KZN216</t>
  </si>
  <si>
    <t>Hibiscus Coast</t>
  </si>
  <si>
    <t>KZN221</t>
  </si>
  <si>
    <t>uMshwathi</t>
  </si>
  <si>
    <t>KZN222</t>
  </si>
  <si>
    <t>uMngeni</t>
  </si>
  <si>
    <t>KZN223</t>
  </si>
  <si>
    <t>Mpofana</t>
  </si>
  <si>
    <t>KZN224</t>
  </si>
  <si>
    <t>Impendle</t>
  </si>
  <si>
    <t>KZN225</t>
  </si>
  <si>
    <t>The Msunduzi</t>
  </si>
  <si>
    <t>KZN226</t>
  </si>
  <si>
    <t>Mkhambathini</t>
  </si>
  <si>
    <t>KZN227</t>
  </si>
  <si>
    <t>Richmond</t>
  </si>
  <si>
    <t>KZN232</t>
  </si>
  <si>
    <t>Emnambithi/Ladysmith</t>
  </si>
  <si>
    <t>KZN233</t>
  </si>
  <si>
    <t>Indaka</t>
  </si>
  <si>
    <t>KZN234</t>
  </si>
  <si>
    <t>Umtshezi</t>
  </si>
  <si>
    <t>KZN235</t>
  </si>
  <si>
    <t>Okhahlamba</t>
  </si>
  <si>
    <t>KZN236</t>
  </si>
  <si>
    <t>Imbabazane</t>
  </si>
  <si>
    <t>KZN241</t>
  </si>
  <si>
    <t>Endumeni</t>
  </si>
  <si>
    <t>KZN242</t>
  </si>
  <si>
    <t>Nquthu</t>
  </si>
  <si>
    <t>KZN244</t>
  </si>
  <si>
    <t>Msinga</t>
  </si>
  <si>
    <t>KZN245</t>
  </si>
  <si>
    <t>Umvoti</t>
  </si>
  <si>
    <t>KZN252</t>
  </si>
  <si>
    <t>Newcastle</t>
  </si>
  <si>
    <t>KZN253</t>
  </si>
  <si>
    <t>Emadlangeni</t>
  </si>
  <si>
    <t>KZN254</t>
  </si>
  <si>
    <t>Dannhauser</t>
  </si>
  <si>
    <t>KZN261</t>
  </si>
  <si>
    <t>eDumbe</t>
  </si>
  <si>
    <t>KZN262</t>
  </si>
  <si>
    <t>Uphongolo</t>
  </si>
  <si>
    <t>KZN263</t>
  </si>
  <si>
    <t>Abaqulusi</t>
  </si>
  <si>
    <t>KZN265</t>
  </si>
  <si>
    <t>Nongoma</t>
  </si>
  <si>
    <t>KZN266</t>
  </si>
  <si>
    <t>Ulundi</t>
  </si>
  <si>
    <t>KZN271</t>
  </si>
  <si>
    <t>Umhlabuyalingana</t>
  </si>
  <si>
    <t>KZN272</t>
  </si>
  <si>
    <t>Jozini</t>
  </si>
  <si>
    <t>KZN273</t>
  </si>
  <si>
    <t>The Big 5 False Bay</t>
  </si>
  <si>
    <t>KZN274</t>
  </si>
  <si>
    <t>Hlabisa</t>
  </si>
  <si>
    <t>KZN275</t>
  </si>
  <si>
    <t>Mtubatuba</t>
  </si>
  <si>
    <t>KZN281</t>
  </si>
  <si>
    <t>Mfolozi</t>
  </si>
  <si>
    <t>KZN282</t>
  </si>
  <si>
    <t>uMhlathuze</t>
  </si>
  <si>
    <t>KZN283</t>
  </si>
  <si>
    <t>Ntambanana</t>
  </si>
  <si>
    <t>KZN284</t>
  </si>
  <si>
    <t>uMlalazi</t>
  </si>
  <si>
    <t>KZN285</t>
  </si>
  <si>
    <t>Mthonjaneni</t>
  </si>
  <si>
    <t>KZN286</t>
  </si>
  <si>
    <t>Nkandla</t>
  </si>
  <si>
    <t>KZN291</t>
  </si>
  <si>
    <t>Mandeni</t>
  </si>
  <si>
    <t>KZN292</t>
  </si>
  <si>
    <t>KwaDukuza</t>
  </si>
  <si>
    <t>KZN293</t>
  </si>
  <si>
    <t>Ndwedwe</t>
  </si>
  <si>
    <t>KZN294</t>
  </si>
  <si>
    <t>Maphumulo</t>
  </si>
  <si>
    <t>KZN431</t>
  </si>
  <si>
    <t>Ingwe</t>
  </si>
  <si>
    <t>KZN432</t>
  </si>
  <si>
    <t>KwaSani</t>
  </si>
  <si>
    <t>KZN433</t>
  </si>
  <si>
    <t>Greater Kokstad</t>
  </si>
  <si>
    <t>KZN434</t>
  </si>
  <si>
    <t>Ubuhlebezwe</t>
  </si>
  <si>
    <t>KZN435</t>
  </si>
  <si>
    <t>Umzimkhulu</t>
  </si>
  <si>
    <t>NW371</t>
  </si>
  <si>
    <t>Moretele</t>
  </si>
  <si>
    <t>NW372</t>
  </si>
  <si>
    <t>Madibeng</t>
  </si>
  <si>
    <t>NW373</t>
  </si>
  <si>
    <t>Rustenburg</t>
  </si>
  <si>
    <t>NW374</t>
  </si>
  <si>
    <t>Kgetleng Rivier</t>
  </si>
  <si>
    <t>NW375</t>
  </si>
  <si>
    <t>Moses Kotane</t>
  </si>
  <si>
    <t>NW381</t>
  </si>
  <si>
    <t>Ratlou</t>
  </si>
  <si>
    <t>NW382</t>
  </si>
  <si>
    <t>Tswaing</t>
  </si>
  <si>
    <t>NW383</t>
  </si>
  <si>
    <t>Mafikeng</t>
  </si>
  <si>
    <t>NW384</t>
  </si>
  <si>
    <t>Ditsobotla</t>
  </si>
  <si>
    <t>NW385</t>
  </si>
  <si>
    <t>Ramotshere Moiloa</t>
  </si>
  <si>
    <t>NW392</t>
  </si>
  <si>
    <t>NW393</t>
  </si>
  <si>
    <t>Mamusa</t>
  </si>
  <si>
    <t>NW394</t>
  </si>
  <si>
    <t>Greater Taung</t>
  </si>
  <si>
    <t>NW396</t>
  </si>
  <si>
    <t>Lekwa-Teemane</t>
  </si>
  <si>
    <t>NW397</t>
  </si>
  <si>
    <t>Kagisano Molopo</t>
  </si>
  <si>
    <t>NW401</t>
  </si>
  <si>
    <t>Ventersdorp</t>
  </si>
  <si>
    <t>NW402</t>
  </si>
  <si>
    <t>Tlokwe City Council</t>
  </si>
  <si>
    <t>NW403</t>
  </si>
  <si>
    <t>City of Matlosana</t>
  </si>
  <si>
    <t>NW404</t>
  </si>
  <si>
    <t>Maquassi Hills</t>
  </si>
  <si>
    <t>EKU</t>
  </si>
  <si>
    <t>GT421</t>
  </si>
  <si>
    <t>Emfuleni</t>
  </si>
  <si>
    <t>GT422</t>
  </si>
  <si>
    <t>Midvaal</t>
  </si>
  <si>
    <t>GT423</t>
  </si>
  <si>
    <t>Lesedi</t>
  </si>
  <si>
    <t>GT481</t>
  </si>
  <si>
    <t>Mogale City</t>
  </si>
  <si>
    <t>GT482</t>
  </si>
  <si>
    <t>Randfontein</t>
  </si>
  <si>
    <t>GT483</t>
  </si>
  <si>
    <t>Westonaria</t>
  </si>
  <si>
    <t>GT484</t>
  </si>
  <si>
    <t>Merafong City</t>
  </si>
  <si>
    <t>JHB</t>
  </si>
  <si>
    <t>TSH</t>
  </si>
  <si>
    <t>MP301</t>
  </si>
  <si>
    <t>Albert Luthuli</t>
  </si>
  <si>
    <t>MP302</t>
  </si>
  <si>
    <t>Msukaligwa</t>
  </si>
  <si>
    <t>MP303</t>
  </si>
  <si>
    <t>Mkhondo</t>
  </si>
  <si>
    <t>MP304</t>
  </si>
  <si>
    <t>Pixley Ka Seme</t>
  </si>
  <si>
    <t>MP305</t>
  </si>
  <si>
    <t>Lekwa</t>
  </si>
  <si>
    <t>MP306</t>
  </si>
  <si>
    <t>Dipaleseng</t>
  </si>
  <si>
    <t>MP307</t>
  </si>
  <si>
    <t>Govan Mbeki</t>
  </si>
  <si>
    <t>MP311</t>
  </si>
  <si>
    <t>Victor Khanye</t>
  </si>
  <si>
    <t>MP312</t>
  </si>
  <si>
    <t>MP313</t>
  </si>
  <si>
    <t>Steve Tshwete</t>
  </si>
  <si>
    <t>MP314</t>
  </si>
  <si>
    <t>Emakhazeni</t>
  </si>
  <si>
    <t>MP315</t>
  </si>
  <si>
    <t>Thembisile</t>
  </si>
  <si>
    <t>MP316</t>
  </si>
  <si>
    <t>Dr JS Moroka</t>
  </si>
  <si>
    <t>MP321</t>
  </si>
  <si>
    <t>Thaba Chweu</t>
  </si>
  <si>
    <t>MP322</t>
  </si>
  <si>
    <t>Mbombela</t>
  </si>
  <si>
    <t>MP323</t>
  </si>
  <si>
    <t>Umjindi</t>
  </si>
  <si>
    <t>MP324</t>
  </si>
  <si>
    <t>Nkomazi</t>
  </si>
  <si>
    <t>MP325</t>
  </si>
  <si>
    <t>Bushbuckridge</t>
  </si>
  <si>
    <t>LIM331</t>
  </si>
  <si>
    <t>Greater Giyani</t>
  </si>
  <si>
    <t>LIM332</t>
  </si>
  <si>
    <t>Greater Letaba</t>
  </si>
  <si>
    <t>LIM333</t>
  </si>
  <si>
    <t>Greater Tzaneen</t>
  </si>
  <si>
    <t>LIM334</t>
  </si>
  <si>
    <t>Ba-Phalaborwa</t>
  </si>
  <si>
    <t>LIM335</t>
  </si>
  <si>
    <t>Maruleng</t>
  </si>
  <si>
    <t>LIM341</t>
  </si>
  <si>
    <t>Musina</t>
  </si>
  <si>
    <t>LIM342</t>
  </si>
  <si>
    <t>Mutale</t>
  </si>
  <si>
    <t>LIM343</t>
  </si>
  <si>
    <t>Thulamela</t>
  </si>
  <si>
    <t>LIM344</t>
  </si>
  <si>
    <t>Makhado</t>
  </si>
  <si>
    <t>LIM351</t>
  </si>
  <si>
    <t>Blouberg</t>
  </si>
  <si>
    <t>LIM352</t>
  </si>
  <si>
    <t>Aganang</t>
  </si>
  <si>
    <t>LIM353</t>
  </si>
  <si>
    <t>Molemole</t>
  </si>
  <si>
    <t>LIM354</t>
  </si>
  <si>
    <t>Polokwane</t>
  </si>
  <si>
    <t>LIM355</t>
  </si>
  <si>
    <t>Lepele-Nkumpi</t>
  </si>
  <si>
    <t>LIM361</t>
  </si>
  <si>
    <t>Thabazimbi</t>
  </si>
  <si>
    <t>LIM362</t>
  </si>
  <si>
    <t>Lephalale</t>
  </si>
  <si>
    <t>LIM364</t>
  </si>
  <si>
    <t>Mookgopong</t>
  </si>
  <si>
    <t>LIM365</t>
  </si>
  <si>
    <t>Modimolle</t>
  </si>
  <si>
    <t>LIM366</t>
  </si>
  <si>
    <t>Bela-Bela</t>
  </si>
  <si>
    <t>LIM367</t>
  </si>
  <si>
    <t>Mogalakwena</t>
  </si>
  <si>
    <t>LIM471</t>
  </si>
  <si>
    <t>Ephraim Mogale</t>
  </si>
  <si>
    <t>LIM472</t>
  </si>
  <si>
    <t>Elias Motsoaledi</t>
  </si>
  <si>
    <t>LIM473</t>
  </si>
  <si>
    <t>Makhuduthamaga</t>
  </si>
  <si>
    <t>LIM474</t>
  </si>
  <si>
    <t>Fetakgomo</t>
  </si>
  <si>
    <t>LIM475</t>
  </si>
  <si>
    <t>Greater Tubatse</t>
  </si>
  <si>
    <t>Column Labels</t>
  </si>
  <si>
    <t>Row Labels</t>
  </si>
  <si>
    <t>Grand Total</t>
  </si>
  <si>
    <t>Name</t>
  </si>
  <si>
    <t>2016 Code</t>
  </si>
  <si>
    <t>Pre-2016 Code</t>
  </si>
  <si>
    <t>Seat</t>
  </si>
  <si>
    <t>Area</t>
  </si>
  <si>
    <t>Population</t>
  </si>
  <si>
    <t>Pop. density</t>
  </si>
  <si>
    <t>(km2)[2]</t>
  </si>
  <si>
    <t>(2016)[3]</t>
  </si>
  <si>
    <t>(per km2)</t>
  </si>
  <si>
    <t>Abaqulusi Local Municipality</t>
  </si>
  <si>
    <t>Vryheid</t>
  </si>
  <si>
    <t>4,314</t>
  </si>
  <si>
    <t>243,795</t>
  </si>
  <si>
    <t>Albert Luthuli Local Municipality</t>
  </si>
  <si>
    <t>Carolina</t>
  </si>
  <si>
    <t>5,559</t>
  </si>
  <si>
    <t>187,629</t>
  </si>
  <si>
    <t>Alfred Duma Local Municipality</t>
  </si>
  <si>
    <t>KZN238</t>
  </si>
  <si>
    <t>Ladysmith</t>
  </si>
  <si>
    <t>3,764</t>
  </si>
  <si>
    <t>356,274</t>
  </si>
  <si>
    <t>Amahlathi Local Municipality</t>
  </si>
  <si>
    <t>Stutterheim</t>
  </si>
  <si>
    <t>4,505</t>
  </si>
  <si>
    <t>101,826</t>
  </si>
  <si>
    <t>Ba-Phalaborwa Local Municipality</t>
  </si>
  <si>
    <t>Phalaborwa</t>
  </si>
  <si>
    <t>7,489</t>
  </si>
  <si>
    <t>168,937</t>
  </si>
  <si>
    <t>Beaufort West Local Municipality</t>
  </si>
  <si>
    <t>21,917</t>
  </si>
  <si>
    <t>51,080</t>
  </si>
  <si>
    <t>Bela-Bela Local Municipality</t>
  </si>
  <si>
    <t>3,406</t>
  </si>
  <si>
    <t>76,296</t>
  </si>
  <si>
    <t>Bergrivier Local Municipality</t>
  </si>
  <si>
    <t>Piketberg</t>
  </si>
  <si>
    <t>4,407</t>
  </si>
  <si>
    <t>67,474</t>
  </si>
  <si>
    <t>Big Five Hlabisa Local Municipality</t>
  </si>
  <si>
    <t>KZN276</t>
  </si>
  <si>
    <t>3,466</t>
  </si>
  <si>
    <t>116,622</t>
  </si>
  <si>
    <t>Bitou Local Municipality</t>
  </si>
  <si>
    <t>Plettenberg Bay</t>
  </si>
  <si>
    <t>59,157</t>
  </si>
  <si>
    <t>Blouberg Local Municipality</t>
  </si>
  <si>
    <t>Senwabarwana</t>
  </si>
  <si>
    <t>9,540</t>
  </si>
  <si>
    <t>172,601</t>
  </si>
  <si>
    <t>Blue Crane Route Local Municipality</t>
  </si>
  <si>
    <t>Somerset East</t>
  </si>
  <si>
    <t>11,068</t>
  </si>
  <si>
    <t>36,063</t>
  </si>
  <si>
    <t>Breede Valley Local Municipality</t>
  </si>
  <si>
    <t>Worcester</t>
  </si>
  <si>
    <t>3,834</t>
  </si>
  <si>
    <t>176,578</t>
  </si>
  <si>
    <t>East London</t>
  </si>
  <si>
    <t>2,750</t>
  </si>
  <si>
    <t>834,997</t>
  </si>
  <si>
    <t>Bushbuckridge Local Municipality</t>
  </si>
  <si>
    <t>10,248</t>
  </si>
  <si>
    <t>546,215</t>
  </si>
  <si>
    <t>Cape Agulhas Local Municipality</t>
  </si>
  <si>
    <t>Bredasdorp</t>
  </si>
  <si>
    <t>3,471</t>
  </si>
  <si>
    <t>36,000</t>
  </si>
  <si>
    <t>Cederberg Local Municipality</t>
  </si>
  <si>
    <t>Clanwilliam</t>
  </si>
  <si>
    <t>8,007</t>
  </si>
  <si>
    <t>52,949</t>
  </si>
  <si>
    <t>Cape Town</t>
  </si>
  <si>
    <t>2,446</t>
  </si>
  <si>
    <t>4,005,016</t>
  </si>
  <si>
    <t>1,637.6</t>
  </si>
  <si>
    <t>Johannesburg</t>
  </si>
  <si>
    <t>1,645</t>
  </si>
  <si>
    <t>4,949,347</t>
  </si>
  <si>
    <t>3,008.8</t>
  </si>
  <si>
    <t>City of Matlosana Local Municipality</t>
  </si>
  <si>
    <t>Klerksdorp</t>
  </si>
  <si>
    <t>3,602</t>
  </si>
  <si>
    <t>417,282</t>
  </si>
  <si>
    <t>Pretoria</t>
  </si>
  <si>
    <t>6,298</t>
  </si>
  <si>
    <t>3,275,152</t>
  </si>
  <si>
    <t>Collins Chabane Local Municipality</t>
  </si>
  <si>
    <t>LIM345</t>
  </si>
  <si>
    <t>Malamulele</t>
  </si>
  <si>
    <t>5,003</t>
  </si>
  <si>
    <t>347,974</t>
  </si>
  <si>
    <t>Dannhauser Local Municipality</t>
  </si>
  <si>
    <t>1,707</t>
  </si>
  <si>
    <t>105,341</t>
  </si>
  <si>
    <t>Dawid Kruiper Local Municipality</t>
  </si>
  <si>
    <t>NC087</t>
  </si>
  <si>
    <t>Upington</t>
  </si>
  <si>
    <t>44,231</t>
  </si>
  <si>
    <t>107,161</t>
  </si>
  <si>
    <t>NC088</t>
  </si>
  <si>
    <t>Dihlabeng Local Municipality</t>
  </si>
  <si>
    <t>Bethlehem</t>
  </si>
  <si>
    <t>4,868</t>
  </si>
  <si>
    <t>140,044</t>
  </si>
  <si>
    <t>Dikgatlong Local Municipality</t>
  </si>
  <si>
    <t>Barkly West</t>
  </si>
  <si>
    <t>7,316</t>
  </si>
  <si>
    <t>48,473</t>
  </si>
  <si>
    <t>Dipaleseng Local Municipality</t>
  </si>
  <si>
    <t>Balfour</t>
  </si>
  <si>
    <t>2,645</t>
  </si>
  <si>
    <t>45,232</t>
  </si>
  <si>
    <t>Ditsobotla Local Municipality</t>
  </si>
  <si>
    <t>Lichtenburg</t>
  </si>
  <si>
    <t>6,387</t>
  </si>
  <si>
    <t>181,865</t>
  </si>
  <si>
    <t>Dr Beyers Naudé Local Municipality</t>
  </si>
  <si>
    <t>Graaff-Reinet</t>
  </si>
  <si>
    <t>28,653</t>
  </si>
  <si>
    <t>82,197</t>
  </si>
  <si>
    <t>Dr JS Moroka Local Municipality</t>
  </si>
  <si>
    <t>Siyabuswa</t>
  </si>
  <si>
    <t>1,416</t>
  </si>
  <si>
    <t>246,016</t>
  </si>
  <si>
    <t>Dr Nkosazana Dlamini Zuma Local Municipality</t>
  </si>
  <si>
    <t>KZN436</t>
  </si>
  <si>
    <t>Creighton</t>
  </si>
  <si>
    <t>118,480</t>
  </si>
  <si>
    <t>Drakenstein Local Municipality</t>
  </si>
  <si>
    <t>Paarl</t>
  </si>
  <si>
    <t>1,538</t>
  </si>
  <si>
    <t>280,195</t>
  </si>
  <si>
    <t>eDumbe Local Municipality</t>
  </si>
  <si>
    <t>Paulpietersburg</t>
  </si>
  <si>
    <t>1,943</t>
  </si>
  <si>
    <t>89,614</t>
  </si>
  <si>
    <t>Germiston</t>
  </si>
  <si>
    <t>1,975</t>
  </si>
  <si>
    <t>3,379,104</t>
  </si>
  <si>
    <t>1,710.6</t>
  </si>
  <si>
    <t>Elias Motsoaledi Local Municipality</t>
  </si>
  <si>
    <t>Groblersdal</t>
  </si>
  <si>
    <t>3,713</t>
  </si>
  <si>
    <t>268,256</t>
  </si>
  <si>
    <t>Elundini Local Municipality</t>
  </si>
  <si>
    <t>Maclear</t>
  </si>
  <si>
    <t>5,019</t>
  </si>
  <si>
    <t>144,929</t>
  </si>
  <si>
    <t>eMadlangeni Local Municipality</t>
  </si>
  <si>
    <t>Utrecht</t>
  </si>
  <si>
    <t>3,539</t>
  </si>
  <si>
    <t>36,869</t>
  </si>
  <si>
    <t>Emakhazeni Local Municipality</t>
  </si>
  <si>
    <t>Belfast</t>
  </si>
  <si>
    <t>4,736</t>
  </si>
  <si>
    <t>48,149</t>
  </si>
  <si>
    <t>Emalahleni Local Municipality</t>
  </si>
  <si>
    <t>Lady Frere</t>
  </si>
  <si>
    <t>3,484</t>
  </si>
  <si>
    <t>124,532</t>
  </si>
  <si>
    <t>eMalahleni</t>
  </si>
  <si>
    <t>2,678</t>
  </si>
  <si>
    <t>455,228</t>
  </si>
  <si>
    <t>Emfuleni Local Municipality</t>
  </si>
  <si>
    <t>Vanderbijlpark</t>
  </si>
  <si>
    <t>733,445</t>
  </si>
  <si>
    <t>Emthanjeni Local Municipality</t>
  </si>
  <si>
    <t>De Aar</t>
  </si>
  <si>
    <t>13,472</t>
  </si>
  <si>
    <t>45,404</t>
  </si>
  <si>
    <t>Endumeni Local Municipality</t>
  </si>
  <si>
    <t>Dundee</t>
  </si>
  <si>
    <t>1,610</t>
  </si>
  <si>
    <t>76,639</t>
  </si>
  <si>
    <t>Engcobo Local Municipality</t>
  </si>
  <si>
    <t>Ngcobo</t>
  </si>
  <si>
    <t>2,484</t>
  </si>
  <si>
    <t>162,014</t>
  </si>
  <si>
    <t>Enoch Mgijima Local Municipality</t>
  </si>
  <si>
    <t>EC139</t>
  </si>
  <si>
    <t>Queenstown</t>
  </si>
  <si>
    <t>13,584</t>
  </si>
  <si>
    <t>267,011</t>
  </si>
  <si>
    <t>Ephraim Mogale Local Municipality</t>
  </si>
  <si>
    <t>Marble Hall</t>
  </si>
  <si>
    <t>2,011</t>
  </si>
  <si>
    <t>127,168</t>
  </si>
  <si>
    <t>Durban</t>
  </si>
  <si>
    <t>2,556</t>
  </si>
  <si>
    <t>3,702,231</t>
  </si>
  <si>
    <t>1,448.5</t>
  </si>
  <si>
    <t>Fetakgomo/Greater Tubatse Local Municipality</t>
  </si>
  <si>
    <t>LIM476</t>
  </si>
  <si>
    <t>Apel</t>
  </si>
  <si>
    <t>5,693</t>
  </si>
  <si>
    <t>489,902</t>
  </si>
  <si>
    <t>Ga-Segonyana Local Municipality</t>
  </si>
  <si>
    <t>Kuruman</t>
  </si>
  <si>
    <t>4,495</t>
  </si>
  <si>
    <t>104,408</t>
  </si>
  <si>
    <t>Gamagara Local Municipality</t>
  </si>
  <si>
    <t>Kathu</t>
  </si>
  <si>
    <t>2,648</t>
  </si>
  <si>
    <t>53,656</t>
  </si>
  <si>
    <t>George Local Municipality</t>
  </si>
  <si>
    <t>5,191</t>
  </si>
  <si>
    <t>208,237</t>
  </si>
  <si>
    <t>Govan Mbeki Local Municipality</t>
  </si>
  <si>
    <t>Secunda</t>
  </si>
  <si>
    <t>2,955</t>
  </si>
  <si>
    <t>340,091</t>
  </si>
  <si>
    <t>Great Kei Local Municipality</t>
  </si>
  <si>
    <t>Komga</t>
  </si>
  <si>
    <t>1,700</t>
  </si>
  <si>
    <t>31,692</t>
  </si>
  <si>
    <t>Greater Giyani Local Municipality</t>
  </si>
  <si>
    <t>Giyani</t>
  </si>
  <si>
    <t>4,172</t>
  </si>
  <si>
    <t>256,127</t>
  </si>
  <si>
    <t>Greater Kokstad Local Municipality</t>
  </si>
  <si>
    <t>Kokstad</t>
  </si>
  <si>
    <t>2,680</t>
  </si>
  <si>
    <t>76,753</t>
  </si>
  <si>
    <t>Greater Letaba Local Municipality</t>
  </si>
  <si>
    <t>Modjadjiskloof</t>
  </si>
  <si>
    <t>1,891</t>
  </si>
  <si>
    <t>218,030</t>
  </si>
  <si>
    <t>Greater Taung Local Municipality</t>
  </si>
  <si>
    <t>Taung</t>
  </si>
  <si>
    <t>5,639</t>
  </si>
  <si>
    <t>167,827</t>
  </si>
  <si>
    <t>Greater Tzaneen Local Municipality</t>
  </si>
  <si>
    <t>Tzaneen</t>
  </si>
  <si>
    <t>2,897</t>
  </si>
  <si>
    <t>416,146</t>
  </si>
  <si>
    <t>Hantam Local Municipality</t>
  </si>
  <si>
    <t>Calvinia</t>
  </si>
  <si>
    <t>39,085</t>
  </si>
  <si>
    <t>21,540</t>
  </si>
  <si>
    <t>Hessequa Local Municipality</t>
  </si>
  <si>
    <t>Riversdale</t>
  </si>
  <si>
    <t>5,733</t>
  </si>
  <si>
    <t>54,237</t>
  </si>
  <si>
    <t>Impendle Local Municipality</t>
  </si>
  <si>
    <t>29,526</t>
  </si>
  <si>
    <t>Ingquza Hill Local Municipality</t>
  </si>
  <si>
    <t>Flagstaff</t>
  </si>
  <si>
    <t>2,477</t>
  </si>
  <si>
    <t>303,379</t>
  </si>
  <si>
    <t>Inkosi Langalibalele Local Municipality</t>
  </si>
  <si>
    <t>KZN237</t>
  </si>
  <si>
    <t>Estcourt</t>
  </si>
  <si>
    <t>3,399</t>
  </si>
  <si>
    <t>215,182</t>
  </si>
  <si>
    <t>Intsika Yethu Local Municipality</t>
  </si>
  <si>
    <t>Cofimvaba</t>
  </si>
  <si>
    <t>2,873</t>
  </si>
  <si>
    <t>152,159</t>
  </si>
  <si>
    <t>Inxuba Yethemba Local Municipality</t>
  </si>
  <si>
    <t>Cradock</t>
  </si>
  <si>
    <t>11,663</t>
  </si>
  <si>
    <t>70,493</t>
  </si>
  <si>
    <t>JB Marks Local Municipality</t>
  </si>
  <si>
    <t>NW405</t>
  </si>
  <si>
    <t>Potchefstroom</t>
  </si>
  <si>
    <t>6,398</t>
  </si>
  <si>
    <t>243,527</t>
  </si>
  <si>
    <t>Joe Morolong Local Municipality</t>
  </si>
  <si>
    <t>Mothibistad</t>
  </si>
  <si>
    <t>20,180</t>
  </si>
  <si>
    <t>84,201</t>
  </si>
  <si>
    <t>Jozini Local Municipality</t>
  </si>
  <si>
    <t>3,442</t>
  </si>
  <si>
    <t>198,215</t>
  </si>
  <si>
    <t>Kagisano-Molopo Local Municipality</t>
  </si>
  <si>
    <t>Ganyesa</t>
  </si>
  <si>
    <t>23,827</t>
  </si>
  <si>
    <t>102,703</t>
  </si>
  <si>
    <t>Kai !Garib Local Municipality</t>
  </si>
  <si>
    <t>Kakamas</t>
  </si>
  <si>
    <t>26,377</t>
  </si>
  <si>
    <t>68,929</t>
  </si>
  <si>
    <t>Kamiesberg Local Municipality</t>
  </si>
  <si>
    <t>Garies</t>
  </si>
  <si>
    <t>14,208</t>
  </si>
  <si>
    <t>9,605</t>
  </si>
  <si>
    <t>Kannaland Local Municipality</t>
  </si>
  <si>
    <t>Ladismith</t>
  </si>
  <si>
    <t>4,765</t>
  </si>
  <si>
    <t>24,168</t>
  </si>
  <si>
    <t>Kareeberg Local Municipality</t>
  </si>
  <si>
    <t>Carnarvon</t>
  </si>
  <si>
    <t>17,701</t>
  </si>
  <si>
    <t>12,772</t>
  </si>
  <si>
    <t>Karoo Hoogland Local Municipality</t>
  </si>
  <si>
    <t>Williston</t>
  </si>
  <si>
    <t>30,230</t>
  </si>
  <si>
    <t>13,009</t>
  </si>
  <si>
    <t>Kgatelopele Local Municipality</t>
  </si>
  <si>
    <t>Daniëlskuil</t>
  </si>
  <si>
    <t>2,478</t>
  </si>
  <si>
    <t>20,691</t>
  </si>
  <si>
    <t>Kgetlengrivier Local Municipality</t>
  </si>
  <si>
    <t>Koster</t>
  </si>
  <si>
    <t>3,973</t>
  </si>
  <si>
    <t>59,562</t>
  </si>
  <si>
    <t>Khâi-Ma Local Municipality</t>
  </si>
  <si>
    <t>Pofadder</t>
  </si>
  <si>
    <t>15,715</t>
  </si>
  <si>
    <t>12,333</t>
  </si>
  <si>
    <t>!Kheis Local Municipality</t>
  </si>
  <si>
    <t>Groblershoop</t>
  </si>
  <si>
    <t>11,107</t>
  </si>
  <si>
    <t>16,566</t>
  </si>
  <si>
    <t>King Sabata Dalindyebo Local Municipality</t>
  </si>
  <si>
    <t>Mthatha</t>
  </si>
  <si>
    <t>3,019</t>
  </si>
  <si>
    <t>488,349</t>
  </si>
  <si>
    <t>Knysna Local Municipality</t>
  </si>
  <si>
    <t>1,109</t>
  </si>
  <si>
    <t>73,835</t>
  </si>
  <si>
    <t>Kopanong Local Municipality</t>
  </si>
  <si>
    <t>Trompsburg</t>
  </si>
  <si>
    <t>15,645</t>
  </si>
  <si>
    <t>49,999</t>
  </si>
  <si>
    <t>Kou-Kamma Local Municipality</t>
  </si>
  <si>
    <t>Kareedouw</t>
  </si>
  <si>
    <t>3,642</t>
  </si>
  <si>
    <t>43,688</t>
  </si>
  <si>
    <t>Kouga Local Municipality</t>
  </si>
  <si>
    <t>Jeffreys Bay</t>
  </si>
  <si>
    <t>2,670</t>
  </si>
  <si>
    <t>112,941</t>
  </si>
  <si>
    <t>KwaDukuza Local Municipality</t>
  </si>
  <si>
    <t>276,719</t>
  </si>
  <si>
    <t>Laingsburg Local Municipality</t>
  </si>
  <si>
    <t>8,784</t>
  </si>
  <si>
    <t>8,895</t>
  </si>
  <si>
    <t>Langeberg Local Municipality</t>
  </si>
  <si>
    <t>Ashton</t>
  </si>
  <si>
    <t>4,518</t>
  </si>
  <si>
    <t>105,483</t>
  </si>
  <si>
    <t>Lekwa Local Municipality</t>
  </si>
  <si>
    <t>Standerton</t>
  </si>
  <si>
    <t>4,557</t>
  </si>
  <si>
    <t>123,419</t>
  </si>
  <si>
    <t>Lekwa-Teemane Local Municipality</t>
  </si>
  <si>
    <t>Christiana</t>
  </si>
  <si>
    <t>3,654</t>
  </si>
  <si>
    <t>56,025</t>
  </si>
  <si>
    <t>Lepelle-Nkumpi Local Municipality</t>
  </si>
  <si>
    <t>Chuniespoort</t>
  </si>
  <si>
    <t>235,380</t>
  </si>
  <si>
    <t>Lephalale Local Municipality</t>
  </si>
  <si>
    <t>13,794</t>
  </si>
  <si>
    <t>140,240</t>
  </si>
  <si>
    <t>Lesedi Local Municipality</t>
  </si>
  <si>
    <t>Heidelberg</t>
  </si>
  <si>
    <t>1,484</t>
  </si>
  <si>
    <t>112,472</t>
  </si>
  <si>
    <t>Letsemeng Local Municipality</t>
  </si>
  <si>
    <t>Koffiefontein</t>
  </si>
  <si>
    <t>9,828</t>
  </si>
  <si>
    <t>40,044</t>
  </si>
  <si>
    <t>Madibeng Local Municipality</t>
  </si>
  <si>
    <t>Brits</t>
  </si>
  <si>
    <t>3,720</t>
  </si>
  <si>
    <t>536,110</t>
  </si>
  <si>
    <t>Mafube Local Municipality</t>
  </si>
  <si>
    <t>Frankfort</t>
  </si>
  <si>
    <t>3,971</t>
  </si>
  <si>
    <t>57,574</t>
  </si>
  <si>
    <t>Magareng Local Municipality</t>
  </si>
  <si>
    <t>Warrenton</t>
  </si>
  <si>
    <t>1,546</t>
  </si>
  <si>
    <t>24,059</t>
  </si>
  <si>
    <t>Mahikeng Local Municipality</t>
  </si>
  <si>
    <t>Mahikeng</t>
  </si>
  <si>
    <t>3,646</t>
  </si>
  <si>
    <t>314,394</t>
  </si>
  <si>
    <t>Makana Local Municipality</t>
  </si>
  <si>
    <t>Grahamstown</t>
  </si>
  <si>
    <t>4,376</t>
  </si>
  <si>
    <t>82,060</t>
  </si>
  <si>
    <t>Makhado Local Municipality</t>
  </si>
  <si>
    <t>Louis Trichardt</t>
  </si>
  <si>
    <t>7,605</t>
  </si>
  <si>
    <t>416,728</t>
  </si>
  <si>
    <t>Makhuduthamaga Local Municipality</t>
  </si>
  <si>
    <t>Jane Furse</t>
  </si>
  <si>
    <t>2,110</t>
  </si>
  <si>
    <t>284,435</t>
  </si>
  <si>
    <t>Maluti-a-Phofung Local Municipality</t>
  </si>
  <si>
    <t>Phuthaditjhaba</t>
  </si>
  <si>
    <t>4,338</t>
  </si>
  <si>
    <t>353,452</t>
  </si>
  <si>
    <t>Mamusa Local Municipality</t>
  </si>
  <si>
    <t>Schweizer-Reneke</t>
  </si>
  <si>
    <t>3,614</t>
  </si>
  <si>
    <t>64,000</t>
  </si>
  <si>
    <t>Mandeni Local Municipality</t>
  </si>
  <si>
    <t>147,808</t>
  </si>
  <si>
    <t>Bloemfontein</t>
  </si>
  <si>
    <t>9,886</t>
  </si>
  <si>
    <t>787,803</t>
  </si>
  <si>
    <t>Mantsopa Local Municipality</t>
  </si>
  <si>
    <t>Ladybrand</t>
  </si>
  <si>
    <t>4,291</t>
  </si>
  <si>
    <t>53,525</t>
  </si>
  <si>
    <t>Maphumulo Local Municipality</t>
  </si>
  <si>
    <t>89,969</t>
  </si>
  <si>
    <t>Maquassi Hills Local Municipality</t>
  </si>
  <si>
    <t>Wolmaransstad</t>
  </si>
  <si>
    <t>4,671</t>
  </si>
  <si>
    <t>82,012</t>
  </si>
  <si>
    <t>Maruleng Local Municipality</t>
  </si>
  <si>
    <t>Hoedspruit</t>
  </si>
  <si>
    <t>3,563</t>
  </si>
  <si>
    <t>99,946</t>
  </si>
  <si>
    <t>Masilonyana Local Municipality</t>
  </si>
  <si>
    <t>Theunissen</t>
  </si>
  <si>
    <t>6,618</t>
  </si>
  <si>
    <t>62,770</t>
  </si>
  <si>
    <t>Matatiele Local Municipality</t>
  </si>
  <si>
    <t>4,352</t>
  </si>
  <si>
    <t>219,447</t>
  </si>
  <si>
    <t>Matjhabeng Local Municipality</t>
  </si>
  <si>
    <t>Welkom</t>
  </si>
  <si>
    <t>5,690</t>
  </si>
  <si>
    <t>429,113</t>
  </si>
  <si>
    <t>Matzikama Local Municipality</t>
  </si>
  <si>
    <t>Vredendal</t>
  </si>
  <si>
    <t>12,981</t>
  </si>
  <si>
    <t>71,045</t>
  </si>
  <si>
    <t>Mbhashe Local Municipality</t>
  </si>
  <si>
    <t>Dutywa</t>
  </si>
  <si>
    <t>3,303</t>
  </si>
  <si>
    <t>277,250</t>
  </si>
  <si>
    <t>Mbizana Local Municipality</t>
  </si>
  <si>
    <t>Bizana</t>
  </si>
  <si>
    <t>2,415</t>
  </si>
  <si>
    <t>319,948</t>
  </si>
  <si>
    <t>Mbombela Local Municipality</t>
  </si>
  <si>
    <t>MP326</t>
  </si>
  <si>
    <t>Nelspruit</t>
  </si>
  <si>
    <t>7,141</t>
  </si>
  <si>
    <t>695,913</t>
  </si>
  <si>
    <t>Merafong City Local Municipality</t>
  </si>
  <si>
    <t>Carletonville</t>
  </si>
  <si>
    <t>1,631</t>
  </si>
  <si>
    <t>188,843</t>
  </si>
  <si>
    <t>Metsimaholo Local Municipality</t>
  </si>
  <si>
    <t>Sasolburg</t>
  </si>
  <si>
    <t>1,717</t>
  </si>
  <si>
    <t>163,564</t>
  </si>
  <si>
    <t>Mhlontlo Local Municipality</t>
  </si>
  <si>
    <t>Qumbu</t>
  </si>
  <si>
    <t>2,880</t>
  </si>
  <si>
    <t>189,176</t>
  </si>
  <si>
    <t>Midvaal Local Municipality</t>
  </si>
  <si>
    <t>Meyerton</t>
  </si>
  <si>
    <t>1,722</t>
  </si>
  <si>
    <t>111,612</t>
  </si>
  <si>
    <t>Mkhambathini Local Municipality</t>
  </si>
  <si>
    <t>Camperdown</t>
  </si>
  <si>
    <t>57,075</t>
  </si>
  <si>
    <t>Mkhondo Local Municipality</t>
  </si>
  <si>
    <t>Piet Retief</t>
  </si>
  <si>
    <t>4,882</t>
  </si>
  <si>
    <t>189,036</t>
  </si>
  <si>
    <t>Mnquma Local Municipality</t>
  </si>
  <si>
    <t>Gcuwa</t>
  </si>
  <si>
    <t>3,137</t>
  </si>
  <si>
    <t>246,813</t>
  </si>
  <si>
    <t>Modimolle/Mookgophong Local Municipality</t>
  </si>
  <si>
    <t>LIM368</t>
  </si>
  <si>
    <t>10,367</t>
  </si>
  <si>
    <t>107,699</t>
  </si>
  <si>
    <t>Mogalakwena Local Municipality</t>
  </si>
  <si>
    <t>Mokopane</t>
  </si>
  <si>
    <t>6,156</t>
  </si>
  <si>
    <t>325,291</t>
  </si>
  <si>
    <t>Mogale City Local Municipality</t>
  </si>
  <si>
    <t>Krugersdorp</t>
  </si>
  <si>
    <t>1,342</t>
  </si>
  <si>
    <t>383,864</t>
  </si>
  <si>
    <t>Mohokare Local Municipality</t>
  </si>
  <si>
    <t>Zastron</t>
  </si>
  <si>
    <t>8,776</t>
  </si>
  <si>
    <t>35,840</t>
  </si>
  <si>
    <t>Molemole Local Municipality</t>
  </si>
  <si>
    <t>Dendron</t>
  </si>
  <si>
    <t>3,628</t>
  </si>
  <si>
    <t>125,327</t>
  </si>
  <si>
    <t>Moqhaka Local Municipality</t>
  </si>
  <si>
    <t>Kroonstad</t>
  </si>
  <si>
    <t>7,925</t>
  </si>
  <si>
    <t>154,732</t>
  </si>
  <si>
    <t>Moretele Local Municipality</t>
  </si>
  <si>
    <t>Makapanstad</t>
  </si>
  <si>
    <t>1,498</t>
  </si>
  <si>
    <t>191,306</t>
  </si>
  <si>
    <t>Moses Kotane Local Municipality</t>
  </si>
  <si>
    <t>Mogwase</t>
  </si>
  <si>
    <t>5,726</t>
  </si>
  <si>
    <t>243,648</t>
  </si>
  <si>
    <t>Mossel Bay Local Municipality</t>
  </si>
  <si>
    <t>2,001</t>
  </si>
  <si>
    <t>94,135</t>
  </si>
  <si>
    <t>Mpofana Local Municipality</t>
  </si>
  <si>
    <t>Mooi River</t>
  </si>
  <si>
    <t>1,757</t>
  </si>
  <si>
    <t>37,391</t>
  </si>
  <si>
    <t>Msinga Local Municipality</t>
  </si>
  <si>
    <t>Tugela Ferry</t>
  </si>
  <si>
    <t>2,375</t>
  </si>
  <si>
    <t>184,494</t>
  </si>
  <si>
    <t>Msukaligwa Local Municipality</t>
  </si>
  <si>
    <t>Ermelo</t>
  </si>
  <si>
    <t>6,016</t>
  </si>
  <si>
    <t>164,608</t>
  </si>
  <si>
    <t>Msunduzi Local Municipality</t>
  </si>
  <si>
    <t>Pietermaritzburg</t>
  </si>
  <si>
    <t>679,039</t>
  </si>
  <si>
    <t>Mthonjaneni Local Municipality</t>
  </si>
  <si>
    <t>Melmoth</t>
  </si>
  <si>
    <t>1,639</t>
  </si>
  <si>
    <t>78,883</t>
  </si>
  <si>
    <t>Mtubatuba Local Municipality</t>
  </si>
  <si>
    <t>1,970</t>
  </si>
  <si>
    <t>202,176</t>
  </si>
  <si>
    <t>Musina Local Municipality</t>
  </si>
  <si>
    <t>10,347</t>
  </si>
  <si>
    <t>132,009</t>
  </si>
  <si>
    <t>Nala Local Municipality</t>
  </si>
  <si>
    <t>Bothaville</t>
  </si>
  <si>
    <t>4,129</t>
  </si>
  <si>
    <t>78,515</t>
  </si>
  <si>
    <t>Naledi Local Municipality</t>
  </si>
  <si>
    <t>Vryburg</t>
  </si>
  <si>
    <t>7,030</t>
  </si>
  <si>
    <t>68,803</t>
  </si>
  <si>
    <t>Nama Khoi Local Municipality</t>
  </si>
  <si>
    <t>Springbok</t>
  </si>
  <si>
    <t>17,990</t>
  </si>
  <si>
    <t>46,512</t>
  </si>
  <si>
    <t>Ndlambe Local Municipality</t>
  </si>
  <si>
    <t>Port Alfred</t>
  </si>
  <si>
    <t>1,841</t>
  </si>
  <si>
    <t>63,180</t>
  </si>
  <si>
    <t>Ndwedwe Local Municipality</t>
  </si>
  <si>
    <t>1,093</t>
  </si>
  <si>
    <t>143,117</t>
  </si>
  <si>
    <t>Port Elizabeth</t>
  </si>
  <si>
    <t>1,957</t>
  </si>
  <si>
    <t>1,263,051</t>
  </si>
  <si>
    <t>Newcastle Local Municipality</t>
  </si>
  <si>
    <t>1,856</t>
  </si>
  <si>
    <t>389,117</t>
  </si>
  <si>
    <t>Ngqushwa Local Municipality</t>
  </si>
  <si>
    <t>Peddie</t>
  </si>
  <si>
    <t>2,115</t>
  </si>
  <si>
    <t>63,694</t>
  </si>
  <si>
    <t>Ngwathe Local Municipality</t>
  </si>
  <si>
    <t>Parys</t>
  </si>
  <si>
    <t>7,055</t>
  </si>
  <si>
    <t>118,907</t>
  </si>
  <si>
    <t>Nkandla Local Municipality</t>
  </si>
  <si>
    <t>1,828</t>
  </si>
  <si>
    <t>114,284</t>
  </si>
  <si>
    <t>Nketoana Local Municipality</t>
  </si>
  <si>
    <t>Reitz</t>
  </si>
  <si>
    <t>5,611</t>
  </si>
  <si>
    <t>64,893</t>
  </si>
  <si>
    <t>Nkomazi Local Municipality</t>
  </si>
  <si>
    <t>Malalane</t>
  </si>
  <si>
    <t>4,787</t>
  </si>
  <si>
    <t>410,907</t>
  </si>
  <si>
    <t>Nongoma Local Municipality</t>
  </si>
  <si>
    <t>2,182</t>
  </si>
  <si>
    <t>211,892</t>
  </si>
  <si>
    <t>Nqutu Local Municipality</t>
  </si>
  <si>
    <t>1,962</t>
  </si>
  <si>
    <t>171,325</t>
  </si>
  <si>
    <t>Ntabankulu Local Municipality</t>
  </si>
  <si>
    <t>1,385</t>
  </si>
  <si>
    <t>128,848</t>
  </si>
  <si>
    <t>Nyandeni Local Municipality</t>
  </si>
  <si>
    <t>Libode</t>
  </si>
  <si>
    <t>2,474</t>
  </si>
  <si>
    <t>309,702</t>
  </si>
  <si>
    <t>Okhahlamba Local Municipality</t>
  </si>
  <si>
    <t>Bergville</t>
  </si>
  <si>
    <t>135,132</t>
  </si>
  <si>
    <t>Oudtshoorn Local Municipality</t>
  </si>
  <si>
    <t>3,540</t>
  </si>
  <si>
    <t>97,509</t>
  </si>
  <si>
    <t>Overstrand Local Municipality</t>
  </si>
  <si>
    <t>Hermanus</t>
  </si>
  <si>
    <t>1,675</t>
  </si>
  <si>
    <t>93,407</t>
  </si>
  <si>
    <t>Phokwane Local Municipality</t>
  </si>
  <si>
    <t>Hartswater</t>
  </si>
  <si>
    <t>60,168</t>
  </si>
  <si>
    <t>Phumelela Local Municipality</t>
  </si>
  <si>
    <t>Vrede</t>
  </si>
  <si>
    <t>8,196</t>
  </si>
  <si>
    <t>50,054</t>
  </si>
  <si>
    <t>Pixley ka Seme Local Municipality</t>
  </si>
  <si>
    <t>Volksrust</t>
  </si>
  <si>
    <t>5,227</t>
  </si>
  <si>
    <t>85,395</t>
  </si>
  <si>
    <t>Polokwane Local Municipality</t>
  </si>
  <si>
    <t>5,054</t>
  </si>
  <si>
    <t>797,127</t>
  </si>
  <si>
    <t>Port St Johns Local Municipality</t>
  </si>
  <si>
    <t>1,291</t>
  </si>
  <si>
    <t>166,779</t>
  </si>
  <si>
    <t>Prince Albert Local Municipality</t>
  </si>
  <si>
    <t>8,153</t>
  </si>
  <si>
    <t>14,272</t>
  </si>
  <si>
    <t>Ramotshere Moiloa Local Municipality</t>
  </si>
  <si>
    <t>Zeerust</t>
  </si>
  <si>
    <t>7,323</t>
  </si>
  <si>
    <t>157,690</t>
  </si>
  <si>
    <t>Rand West City Local Municipality</t>
  </si>
  <si>
    <t>GT485</t>
  </si>
  <si>
    <t>1,115</t>
  </si>
  <si>
    <t>265,887</t>
  </si>
  <si>
    <t>Ratlou Local Municipality</t>
  </si>
  <si>
    <t>Setlagole</t>
  </si>
  <si>
    <t>4,884</t>
  </si>
  <si>
    <t>106,108</t>
  </si>
  <si>
    <t>Ray Nkonyeni Local Municipality</t>
  </si>
  <si>
    <t>Port Shepstone</t>
  </si>
  <si>
    <t>1,487</t>
  </si>
  <si>
    <t>348,533</t>
  </si>
  <si>
    <t>Raymond Mhlaba Local Municipality</t>
  </si>
  <si>
    <t>EC129</t>
  </si>
  <si>
    <t>Alice</t>
  </si>
  <si>
    <t>6,357</t>
  </si>
  <si>
    <t>159,515</t>
  </si>
  <si>
    <t>Renosterberg Local Municipality</t>
  </si>
  <si>
    <t>Petrusville</t>
  </si>
  <si>
    <t>5,529</t>
  </si>
  <si>
    <t>11,818</t>
  </si>
  <si>
    <t>Richmond Local Municipality</t>
  </si>
  <si>
    <t>1,231</t>
  </si>
  <si>
    <t>71,322</t>
  </si>
  <si>
    <t>Richtersveld Local Municipality</t>
  </si>
  <si>
    <t>Port Nolloth</t>
  </si>
  <si>
    <t>9,608</t>
  </si>
  <si>
    <t>12,487</t>
  </si>
  <si>
    <t>Rustenburg Local Municipality</t>
  </si>
  <si>
    <t>3,416</t>
  </si>
  <si>
    <t>626,522</t>
  </si>
  <si>
    <t>Sakhisizwe Local Municipality</t>
  </si>
  <si>
    <t>Cala</t>
  </si>
  <si>
    <t>2,318</t>
  </si>
  <si>
    <t>63,846</t>
  </si>
  <si>
    <t>Saldanha Bay Local Municipality</t>
  </si>
  <si>
    <t>Vredenburg</t>
  </si>
  <si>
    <t>2,015</t>
  </si>
  <si>
    <t>111,173</t>
  </si>
  <si>
    <t>Senqu Local Municipality</t>
  </si>
  <si>
    <t>Lady Grey</t>
  </si>
  <si>
    <t>7,329</t>
  </si>
  <si>
    <t>140,720</t>
  </si>
  <si>
    <t>Setsoto Local Municipality</t>
  </si>
  <si>
    <t>Ficksburg</t>
  </si>
  <si>
    <t>5,431</t>
  </si>
  <si>
    <t>117,362</t>
  </si>
  <si>
    <t>Siyancuma Local Municipality</t>
  </si>
  <si>
    <t>Douglas</t>
  </si>
  <si>
    <t>16,753</t>
  </si>
  <si>
    <t>35,941</t>
  </si>
  <si>
    <t>Siyathemba Local Municipality</t>
  </si>
  <si>
    <t>Prieska</t>
  </si>
  <si>
    <t>14,727</t>
  </si>
  <si>
    <t>23,075</t>
  </si>
  <si>
    <t>Sol Plaatje Local Municipality</t>
  </si>
  <si>
    <t>Kimberley</t>
  </si>
  <si>
    <t>3,145</t>
  </si>
  <si>
    <t>255,041</t>
  </si>
  <si>
    <t>Stellenbosch Local Municipality</t>
  </si>
  <si>
    <t>173,197</t>
  </si>
  <si>
    <t>Steve Tshwete Local Municipality</t>
  </si>
  <si>
    <t>Middelburg</t>
  </si>
  <si>
    <t>3,976</t>
  </si>
  <si>
    <t>278,749</t>
  </si>
  <si>
    <t>Sundays River Valley Local Municipality</t>
  </si>
  <si>
    <t>Kirkwood</t>
  </si>
  <si>
    <t>5,995</t>
  </si>
  <si>
    <t>59,793</t>
  </si>
  <si>
    <t>Swartland Local Municipality</t>
  </si>
  <si>
    <t>Malmesbury</t>
  </si>
  <si>
    <t>3,707</t>
  </si>
  <si>
    <t>133,762</t>
  </si>
  <si>
    <t>Swellendam Local Municipality</t>
  </si>
  <si>
    <t>3,835</t>
  </si>
  <si>
    <t>40,211</t>
  </si>
  <si>
    <t>Thaba Chweu Local Municipality</t>
  </si>
  <si>
    <t>Lydenburg</t>
  </si>
  <si>
    <t>5,719</t>
  </si>
  <si>
    <t>101,895</t>
  </si>
  <si>
    <t>Thabazimbi Local Municipality</t>
  </si>
  <si>
    <t>11,190</t>
  </si>
  <si>
    <t>96,232</t>
  </si>
  <si>
    <t>Theewaterskloof Local Municipality</t>
  </si>
  <si>
    <t>Caledon</t>
  </si>
  <si>
    <t>3,259</t>
  </si>
  <si>
    <t>117,167</t>
  </si>
  <si>
    <t>Thembelihle Local Municipality</t>
  </si>
  <si>
    <t>Hopetown</t>
  </si>
  <si>
    <t>8,023</t>
  </si>
  <si>
    <t>16,230</t>
  </si>
  <si>
    <t>Thembisile Hani Local Municipality</t>
  </si>
  <si>
    <t>eMpumalanga</t>
  </si>
  <si>
    <t>2,384</t>
  </si>
  <si>
    <t>333,331</t>
  </si>
  <si>
    <t>Thulamela Local Municipality</t>
  </si>
  <si>
    <t>Thohoyandou</t>
  </si>
  <si>
    <t>2,642</t>
  </si>
  <si>
    <t>497,237</t>
  </si>
  <si>
    <t>Tokologo Local Municipality</t>
  </si>
  <si>
    <t>Boshof</t>
  </si>
  <si>
    <t>9,326</t>
  </si>
  <si>
    <t>29,149</t>
  </si>
  <si>
    <t>Tsantsabane Local Municipality</t>
  </si>
  <si>
    <t>Postmasburg</t>
  </si>
  <si>
    <t>18,290</t>
  </si>
  <si>
    <t>39,345</t>
  </si>
  <si>
    <t>Tswaing Local Municipality</t>
  </si>
  <si>
    <t>Delareyville</t>
  </si>
  <si>
    <t>5,875</t>
  </si>
  <si>
    <t>129,052</t>
  </si>
  <si>
    <t>Tswelopele Local Municipality</t>
  </si>
  <si>
    <t>Bultfontein</t>
  </si>
  <si>
    <t>6,524</t>
  </si>
  <si>
    <t>47,373</t>
  </si>
  <si>
    <t>Ubuhlebezwe Local Municipality</t>
  </si>
  <si>
    <t>Ixopo</t>
  </si>
  <si>
    <t>1,669</t>
  </si>
  <si>
    <t>118,346</t>
  </si>
  <si>
    <t>Ubuntu Local Municipality</t>
  </si>
  <si>
    <t>Victoria West</t>
  </si>
  <si>
    <t>20,393</t>
  </si>
  <si>
    <t>19,471</t>
  </si>
  <si>
    <t>Ulundi Local Municipality</t>
  </si>
  <si>
    <t>3,250</t>
  </si>
  <si>
    <t>205,762</t>
  </si>
  <si>
    <t>Umdoni Local Municipality</t>
  </si>
  <si>
    <t>Scottburgh</t>
  </si>
  <si>
    <t>144,551</t>
  </si>
  <si>
    <t>uMfolozi Local Municipality</t>
  </si>
  <si>
    <t>KwaMbonambi</t>
  </si>
  <si>
    <t>1,300</t>
  </si>
  <si>
    <t>144,363</t>
  </si>
  <si>
    <t>uMhlabuyalingana Local Municipality</t>
  </si>
  <si>
    <t>Kwangwanase</t>
  </si>
  <si>
    <t>4,977</t>
  </si>
  <si>
    <t>172,077</t>
  </si>
  <si>
    <t>uMhlathuze Local Municipality</t>
  </si>
  <si>
    <t>Richards Bay</t>
  </si>
  <si>
    <t>1,233</t>
  </si>
  <si>
    <t>410,465</t>
  </si>
  <si>
    <t>uMlalazi Local Municipality</t>
  </si>
  <si>
    <t>Eshowe</t>
  </si>
  <si>
    <t>2,214</t>
  </si>
  <si>
    <t>223,140</t>
  </si>
  <si>
    <t>uMngeni Local Municipality</t>
  </si>
  <si>
    <t>Howick</t>
  </si>
  <si>
    <t>1,520</t>
  </si>
  <si>
    <t>109,867</t>
  </si>
  <si>
    <t>uMshwathi Local Municipality</t>
  </si>
  <si>
    <t>Wartburg</t>
  </si>
  <si>
    <t>1,866</t>
  </si>
  <si>
    <t>111,645</t>
  </si>
  <si>
    <t>Umsobomvu Local Municipality</t>
  </si>
  <si>
    <t>Colesberg</t>
  </si>
  <si>
    <t>6,813</t>
  </si>
  <si>
    <t>30,883</t>
  </si>
  <si>
    <t>uMuziwabantu Local Municipality</t>
  </si>
  <si>
    <t>Harding</t>
  </si>
  <si>
    <t>1,089</t>
  </si>
  <si>
    <t>108,576</t>
  </si>
  <si>
    <t>Umvoti Local Municipality</t>
  </si>
  <si>
    <t>Greytown</t>
  </si>
  <si>
    <t>2,705</t>
  </si>
  <si>
    <t>122,423</t>
  </si>
  <si>
    <t>Umzimkhulu Local Municipality</t>
  </si>
  <si>
    <t>2,436</t>
  </si>
  <si>
    <t>197,286</t>
  </si>
  <si>
    <t>Umzimvubu Local Municipality</t>
  </si>
  <si>
    <t>Mount Frere</t>
  </si>
  <si>
    <t>2,579</t>
  </si>
  <si>
    <t>199,620</t>
  </si>
  <si>
    <t>Umzumbe Local Municipality</t>
  </si>
  <si>
    <t>Mtwalume</t>
  </si>
  <si>
    <t>1,221</t>
  </si>
  <si>
    <t>151,676</t>
  </si>
  <si>
    <t>uPhongolo Local Municipality</t>
  </si>
  <si>
    <t>Pongola</t>
  </si>
  <si>
    <t>3,110</t>
  </si>
  <si>
    <t>141,247</t>
  </si>
  <si>
    <t>Victor Khanye Local Municipality</t>
  </si>
  <si>
    <t>Delmas</t>
  </si>
  <si>
    <t>1,568</t>
  </si>
  <si>
    <t>84,151</t>
  </si>
  <si>
    <t>Walter Sisulu Local Municipality</t>
  </si>
  <si>
    <t>EC145</t>
  </si>
  <si>
    <t>Burgersdorp</t>
  </si>
  <si>
    <t>13,269</t>
  </si>
  <si>
    <t>87,263</t>
  </si>
  <si>
    <t>Witzenberg Local Municipality</t>
  </si>
  <si>
    <t>Ceres</t>
  </si>
  <si>
    <t>10,753</t>
  </si>
  <si>
    <t>130,548</t>
  </si>
  <si>
    <t>Mookgopong Local Municipality</t>
  </si>
  <si>
    <t>Modimolle Local Municipality</t>
  </si>
  <si>
    <t>R0 used</t>
  </si>
  <si>
    <t>R0 Lookup</t>
  </si>
  <si>
    <t>Actual I</t>
  </si>
  <si>
    <t>I_detec</t>
  </si>
  <si>
    <t>Diff</t>
  </si>
  <si>
    <t>South Africa</t>
  </si>
  <si>
    <t>Date</t>
  </si>
  <si>
    <t>R0_undetec</t>
  </si>
  <si>
    <t>S</t>
  </si>
  <si>
    <t>I_undetec</t>
  </si>
  <si>
    <t>ICU</t>
  </si>
  <si>
    <t>Undetected</t>
  </si>
  <si>
    <t>IFR</t>
  </si>
  <si>
    <t>Active cases</t>
  </si>
  <si>
    <t>TYPE</t>
  </si>
  <si>
    <t>Facility Name</t>
  </si>
  <si>
    <t xml:space="preserve">Province </t>
  </si>
  <si>
    <t>Province Code</t>
  </si>
  <si>
    <t>DistrictMunicipality</t>
  </si>
  <si>
    <t>LocalMunicipality</t>
  </si>
  <si>
    <t xml:space="preserve">Hospital Type  </t>
  </si>
  <si>
    <t>Total Beds</t>
  </si>
  <si>
    <t>Private</t>
  </si>
  <si>
    <t>Zuid Afrikaans Hospital</t>
  </si>
  <si>
    <t>GP</t>
  </si>
  <si>
    <t xml:space="preserve">Hospital </t>
  </si>
  <si>
    <t>Zwavelstream Clinic</t>
  </si>
  <si>
    <t>Psychiatric</t>
  </si>
  <si>
    <t>Mothwa Med-Step Clinic</t>
  </si>
  <si>
    <t xml:space="preserve">Sub-Acute </t>
  </si>
  <si>
    <t>Lynnmed Clinic</t>
  </si>
  <si>
    <t>Urolocare Hospital</t>
  </si>
  <si>
    <t>Pretoria Eye Institute</t>
  </si>
  <si>
    <t>Opthalmology</t>
  </si>
  <si>
    <t>Pretoria East Eye Institute</t>
  </si>
  <si>
    <t>Waterkloof Surgical Centre</t>
  </si>
  <si>
    <t xml:space="preserve">Day Hospital </t>
  </si>
  <si>
    <t>Louis Pasteur Private Hospital</t>
  </si>
  <si>
    <t>Centurion Day Hospital</t>
  </si>
  <si>
    <t>Fisha Wellness Hospital</t>
  </si>
  <si>
    <t>Denmar Specialist Psychiatric Hospital</t>
  </si>
  <si>
    <t>Botshilu Private Hospital (Shoshanguve)</t>
  </si>
  <si>
    <t>Care At Midstream Sub Acute Facility</t>
  </si>
  <si>
    <t>Advanced Groenkloof Day Hospital</t>
  </si>
  <si>
    <t>Life Wilgers Hospital</t>
  </si>
  <si>
    <t>Life Pretoria North Hospital</t>
  </si>
  <si>
    <t>Life Eugen Marais Hospital</t>
  </si>
  <si>
    <t>Life Faerie Glen Hospital</t>
  </si>
  <si>
    <t>Life Groenkloof Hospital</t>
  </si>
  <si>
    <t>Life Brooklyn Surgical Hospital</t>
  </si>
  <si>
    <t>Life Eugene Marais Hospital (Life Rehabilitation)</t>
  </si>
  <si>
    <t>Rehabilitation</t>
  </si>
  <si>
    <t>Life Wilgeheuwel Day Clinic</t>
  </si>
  <si>
    <t>Unitas Hospital</t>
  </si>
  <si>
    <t>Pretoria East Private Hospital</t>
  </si>
  <si>
    <t>Jakaranda Hospital</t>
  </si>
  <si>
    <t>Femina Clinic</t>
  </si>
  <si>
    <t>Moot Algemene Hospital</t>
  </si>
  <si>
    <t>Bougainville Private Hospital</t>
  </si>
  <si>
    <t>Akasia Clinic</t>
  </si>
  <si>
    <t>Montana Private Hospital</t>
  </si>
  <si>
    <t>Mediclinic Medforum</t>
  </si>
  <si>
    <t>Mediclinic Kloof</t>
  </si>
  <si>
    <t>Mediclinic Legae</t>
  </si>
  <si>
    <t>Mediclinic Muelmed</t>
  </si>
  <si>
    <t>Mediclinic Gynaecological Hospital</t>
  </si>
  <si>
    <t>Mediclinic Heart Hospital</t>
  </si>
  <si>
    <t xml:space="preserve">Mediclinic Muelmed - Rehab </t>
  </si>
  <si>
    <t>Wisani Medical Centre</t>
  </si>
  <si>
    <t>Intercare Day Hospital Irene</t>
  </si>
  <si>
    <t>Intercare Subacute And Rehabilitation Hospital Irene</t>
  </si>
  <si>
    <t>Vista Private Clinic</t>
  </si>
  <si>
    <t>Centurion Eye Hospital</t>
  </si>
  <si>
    <t>Intercare Sub Acute Hospital Hazeldean</t>
  </si>
  <si>
    <t>Intercare Day Hospital Hazeldean (Pty) Ltd</t>
  </si>
  <si>
    <t>Public</t>
  </si>
  <si>
    <t>Pretoria West Hospital</t>
  </si>
  <si>
    <t xml:space="preserve">City of Tshwane </t>
  </si>
  <si>
    <t>District Hospital</t>
  </si>
  <si>
    <t>Weskoppies Hospital</t>
  </si>
  <si>
    <t>Specialised Psychiatric Hospital</t>
  </si>
  <si>
    <t>Mamelodi Hospital</t>
  </si>
  <si>
    <t>Regional Hospital</t>
  </si>
  <si>
    <t>Bronkhorstspruit Hospital</t>
  </si>
  <si>
    <t>Steve Biko Academic Hospital</t>
  </si>
  <si>
    <t>National Central Hospital</t>
  </si>
  <si>
    <t>Tshwane Rehabilitation Hospital</t>
  </si>
  <si>
    <t>Specialised Hospital Other</t>
  </si>
  <si>
    <t>Jubilee Hospital</t>
  </si>
  <si>
    <t>Kalafong Hospital</t>
  </si>
  <si>
    <t>Provincial Tertiary Hospital</t>
  </si>
  <si>
    <t>Dr George Mukhari Hospital</t>
  </si>
  <si>
    <t>Odi Hospital</t>
  </si>
  <si>
    <t>Tshwane District Hospital</t>
  </si>
  <si>
    <t>Cullinan Rehabilitation Hospital</t>
  </si>
  <si>
    <t>Mediclinic Howick</t>
  </si>
  <si>
    <t>Kwazulu-Natal</t>
  </si>
  <si>
    <t>KZN</t>
  </si>
  <si>
    <t>Mediclinic Pietermaritzburg</t>
  </si>
  <si>
    <t>UMgungundlovu</t>
  </si>
  <si>
    <t>Mediclinic Newcastle Day Clinic</t>
  </si>
  <si>
    <t xml:space="preserve">St Mary's Step Down </t>
  </si>
  <si>
    <t>Oatlands Care Centre</t>
  </si>
  <si>
    <t>Howick Day Clinic</t>
  </si>
  <si>
    <t>Daymed Private Hospital</t>
  </si>
  <si>
    <t>Life Hilton Private Hospital</t>
  </si>
  <si>
    <t>Netcare St Anne's Hospital</t>
  </si>
  <si>
    <t>Pietermaritzburg Eye Hospital</t>
  </si>
  <si>
    <t>Eden Gardens Private Hospital</t>
  </si>
  <si>
    <t>Akeso Clinics-Pietermaritzburg</t>
  </si>
  <si>
    <t>Abaqulusi Private Hospital</t>
  </si>
  <si>
    <t>Midlands Medical Centre</t>
  </si>
  <si>
    <t>Ladysmith Day Hospital</t>
  </si>
  <si>
    <t xml:space="preserve">Royal Rehabilitation Hospital </t>
  </si>
  <si>
    <t>Appelsbosch Hospital</t>
  </si>
  <si>
    <t xml:space="preserve">uMgungundlovu </t>
  </si>
  <si>
    <t>Edendale Hospital</t>
  </si>
  <si>
    <t>Grey's Hospital</t>
  </si>
  <si>
    <t>Doris Goodwin TB Hospital</t>
  </si>
  <si>
    <t>Specialised TB Hospital</t>
  </si>
  <si>
    <t>Richmond Chest Hospital</t>
  </si>
  <si>
    <t>Fort Napier Hospital</t>
  </si>
  <si>
    <t>Northdale Hospital</t>
  </si>
  <si>
    <t>Townhill Hospital</t>
  </si>
  <si>
    <t>Sunshine Hospital</t>
  </si>
  <si>
    <t>The Fountain Private Hospital</t>
  </si>
  <si>
    <t>The Ear And Eye Clinic</t>
  </si>
  <si>
    <t>Visiomed Laser Eye Clinic</t>
  </si>
  <si>
    <t>Vitalab Centre for Assisted Conception</t>
  </si>
  <si>
    <t>Twenty Twenty Eye Surgery Centre</t>
  </si>
  <si>
    <t>The Healthy Eye</t>
  </si>
  <si>
    <t>Ocumed Eye &amp; Laser Clinic Institute</t>
  </si>
  <si>
    <t>Morehill Clinic ( Pty) Ltd</t>
  </si>
  <si>
    <t>Midvaal Private Hospital</t>
  </si>
  <si>
    <t>Lenmed Health Randfontein Private Hospital</t>
  </si>
  <si>
    <t>Lenmed Zamakuhle Private Hospital</t>
  </si>
  <si>
    <t>Ahmed Kathrada Private Hospital</t>
  </si>
  <si>
    <t>Bryanston Sub-Acute (Pty)Ltd</t>
  </si>
  <si>
    <t>Lakefield Surgical Centre Pty Ltd</t>
  </si>
  <si>
    <t>Advanced East Rand Day Hospital</t>
  </si>
  <si>
    <t>Edenvale Day Clinic</t>
  </si>
  <si>
    <t>Ekurhuleni Surgiklin Day Clinic</t>
  </si>
  <si>
    <t>Birchmed Surgical Clinic</t>
  </si>
  <si>
    <t>Busamed Modderfontein Private Hospital</t>
  </si>
  <si>
    <t>Care Cure Rynmed Sub-Acute</t>
  </si>
  <si>
    <t>Clayton House</t>
  </si>
  <si>
    <t>Arwyp Medical Centre</t>
  </si>
  <si>
    <t>Centre for Advanced Medicine</t>
  </si>
  <si>
    <t>Life Brackenview Hospital</t>
  </si>
  <si>
    <t>Rh Bell Clinic</t>
  </si>
  <si>
    <t>Rh Rand Clinic</t>
  </si>
  <si>
    <t xml:space="preserve">Care Cure Vereeniging </t>
  </si>
  <si>
    <t>Life Wilgeheuwel Hospital</t>
  </si>
  <si>
    <t>Life The Glynnwood Hospital</t>
  </si>
  <si>
    <t>Life Suikerbosrand Hospital</t>
  </si>
  <si>
    <t>Life Springs Parkland Hospital</t>
  </si>
  <si>
    <t>Life Riverfield Lodge Hospital</t>
  </si>
  <si>
    <t>Life Robinson Private Hospital</t>
  </si>
  <si>
    <t>Life Roseacres Hospital</t>
  </si>
  <si>
    <t>Life Poortview Hospital</t>
  </si>
  <si>
    <t>Life Brenthurst Hospital</t>
  </si>
  <si>
    <t>Life Flora Hospital</t>
  </si>
  <si>
    <t>Life Fourways Hospital</t>
  </si>
  <si>
    <t>Life Glynnview Private Psychiatric Hospital</t>
  </si>
  <si>
    <t>Life Dalview Hospital</t>
  </si>
  <si>
    <t>Life Bedford Gardens Private Hospital</t>
  </si>
  <si>
    <t>Life Castenhof Hospital</t>
  </si>
  <si>
    <t>Genisis Clinic</t>
  </si>
  <si>
    <t>Life New Kensington Clinic (Life Rehabilitation)</t>
  </si>
  <si>
    <t>Life Riverfield Lodge (Life Mental Health)</t>
  </si>
  <si>
    <t>Netcare Waterfall City Hospital</t>
  </si>
  <si>
    <t>Netcare Clinton Hospital</t>
  </si>
  <si>
    <t>Netcare Constatian Day Clinic</t>
  </si>
  <si>
    <t>Netcare Garden City Hospital</t>
  </si>
  <si>
    <t>Netcare Krugersdorp Hospital</t>
  </si>
  <si>
    <t>Netcare Linksfield Hospital</t>
  </si>
  <si>
    <t>Netcare Linkwood Hospital</t>
  </si>
  <si>
    <t>Netcare Milpark Hospital</t>
  </si>
  <si>
    <t>Netcare Mulbarton Hospital</t>
  </si>
  <si>
    <t>Netcare Olivedale Hospital</t>
  </si>
  <si>
    <t>Netcare Park Lane Hospital</t>
  </si>
  <si>
    <t>Netcare Pinehaven Hospital</t>
  </si>
  <si>
    <t>Netcare Rehabilitation Hospital</t>
  </si>
  <si>
    <t>Netcare Rosebank Hospital</t>
  </si>
  <si>
    <t>Netcare Sunninghill Hospital</t>
  </si>
  <si>
    <t>Netcare Union Hospital</t>
  </si>
  <si>
    <t>Optiklin Eye Hospital</t>
  </si>
  <si>
    <t>Sunward Park Hospital</t>
  </si>
  <si>
    <t>Linmed Hospital</t>
  </si>
  <si>
    <t>East Rand N17 Private Hospital</t>
  </si>
  <si>
    <t>Mediclinic Vereeniging</t>
  </si>
  <si>
    <t>Mediclinic Sandton</t>
  </si>
  <si>
    <t>Mediclinic Midstream</t>
  </si>
  <si>
    <t>Mediclinic Morningside</t>
  </si>
  <si>
    <t>Mediclinic Emfuleni</t>
  </si>
  <si>
    <t>Intercare Sandton Sub-Acute Hospital ( Phy) Ltd</t>
  </si>
  <si>
    <t>Botshelong Empilweni Clinic</t>
  </si>
  <si>
    <t>Clinix Private Hospital Sebokeng (Pty) Ltd</t>
  </si>
  <si>
    <t>Tshepo-Themba Private Hospital</t>
  </si>
  <si>
    <t>Dr S K Matseke Memorial Hospital</t>
  </si>
  <si>
    <t>Stix Morewa Memorial Hospital</t>
  </si>
  <si>
    <t>Wits Donald Gordon Medical Centre</t>
  </si>
  <si>
    <t>Fordsburg Clinic</t>
  </si>
  <si>
    <t>Lakeview Hospital</t>
  </si>
  <si>
    <t>Akeso Clinic - Parktown</t>
  </si>
  <si>
    <t>Akeso Clinics-Alberton</t>
  </si>
  <si>
    <t>Akeso Crescent Clinic</t>
  </si>
  <si>
    <t>Sandhurst Eye Centre</t>
  </si>
  <si>
    <t>Intercare Sandton Day Clinic</t>
  </si>
  <si>
    <t>Northcliff Medwedge Sub-Acute</t>
  </si>
  <si>
    <t>Johannesburg Eye Hopital</t>
  </si>
  <si>
    <t>Medfem Clinic</t>
  </si>
  <si>
    <t>Fauchard Clinic</t>
  </si>
  <si>
    <t>Mayo Clinic</t>
  </si>
  <si>
    <t>Medgate Day Clinic</t>
  </si>
  <si>
    <t>Advanced Soweto Day Hospital</t>
  </si>
  <si>
    <t xml:space="preserve">Circle Healthcare </t>
  </si>
  <si>
    <t>Lenmed Daxina Private Hospital</t>
  </si>
  <si>
    <t>Visiclin Eye Clinic</t>
  </si>
  <si>
    <t>Cormed Clinic</t>
  </si>
  <si>
    <t xml:space="preserve">Africa Healthcare Fochville Hospital </t>
  </si>
  <si>
    <t>Bioart Fertility Clinic</t>
  </si>
  <si>
    <t>Medicure24 - Maternity Unit</t>
  </si>
  <si>
    <t>Mediclinic Potchefstroom</t>
  </si>
  <si>
    <t>NW</t>
  </si>
  <si>
    <t>Mediclinic Brits</t>
  </si>
  <si>
    <t>Wilmed Park Hospital</t>
  </si>
  <si>
    <t>Sunningdale Hospital</t>
  </si>
  <si>
    <t>Parkmed Neuro Clinic</t>
  </si>
  <si>
    <t>M-Care Potchefstroom</t>
  </si>
  <si>
    <t>Beethoven Recovery Centre (Psychiatric)</t>
  </si>
  <si>
    <t>Bojanala Platinum</t>
  </si>
  <si>
    <t>Life Anncron Hospital</t>
  </si>
  <si>
    <t>Life Peglerae acute + day Hospital</t>
  </si>
  <si>
    <t>Victoria Private Hospital (Mafikeng)</t>
  </si>
  <si>
    <t>Mooimed Private Hospital</t>
  </si>
  <si>
    <t>Rustenburg Medi-Care Centre</t>
  </si>
  <si>
    <t>Kgatelopele Wellness Centre</t>
  </si>
  <si>
    <t>Vryburg Private Hospital</t>
  </si>
  <si>
    <t>Ferncrest Hospital</t>
  </si>
  <si>
    <t>Andrew Saffy Memorial Hospital</t>
  </si>
  <si>
    <t>Mining</t>
  </si>
  <si>
    <t>Royal Hospital And Heart Centre</t>
  </si>
  <si>
    <t>NC</t>
  </si>
  <si>
    <t>Lenmed Kathu Private Hospital</t>
  </si>
  <si>
    <t>Kim-Med Mental Health Institute</t>
  </si>
  <si>
    <t>Kim-Med Private Hospital (Pty) Ltd</t>
  </si>
  <si>
    <t>Jane Keyser Clinic</t>
  </si>
  <si>
    <t>Mediclinic Kimberley</t>
  </si>
  <si>
    <t>Mediclinic Gariep</t>
  </si>
  <si>
    <t>Mediclinic Upington</t>
  </si>
  <si>
    <t>Siyanda</t>
  </si>
  <si>
    <t>Andalusia Clinic</t>
  </si>
  <si>
    <t>Medi-Harts Day Clinic</t>
  </si>
  <si>
    <t>Mediclinic Paarl</t>
  </si>
  <si>
    <t>WC</t>
  </si>
  <si>
    <t>Mediclinic George - Neuro Clinic</t>
  </si>
  <si>
    <t>Mediclinic Worcester</t>
  </si>
  <si>
    <t>Mediclinic Panorama</t>
  </si>
  <si>
    <t>Mediclinic Plettenberg Bay</t>
  </si>
  <si>
    <t>Mediclinic Strand</t>
  </si>
  <si>
    <t>Intercare Day Hospital - Century City</t>
  </si>
  <si>
    <t>Intercare Sub Acute Hospital Tygervalley</t>
  </si>
  <si>
    <t>Mediclinic Stellenbosch Day Clinic</t>
  </si>
  <si>
    <t>St Stephens Sub Acute - Paarl</t>
  </si>
  <si>
    <t>Summit Clinic Rondebosch</t>
  </si>
  <si>
    <t>Southern Cape Sub-Acute &amp; Rehabilitations Hospital</t>
  </si>
  <si>
    <t>SpesCare Helderberg</t>
  </si>
  <si>
    <t>SpesCare Hermanus</t>
  </si>
  <si>
    <t>SpesCare Paarl</t>
  </si>
  <si>
    <t>SpesCare George</t>
  </si>
  <si>
    <t>SpesCare Stellenbosch</t>
  </si>
  <si>
    <t>Rondebosch Medical Centre</t>
  </si>
  <si>
    <t>Paardevlei Private Hospital</t>
  </si>
  <si>
    <t>Palm Tree Clinic</t>
  </si>
  <si>
    <t>Palm Garden Retreat-Helen Zille Wing</t>
  </si>
  <si>
    <t>Nurture Newlands</t>
  </si>
  <si>
    <t xml:space="preserve">Panorama Plastic Surgery Clinic </t>
  </si>
  <si>
    <t>Nurture Cape View</t>
  </si>
  <si>
    <t>Nurture Harmony Clinic</t>
  </si>
  <si>
    <t>M-Care Durbanville Wellness</t>
  </si>
  <si>
    <t>West Beach Clinic</t>
  </si>
  <si>
    <t>Tyger Valley Clinic</t>
  </si>
  <si>
    <t>Helderberg Clinic</t>
  </si>
  <si>
    <t>Sereno Clinic</t>
  </si>
  <si>
    <t>Tijger Clinic</t>
  </si>
  <si>
    <t>Claro Clinic</t>
  </si>
  <si>
    <t>Pines Clinic</t>
  </si>
  <si>
    <t>Intercare Sub-Acute &amp; Rehabilitation Hospital</t>
  </si>
  <si>
    <t>George Surgical Centre</t>
  </si>
  <si>
    <t>Carewell Sub-Acute Hospital</t>
  </si>
  <si>
    <t>Cape Gate Neuro Clinic</t>
  </si>
  <si>
    <t>Advanced Worcester Surgical Centre</t>
  </si>
  <si>
    <t>Advanced Panorama Surgical Centre (Pty) Ltd</t>
  </si>
  <si>
    <t>Advanced Durbanville Surgical Centre</t>
  </si>
  <si>
    <t xml:space="preserve">Advanced Knysna Surgical centre </t>
  </si>
  <si>
    <t>Advanced Vergelegen Surgical Centre (Pty) Ltd</t>
  </si>
  <si>
    <t>Faircape Health Tokai</t>
  </si>
  <si>
    <t>Groenkloof George Care Unit</t>
  </si>
  <si>
    <t>Hermanus Medical Care T/A (Pty) Ltd Hermanus Day Hospital</t>
  </si>
  <si>
    <t>Cango Medicentre</t>
  </si>
  <si>
    <t>Eden</t>
  </si>
  <si>
    <t>Khangella Eye Theatre</t>
  </si>
  <si>
    <t>Optima At Rustenvrede</t>
  </si>
  <si>
    <t>Robin Trust</t>
  </si>
  <si>
    <t>Life Vincent Pallotti Hospital</t>
  </si>
  <si>
    <t>Life West Coast Private Hospital</t>
  </si>
  <si>
    <t>Life Orthopeadic Surgical Day Centre</t>
  </si>
  <si>
    <t>Peninsula Eye Clinic</t>
  </si>
  <si>
    <t>Life Kingsburg Hospital</t>
  </si>
  <si>
    <t>Life Knysna Private Hospital</t>
  </si>
  <si>
    <t>Life Bay View Hospital</t>
  </si>
  <si>
    <t>Life Vincent Pallotti Rehabilitation Centre</t>
  </si>
  <si>
    <t>Netcare Kuils River Hospital</t>
  </si>
  <si>
    <t>N1 City Hospital</t>
  </si>
  <si>
    <t>UCT Private Academic Hospital</t>
  </si>
  <si>
    <t>Netcare Blaauwberg Hospital</t>
  </si>
  <si>
    <t>Netcare Christiaan Barnard memeorial Hospital</t>
  </si>
  <si>
    <t>Netcare Ceres Hospital</t>
  </si>
  <si>
    <t>Akeso Clinic - George</t>
  </si>
  <si>
    <t>Advanced Harbour Bay Surgical Centre</t>
  </si>
  <si>
    <t>The Cosmetic Surgery Institute</t>
  </si>
  <si>
    <t>Mediclinic Geneva</t>
  </si>
  <si>
    <t>Mediclinic George</t>
  </si>
  <si>
    <t>Mediclinic Klein Karoo</t>
  </si>
  <si>
    <t>Mediclinic Hermanus</t>
  </si>
  <si>
    <t>Mediclinic Cape Town</t>
  </si>
  <si>
    <t>Mediclinic Constantiaberg</t>
  </si>
  <si>
    <t>Mediclinic Durbanville Day Clinic</t>
  </si>
  <si>
    <t>Mediclinic Durbanville</t>
  </si>
  <si>
    <t>Kenilworth Clinic</t>
  </si>
  <si>
    <t>Akeso Specialised Psychiatric Clinic- Milnerton</t>
  </si>
  <si>
    <t>Stepping Stones Clinic</t>
  </si>
  <si>
    <t>Mediclinic Cape Gate</t>
  </si>
  <si>
    <t>Mediclinic Milnerton</t>
  </si>
  <si>
    <t>Mediclinic Vergelegen</t>
  </si>
  <si>
    <t>Mediclinic Louis Leipoldt</t>
  </si>
  <si>
    <t>Melomed Tokai</t>
  </si>
  <si>
    <t>Mitchells Plain Medical Centre</t>
  </si>
  <si>
    <t>Gatesville Medical Centre</t>
  </si>
  <si>
    <t>Bellville Medical Centre</t>
  </si>
  <si>
    <t xml:space="preserve">Melomed Private Clinic </t>
  </si>
  <si>
    <t>Mediclinic Stellenbosch</t>
  </si>
  <si>
    <t>The Surgical Institute (Pty) Ltd</t>
  </si>
  <si>
    <t>Cape Eye Hospital</t>
  </si>
  <si>
    <t>Cape Dental Theatres</t>
  </si>
  <si>
    <t>Rising Sun Healthcare Facilities (Pty) Ltd</t>
  </si>
  <si>
    <t>Thembani Theatres</t>
  </si>
  <si>
    <t>Vidamed Day Hospital (Pty) Ltd</t>
  </si>
  <si>
    <t>Vidamed Sub Acute Hospital</t>
  </si>
  <si>
    <t>Wesfleur Private Clinic</t>
  </si>
  <si>
    <t>Wijnland Fertility Clinic</t>
  </si>
  <si>
    <t>Al-Nisa Maternity Home</t>
  </si>
  <si>
    <t>Mediclinic Winelands Orthopaedic Hospital</t>
  </si>
  <si>
    <t>Eye &amp; Laser Institute</t>
  </si>
  <si>
    <t>EC</t>
  </si>
  <si>
    <t>Matatiele Private Hospital</t>
  </si>
  <si>
    <t>Mthatha Sub acute</t>
  </si>
  <si>
    <t>Mthatha Private Hospital</t>
  </si>
  <si>
    <t>Care Cure Queenstown (Pty) Ltd</t>
  </si>
  <si>
    <t>Nuture Aurora Private Hospital</t>
  </si>
  <si>
    <t>Aurora Hospital (Physical Rehabilitation)</t>
  </si>
  <si>
    <t>Life St Mary's Private Hospital</t>
  </si>
  <si>
    <t>O.R.Tambo</t>
  </si>
  <si>
    <t>Life St. Mark's Clinic</t>
  </si>
  <si>
    <t>Life St. Dominics Hospital</t>
  </si>
  <si>
    <t>St Dominics Physical Rehabilitation</t>
  </si>
  <si>
    <t>Life St. Georges Hospital</t>
  </si>
  <si>
    <t>Life St. James Hospital</t>
  </si>
  <si>
    <t>Life Queenstown Private Hospital</t>
  </si>
  <si>
    <t>Life Mercantile Hospital</t>
  </si>
  <si>
    <t>Life Isivivana Private Hospital</t>
  </si>
  <si>
    <t>Life East London Private Hospital</t>
  </si>
  <si>
    <t>Life Hunterscraig Private Hospital (Life Mental Health)</t>
  </si>
  <si>
    <t xml:space="preserve">Metro Maternity Home </t>
  </si>
  <si>
    <t xml:space="preserve">Nuture Sunnyside </t>
  </si>
  <si>
    <t>Life Beacon Bay Hospital</t>
  </si>
  <si>
    <t>Netcare Greenacres Hospital</t>
  </si>
  <si>
    <t>Netcare Cuyler Hospital</t>
  </si>
  <si>
    <t>East London Eye Hospital (Pty) Ltd</t>
  </si>
  <si>
    <t>Medical Forum Theatre</t>
  </si>
  <si>
    <t>Mediclinic Nelspruit</t>
  </si>
  <si>
    <t>MP</t>
  </si>
  <si>
    <t>Mediclinic Secunda</t>
  </si>
  <si>
    <t>Barberton</t>
  </si>
  <si>
    <t>Mediclinic Ermelo</t>
  </si>
  <si>
    <t>Mediclinic Highveld</t>
  </si>
  <si>
    <t>Highveld Eye</t>
  </si>
  <si>
    <t>M-Care Nelspruit</t>
  </si>
  <si>
    <t>Highveld Sub-Acute Services(Pty)Ltd</t>
  </si>
  <si>
    <t>Kiaat Private Hospital</t>
  </si>
  <si>
    <t>Emalahleni Day Hospital</t>
  </si>
  <si>
    <t>Emalahleni Private Hospital</t>
  </si>
  <si>
    <t>Advanced De La Vie Day Hospital</t>
  </si>
  <si>
    <t>Akeso Clinics-Nelspruit (Pty) Ltd</t>
  </si>
  <si>
    <t>RH Piet Retief</t>
  </si>
  <si>
    <t>Life Midmed Hospital</t>
  </si>
  <si>
    <t>Life Cosmos Hospital</t>
  </si>
  <si>
    <t>Anglo Coal Highveld Hospital</t>
  </si>
  <si>
    <t>Surgiclinic</t>
  </si>
  <si>
    <t>Lowveld Hospital</t>
  </si>
  <si>
    <t>RH Phodiclinic</t>
  </si>
  <si>
    <t>Mediclinic Nelspruit Day Clinic</t>
  </si>
  <si>
    <t>Mediclinic Newcastle</t>
  </si>
  <si>
    <t>Mediclinic Victoria</t>
  </si>
  <si>
    <t>Richards Bay Medical Institute JMH</t>
  </si>
  <si>
    <t xml:space="preserve">Ribumed Day Hospital </t>
  </si>
  <si>
    <t>Riverview Manor</t>
  </si>
  <si>
    <t>Nurture Umhlanga</t>
  </si>
  <si>
    <t>Nongoma Private Hospital</t>
  </si>
  <si>
    <t>Humana Healthcare</t>
  </si>
  <si>
    <t>Lenmed La Verna Hospital</t>
  </si>
  <si>
    <t>Lenmed Health Shifa Hospital</t>
  </si>
  <si>
    <t>Durban Eye Hospital</t>
  </si>
  <si>
    <t>Gateway Private Hospital</t>
  </si>
  <si>
    <t>Healing Hills Hospital</t>
  </si>
  <si>
    <t>Hibiscus Private Hospital</t>
  </si>
  <si>
    <t>Hillcrest Private Hospital</t>
  </si>
  <si>
    <t>Hibiscus Day Surgical Hospital</t>
  </si>
  <si>
    <t>Capital Oncology and General Sub-Acute Facility</t>
  </si>
  <si>
    <t>Alliance Care- Umhlanga</t>
  </si>
  <si>
    <t>Life Westville Hospital</t>
  </si>
  <si>
    <t>Life The Crompton Hospita</t>
  </si>
  <si>
    <t>Life Mount Edgecombe Hospital</t>
  </si>
  <si>
    <t>Life Entabeni Hospital</t>
  </si>
  <si>
    <t>Life Empangeni Garden Clinic</t>
  </si>
  <si>
    <t>Uthungulu</t>
  </si>
  <si>
    <t>Life Chatsmed Garden Hospital</t>
  </si>
  <si>
    <t>Netcare The Bay Hospital</t>
  </si>
  <si>
    <t>Umhlanga Eye Institute</t>
  </si>
  <si>
    <t>Netcare Umhlanga Hospital</t>
  </si>
  <si>
    <t>Netcare St. Augustine's Hospital</t>
  </si>
  <si>
    <t>Netcare Parklands Hospital</t>
  </si>
  <si>
    <t>Netcare Margate Hospital</t>
  </si>
  <si>
    <t>Netcare Kingsway Hospital</t>
  </si>
  <si>
    <t>Netcare Alberlito Hospital</t>
  </si>
  <si>
    <t>Kokstad Private Hospital</t>
  </si>
  <si>
    <t>Medstone Medical Centre T/A Umhlanga Eye Institude</t>
  </si>
  <si>
    <t>Ladysmith Sub-Acute Hospital / Essenmedical Centre</t>
  </si>
  <si>
    <t>Ascot Park Hospital (Durban)</t>
  </si>
  <si>
    <t>Ahmed Al-Kadi Private Hospital</t>
  </si>
  <si>
    <t>KZN Day Clinic</t>
  </si>
  <si>
    <t>Shelly Beach Day Clinic</t>
  </si>
  <si>
    <t>Shelly Beach Hospital</t>
  </si>
  <si>
    <t>Akeso Clinics Umhlanga</t>
  </si>
  <si>
    <t>Ethekwini Private Hospital</t>
  </si>
  <si>
    <t xml:space="preserve">Melomed Richards Bay </t>
  </si>
  <si>
    <t>Durdoc Clinic</t>
  </si>
  <si>
    <t>City Hospital Ltd</t>
  </si>
  <si>
    <t>Isipingo Clinic</t>
  </si>
  <si>
    <t>Kwadukuza Private Hospital</t>
  </si>
  <si>
    <t>Westridge Surgical</t>
  </si>
  <si>
    <t>Shelly Beach Sub-Acute Hospital</t>
  </si>
  <si>
    <t>Nurture Ilembe Wellness Centre</t>
  </si>
  <si>
    <t>Mediclinic Welkom</t>
  </si>
  <si>
    <t>FS</t>
  </si>
  <si>
    <t>Mediclinic Bloemfontein</t>
  </si>
  <si>
    <t>Mediclinic Hoogland</t>
  </si>
  <si>
    <t>Thabo Mofutsanyane</t>
  </si>
  <si>
    <t>Welkom Medical Centre Day Hospital</t>
  </si>
  <si>
    <t>Welkom Medical Centre Sub-Acute Hospital</t>
  </si>
  <si>
    <t>St Helena Hospital</t>
  </si>
  <si>
    <t>Riemland Clinic</t>
  </si>
  <si>
    <t>Nurture Hillandale Hospital Acute Rehabilitation</t>
  </si>
  <si>
    <t>Hillandale Health Care Centre</t>
  </si>
  <si>
    <t>Nurture Hillandale Hospital Sub-Acute Hospital</t>
  </si>
  <si>
    <t>Bloemcare Psyciatric Hospital</t>
  </si>
  <si>
    <t>Citymed Dagteater Edms.Bpk.</t>
  </si>
  <si>
    <t>M-care optima (Bloemphsych)</t>
  </si>
  <si>
    <t>Cairnhall Hospital</t>
  </si>
  <si>
    <t>Busamed Harrismith Private Hospital</t>
  </si>
  <si>
    <t>Life Rosepark Hospital</t>
  </si>
  <si>
    <t>Life Pasteur Hospital (Life Rehabilitation)</t>
  </si>
  <si>
    <t>Life Pasteur Sub-Acute</t>
  </si>
  <si>
    <t xml:space="preserve">Stirling Hospital </t>
  </si>
  <si>
    <t>Kroon Hospital</t>
  </si>
  <si>
    <t>Netcare Vaalpark Hospital</t>
  </si>
  <si>
    <t>Universitas Private Hospital</t>
  </si>
  <si>
    <t>Pelonomi Private Hospital</t>
  </si>
  <si>
    <t>Busamed Bram Fischer International Airport Hospital</t>
  </si>
  <si>
    <t>EmoyaMed Private Hospital</t>
  </si>
  <si>
    <t>Corona Sub-Acute Hospital</t>
  </si>
  <si>
    <t>RH Matjhabeng Private Hospital</t>
  </si>
  <si>
    <t>Zoutpansberg Medical Centre</t>
  </si>
  <si>
    <t>LP</t>
  </si>
  <si>
    <t>Mediclinic Thabazimbi</t>
  </si>
  <si>
    <t>Mediclinic Lephalale</t>
  </si>
  <si>
    <t>Mediclinic Limpopo</t>
  </si>
  <si>
    <t>Mediclinic Tzaneen</t>
  </si>
  <si>
    <t>Mediclinic Limpopo Day Clinic</t>
  </si>
  <si>
    <t>Quality Care Private Hospital</t>
  </si>
  <si>
    <t>St Vincents Hospital</t>
  </si>
  <si>
    <t>Netcare Pholoso Hospital</t>
  </si>
  <si>
    <t>Medleb</t>
  </si>
  <si>
    <t>Kimmed Private Hospital Pty Ltd</t>
  </si>
  <si>
    <t>Careline Clinic</t>
  </si>
  <si>
    <t>Optimed</t>
  </si>
  <si>
    <t>Pasteur Eye Hospital</t>
  </si>
  <si>
    <t>Rand Clinic</t>
  </si>
  <si>
    <t>Crescent Clinic</t>
  </si>
  <si>
    <t>Bellstreet Hospital ( Do Not Use)</t>
  </si>
  <si>
    <t>Spescare Blouberg</t>
  </si>
  <si>
    <t xml:space="preserve">Life East London Private Hospital - Renal </t>
  </si>
  <si>
    <t>Renal</t>
  </si>
  <si>
    <t xml:space="preserve">Life New Kensington Clinic - Sub Acute </t>
  </si>
  <si>
    <t xml:space="preserve">Life Carstenview Hospital </t>
  </si>
  <si>
    <t>Ceza Hospital</t>
  </si>
  <si>
    <t xml:space="preserve">Zululand </t>
  </si>
  <si>
    <t>Church of Scotland Hospital</t>
  </si>
  <si>
    <t xml:space="preserve">Umzinyathi </t>
  </si>
  <si>
    <t>Mbongolwane Hospital</t>
  </si>
  <si>
    <t xml:space="preserve">King Cetshwayo </t>
  </si>
  <si>
    <t>Mapulaneng Hospital</t>
  </si>
  <si>
    <t xml:space="preserve">Ehlanzeni </t>
  </si>
  <si>
    <t>Dilokong Hospital</t>
  </si>
  <si>
    <t xml:space="preserve">Sekhukhune </t>
  </si>
  <si>
    <t>George Masebe Hospital</t>
  </si>
  <si>
    <t xml:space="preserve">Waterberg </t>
  </si>
  <si>
    <t>Murchison Hospital</t>
  </si>
  <si>
    <t xml:space="preserve">Ugu </t>
  </si>
  <si>
    <t>Pholosong Hospital</t>
  </si>
  <si>
    <t xml:space="preserve">Ekurhuleni </t>
  </si>
  <si>
    <t>Messina Hospital</t>
  </si>
  <si>
    <t xml:space="preserve">Vhembe </t>
  </si>
  <si>
    <t>Bheki Mlangeni District Hospital</t>
  </si>
  <si>
    <t xml:space="preserve">City of Johannesburg </t>
  </si>
  <si>
    <t>Nelson Mandela Academic Hospital</t>
  </si>
  <si>
    <t xml:space="preserve">Oliver Tambo </t>
  </si>
  <si>
    <t>Glen Grey Hospital</t>
  </si>
  <si>
    <t xml:space="preserve">Chris Hani </t>
  </si>
  <si>
    <t>Barberton Hospital</t>
  </si>
  <si>
    <t>Tara H Moross Centre Hospital</t>
  </si>
  <si>
    <t>Amajuba Memorial Hospital</t>
  </si>
  <si>
    <t xml:space="preserve">Gert Sibande </t>
  </si>
  <si>
    <t>Steynsburg Hospital</t>
  </si>
  <si>
    <t xml:space="preserve">Joe Gqabi </t>
  </si>
  <si>
    <t>Valkenberg Hospital</t>
  </si>
  <si>
    <t xml:space="preserve">City of Cape Town </t>
  </si>
  <si>
    <t>Leratong Hospital</t>
  </si>
  <si>
    <t xml:space="preserve">West Rand </t>
  </si>
  <si>
    <t>Bethesda Hospital</t>
  </si>
  <si>
    <t xml:space="preserve">Umkhanyakude </t>
  </si>
  <si>
    <t>Itshelejuba Hospital</t>
  </si>
  <si>
    <t>Mofumahadi Manapo Mopeli Hospital</t>
  </si>
  <si>
    <t xml:space="preserve">Thabo Mofutsanyana </t>
  </si>
  <si>
    <t>Cofimvaba Hospital</t>
  </si>
  <si>
    <t>Rietvlei Hospital</t>
  </si>
  <si>
    <t xml:space="preserve">Harry Gwala </t>
  </si>
  <si>
    <t>National District Hospital</t>
  </si>
  <si>
    <t xml:space="preserve">Mangaung </t>
  </si>
  <si>
    <t>False Bay Hospital</t>
  </si>
  <si>
    <t>Sterkstroom Hospital</t>
  </si>
  <si>
    <t>Albert Nzula District Hospital</t>
  </si>
  <si>
    <t xml:space="preserve">Xhariep </t>
  </si>
  <si>
    <t>Cathcart Hospital</t>
  </si>
  <si>
    <t xml:space="preserve">Amathole </t>
  </si>
  <si>
    <t>Groote Schuur Hospital</t>
  </si>
  <si>
    <t>Vredendal Hospital</t>
  </si>
  <si>
    <t xml:space="preserve">West Coast </t>
  </si>
  <si>
    <t>Elsie Ballot Hospital</t>
  </si>
  <si>
    <t>Nic Bodenstein Hospital</t>
  </si>
  <si>
    <t xml:space="preserve">Dr Kenneth Kaunda </t>
  </si>
  <si>
    <t>Zeerust Hospital</t>
  </si>
  <si>
    <t xml:space="preserve">Ngaka Modiri Molema </t>
  </si>
  <si>
    <t>Nketoana Hospital</t>
  </si>
  <si>
    <t>Waterval Boven Hospital</t>
  </si>
  <si>
    <t xml:space="preserve">Nkangala </t>
  </si>
  <si>
    <t>Sebokeng Hospital</t>
  </si>
  <si>
    <t xml:space="preserve">Sedibeng </t>
  </si>
  <si>
    <t>Embhuleni Hospital</t>
  </si>
  <si>
    <t>Emmaus Hospital</t>
  </si>
  <si>
    <t xml:space="preserve">Uthukela </t>
  </si>
  <si>
    <t>Umphumulo Hospital</t>
  </si>
  <si>
    <t xml:space="preserve">iLembe </t>
  </si>
  <si>
    <t>Elizabeth Ross Hospital</t>
  </si>
  <si>
    <t>Mankweng Hospital</t>
  </si>
  <si>
    <t xml:space="preserve">Capricorn </t>
  </si>
  <si>
    <t>Ellisras Hospital</t>
  </si>
  <si>
    <t>St Lucy's Hospital</t>
  </si>
  <si>
    <t>St Francis Hospital</t>
  </si>
  <si>
    <t>Aliwal North Hospital</t>
  </si>
  <si>
    <t>Oudtshoorn Hospital</t>
  </si>
  <si>
    <t xml:space="preserve">Garden Route </t>
  </si>
  <si>
    <t>South Rand Hospital</t>
  </si>
  <si>
    <t>Standerton Hospital</t>
  </si>
  <si>
    <t>Mafube Hospital</t>
  </si>
  <si>
    <t xml:space="preserve">Fezile Dabi </t>
  </si>
  <si>
    <t>Phumelela Hospital</t>
  </si>
  <si>
    <t>Sterkfontein Hospital</t>
  </si>
  <si>
    <t>Carletonville Hospital</t>
  </si>
  <si>
    <t>Hewu Hospital</t>
  </si>
  <si>
    <t>Catherine Booth Hospital</t>
  </si>
  <si>
    <t>Mseleni Hospital</t>
  </si>
  <si>
    <t>Mokopane Hospital</t>
  </si>
  <si>
    <t>Port Alfred Hospital</t>
  </si>
  <si>
    <t xml:space="preserve">Sarah Baartman </t>
  </si>
  <si>
    <t>Frontier Hospital</t>
  </si>
  <si>
    <t>Helderberg Hospital</t>
  </si>
  <si>
    <t>Robert Mangaliso Sobukwe Hospital</t>
  </si>
  <si>
    <t xml:space="preserve">Frances Baard </t>
  </si>
  <si>
    <t>Postmasburg Hospital</t>
  </si>
  <si>
    <t xml:space="preserve">Zwelentlanga Fatman Mgcawu </t>
  </si>
  <si>
    <t>Phuthuloha Hospital</t>
  </si>
  <si>
    <t>Thabazimbi Hospital</t>
  </si>
  <si>
    <t>Botlokwa Hospital</t>
  </si>
  <si>
    <t>St Andrew's Hospital</t>
  </si>
  <si>
    <t>Nkonjeni Hospital</t>
  </si>
  <si>
    <t>Cecilia Makiwane Hospital</t>
  </si>
  <si>
    <t xml:space="preserve">Buffalo City </t>
  </si>
  <si>
    <t>Beaufort West Hospital</t>
  </si>
  <si>
    <t xml:space="preserve">Central Karoo </t>
  </si>
  <si>
    <t>Alan Blyth Hospital</t>
  </si>
  <si>
    <t>Chris Hani Baragwanath Hospital</t>
  </si>
  <si>
    <t>Brits Hospital</t>
  </si>
  <si>
    <t xml:space="preserve">Bojanala Platinum </t>
  </si>
  <si>
    <t>Piet Retief Hospital</t>
  </si>
  <si>
    <t>Potchefstroom Hospital</t>
  </si>
  <si>
    <t>Itemoheng Hospital</t>
  </si>
  <si>
    <t>Mecklenburg Hospital</t>
  </si>
  <si>
    <t>Phekolong Hospital</t>
  </si>
  <si>
    <t>Letaba Hospital</t>
  </si>
  <si>
    <t xml:space="preserve">Mopani </t>
  </si>
  <si>
    <t>Hlabisa Hospital</t>
  </si>
  <si>
    <t>Manguzi Hospital</t>
  </si>
  <si>
    <t>Nkandla Hospital</t>
  </si>
  <si>
    <t>Prince Mshiyeni Memorial Hospital</t>
  </si>
  <si>
    <t xml:space="preserve">eThekwini </t>
  </si>
  <si>
    <t>Jane Furse Hospital</t>
  </si>
  <si>
    <t>Lebowakgomo Hospital</t>
  </si>
  <si>
    <t>Radie Kotze Hospital</t>
  </si>
  <si>
    <t>Moses Kotane Hospital</t>
  </si>
  <si>
    <t>Greenville Hospital</t>
  </si>
  <si>
    <t xml:space="preserve">Alfred Nzo </t>
  </si>
  <si>
    <t>Riversdale Hospital</t>
  </si>
  <si>
    <t>Robertson Hospital</t>
  </si>
  <si>
    <t xml:space="preserve">Cape Winelands </t>
  </si>
  <si>
    <t>Bethal Hospital</t>
  </si>
  <si>
    <t>Evander Hospital</t>
  </si>
  <si>
    <t>Stikland Hospital</t>
  </si>
  <si>
    <t>Uniondale Hospital</t>
  </si>
  <si>
    <t>Montebello Hospital</t>
  </si>
  <si>
    <t>Elim Hospital</t>
  </si>
  <si>
    <t>Siloam Hospital</t>
  </si>
  <si>
    <t>Seshego Hospital</t>
  </si>
  <si>
    <t>All Saints Hospital</t>
  </si>
  <si>
    <t>Grey Hospital</t>
  </si>
  <si>
    <t>Mowbray Maternity Hospital</t>
  </si>
  <si>
    <t>Swellendam Hospital</t>
  </si>
  <si>
    <t xml:space="preserve">Overberg </t>
  </si>
  <si>
    <t>Helen Joseph Hospital</t>
  </si>
  <si>
    <t>Embekweni Hospital</t>
  </si>
  <si>
    <t>Madwaleni Hospital</t>
  </si>
  <si>
    <t>Wilhelm Stahl (Middelburg) Hospital</t>
  </si>
  <si>
    <t>Laingsburg Hospital</t>
  </si>
  <si>
    <t>Mount Ayliff Hospital</t>
  </si>
  <si>
    <t>Hartswater (Connie Vorster) Hospital</t>
  </si>
  <si>
    <t>Malmesbury Infectious Disease Hospital</t>
  </si>
  <si>
    <t>Andries Vosloo Hospital</t>
  </si>
  <si>
    <t>Lentegeur Hospital</t>
  </si>
  <si>
    <t>Thulasizwe TB Hospital</t>
  </si>
  <si>
    <t>Ekhombe Hospital</t>
  </si>
  <si>
    <t>Newcastle Hospital</t>
  </si>
  <si>
    <t xml:space="preserve">Amajuba </t>
  </si>
  <si>
    <t>Greytown TB Hospital</t>
  </si>
  <si>
    <t>Joe Morolong Memorial Hospital</t>
  </si>
  <si>
    <t xml:space="preserve">Dr Ruth Segomotsi Mompati </t>
  </si>
  <si>
    <t>Cradock Hospital</t>
  </si>
  <si>
    <t>Cloete Joubert (Barkly East) Hospital</t>
  </si>
  <si>
    <t>Caledon Hospital</t>
  </si>
  <si>
    <t>Humansdorp Hospital</t>
  </si>
  <si>
    <t>Manne Dipico (Colesberg) Hospital</t>
  </si>
  <si>
    <t xml:space="preserve">Pixley ka Seme </t>
  </si>
  <si>
    <t>Martje Venter (Tarkastad) Hospital</t>
  </si>
  <si>
    <t>Newhaven Hospital</t>
  </si>
  <si>
    <t>Victoria Hospital</t>
  </si>
  <si>
    <t>St Mary's Hospital (Mariannhill)</t>
  </si>
  <si>
    <t>East Griqualand and Usher Memorial Hospital</t>
  </si>
  <si>
    <t>Pietersburg Hospital</t>
  </si>
  <si>
    <t>Mitchells Plain Hospital</t>
  </si>
  <si>
    <t>Bongani TB Hospital</t>
  </si>
  <si>
    <t>Settlers Hospital</t>
  </si>
  <si>
    <t>Vryheid Hospital</t>
  </si>
  <si>
    <t>Edenvale Hospital</t>
  </si>
  <si>
    <t>Hermanus Hospital</t>
  </si>
  <si>
    <t>Shongwe Hospital</t>
  </si>
  <si>
    <t>Sekororo Hospital</t>
  </si>
  <si>
    <t>Matikwana Hospital</t>
  </si>
  <si>
    <t>Umzimkhulu Hospital</t>
  </si>
  <si>
    <t>Bambisana Hospital</t>
  </si>
  <si>
    <t>George Hospital</t>
  </si>
  <si>
    <t>Thelle Mogoerane Regional Hospital</t>
  </si>
  <si>
    <t>HA Grove Hospital</t>
  </si>
  <si>
    <t>Brewelskloof TB Hospital</t>
  </si>
  <si>
    <t>WF Knobel Hospital</t>
  </si>
  <si>
    <t>Nala Hospital</t>
  </si>
  <si>
    <t xml:space="preserve">Lejweleputswa </t>
  </si>
  <si>
    <t>De Aar (Central Karoo) Hospital</t>
  </si>
  <si>
    <t>Bongani Hospital</t>
  </si>
  <si>
    <t>Indwe Hospital</t>
  </si>
  <si>
    <t>Komga Hospital</t>
  </si>
  <si>
    <t>Mahikeng Provincial Hospital</t>
  </si>
  <si>
    <t>PZ Meyer Hospital</t>
  </si>
  <si>
    <t>Winterberg TB Hospital</t>
  </si>
  <si>
    <t>Margery Parkes TB Hospital</t>
  </si>
  <si>
    <t>Mahatma Gandhi Hospital</t>
  </si>
  <si>
    <t>Tower Hospital</t>
  </si>
  <si>
    <t>Christ the King Hospital</t>
  </si>
  <si>
    <t>Mosvold Hospital</t>
  </si>
  <si>
    <t>Ngwelezana Hospital</t>
  </si>
  <si>
    <t>Nkhensani Hospital</t>
  </si>
  <si>
    <t>Botshabelo Hospital</t>
  </si>
  <si>
    <t>St Elizabeth's Hospital</t>
  </si>
  <si>
    <t>Ermelo Hospital</t>
  </si>
  <si>
    <t>Sabie Hospital</t>
  </si>
  <si>
    <t>Kopanong Hospital</t>
  </si>
  <si>
    <t>Butterworth Hospital</t>
  </si>
  <si>
    <t>Fort England Hospital</t>
  </si>
  <si>
    <t>Philadelphia Hospital</t>
  </si>
  <si>
    <t>Tokollo Hospital</t>
  </si>
  <si>
    <t>Dr CN Phatudi Hospital</t>
  </si>
  <si>
    <t>Louis Trichardt Hospital</t>
  </si>
  <si>
    <t>Middelburg Hospital</t>
  </si>
  <si>
    <t>Vredenburg Hospital</t>
  </si>
  <si>
    <t>Senorita Ntlabathi Hospital</t>
  </si>
  <si>
    <t>Zebediela Hospital</t>
  </si>
  <si>
    <t>Tshilidzini Hospital</t>
  </si>
  <si>
    <t>Untunjambili Hospital</t>
  </si>
  <si>
    <t>Worcester Hospital</t>
  </si>
  <si>
    <t>Karl Bremer Hospital</t>
  </si>
  <si>
    <t>Livingstone Hospital</t>
  </si>
  <si>
    <t xml:space="preserve">Nelson Mandela Bay </t>
  </si>
  <si>
    <t>Otto Du Plessis Hospital</t>
  </si>
  <si>
    <t>Katleho Hospital</t>
  </si>
  <si>
    <t>Heidelberg Hospital</t>
  </si>
  <si>
    <t>Bertha Gxowa Hospital</t>
  </si>
  <si>
    <t>Rob Ferreira Hospital</t>
  </si>
  <si>
    <t>Schweizer-Reneke Hospital</t>
  </si>
  <si>
    <t>Komani Hospital</t>
  </si>
  <si>
    <t>Bophelong Psychiatric Hospital</t>
  </si>
  <si>
    <t>SS Gida Hospital</t>
  </si>
  <si>
    <t>BJ Vorster (Kareedouw) Hospital</t>
  </si>
  <si>
    <t>Kuruman Hospital</t>
  </si>
  <si>
    <t xml:space="preserve">John Taolo Gaetsewe </t>
  </si>
  <si>
    <t>Themba Hospital</t>
  </si>
  <si>
    <t>Charles Johnson Memorial Hospital</t>
  </si>
  <si>
    <t>Malamulele Hospital</t>
  </si>
  <si>
    <t>Holy Cross Hospital</t>
  </si>
  <si>
    <t>Voortrekker Memorial (Potgietersrus) Hospital</t>
  </si>
  <si>
    <t>Thabamoopo Hospital</t>
  </si>
  <si>
    <t>Christiana Hospital</t>
  </si>
  <si>
    <t>Montagu Hospital</t>
  </si>
  <si>
    <t>Port Shepstone Hospital</t>
  </si>
  <si>
    <t>Witbank Specialised TB Hospital</t>
  </si>
  <si>
    <t>Tshwaragano Hospital</t>
  </si>
  <si>
    <t>Taung Hospital</t>
  </si>
  <si>
    <t>Bhisho Hospital</t>
  </si>
  <si>
    <t>Charles James TB Hospital</t>
  </si>
  <si>
    <t>LAPA Munnik Hospital</t>
  </si>
  <si>
    <t>FH Odendaal (Nylstroom) Hospital</t>
  </si>
  <si>
    <t>Free State Psychiatric Complex Hospital</t>
  </si>
  <si>
    <t>Tintswalo Hospital</t>
  </si>
  <si>
    <t>Zitulele Hospital</t>
  </si>
  <si>
    <t>Hayani Hospital</t>
  </si>
  <si>
    <t>St Aidans Hospital</t>
  </si>
  <si>
    <t>Harry Comay TB Hospital</t>
  </si>
  <si>
    <t>Paarl Hospital</t>
  </si>
  <si>
    <t>McCords Hospital</t>
  </si>
  <si>
    <t>General de la Rey Hospital</t>
  </si>
  <si>
    <t>KwaMagwaza Hospital</t>
  </si>
  <si>
    <t>GJ Crooke's Hospital</t>
  </si>
  <si>
    <t>Calvinia (Abraham Esau) Hospital</t>
  </si>
  <si>
    <t xml:space="preserve">Namakwa </t>
  </si>
  <si>
    <t>Brooklyn Chest Hospital</t>
  </si>
  <si>
    <t>Pelonomi Hospital</t>
  </si>
  <si>
    <t>SAWAS Memorial (Jansenville) Hospital</t>
  </si>
  <si>
    <t>Lehurutshe Hospital</t>
  </si>
  <si>
    <t>Bedford Orthopaedic Hospital (Mthatha)</t>
  </si>
  <si>
    <t>Isilimela Hospital</t>
  </si>
  <si>
    <t>Elizabeth Donkin Hospital</t>
  </si>
  <si>
    <t>St Apollinaris Hospital</t>
  </si>
  <si>
    <t>Matibidi Hospital</t>
  </si>
  <si>
    <t>Cala Hospital</t>
  </si>
  <si>
    <t>Molteno Hospital</t>
  </si>
  <si>
    <t>Eerste River Hospital</t>
  </si>
  <si>
    <t>Ceres Hospital</t>
  </si>
  <si>
    <t>Frere Hospital</t>
  </si>
  <si>
    <t>Port Elizabeth Provincial Hospital</t>
  </si>
  <si>
    <t>Swartland Hospital</t>
  </si>
  <si>
    <t>Ladysmith Hospital</t>
  </si>
  <si>
    <t>Carolina Hospital</t>
  </si>
  <si>
    <t>Thebe Hospital</t>
  </si>
  <si>
    <t>Elliot Hospital</t>
  </si>
  <si>
    <t>Madadeni Hospital</t>
  </si>
  <si>
    <t>Hillcrest Hospital</t>
  </si>
  <si>
    <t>Estcourt Hospital</t>
  </si>
  <si>
    <t>Khotsong TB Hospital</t>
  </si>
  <si>
    <t>Jamestown Hospital</t>
  </si>
  <si>
    <t>Stellenbosch Hospital</t>
  </si>
  <si>
    <t>Witrand Psychiatric Hospital</t>
  </si>
  <si>
    <t>FH Odendaal MDR Hospital</t>
  </si>
  <si>
    <t>Sonstraal TB Hospital</t>
  </si>
  <si>
    <t>Benedictine Hospital</t>
  </si>
  <si>
    <t>St Patrick's Hospital</t>
  </si>
  <si>
    <t>Bedford Hospital</t>
  </si>
  <si>
    <t>St Barnabas Hospital</t>
  </si>
  <si>
    <t>Adelaide Hospital</t>
  </si>
  <si>
    <t>New Somerset Hospital</t>
  </si>
  <si>
    <t>Addington Hospital</t>
  </si>
  <si>
    <t>Clairwood Hospital</t>
  </si>
  <si>
    <t>Niemeyer Memorial Hospital</t>
  </si>
  <si>
    <t>Wentworth Hospital</t>
  </si>
  <si>
    <t>Alexandra Hospital</t>
  </si>
  <si>
    <t>Umlamli Hospital</t>
  </si>
  <si>
    <t>Impungwe Hospital (Wolwekrans)</t>
  </si>
  <si>
    <t>Sizwe Tropical Diseases Hospital</t>
  </si>
  <si>
    <t>Dr JS Moroka Hospital</t>
  </si>
  <si>
    <t>Sesifuba TB Hospital</t>
  </si>
  <si>
    <t>Tayler Bequest Hospital (Elundini)</t>
  </si>
  <si>
    <t>Dihlabeng Hospital</t>
  </si>
  <si>
    <t>Orsmond TB Hospital</t>
  </si>
  <si>
    <t>Thusong Hospital</t>
  </si>
  <si>
    <t>Madzikane kaZulu Memorial Hospital</t>
  </si>
  <si>
    <t>Donald Fraser Hospital</t>
  </si>
  <si>
    <t>Sipetu Hospital</t>
  </si>
  <si>
    <t>Mjanyana Hospital</t>
  </si>
  <si>
    <t>Empilweni TB Hospital</t>
  </si>
  <si>
    <t>Burgersdorp Hospital</t>
  </si>
  <si>
    <t>Mossel Bay Hospital</t>
  </si>
  <si>
    <t>Dora Nginza Hospital</t>
  </si>
  <si>
    <t>Murraysburg Hospital</t>
  </si>
  <si>
    <t>Gelukspan Hospital</t>
  </si>
  <si>
    <t>Job Shimankana Tabane Hospital</t>
  </si>
  <si>
    <t>Don McKenzie TB Hospital</t>
  </si>
  <si>
    <t>King Dinuzulu Hospital</t>
  </si>
  <si>
    <t>Warmbaths Hospital</t>
  </si>
  <si>
    <t>Aberdeen Hospital</t>
  </si>
  <si>
    <t>Jose Pearson TB Hospital</t>
  </si>
  <si>
    <t>Standerton Specialised TB Hospital</t>
  </si>
  <si>
    <t>Marjorie Parrish TB Hospital</t>
  </si>
  <si>
    <t>Fezi Ngumbentombi Hospital</t>
  </si>
  <si>
    <t>Tayler Bequest Hospital (Matatiele)</t>
  </si>
  <si>
    <t>Barberton TB Hospital</t>
  </si>
  <si>
    <t>Mmametlhake Hospital</t>
  </si>
  <si>
    <t>Prof ZK Matthews Hospital</t>
  </si>
  <si>
    <t>Van Velden Memorial (Tzaneen) Hospital</t>
  </si>
  <si>
    <t>Universitas (C) Hospital</t>
  </si>
  <si>
    <t>Boitumelo Hospital</t>
  </si>
  <si>
    <t>RK Khan Hospital</t>
  </si>
  <si>
    <t>Empilisweni Hospital</t>
  </si>
  <si>
    <t>Dordrecht Hospital</t>
  </si>
  <si>
    <t>Mohau Hospital</t>
  </si>
  <si>
    <t>Sundays Valley (Kirkwood) Hospital</t>
  </si>
  <si>
    <t>Springbok (Dr Van Niekerk) Hospital</t>
  </si>
  <si>
    <t>Uitenhage Hospital</t>
  </si>
  <si>
    <t>Canzibe Hospital</t>
  </si>
  <si>
    <t>Kakamas Hospital</t>
  </si>
  <si>
    <t>Prince Albert Hospital</t>
  </si>
  <si>
    <t>Dr Malizo Mpehle Memorial Hospital</t>
  </si>
  <si>
    <t>Kgapane Hospital</t>
  </si>
  <si>
    <t>General Justice Gizenga Mpanza Hospital</t>
  </si>
  <si>
    <t>Maphutha L Malatjie Hospital</t>
  </si>
  <si>
    <t>Midland Hospital</t>
  </si>
  <si>
    <t>Far East Rand Hospital</t>
  </si>
  <si>
    <t>Dr Yusuf Dadoo Hospital</t>
  </si>
  <si>
    <t>Wesfleur Hospital</t>
  </si>
  <si>
    <t>Dundee Hospital</t>
  </si>
  <si>
    <t>Knysna Hospital</t>
  </si>
  <si>
    <t>Temba TB Hospital</t>
  </si>
  <si>
    <t>Nkqubela Hospital</t>
  </si>
  <si>
    <t>St Margaret's TB MDR Hospital</t>
  </si>
  <si>
    <t>Witbank Hospital</t>
  </si>
  <si>
    <t>Stutterheim Hospital</t>
  </si>
  <si>
    <t>Ganyesa Hospital</t>
  </si>
  <si>
    <t>Osindisweni Hospital</t>
  </si>
  <si>
    <t>Nessie Knight Hospital</t>
  </si>
  <si>
    <t>Matlala Hospital</t>
  </si>
  <si>
    <t>Mthatha General Hospital</t>
  </si>
  <si>
    <t>Witpoort Hospital</t>
  </si>
  <si>
    <t>Tonga Hospital</t>
  </si>
  <si>
    <t>Inkosi Albert Luthuli Central Hospital</t>
  </si>
  <si>
    <t>Citrusdal Hospital</t>
  </si>
  <si>
    <t>Fort Beaufort Hospital</t>
  </si>
  <si>
    <t>Dr Harry Surtie Hospital</t>
  </si>
  <si>
    <t>Red Cross War Memorial Children's Hospital</t>
  </si>
  <si>
    <t>King Edward VIII Hospital</t>
  </si>
  <si>
    <t>Queen Nandi Regional Hospital</t>
  </si>
  <si>
    <t>Greytown Hospital</t>
  </si>
  <si>
    <t>Tambo Memorial Hospital</t>
  </si>
  <si>
    <t>Lydenburg Hospital</t>
  </si>
  <si>
    <t>Tygerberg Hospital</t>
  </si>
  <si>
    <t>Thusanong Hospital</t>
  </si>
  <si>
    <t>Parys Hospital</t>
  </si>
  <si>
    <t>Maclear Hospital</t>
  </si>
  <si>
    <t>Ekuhlengeni Sanatorium Hospital</t>
  </si>
  <si>
    <t>Evuxakeni Hospital</t>
  </si>
  <si>
    <t>Tafalofefe Hospital</t>
  </si>
  <si>
    <t>Stoffel Coetzee Hospital</t>
  </si>
  <si>
    <t>Diamond (Diamant) Hospital</t>
  </si>
  <si>
    <t>Charlotte Maxeke Hospital</t>
  </si>
  <si>
    <t>Eshowe Hospital</t>
  </si>
  <si>
    <t>Khayelitsha Hospital</t>
  </si>
  <si>
    <t>Prieska (Bill Pickard) Hospital</t>
  </si>
  <si>
    <t>St Rita's Hospital</t>
  </si>
  <si>
    <t>Clanwilliam Hospital</t>
  </si>
  <si>
    <t>Willowmore Hospital</t>
  </si>
  <si>
    <t>Klerksdorp-Tshepong Tertiary Hospital</t>
  </si>
  <si>
    <t>Koster Hospital</t>
  </si>
  <si>
    <t>John Daniel Newberry Hospital</t>
  </si>
  <si>
    <t>KwaMhlanga Hospital</t>
  </si>
  <si>
    <t>Tembisa Hospital</t>
  </si>
  <si>
    <t>Winburg Hospital</t>
  </si>
  <si>
    <t>Helene Franz Hospital</t>
  </si>
  <si>
    <t>Rahima Moosa Hospital</t>
  </si>
  <si>
    <t>Groblersdal Hospital</t>
  </si>
  <si>
    <t>Nompumelelo (Peddie) Hospital</t>
  </si>
  <si>
    <t>DP Marais TB Hospital</t>
  </si>
  <si>
    <t>Lady Grey Hospital</t>
  </si>
  <si>
    <t>West End Specialised Psychiatric Hospital</t>
  </si>
  <si>
    <t>All</t>
  </si>
  <si>
    <t>Total cases</t>
  </si>
  <si>
    <t>Case Fatality Rate</t>
  </si>
  <si>
    <t>Infection Fatality Rate Fatality Rate</t>
  </si>
  <si>
    <t>Known Fatality Rate</t>
  </si>
  <si>
    <t>Total hospitals</t>
  </si>
  <si>
    <t>Total hospital beds</t>
  </si>
  <si>
    <t>ICU beds</t>
  </si>
  <si>
    <t>Facilities reporting</t>
  </si>
  <si>
    <t>Beds/facility</t>
  </si>
  <si>
    <t>ICU/facility</t>
  </si>
  <si>
    <t>Admissions to date</t>
  </si>
  <si>
    <t>Deaths to date</t>
  </si>
  <si>
    <t>Discharged to date</t>
  </si>
  <si>
    <t>Currently admitted</t>
  </si>
  <si>
    <t>Currently in ICU</t>
  </si>
  <si>
    <t>Currently ventilated</t>
  </si>
  <si>
    <t>Count of Province Code</t>
  </si>
  <si>
    <t>Sum of Total Beds</t>
  </si>
  <si>
    <t>Sum of ICU</t>
  </si>
  <si>
    <t>% cases requiring hospital</t>
  </si>
  <si>
    <t>% cases requiring ICU</t>
  </si>
  <si>
    <t>% cases requiring ventilators</t>
  </si>
  <si>
    <t>Current ICU</t>
  </si>
  <si>
    <t>Current ventilation</t>
  </si>
  <si>
    <t>Discharged</t>
  </si>
  <si>
    <t>New beds occupied</t>
  </si>
  <si>
    <t>New ICU beds occupied</t>
  </si>
  <si>
    <t>People coming in</t>
  </si>
  <si>
    <t>People leaving</t>
  </si>
  <si>
    <t>NICD national statistics</t>
  </si>
  <si>
    <t>Hospital data provided b yBarry Childs</t>
  </si>
  <si>
    <t>NICD sentinel reports</t>
  </si>
  <si>
    <t>Adjustment ratio: sentinel deaths/ national deaths</t>
  </si>
  <si>
    <t>Sentinal data adjusted by adjustment ratio</t>
  </si>
  <si>
    <t>Sentinel report data</t>
  </si>
  <si>
    <t>IFR from Imperial + Co-morbidity</t>
  </si>
  <si>
    <t xml:space="preserve">All-in IFR used </t>
  </si>
  <si>
    <t>25 June estimates</t>
  </si>
  <si>
    <t>Confirmed cases</t>
  </si>
  <si>
    <t>New cases</t>
  </si>
  <si>
    <t>Popn</t>
  </si>
  <si>
    <t>Undetected active</t>
  </si>
  <si>
    <t>CFR</t>
  </si>
  <si>
    <t>Running14daysNew</t>
  </si>
  <si>
    <t>Country</t>
  </si>
  <si>
    <t>Adj</t>
  </si>
  <si>
    <t>Perc_infected_cumulative</t>
  </si>
  <si>
    <t>Perc_infected_active</t>
  </si>
  <si>
    <t>Death multiplier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</si>
  <si>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</si>
  <si>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</si>
  <si>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</si>
  <si>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</si>
  <si>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</si>
  <si>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</si>
  <si>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</si>
  <si>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</si>
  <si>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</si>
  <si>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</si>
  <si>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</si>
  <si>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</si>
  <si>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</si>
  <si>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</si>
  <si>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Percentage positive</t>
  </si>
  <si>
    <t>Tests</t>
  </si>
  <si>
    <t>Cases</t>
  </si>
  <si>
    <t>New tests</t>
  </si>
  <si>
    <t>Percentage new positive</t>
  </si>
  <si>
    <t>Excess death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</si>
</sst>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%"/>
    <numFmt numFmtId="166" formatCode="0.000%"/>
    <numFmt numFmtId="167" formatCode="_-* #,##0_-;\-* #,##0_-;_-* &quot;-&quot;??_-;_-@_-"/>
    <numFmt numFmtId="168" formatCode="0.0"/>
    <numFmt numFmtId="169" formatCode="_(* #,##0_);_(* \(#,##0\);_(* &quot;-&quot;??_);_(@_)"/>
    <numFmt numFmtId="170" formatCode="0.00000"/>
    <numFmt numFmtId="171" formatCode="0.0000"/>
  </numFmts>
  <fonts count="23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6"/>
      <color theme="1"/>
      <name val="Calibri"/>
      <family val="2"/>
      <scheme val="minor"/>
    </font>
    <font>
      <sz val="6"/>
      <name val="Calibri"/>
      <family val="2"/>
      <scheme val="minor"/>
    </font>
    <font>
      <sz val="9"/>
      <color rgb="FFC00000"/>
      <name val="Calibri"/>
      <family val="2"/>
      <scheme val="minor"/>
    </font>
    <font>
      <sz val="9"/>
      <color rgb="FFFF0000"/>
      <name val="Calibri"/>
      <family val="2"/>
      <scheme val="minor"/>
    </font>
    <font>
      <sz val="7"/>
      <color indexed="8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164" fontId="3" fillId="0" borderId="0"/>
    <xf numFmtId="9" fontId="3" fillId="0" borderId="0"/>
    <xf numFmtId="0" fontId="1" fillId="0" borderId="0"/>
  </cellStyleXfs>
  <cellXfs count="242">
    <xf numFmtId="0" fontId="0" fillId="0" borderId="0" xfId="0"/>
    <xf numFmtId="0" fontId="4" fillId="4" borderId="2" xfId="0" applyFont="1" applyFill="1" applyBorder="1" applyAlignment="1">
      <alignment horizontal="center"/>
    </xf>
    <xf numFmtId="3" fontId="4" fillId="4" borderId="3" xfId="0" applyNumberFormat="1" applyFont="1" applyFill="1" applyBorder="1"/>
    <xf numFmtId="0" fontId="4" fillId="10" borderId="1" xfId="0" applyFont="1" applyFill="1" applyBorder="1" applyAlignment="1">
      <alignment horizontal="center"/>
    </xf>
    <xf numFmtId="0" fontId="4" fillId="12" borderId="1" xfId="0" applyFont="1" applyFill="1" applyBorder="1"/>
    <xf numFmtId="0" fontId="6" fillId="14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2" fontId="6" fillId="14" borderId="1" xfId="0" applyNumberFormat="1" applyFont="1" applyFill="1" applyBorder="1" applyAlignment="1">
      <alignment horizontal="center"/>
    </xf>
    <xf numFmtId="3" fontId="4" fillId="7" borderId="0" xfId="0" applyNumberFormat="1" applyFont="1" applyFill="1" applyAlignment="1">
      <alignment horizontal="center"/>
    </xf>
    <xf numFmtId="0" fontId="4" fillId="4" borderId="1" xfId="0" applyFont="1" applyFill="1" applyBorder="1" applyAlignment="1">
      <alignment horizontal="center"/>
    </xf>
    <xf numFmtId="3" fontId="4" fillId="13" borderId="0" xfId="0" applyNumberFormat="1" applyFont="1" applyFill="1"/>
    <xf numFmtId="165" fontId="4" fillId="5" borderId="0" xfId="2" applyNumberFormat="1" applyFont="1" applyFill="1" applyAlignment="1">
      <alignment horizontal="center"/>
    </xf>
    <xf numFmtId="165" fontId="4" fillId="6" borderId="0" xfId="2" applyNumberFormat="1" applyFont="1" applyFill="1" applyAlignment="1">
      <alignment horizontal="center"/>
    </xf>
    <xf numFmtId="1" fontId="4" fillId="8" borderId="0" xfId="2" applyNumberFormat="1" applyFont="1" applyFill="1" applyAlignment="1">
      <alignment horizontal="center"/>
    </xf>
    <xf numFmtId="1" fontId="4" fillId="11" borderId="0" xfId="2" applyNumberFormat="1" applyFont="1" applyFill="1" applyAlignment="1">
      <alignment horizontal="center"/>
    </xf>
    <xf numFmtId="2" fontId="4" fillId="11" borderId="0" xfId="2" applyNumberFormat="1" applyFont="1" applyFill="1" applyAlignment="1">
      <alignment horizontal="center"/>
    </xf>
    <xf numFmtId="0" fontId="4" fillId="0" borderId="0" xfId="0" applyFont="1" applyAlignment="1">
      <alignment horizontal="left"/>
    </xf>
    <xf numFmtId="9" fontId="4" fillId="11" borderId="0" xfId="2" applyFont="1" applyFill="1" applyAlignment="1">
      <alignment horizontal="center"/>
    </xf>
    <xf numFmtId="9" fontId="6" fillId="14" borderId="4" xfId="0" applyNumberFormat="1" applyFont="1" applyFill="1" applyBorder="1" applyAlignment="1">
      <alignment horizontal="center"/>
    </xf>
    <xf numFmtId="9" fontId="6" fillId="14" borderId="1" xfId="2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3" fontId="4" fillId="0" borderId="0" xfId="0" applyNumberFormat="1" applyFont="1"/>
    <xf numFmtId="165" fontId="4" fillId="0" borderId="0" xfId="2" applyNumberFormat="1" applyFont="1" applyAlignment="1">
      <alignment horizontal="center"/>
    </xf>
    <xf numFmtId="1" fontId="4" fillId="0" borderId="0" xfId="2" applyNumberFormat="1" applyFont="1" applyAlignment="1">
      <alignment horizontal="center"/>
    </xf>
    <xf numFmtId="2" fontId="4" fillId="0" borderId="0" xfId="2" applyNumberFormat="1" applyFont="1" applyAlignment="1">
      <alignment horizontal="center"/>
    </xf>
    <xf numFmtId="9" fontId="4" fillId="0" borderId="0" xfId="2" applyFont="1" applyAlignment="1">
      <alignment horizontal="center"/>
    </xf>
    <xf numFmtId="10" fontId="4" fillId="0" borderId="0" xfId="2" applyNumberFormat="1" applyFont="1" applyAlignment="1">
      <alignment horizontal="center"/>
    </xf>
    <xf numFmtId="0" fontId="2" fillId="15" borderId="1" xfId="0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65" fontId="2" fillId="0" borderId="0" xfId="2" applyNumberFormat="1" applyFont="1" applyAlignment="1">
      <alignment horizontal="center"/>
    </xf>
    <xf numFmtId="2" fontId="2" fillId="0" borderId="0" xfId="2" applyNumberFormat="1" applyFont="1" applyAlignment="1">
      <alignment horizontal="center"/>
    </xf>
    <xf numFmtId="9" fontId="2" fillId="0" borderId="0" xfId="2" applyFont="1" applyAlignment="1">
      <alignment horizontal="center"/>
    </xf>
    <xf numFmtId="0" fontId="4" fillId="4" borderId="1" xfId="0" applyFont="1" applyFill="1" applyBorder="1"/>
    <xf numFmtId="0" fontId="4" fillId="12" borderId="5" xfId="0" applyFont="1" applyFill="1" applyBorder="1"/>
    <xf numFmtId="0" fontId="4" fillId="12" borderId="0" xfId="0" applyFont="1" applyFill="1"/>
    <xf numFmtId="0" fontId="4" fillId="3" borderId="0" xfId="0" applyFont="1" applyFill="1"/>
    <xf numFmtId="3" fontId="6" fillId="16" borderId="0" xfId="0" applyNumberFormat="1" applyFont="1" applyFill="1" applyAlignment="1">
      <alignment horizontal="center"/>
    </xf>
    <xf numFmtId="0" fontId="2" fillId="0" borderId="2" xfId="0" applyFont="1" applyBorder="1"/>
    <xf numFmtId="0" fontId="2" fillId="0" borderId="6" xfId="0" applyFont="1" applyBorder="1"/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" fillId="17" borderId="0" xfId="0" applyFont="1" applyFill="1"/>
    <xf numFmtId="0" fontId="7" fillId="18" borderId="8" xfId="0" applyFont="1" applyFill="1" applyBorder="1"/>
    <xf numFmtId="0" fontId="7" fillId="0" borderId="9" xfId="0" applyFont="1" applyBorder="1"/>
    <xf numFmtId="9" fontId="7" fillId="0" borderId="9" xfId="0" applyNumberFormat="1" applyFont="1" applyBorder="1" applyAlignment="1">
      <alignment horizontal="center"/>
    </xf>
    <xf numFmtId="9" fontId="7" fillId="0" borderId="10" xfId="0" applyNumberFormat="1" applyFont="1" applyBorder="1"/>
    <xf numFmtId="9" fontId="7" fillId="0" borderId="9" xfId="0" applyNumberFormat="1" applyFont="1" applyBorder="1"/>
    <xf numFmtId="0" fontId="7" fillId="0" borderId="1" xfId="0" applyFont="1" applyBorder="1" applyAlignment="1">
      <alignment horizontal="center"/>
    </xf>
    <xf numFmtId="0" fontId="7" fillId="19" borderId="2" xfId="0" applyFont="1" applyFill="1" applyBorder="1" applyAlignment="1">
      <alignment horizontal="center"/>
    </xf>
    <xf numFmtId="0" fontId="9" fillId="19" borderId="1" xfId="0" applyFont="1" applyFill="1" applyBorder="1" applyAlignment="1">
      <alignment horizontal="center"/>
    </xf>
    <xf numFmtId="0" fontId="7" fillId="19" borderId="6" xfId="0" applyFont="1" applyFill="1" applyBorder="1" applyAlignment="1">
      <alignment horizontal="center"/>
    </xf>
    <xf numFmtId="0" fontId="7" fillId="19" borderId="4" xfId="0" applyFont="1" applyFill="1" applyBorder="1" applyAlignment="1">
      <alignment horizontal="center"/>
    </xf>
    <xf numFmtId="0" fontId="7" fillId="20" borderId="11" xfId="0" applyFont="1" applyFill="1" applyBorder="1" applyAlignment="1">
      <alignment horizontal="center"/>
    </xf>
    <xf numFmtId="1" fontId="7" fillId="0" borderId="12" xfId="0" applyNumberFormat="1" applyFont="1" applyBorder="1"/>
    <xf numFmtId="0" fontId="7" fillId="0" borderId="0" xfId="0" applyFont="1" applyAlignment="1">
      <alignment horizontal="center"/>
    </xf>
    <xf numFmtId="0" fontId="7" fillId="23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2" fontId="7" fillId="0" borderId="0" xfId="0" applyNumberFormat="1" applyFont="1"/>
    <xf numFmtId="0" fontId="8" fillId="24" borderId="0" xfId="0" applyFont="1" applyFill="1" applyAlignment="1">
      <alignment horizontal="center"/>
    </xf>
    <xf numFmtId="15" fontId="8" fillId="25" borderId="0" xfId="0" applyNumberFormat="1" applyFont="1" applyFill="1" applyAlignment="1">
      <alignment horizontal="center"/>
    </xf>
    <xf numFmtId="0" fontId="8" fillId="26" borderId="0" xfId="0" applyFont="1" applyFill="1" applyAlignment="1">
      <alignment horizontal="center"/>
    </xf>
    <xf numFmtId="2" fontId="7" fillId="5" borderId="0" xfId="0" applyNumberFormat="1" applyFont="1" applyFill="1" applyAlignment="1">
      <alignment horizontal="center"/>
    </xf>
    <xf numFmtId="2" fontId="7" fillId="4" borderId="0" xfId="0" applyNumberFormat="1" applyFont="1" applyFill="1" applyAlignment="1">
      <alignment horizontal="center"/>
    </xf>
    <xf numFmtId="1" fontId="7" fillId="4" borderId="0" xfId="0" applyNumberFormat="1" applyFont="1" applyFill="1" applyAlignment="1">
      <alignment horizontal="center"/>
    </xf>
    <xf numFmtId="15" fontId="8" fillId="27" borderId="0" xfId="0" applyNumberFormat="1" applyFont="1" applyFill="1" applyAlignment="1">
      <alignment horizontal="center"/>
    </xf>
    <xf numFmtId="0" fontId="8" fillId="16" borderId="0" xfId="0" applyFont="1" applyFill="1" applyAlignment="1">
      <alignment horizontal="center"/>
    </xf>
    <xf numFmtId="1" fontId="7" fillId="28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8" fillId="29" borderId="0" xfId="0" applyFont="1" applyFill="1" applyAlignment="1">
      <alignment horizontal="center"/>
    </xf>
    <xf numFmtId="15" fontId="8" fillId="29" borderId="0" xfId="0" applyNumberFormat="1" applyFont="1" applyFill="1" applyAlignment="1">
      <alignment horizontal="center"/>
    </xf>
    <xf numFmtId="10" fontId="3" fillId="0" borderId="0" xfId="2" applyNumberFormat="1" applyAlignment="1">
      <alignment horizontal="center"/>
    </xf>
    <xf numFmtId="166" fontId="4" fillId="6" borderId="0" xfId="2" applyNumberFormat="1" applyFont="1" applyFill="1" applyAlignment="1">
      <alignment horizontal="center"/>
    </xf>
    <xf numFmtId="165" fontId="3" fillId="0" borderId="0" xfId="2" applyNumberFormat="1" applyAlignment="1">
      <alignment horizontal="center"/>
    </xf>
    <xf numFmtId="0" fontId="1" fillId="0" borderId="0" xfId="3"/>
    <xf numFmtId="2" fontId="7" fillId="31" borderId="0" xfId="0" applyNumberFormat="1" applyFont="1" applyFill="1" applyAlignment="1">
      <alignment horizontal="center"/>
    </xf>
    <xf numFmtId="0" fontId="2" fillId="0" borderId="0" xfId="0" applyFont="1"/>
    <xf numFmtId="1" fontId="7" fillId="0" borderId="0" xfId="0" applyNumberFormat="1" applyFont="1"/>
    <xf numFmtId="0" fontId="7" fillId="0" borderId="0" xfId="0" applyFont="1"/>
    <xf numFmtId="1" fontId="7" fillId="0" borderId="0" xfId="0" applyNumberFormat="1" applyFont="1" applyAlignment="1">
      <alignment horizontal="center"/>
    </xf>
    <xf numFmtId="0" fontId="7" fillId="5" borderId="0" xfId="0" applyFont="1" applyFill="1" applyAlignment="1">
      <alignment horizontal="center"/>
    </xf>
    <xf numFmtId="10" fontId="2" fillId="0" borderId="0" xfId="2" applyNumberFormat="1" applyFont="1" applyAlignment="1">
      <alignment horizontal="center"/>
    </xf>
    <xf numFmtId="0" fontId="4" fillId="0" borderId="0" xfId="0" applyFont="1"/>
    <xf numFmtId="15" fontId="7" fillId="0" borderId="0" xfId="0" applyNumberFormat="1" applyFont="1" applyAlignment="1">
      <alignment horizontal="center"/>
    </xf>
    <xf numFmtId="166" fontId="0" fillId="0" borderId="0" xfId="2" applyNumberFormat="1" applyFont="1"/>
    <xf numFmtId="166" fontId="4" fillId="5" borderId="1" xfId="2" applyNumberFormat="1" applyFont="1" applyFill="1" applyBorder="1" applyAlignment="1">
      <alignment horizontal="center"/>
    </xf>
    <xf numFmtId="2" fontId="11" fillId="11" borderId="0" xfId="2" applyNumberFormat="1" applyFont="1" applyFill="1" applyAlignment="1">
      <alignment horizontal="center"/>
    </xf>
    <xf numFmtId="3" fontId="11" fillId="9" borderId="0" xfId="2" applyNumberFormat="1" applyFont="1" applyFill="1" applyAlignment="1">
      <alignment horizontal="center"/>
    </xf>
    <xf numFmtId="10" fontId="3" fillId="0" borderId="0" xfId="2" applyNumberFormat="1"/>
    <xf numFmtId="4" fontId="4" fillId="6" borderId="0" xfId="2" applyNumberFormat="1" applyFont="1" applyFill="1" applyAlignment="1">
      <alignment horizontal="center"/>
    </xf>
    <xf numFmtId="0" fontId="0" fillId="0" borderId="0" xfId="0"/>
    <xf numFmtId="165" fontId="0" fillId="0" borderId="0" xfId="0" applyNumberFormat="1"/>
    <xf numFmtId="169" fontId="0" fillId="0" borderId="0" xfId="1" applyNumberFormat="1" applyFont="1"/>
    <xf numFmtId="164" fontId="4" fillId="0" borderId="0" xfId="1" applyFont="1"/>
    <xf numFmtId="164" fontId="4" fillId="12" borderId="0" xfId="1" quotePrefix="1" applyFont="1" applyFill="1"/>
    <xf numFmtId="167" fontId="4" fillId="0" borderId="0" xfId="1" applyNumberFormat="1" applyFont="1"/>
    <xf numFmtId="167" fontId="4" fillId="0" borderId="0" xfId="0" applyNumberFormat="1" applyFont="1"/>
    <xf numFmtId="168" fontId="9" fillId="0" borderId="5" xfId="0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9" fontId="3" fillId="0" borderId="0" xfId="2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12" fillId="30" borderId="0" xfId="0" applyFont="1" applyFill="1" applyAlignment="1">
      <alignment horizontal="center"/>
    </xf>
    <xf numFmtId="15" fontId="12" fillId="30" borderId="0" xfId="0" applyNumberFormat="1" applyFont="1" applyFill="1" applyAlignment="1">
      <alignment horizontal="center"/>
    </xf>
    <xf numFmtId="0" fontId="0" fillId="39" borderId="0" xfId="0" applyFill="1" applyAlignment="1">
      <alignment horizontal="center" wrapText="1"/>
    </xf>
    <xf numFmtId="0" fontId="0" fillId="16" borderId="0" xfId="0" applyFill="1" applyAlignment="1">
      <alignment horizontal="center" wrapText="1"/>
    </xf>
    <xf numFmtId="2" fontId="0" fillId="3" borderId="0" xfId="0" applyNumberFormat="1" applyFill="1" applyAlignment="1">
      <alignment horizontal="center"/>
    </xf>
    <xf numFmtId="15" fontId="2" fillId="0" borderId="0" xfId="0" applyNumberFormat="1" applyFont="1"/>
    <xf numFmtId="3" fontId="4" fillId="8" borderId="0" xfId="2" applyNumberFormat="1" applyFont="1" applyFill="1" applyAlignment="1">
      <alignment horizontal="center"/>
    </xf>
    <xf numFmtId="165" fontId="4" fillId="3" borderId="0" xfId="2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17" fillId="34" borderId="0" xfId="0" applyFont="1" applyFill="1" applyAlignment="1">
      <alignment horizontal="center" wrapText="1"/>
    </xf>
    <xf numFmtId="0" fontId="18" fillId="2" borderId="0" xfId="0" applyFont="1" applyFill="1" applyAlignment="1">
      <alignment horizontal="center" wrapText="1"/>
    </xf>
    <xf numFmtId="0" fontId="17" fillId="5" borderId="0" xfId="0" applyFont="1" applyFill="1" applyAlignment="1">
      <alignment horizontal="center" wrapText="1"/>
    </xf>
    <xf numFmtId="0" fontId="17" fillId="37" borderId="0" xfId="0" applyFont="1" applyFill="1" applyAlignment="1">
      <alignment horizontal="center" wrapText="1"/>
    </xf>
    <xf numFmtId="0" fontId="17" fillId="19" borderId="0" xfId="0" applyFont="1" applyFill="1" applyAlignment="1">
      <alignment horizontal="center" wrapText="1"/>
    </xf>
    <xf numFmtId="0" fontId="17" fillId="4" borderId="0" xfId="0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 wrapText="1"/>
    </xf>
    <xf numFmtId="0" fontId="7" fillId="34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7" fillId="37" borderId="0" xfId="0" applyFont="1" applyFill="1" applyAlignment="1">
      <alignment horizontal="center"/>
    </xf>
    <xf numFmtId="0" fontId="7" fillId="19" borderId="0" xfId="0" applyFont="1" applyFill="1" applyAlignment="1">
      <alignment horizontal="center"/>
    </xf>
    <xf numFmtId="0" fontId="7" fillId="34" borderId="7" xfId="0" applyFont="1" applyFill="1" applyBorder="1" applyAlignment="1">
      <alignment horizontal="center"/>
    </xf>
    <xf numFmtId="0" fontId="13" fillId="2" borderId="7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37" borderId="7" xfId="0" applyFont="1" applyFill="1" applyBorder="1" applyAlignment="1">
      <alignment horizontal="center"/>
    </xf>
    <xf numFmtId="0" fontId="7" fillId="19" borderId="7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23" borderId="7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34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center"/>
    </xf>
    <xf numFmtId="3" fontId="9" fillId="5" borderId="0" xfId="0" applyNumberFormat="1" applyFont="1" applyFill="1" applyBorder="1" applyAlignment="1">
      <alignment horizontal="center"/>
    </xf>
    <xf numFmtId="3" fontId="9" fillId="37" borderId="0" xfId="0" applyNumberFormat="1" applyFont="1" applyFill="1" applyBorder="1" applyAlignment="1">
      <alignment horizontal="center"/>
    </xf>
    <xf numFmtId="3" fontId="9" fillId="19" borderId="0" xfId="0" applyNumberFormat="1" applyFont="1" applyFill="1" applyBorder="1" applyAlignment="1">
      <alignment horizontal="center"/>
    </xf>
    <xf numFmtId="3" fontId="9" fillId="4" borderId="0" xfId="0" applyNumberFormat="1" applyFont="1" applyFill="1" applyBorder="1" applyAlignment="1">
      <alignment horizontal="center"/>
    </xf>
    <xf numFmtId="3" fontId="9" fillId="23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34" borderId="7" xfId="0" applyFont="1" applyFill="1" applyBorder="1" applyAlignment="1">
      <alignment horizontal="center"/>
    </xf>
    <xf numFmtId="10" fontId="7" fillId="23" borderId="7" xfId="2" applyNumberFormat="1" applyFont="1" applyFill="1" applyBorder="1" applyAlignment="1">
      <alignment horizontal="center"/>
    </xf>
    <xf numFmtId="15" fontId="7" fillId="34" borderId="0" xfId="0" applyNumberFormat="1" applyFont="1" applyFill="1" applyAlignment="1">
      <alignment horizontal="center"/>
    </xf>
    <xf numFmtId="1" fontId="7" fillId="19" borderId="0" xfId="0" applyNumberFormat="1" applyFont="1" applyFill="1" applyAlignment="1">
      <alignment horizontal="center"/>
    </xf>
    <xf numFmtId="3" fontId="7" fillId="23" borderId="0" xfId="0" applyNumberFormat="1" applyFont="1" applyFill="1" applyAlignment="1">
      <alignment horizontal="center"/>
    </xf>
    <xf numFmtId="0" fontId="17" fillId="21" borderId="0" xfId="0" applyFont="1" applyFill="1" applyAlignment="1">
      <alignment horizontal="center" wrapText="1"/>
    </xf>
    <xf numFmtId="0" fontId="17" fillId="7" borderId="0" xfId="0" applyFont="1" applyFill="1" applyAlignment="1">
      <alignment horizontal="center" wrapText="1"/>
    </xf>
    <xf numFmtId="0" fontId="7" fillId="21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21" borderId="7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3" fontId="9" fillId="21" borderId="0" xfId="0" applyNumberFormat="1" applyFont="1" applyFill="1" applyBorder="1" applyAlignment="1">
      <alignment horizontal="center"/>
    </xf>
    <xf numFmtId="3" fontId="9" fillId="7" borderId="0" xfId="0" applyNumberFormat="1" applyFont="1" applyFill="1" applyBorder="1" applyAlignment="1">
      <alignment horizontal="center"/>
    </xf>
    <xf numFmtId="10" fontId="7" fillId="21" borderId="7" xfId="2" applyNumberFormat="1" applyFont="1" applyFill="1" applyBorder="1" applyAlignment="1">
      <alignment horizontal="center"/>
    </xf>
    <xf numFmtId="10" fontId="7" fillId="7" borderId="7" xfId="2" applyNumberFormat="1" applyFont="1" applyFill="1" applyBorder="1" applyAlignment="1">
      <alignment horizontal="center"/>
    </xf>
    <xf numFmtId="3" fontId="7" fillId="21" borderId="0" xfId="0" applyNumberFormat="1" applyFont="1" applyFill="1" applyAlignment="1">
      <alignment horizontal="center"/>
    </xf>
    <xf numFmtId="10" fontId="7" fillId="7" borderId="0" xfId="2" applyNumberFormat="1" applyFont="1" applyFill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37" borderId="0" xfId="0" applyFont="1" applyFill="1" applyBorder="1" applyAlignment="1">
      <alignment horizontal="center"/>
    </xf>
    <xf numFmtId="0" fontId="7" fillId="19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10" fontId="7" fillId="23" borderId="0" xfId="2" applyNumberFormat="1" applyFont="1" applyFill="1" applyBorder="1" applyAlignment="1">
      <alignment horizontal="center"/>
    </xf>
    <xf numFmtId="10" fontId="7" fillId="21" borderId="0" xfId="2" applyNumberFormat="1" applyFont="1" applyFill="1" applyBorder="1" applyAlignment="1">
      <alignment horizontal="center"/>
    </xf>
    <xf numFmtId="10" fontId="7" fillId="7" borderId="0" xfId="2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7" fillId="40" borderId="0" xfId="0" applyFont="1" applyFill="1" applyAlignment="1">
      <alignment horizontal="center" wrapText="1"/>
    </xf>
    <xf numFmtId="0" fontId="7" fillId="40" borderId="0" xfId="0" applyFont="1" applyFill="1" applyAlignment="1">
      <alignment horizontal="center"/>
    </xf>
    <xf numFmtId="0" fontId="7" fillId="40" borderId="7" xfId="0" applyFont="1" applyFill="1" applyBorder="1" applyAlignment="1">
      <alignment horizontal="center"/>
    </xf>
    <xf numFmtId="3" fontId="9" fillId="40" borderId="0" xfId="0" applyNumberFormat="1" applyFont="1" applyFill="1" applyBorder="1" applyAlignment="1">
      <alignment horizontal="center"/>
    </xf>
    <xf numFmtId="10" fontId="7" fillId="40" borderId="7" xfId="2" applyNumberFormat="1" applyFont="1" applyFill="1" applyBorder="1" applyAlignment="1">
      <alignment horizontal="center"/>
    </xf>
    <xf numFmtId="10" fontId="7" fillId="40" borderId="0" xfId="2" applyNumberFormat="1" applyFont="1" applyFill="1" applyBorder="1" applyAlignment="1">
      <alignment horizontal="center"/>
    </xf>
    <xf numFmtId="3" fontId="7" fillId="40" borderId="0" xfId="2" applyNumberFormat="1" applyFont="1" applyFill="1" applyBorder="1" applyAlignment="1">
      <alignment horizontal="center"/>
    </xf>
    <xf numFmtId="15" fontId="4" fillId="0" borderId="0" xfId="0" applyNumberFormat="1" applyFont="1" applyAlignment="1">
      <alignment horizontal="center"/>
    </xf>
    <xf numFmtId="0" fontId="17" fillId="20" borderId="0" xfId="0" applyFont="1" applyFill="1" applyAlignment="1">
      <alignment horizontal="center" wrapText="1"/>
    </xf>
    <xf numFmtId="10" fontId="7" fillId="20" borderId="0" xfId="2" applyNumberFormat="1" applyFont="1" applyFill="1" applyBorder="1" applyAlignment="1">
      <alignment horizontal="center"/>
    </xf>
    <xf numFmtId="0" fontId="7" fillId="20" borderId="0" xfId="0" applyFont="1" applyFill="1" applyAlignment="1">
      <alignment horizontal="center"/>
    </xf>
    <xf numFmtId="0" fontId="7" fillId="20" borderId="7" xfId="0" applyFont="1" applyFill="1" applyBorder="1" applyAlignment="1">
      <alignment horizontal="center"/>
    </xf>
    <xf numFmtId="3" fontId="9" fillId="20" borderId="0" xfId="0" applyNumberFormat="1" applyFont="1" applyFill="1" applyBorder="1" applyAlignment="1">
      <alignment horizontal="center"/>
    </xf>
    <xf numFmtId="10" fontId="7" fillId="20" borderId="7" xfId="2" applyNumberFormat="1" applyFont="1" applyFill="1" applyBorder="1" applyAlignment="1">
      <alignment horizontal="center"/>
    </xf>
    <xf numFmtId="0" fontId="17" fillId="33" borderId="0" xfId="0" applyFont="1" applyFill="1" applyAlignment="1">
      <alignment horizontal="center" wrapText="1"/>
    </xf>
    <xf numFmtId="0" fontId="7" fillId="33" borderId="0" xfId="0" applyFont="1" applyFill="1" applyAlignment="1">
      <alignment horizontal="center"/>
    </xf>
    <xf numFmtId="0" fontId="7" fillId="33" borderId="7" xfId="0" applyFont="1" applyFill="1" applyBorder="1" applyAlignment="1">
      <alignment horizontal="center"/>
    </xf>
    <xf numFmtId="3" fontId="9" fillId="33" borderId="0" xfId="0" applyNumberFormat="1" applyFont="1" applyFill="1" applyBorder="1" applyAlignment="1">
      <alignment horizontal="center"/>
    </xf>
    <xf numFmtId="10" fontId="7" fillId="33" borderId="7" xfId="2" applyNumberFormat="1" applyFont="1" applyFill="1" applyBorder="1" applyAlignment="1">
      <alignment horizontal="center"/>
    </xf>
    <xf numFmtId="10" fontId="7" fillId="33" borderId="0" xfId="2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0" fontId="19" fillId="4" borderId="7" xfId="0" applyFont="1" applyFill="1" applyBorder="1" applyAlignment="1">
      <alignment horizontal="center"/>
    </xf>
    <xf numFmtId="0" fontId="19" fillId="5" borderId="7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2" fontId="2" fillId="3" borderId="0" xfId="2" applyNumberFormat="1" applyFont="1" applyFill="1" applyAlignment="1">
      <alignment horizontal="center"/>
    </xf>
    <xf numFmtId="2" fontId="2" fillId="22" borderId="0" xfId="2" applyNumberFormat="1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170" fontId="2" fillId="0" borderId="0" xfId="2" applyNumberFormat="1" applyFont="1" applyAlignment="1">
      <alignment horizontal="center"/>
    </xf>
    <xf numFmtId="2" fontId="2" fillId="38" borderId="0" xfId="2" applyNumberFormat="1" applyFont="1" applyFill="1" applyAlignment="1">
      <alignment horizontal="center"/>
    </xf>
    <xf numFmtId="4" fontId="4" fillId="0" borderId="7" xfId="0" applyNumberFormat="1" applyFont="1" applyBorder="1" applyAlignment="1">
      <alignment horizontal="center"/>
    </xf>
    <xf numFmtId="2" fontId="7" fillId="22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9" fontId="4" fillId="3" borderId="0" xfId="0" applyNumberFormat="1" applyFont="1" applyFill="1" applyAlignment="1">
      <alignment horizontal="center"/>
    </xf>
    <xf numFmtId="171" fontId="4" fillId="0" borderId="0" xfId="2" applyNumberFormat="1" applyFont="1" applyAlignment="1">
      <alignment horizontal="center"/>
    </xf>
    <xf numFmtId="15" fontId="7" fillId="0" borderId="0" xfId="0" applyNumberFormat="1" applyFont="1"/>
    <xf numFmtId="3" fontId="7" fillId="0" borderId="0" xfId="0" applyNumberFormat="1" applyFont="1"/>
    <xf numFmtId="4" fontId="4" fillId="22" borderId="0" xfId="0" applyNumberFormat="1" applyFont="1" applyFill="1" applyAlignment="1">
      <alignment horizontal="center"/>
    </xf>
    <xf numFmtId="2" fontId="20" fillId="3" borderId="0" xfId="2" applyNumberFormat="1" applyFont="1" applyFill="1" applyAlignment="1">
      <alignment horizontal="center"/>
    </xf>
    <xf numFmtId="3" fontId="7" fillId="40" borderId="0" xfId="2" applyNumberFormat="1" applyFont="1" applyFill="1" applyAlignment="1">
      <alignment horizontal="center"/>
    </xf>
    <xf numFmtId="10" fontId="7" fillId="20" borderId="0" xfId="2" applyNumberFormat="1" applyFont="1" applyFill="1" applyAlignment="1">
      <alignment horizontal="center"/>
    </xf>
    <xf numFmtId="10" fontId="7" fillId="33" borderId="0" xfId="2" applyNumberFormat="1" applyFont="1" applyFill="1" applyAlignment="1">
      <alignment horizontal="center"/>
    </xf>
    <xf numFmtId="0" fontId="12" fillId="30" borderId="0" xfId="0" applyNumberFormat="1" applyFont="1" applyFill="1" applyAlignment="1">
      <alignment horizontal="center" wrapText="1"/>
    </xf>
    <xf numFmtId="15" fontId="0" fillId="35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0" fontId="0" fillId="0" borderId="0" xfId="0" applyFill="1" applyAlignment="1">
      <alignment horizontal="center"/>
    </xf>
    <xf numFmtId="167" fontId="21" fillId="0" borderId="0" xfId="1" applyNumberFormat="1" applyFont="1" applyAlignment="1">
      <alignment horizontal="center"/>
    </xf>
    <xf numFmtId="16" fontId="0" fillId="0" borderId="0" xfId="0" applyNumberFormat="1"/>
    <xf numFmtId="1" fontId="22" fillId="41" borderId="0" xfId="2" applyNumberFormat="1" applyFont="1" applyFill="1" applyAlignment="1">
      <alignment horizontal="center"/>
    </xf>
    <xf numFmtId="4" fontId="22" fillId="41" borderId="0" xfId="2" applyNumberFormat="1" applyFont="1" applyFill="1" applyAlignment="1">
      <alignment horizontal="center"/>
    </xf>
    <xf numFmtId="1" fontId="6" fillId="16" borderId="0" xfId="2" applyNumberFormat="1" applyFont="1" applyFill="1" applyAlignment="1">
      <alignment horizontal="center"/>
    </xf>
    <xf numFmtId="1" fontId="6" fillId="42" borderId="0" xfId="2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6" xfId="0" applyBorder="1"/>
    <xf numFmtId="0" fontId="0" fillId="0" borderId="4" xfId="0" applyBorder="1"/>
    <xf numFmtId="0" fontId="5" fillId="12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3" xfId="0" applyBorder="1"/>
    <xf numFmtId="0" fontId="4" fillId="9" borderId="1" xfId="0" applyFont="1" applyFill="1" applyBorder="1" applyAlignment="1">
      <alignment horizontal="center" vertical="center" wrapText="1"/>
    </xf>
    <xf numFmtId="0" fontId="6" fillId="27" borderId="1" xfId="0" applyFont="1" applyFill="1" applyBorder="1" applyAlignment="1">
      <alignment horizontal="center" vertical="center" wrapText="1"/>
    </xf>
    <xf numFmtId="0" fontId="12" fillId="27" borderId="5" xfId="0" applyFont="1" applyFill="1" applyBorder="1"/>
    <xf numFmtId="0" fontId="12" fillId="27" borderId="3" xfId="0" applyFont="1" applyFill="1" applyBorder="1"/>
    <xf numFmtId="0" fontId="11" fillId="36" borderId="1" xfId="0" applyFont="1" applyFill="1" applyBorder="1" applyAlignment="1">
      <alignment horizontal="center" vertical="center" wrapText="1"/>
    </xf>
    <xf numFmtId="0" fontId="0" fillId="38" borderId="0" xfId="0" applyFill="1" applyAlignment="1">
      <alignment horizontal="center"/>
    </xf>
    <xf numFmtId="0" fontId="16" fillId="2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2" fillId="27" borderId="0" xfId="0" applyFont="1" applyFill="1" applyAlignment="1">
      <alignment horizontal="center"/>
    </xf>
  </cellXfs>
  <cellStyles count="4">
    <cellStyle name="Comma" xfId="1" builtinId="3"/>
    <cellStyle name="Normal" xfId="0" builtinId="0"/>
    <cellStyle name="Normal 2" xfId="3" xr:uid="{00000000-0005-0000-0000-000003000000}"/>
    <cellStyle name="Per cent" xfId="2" builtinId="5"/>
  </cellStyles>
  <dxfs count="0"/>
  <tableStyles count="0" defaultTableStyle="TableStyleMedium2" defaultPivotStyle="PivotStyleLight16"/>
  <colors>
    <mruColors>
      <color rgb="FFD60093"/>
      <color rgb="FF009999"/>
      <color rgb="FFFF3399"/>
      <color rgb="FF33CC33"/>
      <color rgb="FFFFE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R0_estimation!$A$18:$A$162</c:f>
              <c:numCache>
                <c:formatCode>d\-mmm\-yy</c:formatCode>
                <c:ptCount val="145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  <c:pt idx="121">
                  <c:v>44039</c:v>
                </c:pt>
                <c:pt idx="122">
                  <c:v>44040</c:v>
                </c:pt>
                <c:pt idx="123">
                  <c:v>44041</c:v>
                </c:pt>
                <c:pt idx="124">
                  <c:v>44042</c:v>
                </c:pt>
                <c:pt idx="125">
                  <c:v>44043</c:v>
                </c:pt>
                <c:pt idx="126">
                  <c:v>44044</c:v>
                </c:pt>
                <c:pt idx="127">
                  <c:v>44045</c:v>
                </c:pt>
                <c:pt idx="128">
                  <c:v>44046</c:v>
                </c:pt>
                <c:pt idx="129">
                  <c:v>44047</c:v>
                </c:pt>
                <c:pt idx="130">
                  <c:v>44048</c:v>
                </c:pt>
                <c:pt idx="131">
                  <c:v>44049</c:v>
                </c:pt>
                <c:pt idx="132">
                  <c:v>44050</c:v>
                </c:pt>
                <c:pt idx="133">
                  <c:v>44051</c:v>
                </c:pt>
                <c:pt idx="134">
                  <c:v>44052</c:v>
                </c:pt>
                <c:pt idx="135">
                  <c:v>44053</c:v>
                </c:pt>
                <c:pt idx="136">
                  <c:v>44054</c:v>
                </c:pt>
                <c:pt idx="137">
                  <c:v>44055</c:v>
                </c:pt>
                <c:pt idx="138">
                  <c:v>44056</c:v>
                </c:pt>
                <c:pt idx="139">
                  <c:v>44057</c:v>
                </c:pt>
                <c:pt idx="140">
                  <c:v>44058</c:v>
                </c:pt>
                <c:pt idx="141">
                  <c:v>44059</c:v>
                </c:pt>
                <c:pt idx="142">
                  <c:v>44060</c:v>
                </c:pt>
                <c:pt idx="143">
                  <c:v>44061</c:v>
                </c:pt>
                <c:pt idx="144">
                  <c:v>44062</c:v>
                </c:pt>
              </c:numCache>
            </c:numRef>
          </c:cat>
          <c:val>
            <c:numRef>
              <c:f>R0_estimation!$G$18:$G$162</c:f>
              <c:numCache>
                <c:formatCode>0</c:formatCode>
                <c:ptCount val="145"/>
                <c:pt idx="0">
                  <c:v>1032</c:v>
                </c:pt>
                <c:pt idx="1">
                  <c:v>1022.7857142857143</c:v>
                </c:pt>
                <c:pt idx="2">
                  <c:v>1049.0686715107322</c:v>
                </c:pt>
                <c:pt idx="3">
                  <c:v>1099.1483761763016</c:v>
                </c:pt>
                <c:pt idx="4">
                  <c:v>1166.2043084224856</c:v>
                </c:pt>
                <c:pt idx="5">
                  <c:v>1229.7855739428351</c:v>
                </c:pt>
                <c:pt idx="6">
                  <c:v>1292.111879583387</c:v>
                </c:pt>
                <c:pt idx="7">
                  <c:v>1354.6322855063918</c:v>
                </c:pt>
                <c:pt idx="8">
                  <c:v>1418.3094229557396</c:v>
                </c:pt>
                <c:pt idx="9">
                  <c:v>1483.7996798784679</c:v>
                </c:pt>
                <c:pt idx="10">
                  <c:v>1551.5674683723514</c:v>
                </c:pt>
                <c:pt idx="11">
                  <c:v>1621.9577257883507</c:v>
                </c:pt>
                <c:pt idx="12">
                  <c:v>1695.2419539407183</c:v>
                </c:pt>
                <c:pt idx="13">
                  <c:v>1771.6474945742091</c:v>
                </c:pt>
                <c:pt idx="14">
                  <c:v>1851.376186703618</c:v>
                </c:pt>
                <c:pt idx="15">
                  <c:v>1934.6163003174358</c:v>
                </c:pt>
                <c:pt idx="16">
                  <c:v>2021.550214478322</c:v>
                </c:pt>
                <c:pt idx="17">
                  <c:v>2112.3594039588288</c:v>
                </c:pt>
                <c:pt idx="18">
                  <c:v>2207.2277257901865</c:v>
                </c:pt>
                <c:pt idx="19">
                  <c:v>2306.343634171054</c:v>
                </c:pt>
                <c:pt idx="20">
                  <c:v>2409.9017222152675</c:v>
                </c:pt>
                <c:pt idx="21">
                  <c:v>2518.1038433049307</c:v>
                </c:pt>
                <c:pt idx="22">
                  <c:v>2631.1599724928255</c:v>
                </c:pt>
                <c:pt idx="23">
                  <c:v>2749.2889099081585</c:v>
                </c:pt>
                <c:pt idx="24">
                  <c:v>2872.7188910687437</c:v>
                </c:pt>
                <c:pt idx="25">
                  <c:v>3001.6881455376224</c:v>
                </c:pt>
                <c:pt idx="26">
                  <c:v>3136.4454305065037</c:v>
                </c:pt>
                <c:pt idx="27">
                  <c:v>3277.2505564889366</c:v>
                </c:pt>
                <c:pt idx="28">
                  <c:v>3424.3749163646253</c:v>
                </c:pt>
                <c:pt idx="29">
                  <c:v>3578.1020252666558</c:v>
                </c:pt>
                <c:pt idx="30">
                  <c:v>3738.7280764432853</c:v>
                </c:pt>
                <c:pt idx="31">
                  <c:v>3906.5625167470089</c:v>
                </c:pt>
                <c:pt idx="32">
                  <c:v>4081.9286444837358</c:v>
                </c:pt>
                <c:pt idx="33">
                  <c:v>4265.1642317900005</c:v>
                </c:pt>
                <c:pt idx="34">
                  <c:v>4456.6221733668945</c:v>
                </c:pt>
                <c:pt idx="35">
                  <c:v>4656.6711632039251</c:v>
                </c:pt>
                <c:pt idx="36">
                  <c:v>4865.6964008224222</c:v>
                </c:pt>
                <c:pt idx="37">
                  <c:v>5084.1003285235729</c:v>
                </c:pt>
                <c:pt idx="38">
                  <c:v>5312.3034011198724</c:v>
                </c:pt>
                <c:pt idx="39">
                  <c:v>5550.7448896476308</c:v>
                </c:pt>
                <c:pt idx="40">
                  <c:v>5799.883720593818</c:v>
                </c:pt>
                <c:pt idx="41">
                  <c:v>6060.1993522177791</c:v>
                </c:pt>
                <c:pt idx="42">
                  <c:v>6332.1926896039095</c:v>
                </c:pt>
                <c:pt idx="43">
                  <c:v>6616.3870401431932</c:v>
                </c:pt>
                <c:pt idx="44">
                  <c:v>6913.3291112083043</c:v>
                </c:pt>
                <c:pt idx="45">
                  <c:v>7223.590051857972</c:v>
                </c:pt>
                <c:pt idx="46">
                  <c:v>7547.7665404811078</c:v>
                </c:pt>
                <c:pt idx="47">
                  <c:v>7886.4819203694115</c:v>
                </c:pt>
                <c:pt idx="48">
                  <c:v>8240.3873852888191</c:v>
                </c:pt>
                <c:pt idx="49">
                  <c:v>8610.1632172050558</c:v>
                </c:pt>
                <c:pt idx="50">
                  <c:v>8996.5200784067638</c:v>
                </c:pt>
                <c:pt idx="51">
                  <c:v>9400.2003603611884</c:v>
                </c:pt>
                <c:pt idx="52">
                  <c:v>9821.9795917322881</c:v>
                </c:pt>
                <c:pt idx="53">
                  <c:v>10262.667908089434</c:v>
                </c:pt>
                <c:pt idx="54">
                  <c:v>10723.111585936553</c:v>
                </c:pt>
                <c:pt idx="55">
                  <c:v>11204.194643796922</c:v>
                </c:pt>
                <c:pt idx="56">
                  <c:v>11706.840513197569</c:v>
                </c:pt>
                <c:pt idx="57">
                  <c:v>12232.013782509781</c:v>
                </c:pt>
                <c:pt idx="58">
                  <c:v>12780.722016718313</c:v>
                </c:pt>
                <c:pt idx="59">
                  <c:v>13354.017656311777</c:v>
                </c:pt>
                <c:pt idx="60">
                  <c:v>13952.999998610274</c:v>
                </c:pt>
                <c:pt idx="61">
                  <c:v>14578.817264973692</c:v>
                </c:pt>
                <c:pt idx="62">
                  <c:v>15302.017030332823</c:v>
                </c:pt>
                <c:pt idx="63">
                  <c:v>16104.666835182032</c:v>
                </c:pt>
                <c:pt idx="64">
                  <c:v>16976.678759928956</c:v>
                </c:pt>
                <c:pt idx="65">
                  <c:v>17912.90362536069</c:v>
                </c:pt>
                <c:pt idx="66">
                  <c:v>18911.327069252344</c:v>
                </c:pt>
                <c:pt idx="67">
                  <c:v>19971.951107881756</c:v>
                </c:pt>
                <c:pt idx="68">
                  <c:v>21096.102222417543</c:v>
                </c:pt>
                <c:pt idx="69">
                  <c:v>22286.004922190346</c:v>
                </c:pt>
                <c:pt idx="70">
                  <c:v>23544.520632410848</c:v>
                </c:pt>
                <c:pt idx="71">
                  <c:v>24874.989627743005</c:v>
                </c:pt>
                <c:pt idx="72">
                  <c:v>26281.13728897737</c:v>
                </c:pt>
                <c:pt idx="73">
                  <c:v>27767.020610973606</c:v>
                </c:pt>
                <c:pt idx="74">
                  <c:v>29337.000002644188</c:v>
                </c:pt>
                <c:pt idx="75">
                  <c:v>30995.727087841202</c:v>
                </c:pt>
                <c:pt idx="76">
                  <c:v>32616.925083571787</c:v>
                </c:pt>
                <c:pt idx="77">
                  <c:v>34240.606949199508</c:v>
                </c:pt>
                <c:pt idx="78">
                  <c:v>35893.278280673803</c:v>
                </c:pt>
                <c:pt idx="79">
                  <c:v>37592.954397517831</c:v>
                </c:pt>
                <c:pt idx="80">
                  <c:v>39352.336225495121</c:v>
                </c:pt>
                <c:pt idx="81">
                  <c:v>41180.821642988594</c:v>
                </c:pt>
                <c:pt idx="82">
                  <c:v>43085.780311566479</c:v>
                </c:pt>
                <c:pt idx="83">
                  <c:v>45073.362732769245</c:v>
                </c:pt>
                <c:pt idx="84">
                  <c:v>47149.0147892432</c:v>
                </c:pt>
                <c:pt idx="85">
                  <c:v>49317.80610143824</c:v>
                </c:pt>
                <c:pt idx="86">
                  <c:v>51584.640727638485</c:v>
                </c:pt>
                <c:pt idx="87">
                  <c:v>53954.39355795872</c:v>
                </c:pt>
                <c:pt idx="88">
                  <c:v>56431.999827413085</c:v>
                </c:pt>
                <c:pt idx="89">
                  <c:v>59022.515099588963</c:v>
                </c:pt>
                <c:pt idx="90">
                  <c:v>61873.499685517454</c:v>
                </c:pt>
                <c:pt idx="91">
                  <c:v>64951.103178121615</c:v>
                </c:pt>
                <c:pt idx="92">
                  <c:v>68237.356554435741</c:v>
                </c:pt>
                <c:pt idx="93">
                  <c:v>71724.404411173382</c:v>
                </c:pt>
                <c:pt idx="94">
                  <c:v>75410.898736006362</c:v>
                </c:pt>
                <c:pt idx="95">
                  <c:v>79299.747364467796</c:v>
                </c:pt>
                <c:pt idx="96">
                  <c:v>83396.71159548439</c:v>
                </c:pt>
                <c:pt idx="97">
                  <c:v>87709.536229318677</c:v>
                </c:pt>
                <c:pt idx="98">
                  <c:v>92247.413578430016</c:v>
                </c:pt>
                <c:pt idx="99">
                  <c:v>97020.657115082387</c:v>
                </c:pt>
                <c:pt idx="100">
                  <c:v>102040.50685603201</c:v>
                </c:pt>
                <c:pt idx="101">
                  <c:v>107319.01767994143</c:v>
                </c:pt>
                <c:pt idx="102">
                  <c:v>112869.00000297814</c:v>
                </c:pt>
                <c:pt idx="103">
                  <c:v>118703.99365969552</c:v>
                </c:pt>
                <c:pt idx="104">
                  <c:v>123628.92807047421</c:v>
                </c:pt>
                <c:pt idx="105">
                  <c:v>127985.60922320854</c:v>
                </c:pt>
                <c:pt idx="106">
                  <c:v>131998.10689652478</c:v>
                </c:pt>
                <c:pt idx="107">
                  <c:v>135813.53311775572</c:v>
                </c:pt>
                <c:pt idx="108">
                  <c:v>139528.70056646576</c:v>
                </c:pt>
                <c:pt idx="109">
                  <c:v>143207.55031550492</c:v>
                </c:pt>
                <c:pt idx="110">
                  <c:v>146892.54525458266</c:v>
                </c:pt>
                <c:pt idx="111">
                  <c:v>150612.11870914092</c:v>
                </c:pt>
                <c:pt idx="112">
                  <c:v>154385.544202469</c:v>
                </c:pt>
                <c:pt idx="113">
                  <c:v>158226.11930542969</c:v>
                </c:pt>
                <c:pt idx="114">
                  <c:v>162143.24731191964</c:v>
                </c:pt>
                <c:pt idx="115">
                  <c:v>166143.79834730411</c:v>
                </c:pt>
                <c:pt idx="116">
                  <c:v>170232.99938137148</c:v>
                </c:pt>
                <c:pt idx="117">
                  <c:v>174415.0162375088</c:v>
                </c:pt>
                <c:pt idx="118">
                  <c:v>175794.47709873735</c:v>
                </c:pt>
                <c:pt idx="119">
                  <c:v>175236.20750653645</c:v>
                </c:pt>
                <c:pt idx="120">
                  <c:v>173351.05516428957</c:v>
                </c:pt>
                <c:pt idx="121">
                  <c:v>170570.12547789101</c:v>
                </c:pt>
                <c:pt idx="122">
                  <c:v>167197.32825598968</c:v>
                </c:pt>
                <c:pt idx="123">
                  <c:v>163446.57197490046</c:v>
                </c:pt>
                <c:pt idx="124">
                  <c:v>159468.09089278249</c:v>
                </c:pt>
                <c:pt idx="125">
                  <c:v>155367.0799165029</c:v>
                </c:pt>
                <c:pt idx="126">
                  <c:v>151216.88455487968</c:v>
                </c:pt>
                <c:pt idx="127">
                  <c:v>147068.33671327226</c:v>
                </c:pt>
                <c:pt idx="128">
                  <c:v>142956.36233155249</c:v>
                </c:pt>
                <c:pt idx="129">
                  <c:v>138904.65789831284</c:v>
                </c:pt>
                <c:pt idx="130">
                  <c:v>134929.00001796085</c:v>
                </c:pt>
                <c:pt idx="131">
                  <c:v>131039.58738304322</c:v>
                </c:pt>
                <c:pt idx="132">
                  <c:v>126325.53549292595</c:v>
                </c:pt>
                <c:pt idx="133">
                  <c:v>121111.70775271689</c:v>
                </c:pt>
                <c:pt idx="134">
                  <c:v>115631.22837383226</c:v>
                </c:pt>
                <c:pt idx="135">
                  <c:v>110049.9746301605</c:v>
                </c:pt>
                <c:pt idx="136">
                  <c:v>104484.6072072956</c:v>
                </c:pt>
                <c:pt idx="137">
                  <c:v>99015.839095264921</c:v>
                </c:pt>
                <c:pt idx="138">
                  <c:v>93698.196258562064</c:v>
                </c:pt>
                <c:pt idx="139">
                  <c:v>88567.193703080848</c:v>
                </c:pt>
                <c:pt idx="140">
                  <c:v>83644.607623460266</c:v>
                </c:pt>
                <c:pt idx="141">
                  <c:v>78942.345263657728</c:v>
                </c:pt>
                <c:pt idx="142">
                  <c:v>74465.282158968694</c:v>
                </c:pt>
                <c:pt idx="143">
                  <c:v>70213.339167380298</c:v>
                </c:pt>
                <c:pt idx="144">
                  <c:v>66183.000016155303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39-4B70-9F6B-983318C33461}"/>
            </c:ext>
          </c:extLst>
        </c:ser>
        <c:ser>
          <c:idx val="0"/>
          <c:order val="1"/>
          <c:tx>
            <c:strRef>
              <c:f>R0_estimation!$B$17</c:f>
              <c:strCache>
                <c:ptCount val="1"/>
                <c:pt idx="0">
                  <c:v>Actual I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R0_estimation!$A$18:$A$162</c:f>
              <c:numCache>
                <c:formatCode>d\-mmm\-yy</c:formatCode>
                <c:ptCount val="145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  <c:pt idx="121">
                  <c:v>44039</c:v>
                </c:pt>
                <c:pt idx="122">
                  <c:v>44040</c:v>
                </c:pt>
                <c:pt idx="123">
                  <c:v>44041</c:v>
                </c:pt>
                <c:pt idx="124">
                  <c:v>44042</c:v>
                </c:pt>
                <c:pt idx="125">
                  <c:v>44043</c:v>
                </c:pt>
                <c:pt idx="126">
                  <c:v>44044</c:v>
                </c:pt>
                <c:pt idx="127">
                  <c:v>44045</c:v>
                </c:pt>
                <c:pt idx="128">
                  <c:v>44046</c:v>
                </c:pt>
                <c:pt idx="129">
                  <c:v>44047</c:v>
                </c:pt>
                <c:pt idx="130">
                  <c:v>44048</c:v>
                </c:pt>
                <c:pt idx="131">
                  <c:v>44049</c:v>
                </c:pt>
                <c:pt idx="132">
                  <c:v>44050</c:v>
                </c:pt>
                <c:pt idx="133">
                  <c:v>44051</c:v>
                </c:pt>
                <c:pt idx="134">
                  <c:v>44052</c:v>
                </c:pt>
                <c:pt idx="135">
                  <c:v>44053</c:v>
                </c:pt>
                <c:pt idx="136">
                  <c:v>44054</c:v>
                </c:pt>
                <c:pt idx="137">
                  <c:v>44055</c:v>
                </c:pt>
                <c:pt idx="138">
                  <c:v>44056</c:v>
                </c:pt>
                <c:pt idx="139">
                  <c:v>44057</c:v>
                </c:pt>
                <c:pt idx="140">
                  <c:v>44058</c:v>
                </c:pt>
                <c:pt idx="141">
                  <c:v>44059</c:v>
                </c:pt>
                <c:pt idx="142">
                  <c:v>44060</c:v>
                </c:pt>
                <c:pt idx="143">
                  <c:v>44061</c:v>
                </c:pt>
                <c:pt idx="144">
                  <c:v>44062</c:v>
                </c:pt>
              </c:numCache>
            </c:numRef>
          </c:cat>
          <c:val>
            <c:numRef>
              <c:f>R0_estimation!$B$18:$B$162</c:f>
              <c:numCache>
                <c:formatCode>General</c:formatCode>
                <c:ptCount val="145"/>
                <c:pt idx="0">
                  <c:v>1032</c:v>
                </c:pt>
                <c:pt idx="1">
                  <c:v>1129</c:v>
                </c:pt>
                <c:pt idx="2">
                  <c:v>1168</c:v>
                </c:pt>
                <c:pt idx="3">
                  <c:v>1178</c:v>
                </c:pt>
                <c:pt idx="4">
                  <c:v>1174</c:v>
                </c:pt>
                <c:pt idx="5">
                  <c:v>1217</c:v>
                </c:pt>
                <c:pt idx="6">
                  <c:v>1209</c:v>
                </c:pt>
                <c:pt idx="7">
                  <c:v>1282</c:v>
                </c:pt>
                <c:pt idx="8">
                  <c:v>1304</c:v>
                </c:pt>
                <c:pt idx="9">
                  <c:v>1208</c:v>
                </c:pt>
                <c:pt idx="10">
                  <c:v>1188</c:v>
                </c:pt>
                <c:pt idx="11">
                  <c:v>1190</c:v>
                </c:pt>
                <c:pt idx="12">
                  <c:v>1077</c:v>
                </c:pt>
                <c:pt idx="13">
                  <c:v>1041</c:v>
                </c:pt>
                <c:pt idx="14">
                  <c:v>948</c:v>
                </c:pt>
                <c:pt idx="15">
                  <c:v>978</c:v>
                </c:pt>
                <c:pt idx="16">
                  <c:v>1025</c:v>
                </c:pt>
                <c:pt idx="17">
                  <c:v>1134</c:v>
                </c:pt>
                <c:pt idx="18">
                  <c:v>1198</c:v>
                </c:pt>
                <c:pt idx="19">
                  <c:v>1222</c:v>
                </c:pt>
                <c:pt idx="20">
                  <c:v>1350</c:v>
                </c:pt>
                <c:pt idx="21">
                  <c:v>1487</c:v>
                </c:pt>
                <c:pt idx="22">
                  <c:v>1545</c:v>
                </c:pt>
                <c:pt idx="23">
                  <c:v>1661</c:v>
                </c:pt>
                <c:pt idx="24">
                  <c:v>1709</c:v>
                </c:pt>
                <c:pt idx="25">
                  <c:v>1850</c:v>
                </c:pt>
                <c:pt idx="26">
                  <c:v>2054</c:v>
                </c:pt>
                <c:pt idx="27">
                  <c:v>2254</c:v>
                </c:pt>
                <c:pt idx="28">
                  <c:v>2341</c:v>
                </c:pt>
                <c:pt idx="29">
                  <c:v>2341</c:v>
                </c:pt>
                <c:pt idx="30">
                  <c:v>2543</c:v>
                </c:pt>
                <c:pt idx="31">
                  <c:v>2606</c:v>
                </c:pt>
                <c:pt idx="32">
                  <c:v>2867</c:v>
                </c:pt>
                <c:pt idx="33">
                  <c:v>3058</c:v>
                </c:pt>
                <c:pt idx="34">
                  <c:v>3190</c:v>
                </c:pt>
                <c:pt idx="35">
                  <c:v>3327</c:v>
                </c:pt>
                <c:pt idx="36">
                  <c:v>3660</c:v>
                </c:pt>
                <c:pt idx="37">
                  <c:v>3950</c:v>
                </c:pt>
                <c:pt idx="38">
                  <c:v>4140</c:v>
                </c:pt>
                <c:pt idx="39">
                  <c:v>4124</c:v>
                </c:pt>
                <c:pt idx="40">
                  <c:v>4255</c:v>
                </c:pt>
                <c:pt idx="41">
                  <c:v>4648</c:v>
                </c:pt>
                <c:pt idx="42">
                  <c:v>5061</c:v>
                </c:pt>
                <c:pt idx="43">
                  <c:v>5516</c:v>
                </c:pt>
                <c:pt idx="44">
                  <c:v>5854</c:v>
                </c:pt>
                <c:pt idx="45">
                  <c:v>6347</c:v>
                </c:pt>
                <c:pt idx="46">
                  <c:v>6719</c:v>
                </c:pt>
                <c:pt idx="47">
                  <c:v>7092</c:v>
                </c:pt>
                <c:pt idx="48">
                  <c:v>7573</c:v>
                </c:pt>
                <c:pt idx="49">
                  <c:v>8019</c:v>
                </c:pt>
                <c:pt idx="50">
                  <c:v>8732</c:v>
                </c:pt>
                <c:pt idx="51">
                  <c:v>9213</c:v>
                </c:pt>
                <c:pt idx="52">
                  <c:v>9625</c:v>
                </c:pt>
                <c:pt idx="53">
                  <c:v>10005</c:v>
                </c:pt>
                <c:pt idx="54">
                  <c:v>10904</c:v>
                </c:pt>
                <c:pt idx="55">
                  <c:v>11230</c:v>
                </c:pt>
                <c:pt idx="56">
                  <c:v>11923</c:v>
                </c:pt>
                <c:pt idx="57">
                  <c:v>12567</c:v>
                </c:pt>
                <c:pt idx="58">
                  <c:v>12963</c:v>
                </c:pt>
                <c:pt idx="59">
                  <c:v>12914</c:v>
                </c:pt>
                <c:pt idx="60">
                  <c:v>13953</c:v>
                </c:pt>
                <c:pt idx="61">
                  <c:v>14664</c:v>
                </c:pt>
                <c:pt idx="62">
                  <c:v>15684</c:v>
                </c:pt>
                <c:pt idx="63">
                  <c:v>16579</c:v>
                </c:pt>
                <c:pt idx="64">
                  <c:v>17162</c:v>
                </c:pt>
                <c:pt idx="65">
                  <c:v>17918</c:v>
                </c:pt>
                <c:pt idx="66">
                  <c:v>18609</c:v>
                </c:pt>
                <c:pt idx="67">
                  <c:v>19707</c:v>
                </c:pt>
                <c:pt idx="68">
                  <c:v>21651</c:v>
                </c:pt>
                <c:pt idx="69">
                  <c:v>23304</c:v>
                </c:pt>
                <c:pt idx="70">
                  <c:v>24625</c:v>
                </c:pt>
                <c:pt idx="71">
                  <c:v>25684</c:v>
                </c:pt>
                <c:pt idx="72">
                  <c:v>27225</c:v>
                </c:pt>
                <c:pt idx="73">
                  <c:v>28670</c:v>
                </c:pt>
                <c:pt idx="74">
                  <c:v>29337</c:v>
                </c:pt>
                <c:pt idx="75">
                  <c:v>31102</c:v>
                </c:pt>
                <c:pt idx="76">
                  <c:v>32656</c:v>
                </c:pt>
                <c:pt idx="77">
                  <c:v>34739</c:v>
                </c:pt>
                <c:pt idx="78">
                  <c:v>37298</c:v>
                </c:pt>
                <c:pt idx="79">
                  <c:v>39119</c:v>
                </c:pt>
                <c:pt idx="80">
                  <c:v>40465</c:v>
                </c:pt>
                <c:pt idx="81">
                  <c:v>42840</c:v>
                </c:pt>
                <c:pt idx="82">
                  <c:v>43051</c:v>
                </c:pt>
                <c:pt idx="83">
                  <c:v>44234</c:v>
                </c:pt>
                <c:pt idx="84">
                  <c:v>46664</c:v>
                </c:pt>
                <c:pt idx="85">
                  <c:v>49033</c:v>
                </c:pt>
                <c:pt idx="86">
                  <c:v>50747</c:v>
                </c:pt>
                <c:pt idx="87">
                  <c:v>53174</c:v>
                </c:pt>
                <c:pt idx="88">
                  <c:v>56432</c:v>
                </c:pt>
                <c:pt idx="89">
                  <c:v>59870</c:v>
                </c:pt>
                <c:pt idx="90">
                  <c:v>62726</c:v>
                </c:pt>
                <c:pt idx="91">
                  <c:v>66127</c:v>
                </c:pt>
                <c:pt idx="92">
                  <c:v>68159</c:v>
                </c:pt>
                <c:pt idx="93">
                  <c:v>70794</c:v>
                </c:pt>
                <c:pt idx="94">
                  <c:v>74938</c:v>
                </c:pt>
                <c:pt idx="95">
                  <c:v>78973</c:v>
                </c:pt>
                <c:pt idx="96">
                  <c:v>84223</c:v>
                </c:pt>
                <c:pt idx="97">
                  <c:v>89461</c:v>
                </c:pt>
                <c:pt idx="98">
                  <c:v>95345</c:v>
                </c:pt>
                <c:pt idx="99">
                  <c:v>99451</c:v>
                </c:pt>
                <c:pt idx="100">
                  <c:v>104134</c:v>
                </c:pt>
                <c:pt idx="101">
                  <c:v>109747</c:v>
                </c:pt>
                <c:pt idx="102">
                  <c:v>112869</c:v>
                </c:pt>
                <c:pt idx="103">
                  <c:v>119964</c:v>
                </c:pt>
                <c:pt idx="104">
                  <c:v>126097</c:v>
                </c:pt>
                <c:pt idx="105">
                  <c:v>132384</c:v>
                </c:pt>
                <c:pt idx="106">
                  <c:v>138108</c:v>
                </c:pt>
                <c:pt idx="107">
                  <c:v>143532</c:v>
                </c:pt>
                <c:pt idx="108">
                  <c:v>146976</c:v>
                </c:pt>
                <c:pt idx="109">
                  <c:v>151609</c:v>
                </c:pt>
                <c:pt idx="110">
                  <c:v>156099</c:v>
                </c:pt>
                <c:pt idx="111">
                  <c:v>160409</c:v>
                </c:pt>
                <c:pt idx="112">
                  <c:v>162835</c:v>
                </c:pt>
                <c:pt idx="113">
                  <c:v>167511</c:v>
                </c:pt>
                <c:pt idx="114">
                  <c:v>167673</c:v>
                </c:pt>
                <c:pt idx="115">
                  <c:v>165897</c:v>
                </c:pt>
                <c:pt idx="116">
                  <c:v>170233</c:v>
                </c:pt>
                <c:pt idx="117">
                  <c:v>169663</c:v>
                </c:pt>
                <c:pt idx="118">
                  <c:v>171259</c:v>
                </c:pt>
                <c:pt idx="119">
                  <c:v>169966</c:v>
                </c:pt>
                <c:pt idx="120">
                  <c:v>169141</c:v>
                </c:pt>
                <c:pt idx="121">
                  <c:v>164683</c:v>
                </c:pt>
                <c:pt idx="122">
                  <c:v>161526</c:v>
                </c:pt>
                <c:pt idx="123">
                  <c:v>160131</c:v>
                </c:pt>
                <c:pt idx="124">
                  <c:v>157959</c:v>
                </c:pt>
                <c:pt idx="125">
                  <c:v>155600</c:v>
                </c:pt>
                <c:pt idx="126">
                  <c:v>152428</c:v>
                </c:pt>
                <c:pt idx="127">
                  <c:v>147174</c:v>
                </c:pt>
                <c:pt idx="128">
                  <c:v>143418</c:v>
                </c:pt>
                <c:pt idx="129">
                  <c:v>139516</c:v>
                </c:pt>
                <c:pt idx="130">
                  <c:v>134929</c:v>
                </c:pt>
                <c:pt idx="131">
                  <c:v>130132</c:v>
                </c:pt>
                <c:pt idx="132">
                  <c:v>123480</c:v>
                </c:pt>
                <c:pt idx="133">
                  <c:v>118988</c:v>
                </c:pt>
                <c:pt idx="134">
                  <c:v>114434</c:v>
                </c:pt>
                <c:pt idx="135">
                  <c:v>111069</c:v>
                </c:pt>
                <c:pt idx="136">
                  <c:v>106348</c:v>
                </c:pt>
                <c:pt idx="137">
                  <c:v>97796</c:v>
                </c:pt>
                <c:pt idx="138">
                  <c:v>90696</c:v>
                </c:pt>
                <c:pt idx="139">
                  <c:v>85957</c:v>
                </c:pt>
                <c:pt idx="140">
                  <c:v>80363</c:v>
                </c:pt>
                <c:pt idx="141">
                  <c:v>75860</c:v>
                </c:pt>
                <c:pt idx="142">
                  <c:v>73024</c:v>
                </c:pt>
                <c:pt idx="143">
                  <c:v>70826</c:v>
                </c:pt>
                <c:pt idx="144">
                  <c:v>66183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9-4B70-9F6B-983318C33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1095536"/>
        <c:axId val="471005328"/>
      </c:lineChart>
      <c:dateAx>
        <c:axId val="2141095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05328"/>
        <c:crosses val="autoZero"/>
        <c:auto val="0"/>
        <c:lblOffset val="100"/>
        <c:baseTimeUnit val="days"/>
      </c:dateAx>
      <c:valAx>
        <c:axId val="47100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095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R0_estimation!$K$16</c:f>
              <c:strCache>
                <c:ptCount val="1"/>
                <c:pt idx="0">
                  <c:v>Eastern Cape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R0_estimation!$K$18:$K$138</c:f>
              <c:numCache>
                <c:formatCode>General</c:formatCode>
                <c:ptCount val="121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15</c:v>
                </c:pt>
                <c:pt idx="5">
                  <c:v>17</c:v>
                </c:pt>
                <c:pt idx="6">
                  <c:v>21</c:v>
                </c:pt>
                <c:pt idx="7">
                  <c:v>24</c:v>
                </c:pt>
                <c:pt idx="8">
                  <c:v>29</c:v>
                </c:pt>
                <c:pt idx="9">
                  <c:v>30</c:v>
                </c:pt>
                <c:pt idx="10">
                  <c:v>38</c:v>
                </c:pt>
                <c:pt idx="11">
                  <c:v>43</c:v>
                </c:pt>
                <c:pt idx="12">
                  <c:v>56</c:v>
                </c:pt>
                <c:pt idx="13">
                  <c:v>63</c:v>
                </c:pt>
                <c:pt idx="14">
                  <c:v>59</c:v>
                </c:pt>
                <c:pt idx="15">
                  <c:v>76</c:v>
                </c:pt>
                <c:pt idx="16">
                  <c:v>92</c:v>
                </c:pt>
                <c:pt idx="17">
                  <c:v>162</c:v>
                </c:pt>
                <c:pt idx="18">
                  <c:v>184</c:v>
                </c:pt>
                <c:pt idx="19">
                  <c:v>203</c:v>
                </c:pt>
                <c:pt idx="20">
                  <c:v>225</c:v>
                </c:pt>
                <c:pt idx="21">
                  <c:v>245</c:v>
                </c:pt>
                <c:pt idx="22">
                  <c:v>262</c:v>
                </c:pt>
                <c:pt idx="23">
                  <c:v>278</c:v>
                </c:pt>
                <c:pt idx="24">
                  <c:v>305</c:v>
                </c:pt>
                <c:pt idx="25">
                  <c:v>332</c:v>
                </c:pt>
                <c:pt idx="26">
                  <c:v>356</c:v>
                </c:pt>
                <c:pt idx="27">
                  <c:v>412</c:v>
                </c:pt>
                <c:pt idx="28">
                  <c:v>412</c:v>
                </c:pt>
                <c:pt idx="29">
                  <c:v>394</c:v>
                </c:pt>
                <c:pt idx="30">
                  <c:v>484</c:v>
                </c:pt>
                <c:pt idx="31">
                  <c:v>442</c:v>
                </c:pt>
                <c:pt idx="32">
                  <c:v>431</c:v>
                </c:pt>
                <c:pt idx="33">
                  <c:v>427</c:v>
                </c:pt>
                <c:pt idx="34">
                  <c:v>445</c:v>
                </c:pt>
                <c:pt idx="35">
                  <c:v>462</c:v>
                </c:pt>
                <c:pt idx="36">
                  <c:v>481</c:v>
                </c:pt>
                <c:pt idx="37">
                  <c:v>504</c:v>
                </c:pt>
                <c:pt idx="38">
                  <c:v>493</c:v>
                </c:pt>
                <c:pt idx="39">
                  <c:v>472</c:v>
                </c:pt>
                <c:pt idx="40">
                  <c:v>512</c:v>
                </c:pt>
                <c:pt idx="41">
                  <c:v>509</c:v>
                </c:pt>
                <c:pt idx="42">
                  <c:v>597</c:v>
                </c:pt>
                <c:pt idx="43">
                  <c:v>736</c:v>
                </c:pt>
                <c:pt idx="44">
                  <c:v>768</c:v>
                </c:pt>
                <c:pt idx="45">
                  <c:v>888</c:v>
                </c:pt>
                <c:pt idx="46">
                  <c:v>904</c:v>
                </c:pt>
                <c:pt idx="47">
                  <c:v>922</c:v>
                </c:pt>
                <c:pt idx="48">
                  <c:v>971</c:v>
                </c:pt>
                <c:pt idx="49">
                  <c:v>1080</c:v>
                </c:pt>
                <c:pt idx="50">
                  <c:v>1162</c:v>
                </c:pt>
                <c:pt idx="51">
                  <c:v>1238</c:v>
                </c:pt>
                <c:pt idx="52">
                  <c:v>1297</c:v>
                </c:pt>
                <c:pt idx="53">
                  <c:v>1366</c:v>
                </c:pt>
                <c:pt idx="54">
                  <c:v>1395</c:v>
                </c:pt>
                <c:pt idx="55">
                  <c:v>1470</c:v>
                </c:pt>
                <c:pt idx="56">
                  <c:v>1491</c:v>
                </c:pt>
                <c:pt idx="57">
                  <c:v>1472</c:v>
                </c:pt>
                <c:pt idx="58">
                  <c:v>1392</c:v>
                </c:pt>
                <c:pt idx="59">
                  <c:v>1360</c:v>
                </c:pt>
                <c:pt idx="60">
                  <c:v>1513</c:v>
                </c:pt>
                <c:pt idx="61">
                  <c:v>1737</c:v>
                </c:pt>
                <c:pt idx="62">
                  <c:v>1921</c:v>
                </c:pt>
                <c:pt idx="63">
                  <c:v>1947</c:v>
                </c:pt>
                <c:pt idx="64">
                  <c:v>1991</c:v>
                </c:pt>
                <c:pt idx="65">
                  <c:v>2059</c:v>
                </c:pt>
                <c:pt idx="66">
                  <c:v>2189</c:v>
                </c:pt>
                <c:pt idx="67">
                  <c:v>2311</c:v>
                </c:pt>
                <c:pt idx="68">
                  <c:v>2612</c:v>
                </c:pt>
                <c:pt idx="69">
                  <c:v>2781</c:v>
                </c:pt>
                <c:pt idx="70">
                  <c:v>3060</c:v>
                </c:pt>
                <c:pt idx="71">
                  <c:v>3284</c:v>
                </c:pt>
                <c:pt idx="72">
                  <c:v>3593</c:v>
                </c:pt>
                <c:pt idx="73">
                  <c:v>3896</c:v>
                </c:pt>
                <c:pt idx="74">
                  <c:v>4107</c:v>
                </c:pt>
                <c:pt idx="75">
                  <c:v>4562</c:v>
                </c:pt>
                <c:pt idx="76">
                  <c:v>5032</c:v>
                </c:pt>
                <c:pt idx="77">
                  <c:v>5491</c:v>
                </c:pt>
                <c:pt idx="78">
                  <c:v>6100</c:v>
                </c:pt>
                <c:pt idx="79">
                  <c:v>6486</c:v>
                </c:pt>
                <c:pt idx="80">
                  <c:v>6715</c:v>
                </c:pt>
                <c:pt idx="81">
                  <c:v>7393</c:v>
                </c:pt>
                <c:pt idx="82">
                  <c:v>7703</c:v>
                </c:pt>
                <c:pt idx="83">
                  <c:v>8266</c:v>
                </c:pt>
                <c:pt idx="84">
                  <c:v>9092</c:v>
                </c:pt>
                <c:pt idx="85">
                  <c:v>9777</c:v>
                </c:pt>
                <c:pt idx="86">
                  <c:v>10554</c:v>
                </c:pt>
                <c:pt idx="87">
                  <c:v>11348</c:v>
                </c:pt>
                <c:pt idx="88">
                  <c:v>12060</c:v>
                </c:pt>
                <c:pt idx="89">
                  <c:v>12619</c:v>
                </c:pt>
                <c:pt idx="90">
                  <c:v>13323</c:v>
                </c:pt>
                <c:pt idx="91">
                  <c:v>14408</c:v>
                </c:pt>
                <c:pt idx="92">
                  <c:v>15072</c:v>
                </c:pt>
                <c:pt idx="93">
                  <c:v>15598</c:v>
                </c:pt>
                <c:pt idx="94">
                  <c:v>16647</c:v>
                </c:pt>
                <c:pt idx="95">
                  <c:v>17421</c:v>
                </c:pt>
                <c:pt idx="96">
                  <c:v>17964</c:v>
                </c:pt>
                <c:pt idx="97">
                  <c:v>18651</c:v>
                </c:pt>
                <c:pt idx="98">
                  <c:v>19440</c:v>
                </c:pt>
                <c:pt idx="99">
                  <c:v>19897</c:v>
                </c:pt>
                <c:pt idx="100">
                  <c:v>21186</c:v>
                </c:pt>
                <c:pt idx="101">
                  <c:v>22293</c:v>
                </c:pt>
                <c:pt idx="102">
                  <c:v>23143</c:v>
                </c:pt>
                <c:pt idx="103">
                  <c:v>23945</c:v>
                </c:pt>
                <c:pt idx="104">
                  <c:v>24346</c:v>
                </c:pt>
                <c:pt idx="105">
                  <c:v>24574</c:v>
                </c:pt>
                <c:pt idx="106">
                  <c:v>25201</c:v>
                </c:pt>
                <c:pt idx="107">
                  <c:v>25863</c:v>
                </c:pt>
                <c:pt idx="108">
                  <c:v>26273</c:v>
                </c:pt>
                <c:pt idx="109">
                  <c:v>26244</c:v>
                </c:pt>
                <c:pt idx="110">
                  <c:v>26583</c:v>
                </c:pt>
                <c:pt idx="111">
                  <c:v>26703</c:v>
                </c:pt>
                <c:pt idx="112">
                  <c:v>26815</c:v>
                </c:pt>
                <c:pt idx="113">
                  <c:v>27533</c:v>
                </c:pt>
                <c:pt idx="114">
                  <c:v>27235</c:v>
                </c:pt>
                <c:pt idx="115">
                  <c:v>26358</c:v>
                </c:pt>
                <c:pt idx="116">
                  <c:v>25461</c:v>
                </c:pt>
                <c:pt idx="117">
                  <c:v>25013</c:v>
                </c:pt>
                <c:pt idx="118">
                  <c:v>25054</c:v>
                </c:pt>
                <c:pt idx="119">
                  <c:v>24540</c:v>
                </c:pt>
                <c:pt idx="120">
                  <c:v>23285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D-4E27-8E16-DA672E496E9F}"/>
            </c:ext>
          </c:extLst>
        </c:ser>
        <c:ser>
          <c:idx val="1"/>
          <c:order val="1"/>
          <c:tx>
            <c:strRef>
              <c:f>R0_estimation!$T$16</c:f>
              <c:strCache>
                <c:ptCount val="1"/>
                <c:pt idx="0">
                  <c:v>Free State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R0_estimation!$T$18:$T$138</c:f>
              <c:numCache>
                <c:formatCode>General</c:formatCode>
                <c:ptCount val="121"/>
                <c:pt idx="0">
                  <c:v>68</c:v>
                </c:pt>
                <c:pt idx="1">
                  <c:v>72</c:v>
                </c:pt>
                <c:pt idx="2">
                  <c:v>72</c:v>
                </c:pt>
                <c:pt idx="3">
                  <c:v>74</c:v>
                </c:pt>
                <c:pt idx="4">
                  <c:v>76</c:v>
                </c:pt>
                <c:pt idx="5">
                  <c:v>84</c:v>
                </c:pt>
                <c:pt idx="6">
                  <c:v>77</c:v>
                </c:pt>
                <c:pt idx="7">
                  <c:v>78</c:v>
                </c:pt>
                <c:pt idx="8">
                  <c:v>78</c:v>
                </c:pt>
                <c:pt idx="9">
                  <c:v>76</c:v>
                </c:pt>
                <c:pt idx="10">
                  <c:v>70.5</c:v>
                </c:pt>
                <c:pt idx="11">
                  <c:v>58</c:v>
                </c:pt>
                <c:pt idx="12">
                  <c:v>44</c:v>
                </c:pt>
                <c:pt idx="13">
                  <c:v>35.5</c:v>
                </c:pt>
                <c:pt idx="14">
                  <c:v>26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21</c:v>
                </c:pt>
                <c:pt idx="19">
                  <c:v>14</c:v>
                </c:pt>
                <c:pt idx="20">
                  <c:v>16</c:v>
                </c:pt>
                <c:pt idx="21">
                  <c:v>15</c:v>
                </c:pt>
                <c:pt idx="22">
                  <c:v>15</c:v>
                </c:pt>
                <c:pt idx="23">
                  <c:v>16</c:v>
                </c:pt>
                <c:pt idx="24">
                  <c:v>17.5</c:v>
                </c:pt>
                <c:pt idx="25">
                  <c:v>18</c:v>
                </c:pt>
                <c:pt idx="26">
                  <c:v>13</c:v>
                </c:pt>
                <c:pt idx="27">
                  <c:v>17</c:v>
                </c:pt>
                <c:pt idx="28">
                  <c:v>17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21</c:v>
                </c:pt>
                <c:pt idx="36">
                  <c:v>20</c:v>
                </c:pt>
                <c:pt idx="37">
                  <c:v>20</c:v>
                </c:pt>
                <c:pt idx="38">
                  <c:v>22</c:v>
                </c:pt>
                <c:pt idx="39">
                  <c:v>24</c:v>
                </c:pt>
                <c:pt idx="40">
                  <c:v>28</c:v>
                </c:pt>
                <c:pt idx="41">
                  <c:v>22</c:v>
                </c:pt>
                <c:pt idx="42">
                  <c:v>23</c:v>
                </c:pt>
                <c:pt idx="43">
                  <c:v>24</c:v>
                </c:pt>
                <c:pt idx="44">
                  <c:v>24</c:v>
                </c:pt>
                <c:pt idx="45">
                  <c:v>22</c:v>
                </c:pt>
                <c:pt idx="46">
                  <c:v>25</c:v>
                </c:pt>
                <c:pt idx="47">
                  <c:v>29</c:v>
                </c:pt>
                <c:pt idx="48">
                  <c:v>33</c:v>
                </c:pt>
                <c:pt idx="49">
                  <c:v>32</c:v>
                </c:pt>
                <c:pt idx="50">
                  <c:v>36</c:v>
                </c:pt>
                <c:pt idx="51">
                  <c:v>38</c:v>
                </c:pt>
                <c:pt idx="52">
                  <c:v>37</c:v>
                </c:pt>
                <c:pt idx="53">
                  <c:v>50</c:v>
                </c:pt>
                <c:pt idx="54">
                  <c:v>49</c:v>
                </c:pt>
                <c:pt idx="55">
                  <c:v>52</c:v>
                </c:pt>
                <c:pt idx="56">
                  <c:v>62</c:v>
                </c:pt>
                <c:pt idx="57">
                  <c:v>67</c:v>
                </c:pt>
                <c:pt idx="58">
                  <c:v>73</c:v>
                </c:pt>
                <c:pt idx="59">
                  <c:v>71</c:v>
                </c:pt>
                <c:pt idx="60">
                  <c:v>83</c:v>
                </c:pt>
                <c:pt idx="61">
                  <c:v>80</c:v>
                </c:pt>
                <c:pt idx="62">
                  <c:v>80</c:v>
                </c:pt>
                <c:pt idx="63">
                  <c:v>108</c:v>
                </c:pt>
                <c:pt idx="64">
                  <c:v>120</c:v>
                </c:pt>
                <c:pt idx="65">
                  <c:v>122</c:v>
                </c:pt>
                <c:pt idx="66">
                  <c:v>134</c:v>
                </c:pt>
                <c:pt idx="67">
                  <c:v>139</c:v>
                </c:pt>
                <c:pt idx="68">
                  <c:v>139</c:v>
                </c:pt>
                <c:pt idx="69">
                  <c:v>151</c:v>
                </c:pt>
                <c:pt idx="70">
                  <c:v>152</c:v>
                </c:pt>
                <c:pt idx="71">
                  <c:v>159</c:v>
                </c:pt>
                <c:pt idx="72">
                  <c:v>165</c:v>
                </c:pt>
                <c:pt idx="73">
                  <c:v>185</c:v>
                </c:pt>
                <c:pt idx="74">
                  <c:v>180</c:v>
                </c:pt>
                <c:pt idx="75">
                  <c:v>181</c:v>
                </c:pt>
                <c:pt idx="76">
                  <c:v>204</c:v>
                </c:pt>
                <c:pt idx="77">
                  <c:v>196</c:v>
                </c:pt>
                <c:pt idx="78">
                  <c:v>217</c:v>
                </c:pt>
                <c:pt idx="79">
                  <c:v>227</c:v>
                </c:pt>
                <c:pt idx="80">
                  <c:v>279</c:v>
                </c:pt>
                <c:pt idx="81">
                  <c:v>289</c:v>
                </c:pt>
                <c:pt idx="82">
                  <c:v>327</c:v>
                </c:pt>
                <c:pt idx="83">
                  <c:v>322</c:v>
                </c:pt>
                <c:pt idx="84">
                  <c:v>352</c:v>
                </c:pt>
                <c:pt idx="85">
                  <c:v>372</c:v>
                </c:pt>
                <c:pt idx="86">
                  <c:v>399</c:v>
                </c:pt>
                <c:pt idx="87">
                  <c:v>423</c:v>
                </c:pt>
                <c:pt idx="88">
                  <c:v>488</c:v>
                </c:pt>
                <c:pt idx="89">
                  <c:v>570</c:v>
                </c:pt>
                <c:pt idx="90">
                  <c:v>634</c:v>
                </c:pt>
                <c:pt idx="91">
                  <c:v>703</c:v>
                </c:pt>
                <c:pt idx="92">
                  <c:v>784</c:v>
                </c:pt>
                <c:pt idx="93">
                  <c:v>865</c:v>
                </c:pt>
                <c:pt idx="94">
                  <c:v>936</c:v>
                </c:pt>
                <c:pt idx="95">
                  <c:v>1064</c:v>
                </c:pt>
                <c:pt idx="96">
                  <c:v>1237</c:v>
                </c:pt>
                <c:pt idx="97">
                  <c:v>1472</c:v>
                </c:pt>
                <c:pt idx="98">
                  <c:v>1676</c:v>
                </c:pt>
                <c:pt idx="99">
                  <c:v>1820</c:v>
                </c:pt>
                <c:pt idx="100">
                  <c:v>2032</c:v>
                </c:pt>
                <c:pt idx="101">
                  <c:v>2220</c:v>
                </c:pt>
                <c:pt idx="102">
                  <c:v>2370</c:v>
                </c:pt>
                <c:pt idx="103">
                  <c:v>2748</c:v>
                </c:pt>
                <c:pt idx="104">
                  <c:v>3152</c:v>
                </c:pt>
                <c:pt idx="105">
                  <c:v>3519</c:v>
                </c:pt>
                <c:pt idx="106">
                  <c:v>3945</c:v>
                </c:pt>
                <c:pt idx="107">
                  <c:v>4255</c:v>
                </c:pt>
                <c:pt idx="108">
                  <c:v>4459</c:v>
                </c:pt>
                <c:pt idx="109">
                  <c:v>4889</c:v>
                </c:pt>
                <c:pt idx="110">
                  <c:v>5426</c:v>
                </c:pt>
                <c:pt idx="111">
                  <c:v>6160</c:v>
                </c:pt>
                <c:pt idx="112">
                  <c:v>6628</c:v>
                </c:pt>
                <c:pt idx="113">
                  <c:v>7440</c:v>
                </c:pt>
                <c:pt idx="114">
                  <c:v>7923</c:v>
                </c:pt>
                <c:pt idx="115">
                  <c:v>8318</c:v>
                </c:pt>
                <c:pt idx="116">
                  <c:v>9073</c:v>
                </c:pt>
                <c:pt idx="117">
                  <c:v>9719</c:v>
                </c:pt>
                <c:pt idx="118">
                  <c:v>10321</c:v>
                </c:pt>
                <c:pt idx="119">
                  <c:v>10833</c:v>
                </c:pt>
                <c:pt idx="120">
                  <c:v>11258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D-4E27-8E16-DA672E496E9F}"/>
            </c:ext>
          </c:extLst>
        </c:ser>
        <c:ser>
          <c:idx val="2"/>
          <c:order val="2"/>
          <c:tx>
            <c:strRef>
              <c:f>R0_estimation!$AC$16</c:f>
              <c:strCache>
                <c:ptCount val="1"/>
                <c:pt idx="0">
                  <c:v>Gauteng</c:v>
                </c:pt>
              </c:strCache>
            </c:strRef>
          </c:tx>
          <c:spPr>
            <a:ln w="28575" cap="rnd">
              <a:solidFill>
                <a:srgbClr val="FF0066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R0_estimation!$AC$18:$AC$138</c:f>
              <c:numCache>
                <c:formatCode>General</c:formatCode>
                <c:ptCount val="121"/>
                <c:pt idx="0">
                  <c:v>516</c:v>
                </c:pt>
                <c:pt idx="1">
                  <c:v>560</c:v>
                </c:pt>
                <c:pt idx="2">
                  <c:v>587</c:v>
                </c:pt>
                <c:pt idx="3">
                  <c:v>588</c:v>
                </c:pt>
                <c:pt idx="4">
                  <c:v>584</c:v>
                </c:pt>
                <c:pt idx="5">
                  <c:v>587</c:v>
                </c:pt>
                <c:pt idx="6">
                  <c:v>563</c:v>
                </c:pt>
                <c:pt idx="7">
                  <c:v>568</c:v>
                </c:pt>
                <c:pt idx="8">
                  <c:v>572</c:v>
                </c:pt>
                <c:pt idx="9">
                  <c:v>506</c:v>
                </c:pt>
                <c:pt idx="10">
                  <c:v>445.5</c:v>
                </c:pt>
                <c:pt idx="11">
                  <c:v>463</c:v>
                </c:pt>
                <c:pt idx="12">
                  <c:v>386</c:v>
                </c:pt>
                <c:pt idx="13">
                  <c:v>330</c:v>
                </c:pt>
                <c:pt idx="14">
                  <c:v>280</c:v>
                </c:pt>
                <c:pt idx="15">
                  <c:v>281</c:v>
                </c:pt>
                <c:pt idx="16">
                  <c:v>272</c:v>
                </c:pt>
                <c:pt idx="17">
                  <c:v>276</c:v>
                </c:pt>
                <c:pt idx="18">
                  <c:v>285</c:v>
                </c:pt>
                <c:pt idx="19">
                  <c:v>306</c:v>
                </c:pt>
                <c:pt idx="20">
                  <c:v>346</c:v>
                </c:pt>
                <c:pt idx="21">
                  <c:v>408</c:v>
                </c:pt>
                <c:pt idx="22">
                  <c:v>444</c:v>
                </c:pt>
                <c:pt idx="23">
                  <c:v>457</c:v>
                </c:pt>
                <c:pt idx="24">
                  <c:v>451.5</c:v>
                </c:pt>
                <c:pt idx="25">
                  <c:v>442</c:v>
                </c:pt>
                <c:pt idx="26">
                  <c:v>457</c:v>
                </c:pt>
                <c:pt idx="27">
                  <c:v>480</c:v>
                </c:pt>
                <c:pt idx="28">
                  <c:v>491</c:v>
                </c:pt>
                <c:pt idx="29">
                  <c:v>466</c:v>
                </c:pt>
                <c:pt idx="30">
                  <c:v>463</c:v>
                </c:pt>
                <c:pt idx="31">
                  <c:v>468</c:v>
                </c:pt>
                <c:pt idx="32">
                  <c:v>478</c:v>
                </c:pt>
                <c:pt idx="33">
                  <c:v>477</c:v>
                </c:pt>
                <c:pt idx="34">
                  <c:v>489</c:v>
                </c:pt>
                <c:pt idx="35">
                  <c:v>497</c:v>
                </c:pt>
                <c:pt idx="36">
                  <c:v>476</c:v>
                </c:pt>
                <c:pt idx="37">
                  <c:v>491</c:v>
                </c:pt>
                <c:pt idx="38">
                  <c:v>498</c:v>
                </c:pt>
                <c:pt idx="39">
                  <c:v>496</c:v>
                </c:pt>
                <c:pt idx="40">
                  <c:v>552</c:v>
                </c:pt>
                <c:pt idx="41">
                  <c:v>570</c:v>
                </c:pt>
                <c:pt idx="42">
                  <c:v>606</c:v>
                </c:pt>
                <c:pt idx="43">
                  <c:v>621</c:v>
                </c:pt>
                <c:pt idx="44">
                  <c:v>618</c:v>
                </c:pt>
                <c:pt idx="45">
                  <c:v>637</c:v>
                </c:pt>
                <c:pt idx="46">
                  <c:v>666</c:v>
                </c:pt>
                <c:pt idx="47">
                  <c:v>689</c:v>
                </c:pt>
                <c:pt idx="48">
                  <c:v>703</c:v>
                </c:pt>
                <c:pt idx="49">
                  <c:v>664</c:v>
                </c:pt>
                <c:pt idx="50">
                  <c:v>705</c:v>
                </c:pt>
                <c:pt idx="51">
                  <c:v>682</c:v>
                </c:pt>
                <c:pt idx="52">
                  <c:v>664</c:v>
                </c:pt>
                <c:pt idx="53">
                  <c:v>680</c:v>
                </c:pt>
                <c:pt idx="54">
                  <c:v>649</c:v>
                </c:pt>
                <c:pt idx="55">
                  <c:v>670</c:v>
                </c:pt>
                <c:pt idx="56">
                  <c:v>723</c:v>
                </c:pt>
                <c:pt idx="57">
                  <c:v>820</c:v>
                </c:pt>
                <c:pt idx="58">
                  <c:v>1022</c:v>
                </c:pt>
                <c:pt idx="59">
                  <c:v>1029</c:v>
                </c:pt>
                <c:pt idx="60">
                  <c:v>1093</c:v>
                </c:pt>
                <c:pt idx="61">
                  <c:v>1194</c:v>
                </c:pt>
                <c:pt idx="62">
                  <c:v>1373</c:v>
                </c:pt>
                <c:pt idx="63">
                  <c:v>1511</c:v>
                </c:pt>
                <c:pt idx="64">
                  <c:v>1674</c:v>
                </c:pt>
                <c:pt idx="65">
                  <c:v>1888</c:v>
                </c:pt>
                <c:pt idx="66">
                  <c:v>1915</c:v>
                </c:pt>
                <c:pt idx="67">
                  <c:v>2167</c:v>
                </c:pt>
                <c:pt idx="68">
                  <c:v>2392</c:v>
                </c:pt>
                <c:pt idx="69">
                  <c:v>2694</c:v>
                </c:pt>
                <c:pt idx="70">
                  <c:v>2993</c:v>
                </c:pt>
                <c:pt idx="71">
                  <c:v>3174</c:v>
                </c:pt>
                <c:pt idx="72">
                  <c:v>3265</c:v>
                </c:pt>
                <c:pt idx="73">
                  <c:v>3503</c:v>
                </c:pt>
                <c:pt idx="74">
                  <c:v>4028</c:v>
                </c:pt>
                <c:pt idx="75">
                  <c:v>4624</c:v>
                </c:pt>
                <c:pt idx="76">
                  <c:v>5198</c:v>
                </c:pt>
                <c:pt idx="77">
                  <c:v>6124</c:v>
                </c:pt>
                <c:pt idx="78">
                  <c:v>7161</c:v>
                </c:pt>
                <c:pt idx="79">
                  <c:v>7962</c:v>
                </c:pt>
                <c:pt idx="80">
                  <c:v>8747</c:v>
                </c:pt>
                <c:pt idx="81">
                  <c:v>10053</c:v>
                </c:pt>
                <c:pt idx="82">
                  <c:v>11053</c:v>
                </c:pt>
                <c:pt idx="83">
                  <c:v>12046</c:v>
                </c:pt>
                <c:pt idx="84">
                  <c:v>13352</c:v>
                </c:pt>
                <c:pt idx="85">
                  <c:v>14876</c:v>
                </c:pt>
                <c:pt idx="86">
                  <c:v>16083</c:v>
                </c:pt>
                <c:pt idx="87">
                  <c:v>17495</c:v>
                </c:pt>
                <c:pt idx="88">
                  <c:v>18961</c:v>
                </c:pt>
                <c:pt idx="89">
                  <c:v>20793</c:v>
                </c:pt>
                <c:pt idx="90">
                  <c:v>22563</c:v>
                </c:pt>
                <c:pt idx="91">
                  <c:v>24388</c:v>
                </c:pt>
                <c:pt idx="92">
                  <c:v>25731</c:v>
                </c:pt>
                <c:pt idx="93">
                  <c:v>27648</c:v>
                </c:pt>
                <c:pt idx="94">
                  <c:v>29858</c:v>
                </c:pt>
                <c:pt idx="95">
                  <c:v>31324</c:v>
                </c:pt>
                <c:pt idx="96">
                  <c:v>34039</c:v>
                </c:pt>
                <c:pt idx="97">
                  <c:v>37070</c:v>
                </c:pt>
                <c:pt idx="98">
                  <c:v>40395</c:v>
                </c:pt>
                <c:pt idx="99">
                  <c:v>42582</c:v>
                </c:pt>
                <c:pt idx="100">
                  <c:v>44550</c:v>
                </c:pt>
                <c:pt idx="101">
                  <c:v>47447</c:v>
                </c:pt>
                <c:pt idx="102">
                  <c:v>48859</c:v>
                </c:pt>
                <c:pt idx="103">
                  <c:v>52800</c:v>
                </c:pt>
                <c:pt idx="104">
                  <c:v>55689</c:v>
                </c:pt>
                <c:pt idx="105">
                  <c:v>58759</c:v>
                </c:pt>
                <c:pt idx="106">
                  <c:v>61536</c:v>
                </c:pt>
                <c:pt idx="107">
                  <c:v>63872</c:v>
                </c:pt>
                <c:pt idx="108">
                  <c:v>64189</c:v>
                </c:pt>
                <c:pt idx="109">
                  <c:v>66770</c:v>
                </c:pt>
                <c:pt idx="110">
                  <c:v>67958</c:v>
                </c:pt>
                <c:pt idx="111">
                  <c:v>69077</c:v>
                </c:pt>
                <c:pt idx="112">
                  <c:v>69231</c:v>
                </c:pt>
                <c:pt idx="113">
                  <c:v>70213</c:v>
                </c:pt>
                <c:pt idx="114">
                  <c:v>69988</c:v>
                </c:pt>
                <c:pt idx="115">
                  <c:v>67947</c:v>
                </c:pt>
                <c:pt idx="116">
                  <c:v>69567</c:v>
                </c:pt>
                <c:pt idx="117">
                  <c:v>67308</c:v>
                </c:pt>
                <c:pt idx="118">
                  <c:v>65987</c:v>
                </c:pt>
                <c:pt idx="119">
                  <c:v>63777</c:v>
                </c:pt>
                <c:pt idx="120">
                  <c:v>61723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D-4E27-8E16-DA672E496E9F}"/>
            </c:ext>
          </c:extLst>
        </c:ser>
        <c:ser>
          <c:idx val="3"/>
          <c:order val="3"/>
          <c:tx>
            <c:strRef>
              <c:f>R0_estimation!$AL$16</c:f>
              <c:strCache>
                <c:ptCount val="1"/>
                <c:pt idx="0">
                  <c:v>KwaZulu-Natal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R0_estimation!$AL$18:$AL$138</c:f>
              <c:numCache>
                <c:formatCode>General</c:formatCode>
                <c:ptCount val="121"/>
                <c:pt idx="0">
                  <c:v>145</c:v>
                </c:pt>
                <c:pt idx="1">
                  <c:v>155</c:v>
                </c:pt>
                <c:pt idx="2">
                  <c:v>159</c:v>
                </c:pt>
                <c:pt idx="3">
                  <c:v>163</c:v>
                </c:pt>
                <c:pt idx="4">
                  <c:v>167</c:v>
                </c:pt>
                <c:pt idx="5">
                  <c:v>184</c:v>
                </c:pt>
                <c:pt idx="6">
                  <c:v>191</c:v>
                </c:pt>
                <c:pt idx="7">
                  <c:v>205</c:v>
                </c:pt>
                <c:pt idx="8">
                  <c:v>210</c:v>
                </c:pt>
                <c:pt idx="9">
                  <c:v>197</c:v>
                </c:pt>
                <c:pt idx="10">
                  <c:v>225.5</c:v>
                </c:pt>
                <c:pt idx="11">
                  <c:v>263</c:v>
                </c:pt>
                <c:pt idx="12">
                  <c:v>253</c:v>
                </c:pt>
                <c:pt idx="13">
                  <c:v>267</c:v>
                </c:pt>
                <c:pt idx="14">
                  <c:v>262</c:v>
                </c:pt>
                <c:pt idx="15">
                  <c:v>276</c:v>
                </c:pt>
                <c:pt idx="16">
                  <c:v>294</c:v>
                </c:pt>
                <c:pt idx="17">
                  <c:v>310</c:v>
                </c:pt>
                <c:pt idx="18">
                  <c:v>333</c:v>
                </c:pt>
                <c:pt idx="19">
                  <c:v>333</c:v>
                </c:pt>
                <c:pt idx="20">
                  <c:v>376</c:v>
                </c:pt>
                <c:pt idx="21">
                  <c:v>372</c:v>
                </c:pt>
                <c:pt idx="22">
                  <c:v>371</c:v>
                </c:pt>
                <c:pt idx="23">
                  <c:v>382</c:v>
                </c:pt>
                <c:pt idx="24">
                  <c:v>365.5</c:v>
                </c:pt>
                <c:pt idx="25">
                  <c:v>404</c:v>
                </c:pt>
                <c:pt idx="26">
                  <c:v>420</c:v>
                </c:pt>
                <c:pt idx="27">
                  <c:v>429</c:v>
                </c:pt>
                <c:pt idx="28">
                  <c:v>429</c:v>
                </c:pt>
                <c:pt idx="29">
                  <c:v>420</c:v>
                </c:pt>
                <c:pt idx="30">
                  <c:v>437</c:v>
                </c:pt>
                <c:pt idx="31">
                  <c:v>430</c:v>
                </c:pt>
                <c:pt idx="32">
                  <c:v>437</c:v>
                </c:pt>
                <c:pt idx="33">
                  <c:v>441</c:v>
                </c:pt>
                <c:pt idx="34">
                  <c:v>415</c:v>
                </c:pt>
                <c:pt idx="35">
                  <c:v>447</c:v>
                </c:pt>
                <c:pt idx="36">
                  <c:v>459</c:v>
                </c:pt>
                <c:pt idx="37">
                  <c:v>467</c:v>
                </c:pt>
                <c:pt idx="38">
                  <c:v>471</c:v>
                </c:pt>
                <c:pt idx="39">
                  <c:v>431</c:v>
                </c:pt>
                <c:pt idx="40">
                  <c:v>397</c:v>
                </c:pt>
                <c:pt idx="41">
                  <c:v>412</c:v>
                </c:pt>
                <c:pt idx="42">
                  <c:v>461</c:v>
                </c:pt>
                <c:pt idx="43">
                  <c:v>490</c:v>
                </c:pt>
                <c:pt idx="44">
                  <c:v>470</c:v>
                </c:pt>
                <c:pt idx="45">
                  <c:v>475</c:v>
                </c:pt>
                <c:pt idx="46">
                  <c:v>457</c:v>
                </c:pt>
                <c:pt idx="47">
                  <c:v>464</c:v>
                </c:pt>
                <c:pt idx="48">
                  <c:v>476</c:v>
                </c:pt>
                <c:pt idx="49">
                  <c:v>447</c:v>
                </c:pt>
                <c:pt idx="50">
                  <c:v>467</c:v>
                </c:pt>
                <c:pt idx="51">
                  <c:v>461</c:v>
                </c:pt>
                <c:pt idx="52">
                  <c:v>474</c:v>
                </c:pt>
                <c:pt idx="53">
                  <c:v>461</c:v>
                </c:pt>
                <c:pt idx="54">
                  <c:v>489</c:v>
                </c:pt>
                <c:pt idx="55">
                  <c:v>482</c:v>
                </c:pt>
                <c:pt idx="56">
                  <c:v>469</c:v>
                </c:pt>
                <c:pt idx="57">
                  <c:v>462</c:v>
                </c:pt>
                <c:pt idx="58">
                  <c:v>510</c:v>
                </c:pt>
                <c:pt idx="59">
                  <c:v>533</c:v>
                </c:pt>
                <c:pt idx="60">
                  <c:v>773</c:v>
                </c:pt>
                <c:pt idx="61">
                  <c:v>905</c:v>
                </c:pt>
                <c:pt idx="62">
                  <c:v>946</c:v>
                </c:pt>
                <c:pt idx="63">
                  <c:v>978</c:v>
                </c:pt>
                <c:pt idx="64">
                  <c:v>1002</c:v>
                </c:pt>
                <c:pt idx="65">
                  <c:v>998</c:v>
                </c:pt>
                <c:pt idx="66">
                  <c:v>1021</c:v>
                </c:pt>
                <c:pt idx="67">
                  <c:v>1057</c:v>
                </c:pt>
                <c:pt idx="68">
                  <c:v>1176</c:v>
                </c:pt>
                <c:pt idx="69">
                  <c:v>1201</c:v>
                </c:pt>
                <c:pt idx="70">
                  <c:v>1239</c:v>
                </c:pt>
                <c:pt idx="71">
                  <c:v>1293</c:v>
                </c:pt>
                <c:pt idx="72">
                  <c:v>1293</c:v>
                </c:pt>
                <c:pt idx="73">
                  <c:v>1328</c:v>
                </c:pt>
                <c:pt idx="74">
                  <c:v>1161</c:v>
                </c:pt>
                <c:pt idx="75">
                  <c:v>1123</c:v>
                </c:pt>
                <c:pt idx="76">
                  <c:v>1145</c:v>
                </c:pt>
                <c:pt idx="77">
                  <c:v>1287</c:v>
                </c:pt>
                <c:pt idx="78">
                  <c:v>1329</c:v>
                </c:pt>
                <c:pt idx="79">
                  <c:v>1394</c:v>
                </c:pt>
                <c:pt idx="80">
                  <c:v>1411</c:v>
                </c:pt>
                <c:pt idx="81">
                  <c:v>1531</c:v>
                </c:pt>
                <c:pt idx="82">
                  <c:v>1491</c:v>
                </c:pt>
                <c:pt idx="83">
                  <c:v>1612</c:v>
                </c:pt>
                <c:pt idx="84">
                  <c:v>1790</c:v>
                </c:pt>
                <c:pt idx="85">
                  <c:v>1922</c:v>
                </c:pt>
                <c:pt idx="86">
                  <c:v>2103</c:v>
                </c:pt>
                <c:pt idx="87">
                  <c:v>2370</c:v>
                </c:pt>
                <c:pt idx="88">
                  <c:v>2728</c:v>
                </c:pt>
                <c:pt idx="89">
                  <c:v>3118</c:v>
                </c:pt>
                <c:pt idx="90">
                  <c:v>3517</c:v>
                </c:pt>
                <c:pt idx="91">
                  <c:v>4023</c:v>
                </c:pt>
                <c:pt idx="92">
                  <c:v>4559</c:v>
                </c:pt>
                <c:pt idx="93">
                  <c:v>5082</c:v>
                </c:pt>
                <c:pt idx="94">
                  <c:v>5626</c:v>
                </c:pt>
                <c:pt idx="95">
                  <c:v>6394</c:v>
                </c:pt>
                <c:pt idx="96">
                  <c:v>7309</c:v>
                </c:pt>
                <c:pt idx="97">
                  <c:v>8209</c:v>
                </c:pt>
                <c:pt idx="98">
                  <c:v>9178</c:v>
                </c:pt>
                <c:pt idx="99">
                  <c:v>10116</c:v>
                </c:pt>
                <c:pt idx="100">
                  <c:v>10541</c:v>
                </c:pt>
                <c:pt idx="101">
                  <c:v>11118</c:v>
                </c:pt>
                <c:pt idx="102">
                  <c:v>11887</c:v>
                </c:pt>
                <c:pt idx="103">
                  <c:v>13040</c:v>
                </c:pt>
                <c:pt idx="104">
                  <c:v>14296</c:v>
                </c:pt>
                <c:pt idx="105">
                  <c:v>15967</c:v>
                </c:pt>
                <c:pt idx="106">
                  <c:v>17139</c:v>
                </c:pt>
                <c:pt idx="107">
                  <c:v>18346</c:v>
                </c:pt>
                <c:pt idx="108">
                  <c:v>20913</c:v>
                </c:pt>
                <c:pt idx="109">
                  <c:v>22307</c:v>
                </c:pt>
                <c:pt idx="110">
                  <c:v>23935</c:v>
                </c:pt>
                <c:pt idx="111">
                  <c:v>24965</c:v>
                </c:pt>
                <c:pt idx="112">
                  <c:v>26102</c:v>
                </c:pt>
                <c:pt idx="113">
                  <c:v>28069</c:v>
                </c:pt>
                <c:pt idx="114">
                  <c:v>29795</c:v>
                </c:pt>
                <c:pt idx="115">
                  <c:v>30942</c:v>
                </c:pt>
                <c:pt idx="116">
                  <c:v>32559</c:v>
                </c:pt>
                <c:pt idx="117">
                  <c:v>33776</c:v>
                </c:pt>
                <c:pt idx="118">
                  <c:v>35776</c:v>
                </c:pt>
                <c:pt idx="119">
                  <c:v>36779</c:v>
                </c:pt>
                <c:pt idx="120">
                  <c:v>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D-4E27-8E16-DA672E496E9F}"/>
            </c:ext>
          </c:extLst>
        </c:ser>
        <c:ser>
          <c:idx val="4"/>
          <c:order val="4"/>
          <c:tx>
            <c:strRef>
              <c:f>R0_estimation!$AU$16</c:f>
              <c:strCache>
                <c:ptCount val="1"/>
                <c:pt idx="0">
                  <c:v>Limpopo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R0_estimation!$AU$18:$AU$138</c:f>
              <c:numCache>
                <c:formatCode>General</c:formatCode>
                <c:ptCount val="121"/>
                <c:pt idx="0">
                  <c:v>11</c:v>
                </c:pt>
                <c:pt idx="1">
                  <c:v>12</c:v>
                </c:pt>
                <c:pt idx="2">
                  <c:v>10</c:v>
                </c:pt>
                <c:pt idx="3">
                  <c:v>13</c:v>
                </c:pt>
                <c:pt idx="4">
                  <c:v>13</c:v>
                </c:pt>
                <c:pt idx="5">
                  <c:v>15</c:v>
                </c:pt>
                <c:pt idx="6">
                  <c:v>15</c:v>
                </c:pt>
                <c:pt idx="7">
                  <c:v>17</c:v>
                </c:pt>
                <c:pt idx="8">
                  <c:v>18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16</c:v>
                </c:pt>
                <c:pt idx="13">
                  <c:v>15.5</c:v>
                </c:pt>
                <c:pt idx="14">
                  <c:v>12</c:v>
                </c:pt>
                <c:pt idx="15">
                  <c:v>11</c:v>
                </c:pt>
                <c:pt idx="16">
                  <c:v>12</c:v>
                </c:pt>
                <c:pt idx="17">
                  <c:v>10</c:v>
                </c:pt>
                <c:pt idx="18">
                  <c:v>11</c:v>
                </c:pt>
                <c:pt idx="19">
                  <c:v>10</c:v>
                </c:pt>
                <c:pt idx="20">
                  <c:v>10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12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13</c:v>
                </c:pt>
                <c:pt idx="30">
                  <c:v>13</c:v>
                </c:pt>
                <c:pt idx="31">
                  <c:v>12</c:v>
                </c:pt>
                <c:pt idx="32">
                  <c:v>11</c:v>
                </c:pt>
                <c:pt idx="33">
                  <c:v>6</c:v>
                </c:pt>
                <c:pt idx="34">
                  <c:v>8</c:v>
                </c:pt>
                <c:pt idx="35">
                  <c:v>5</c:v>
                </c:pt>
                <c:pt idx="36">
                  <c:v>5</c:v>
                </c:pt>
                <c:pt idx="37">
                  <c:v>7</c:v>
                </c:pt>
                <c:pt idx="38">
                  <c:v>8</c:v>
                </c:pt>
                <c:pt idx="39">
                  <c:v>8</c:v>
                </c:pt>
                <c:pt idx="40">
                  <c:v>9</c:v>
                </c:pt>
                <c:pt idx="41">
                  <c:v>9</c:v>
                </c:pt>
                <c:pt idx="42">
                  <c:v>16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40</c:v>
                </c:pt>
                <c:pt idx="51">
                  <c:v>49</c:v>
                </c:pt>
                <c:pt idx="52">
                  <c:v>54</c:v>
                </c:pt>
                <c:pt idx="53">
                  <c:v>53</c:v>
                </c:pt>
                <c:pt idx="54">
                  <c:v>80</c:v>
                </c:pt>
                <c:pt idx="55">
                  <c:v>77</c:v>
                </c:pt>
                <c:pt idx="56">
                  <c:v>73</c:v>
                </c:pt>
                <c:pt idx="57">
                  <c:v>74</c:v>
                </c:pt>
                <c:pt idx="58">
                  <c:v>78</c:v>
                </c:pt>
                <c:pt idx="59">
                  <c:v>78</c:v>
                </c:pt>
                <c:pt idx="60">
                  <c:v>87</c:v>
                </c:pt>
                <c:pt idx="61">
                  <c:v>89</c:v>
                </c:pt>
                <c:pt idx="62">
                  <c:v>113</c:v>
                </c:pt>
                <c:pt idx="63">
                  <c:v>114</c:v>
                </c:pt>
                <c:pt idx="64">
                  <c:v>100</c:v>
                </c:pt>
                <c:pt idx="65">
                  <c:v>104</c:v>
                </c:pt>
                <c:pt idx="66">
                  <c:v>99</c:v>
                </c:pt>
                <c:pt idx="67">
                  <c:v>107</c:v>
                </c:pt>
                <c:pt idx="68">
                  <c:v>85</c:v>
                </c:pt>
                <c:pt idx="69">
                  <c:v>95</c:v>
                </c:pt>
                <c:pt idx="70">
                  <c:v>92</c:v>
                </c:pt>
                <c:pt idx="71">
                  <c:v>99</c:v>
                </c:pt>
                <c:pt idx="72">
                  <c:v>112</c:v>
                </c:pt>
                <c:pt idx="73">
                  <c:v>121</c:v>
                </c:pt>
                <c:pt idx="74">
                  <c:v>116</c:v>
                </c:pt>
                <c:pt idx="75">
                  <c:v>123</c:v>
                </c:pt>
                <c:pt idx="76">
                  <c:v>118</c:v>
                </c:pt>
                <c:pt idx="77">
                  <c:v>136</c:v>
                </c:pt>
                <c:pt idx="78">
                  <c:v>149</c:v>
                </c:pt>
                <c:pt idx="79">
                  <c:v>170</c:v>
                </c:pt>
                <c:pt idx="80">
                  <c:v>198</c:v>
                </c:pt>
                <c:pt idx="81">
                  <c:v>216</c:v>
                </c:pt>
                <c:pt idx="82">
                  <c:v>283</c:v>
                </c:pt>
                <c:pt idx="83">
                  <c:v>288</c:v>
                </c:pt>
                <c:pt idx="84">
                  <c:v>305</c:v>
                </c:pt>
                <c:pt idx="85">
                  <c:v>337</c:v>
                </c:pt>
                <c:pt idx="86">
                  <c:v>338</c:v>
                </c:pt>
                <c:pt idx="87">
                  <c:v>369</c:v>
                </c:pt>
                <c:pt idx="88">
                  <c:v>413</c:v>
                </c:pt>
                <c:pt idx="89">
                  <c:v>463</c:v>
                </c:pt>
                <c:pt idx="90">
                  <c:v>510</c:v>
                </c:pt>
                <c:pt idx="91">
                  <c:v>553</c:v>
                </c:pt>
                <c:pt idx="92">
                  <c:v>609</c:v>
                </c:pt>
                <c:pt idx="93">
                  <c:v>649</c:v>
                </c:pt>
                <c:pt idx="94">
                  <c:v>740</c:v>
                </c:pt>
                <c:pt idx="95">
                  <c:v>759</c:v>
                </c:pt>
                <c:pt idx="96">
                  <c:v>797</c:v>
                </c:pt>
                <c:pt idx="97">
                  <c:v>905</c:v>
                </c:pt>
                <c:pt idx="98">
                  <c:v>1038</c:v>
                </c:pt>
                <c:pt idx="99">
                  <c:v>1142</c:v>
                </c:pt>
                <c:pt idx="100">
                  <c:v>1203</c:v>
                </c:pt>
                <c:pt idx="101">
                  <c:v>1328</c:v>
                </c:pt>
                <c:pt idx="102">
                  <c:v>1461</c:v>
                </c:pt>
                <c:pt idx="103">
                  <c:v>1651</c:v>
                </c:pt>
                <c:pt idx="104">
                  <c:v>1781</c:v>
                </c:pt>
                <c:pt idx="105">
                  <c:v>1973</c:v>
                </c:pt>
                <c:pt idx="106">
                  <c:v>2079</c:v>
                </c:pt>
                <c:pt idx="107">
                  <c:v>2305</c:v>
                </c:pt>
                <c:pt idx="108">
                  <c:v>2327</c:v>
                </c:pt>
                <c:pt idx="109">
                  <c:v>2470</c:v>
                </c:pt>
                <c:pt idx="110">
                  <c:v>2597</c:v>
                </c:pt>
                <c:pt idx="111">
                  <c:v>2752</c:v>
                </c:pt>
                <c:pt idx="112">
                  <c:v>2931</c:v>
                </c:pt>
                <c:pt idx="113">
                  <c:v>3222</c:v>
                </c:pt>
                <c:pt idx="114">
                  <c:v>3371</c:v>
                </c:pt>
                <c:pt idx="115">
                  <c:v>3405</c:v>
                </c:pt>
                <c:pt idx="116">
                  <c:v>3581</c:v>
                </c:pt>
                <c:pt idx="117">
                  <c:v>3687</c:v>
                </c:pt>
                <c:pt idx="118">
                  <c:v>3815</c:v>
                </c:pt>
                <c:pt idx="119">
                  <c:v>3897</c:v>
                </c:pt>
                <c:pt idx="120">
                  <c:v>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D-4E27-8E16-DA672E496E9F}"/>
            </c:ext>
          </c:extLst>
        </c:ser>
        <c:ser>
          <c:idx val="5"/>
          <c:order val="5"/>
          <c:tx>
            <c:strRef>
              <c:f>R0_estimation!$BD$16</c:f>
              <c:strCache>
                <c:ptCount val="1"/>
                <c:pt idx="0">
                  <c:v>Mpumalanga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R0_estimation!$BD$18:$BD$138</c:f>
              <c:numCache>
                <c:formatCode>General</c:formatCode>
                <c:ptCount val="121"/>
                <c:pt idx="0">
                  <c:v>9</c:v>
                </c:pt>
                <c:pt idx="1">
                  <c:v>10</c:v>
                </c:pt>
                <c:pt idx="2">
                  <c:v>9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13</c:v>
                </c:pt>
                <c:pt idx="8">
                  <c:v>12</c:v>
                </c:pt>
                <c:pt idx="9">
                  <c:v>9</c:v>
                </c:pt>
                <c:pt idx="10">
                  <c:v>10.5</c:v>
                </c:pt>
                <c:pt idx="11">
                  <c:v>13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10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7</c:v>
                </c:pt>
                <c:pt idx="22">
                  <c:v>5</c:v>
                </c:pt>
                <c:pt idx="23">
                  <c:v>5</c:v>
                </c:pt>
                <c:pt idx="24">
                  <c:v>4.5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2</c:v>
                </c:pt>
                <c:pt idx="30">
                  <c:v>4</c:v>
                </c:pt>
                <c:pt idx="31">
                  <c:v>4</c:v>
                </c:pt>
                <c:pt idx="32">
                  <c:v>9</c:v>
                </c:pt>
                <c:pt idx="33">
                  <c:v>14</c:v>
                </c:pt>
                <c:pt idx="34">
                  <c:v>12</c:v>
                </c:pt>
                <c:pt idx="35">
                  <c:v>15</c:v>
                </c:pt>
                <c:pt idx="36">
                  <c:v>23</c:v>
                </c:pt>
                <c:pt idx="37">
                  <c:v>30</c:v>
                </c:pt>
                <c:pt idx="38">
                  <c:v>33</c:v>
                </c:pt>
                <c:pt idx="39">
                  <c:v>34</c:v>
                </c:pt>
                <c:pt idx="40">
                  <c:v>36</c:v>
                </c:pt>
                <c:pt idx="41">
                  <c:v>36</c:v>
                </c:pt>
                <c:pt idx="42">
                  <c:v>38</c:v>
                </c:pt>
                <c:pt idx="43">
                  <c:v>38</c:v>
                </c:pt>
                <c:pt idx="44">
                  <c:v>37</c:v>
                </c:pt>
                <c:pt idx="45">
                  <c:v>37</c:v>
                </c:pt>
                <c:pt idx="46">
                  <c:v>35</c:v>
                </c:pt>
                <c:pt idx="47">
                  <c:v>31</c:v>
                </c:pt>
                <c:pt idx="48">
                  <c:v>32</c:v>
                </c:pt>
                <c:pt idx="49">
                  <c:v>28</c:v>
                </c:pt>
                <c:pt idx="50">
                  <c:v>25</c:v>
                </c:pt>
                <c:pt idx="51">
                  <c:v>23</c:v>
                </c:pt>
                <c:pt idx="52">
                  <c:v>21</c:v>
                </c:pt>
                <c:pt idx="53">
                  <c:v>36</c:v>
                </c:pt>
                <c:pt idx="54">
                  <c:v>36</c:v>
                </c:pt>
                <c:pt idx="55">
                  <c:v>38</c:v>
                </c:pt>
                <c:pt idx="56">
                  <c:v>36</c:v>
                </c:pt>
                <c:pt idx="57">
                  <c:v>40</c:v>
                </c:pt>
                <c:pt idx="58">
                  <c:v>39</c:v>
                </c:pt>
                <c:pt idx="59">
                  <c:v>40</c:v>
                </c:pt>
                <c:pt idx="60">
                  <c:v>40</c:v>
                </c:pt>
                <c:pt idx="61">
                  <c:v>44</c:v>
                </c:pt>
                <c:pt idx="62">
                  <c:v>45</c:v>
                </c:pt>
                <c:pt idx="63">
                  <c:v>45</c:v>
                </c:pt>
                <c:pt idx="64">
                  <c:v>50</c:v>
                </c:pt>
                <c:pt idx="65">
                  <c:v>55</c:v>
                </c:pt>
                <c:pt idx="66">
                  <c:v>54</c:v>
                </c:pt>
                <c:pt idx="67">
                  <c:v>44</c:v>
                </c:pt>
                <c:pt idx="68">
                  <c:v>49</c:v>
                </c:pt>
                <c:pt idx="69">
                  <c:v>71</c:v>
                </c:pt>
                <c:pt idx="70">
                  <c:v>84</c:v>
                </c:pt>
                <c:pt idx="71">
                  <c:v>88</c:v>
                </c:pt>
                <c:pt idx="72">
                  <c:v>81</c:v>
                </c:pt>
                <c:pt idx="73">
                  <c:v>81</c:v>
                </c:pt>
                <c:pt idx="74">
                  <c:v>101</c:v>
                </c:pt>
                <c:pt idx="75">
                  <c:v>117</c:v>
                </c:pt>
                <c:pt idx="76">
                  <c:v>131</c:v>
                </c:pt>
                <c:pt idx="77">
                  <c:v>158</c:v>
                </c:pt>
                <c:pt idx="78">
                  <c:v>176</c:v>
                </c:pt>
                <c:pt idx="79">
                  <c:v>191</c:v>
                </c:pt>
                <c:pt idx="80">
                  <c:v>211</c:v>
                </c:pt>
                <c:pt idx="81">
                  <c:v>254</c:v>
                </c:pt>
                <c:pt idx="82">
                  <c:v>317</c:v>
                </c:pt>
                <c:pt idx="83">
                  <c:v>336</c:v>
                </c:pt>
                <c:pt idx="84">
                  <c:v>363</c:v>
                </c:pt>
                <c:pt idx="85">
                  <c:v>384</c:v>
                </c:pt>
                <c:pt idx="86">
                  <c:v>413</c:v>
                </c:pt>
                <c:pt idx="87">
                  <c:v>478</c:v>
                </c:pt>
                <c:pt idx="88">
                  <c:v>506</c:v>
                </c:pt>
                <c:pt idx="89">
                  <c:v>555</c:v>
                </c:pt>
                <c:pt idx="90">
                  <c:v>612</c:v>
                </c:pt>
                <c:pt idx="91">
                  <c:v>654</c:v>
                </c:pt>
                <c:pt idx="92">
                  <c:v>719</c:v>
                </c:pt>
                <c:pt idx="93">
                  <c:v>767</c:v>
                </c:pt>
                <c:pt idx="94">
                  <c:v>847</c:v>
                </c:pt>
                <c:pt idx="95">
                  <c:v>915</c:v>
                </c:pt>
                <c:pt idx="96">
                  <c:v>1017</c:v>
                </c:pt>
                <c:pt idx="97">
                  <c:v>1106</c:v>
                </c:pt>
                <c:pt idx="98">
                  <c:v>1274</c:v>
                </c:pt>
                <c:pt idx="99">
                  <c:v>1392</c:v>
                </c:pt>
                <c:pt idx="100">
                  <c:v>1577</c:v>
                </c:pt>
                <c:pt idx="101">
                  <c:v>1691</c:v>
                </c:pt>
                <c:pt idx="102">
                  <c:v>1815</c:v>
                </c:pt>
                <c:pt idx="103">
                  <c:v>2119</c:v>
                </c:pt>
                <c:pt idx="104">
                  <c:v>2418</c:v>
                </c:pt>
                <c:pt idx="105">
                  <c:v>2696</c:v>
                </c:pt>
                <c:pt idx="106">
                  <c:v>2961</c:v>
                </c:pt>
                <c:pt idx="107">
                  <c:v>3210</c:v>
                </c:pt>
                <c:pt idx="108">
                  <c:v>3386</c:v>
                </c:pt>
                <c:pt idx="109">
                  <c:v>3745</c:v>
                </c:pt>
                <c:pt idx="110">
                  <c:v>4094</c:v>
                </c:pt>
                <c:pt idx="111">
                  <c:v>4462</c:v>
                </c:pt>
                <c:pt idx="112">
                  <c:v>4826</c:v>
                </c:pt>
                <c:pt idx="113">
                  <c:v>5164</c:v>
                </c:pt>
                <c:pt idx="114">
                  <c:v>5069</c:v>
                </c:pt>
                <c:pt idx="115">
                  <c:v>5311</c:v>
                </c:pt>
                <c:pt idx="116">
                  <c:v>5758</c:v>
                </c:pt>
                <c:pt idx="117">
                  <c:v>6085</c:v>
                </c:pt>
                <c:pt idx="118">
                  <c:v>6483</c:v>
                </c:pt>
                <c:pt idx="119">
                  <c:v>6796</c:v>
                </c:pt>
                <c:pt idx="120">
                  <c:v>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D-4E27-8E16-DA672E496E9F}"/>
            </c:ext>
          </c:extLst>
        </c:ser>
        <c:ser>
          <c:idx val="6"/>
          <c:order val="6"/>
          <c:tx>
            <c:strRef>
              <c:f>R0_estimation!$BM$16</c:f>
              <c:strCache>
                <c:ptCount val="1"/>
                <c:pt idx="0">
                  <c:v>North West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R0_estimation!$BM$18:$BM$138</c:f>
              <c:numCache>
                <c:formatCode>General</c:formatCode>
                <c:ptCount val="121"/>
                <c:pt idx="0">
                  <c:v>6</c:v>
                </c:pt>
                <c:pt idx="1">
                  <c:v>6</c:v>
                </c:pt>
                <c:pt idx="2">
                  <c:v>3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11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19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15</c:v>
                </c:pt>
                <c:pt idx="21">
                  <c:v>13</c:v>
                </c:pt>
                <c:pt idx="22">
                  <c:v>13</c:v>
                </c:pt>
                <c:pt idx="23">
                  <c:v>14</c:v>
                </c:pt>
                <c:pt idx="24">
                  <c:v>11</c:v>
                </c:pt>
                <c:pt idx="25">
                  <c:v>8</c:v>
                </c:pt>
                <c:pt idx="26">
                  <c:v>10</c:v>
                </c:pt>
                <c:pt idx="27">
                  <c:v>7</c:v>
                </c:pt>
                <c:pt idx="28">
                  <c:v>9</c:v>
                </c:pt>
                <c:pt idx="29">
                  <c:v>9</c:v>
                </c:pt>
                <c:pt idx="30">
                  <c:v>6</c:v>
                </c:pt>
                <c:pt idx="31">
                  <c:v>7</c:v>
                </c:pt>
                <c:pt idx="32">
                  <c:v>6</c:v>
                </c:pt>
                <c:pt idx="33">
                  <c:v>7</c:v>
                </c:pt>
                <c:pt idx="34">
                  <c:v>11</c:v>
                </c:pt>
                <c:pt idx="35">
                  <c:v>11</c:v>
                </c:pt>
                <c:pt idx="36">
                  <c:v>12</c:v>
                </c:pt>
                <c:pt idx="37">
                  <c:v>10</c:v>
                </c:pt>
                <c:pt idx="38">
                  <c:v>11</c:v>
                </c:pt>
                <c:pt idx="39">
                  <c:v>14</c:v>
                </c:pt>
                <c:pt idx="40">
                  <c:v>15</c:v>
                </c:pt>
                <c:pt idx="41">
                  <c:v>17</c:v>
                </c:pt>
                <c:pt idx="42">
                  <c:v>13</c:v>
                </c:pt>
                <c:pt idx="43">
                  <c:v>17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34</c:v>
                </c:pt>
                <c:pt idx="51">
                  <c:v>37</c:v>
                </c:pt>
                <c:pt idx="52">
                  <c:v>37</c:v>
                </c:pt>
                <c:pt idx="53">
                  <c:v>35</c:v>
                </c:pt>
                <c:pt idx="54">
                  <c:v>37</c:v>
                </c:pt>
                <c:pt idx="55">
                  <c:v>38</c:v>
                </c:pt>
                <c:pt idx="56">
                  <c:v>40</c:v>
                </c:pt>
                <c:pt idx="57">
                  <c:v>49</c:v>
                </c:pt>
                <c:pt idx="58">
                  <c:v>59</c:v>
                </c:pt>
                <c:pt idx="59">
                  <c:v>64</c:v>
                </c:pt>
                <c:pt idx="60">
                  <c:v>76</c:v>
                </c:pt>
                <c:pt idx="61">
                  <c:v>76</c:v>
                </c:pt>
                <c:pt idx="62">
                  <c:v>80</c:v>
                </c:pt>
                <c:pt idx="63">
                  <c:v>98</c:v>
                </c:pt>
                <c:pt idx="64">
                  <c:v>105</c:v>
                </c:pt>
                <c:pt idx="65">
                  <c:v>115</c:v>
                </c:pt>
                <c:pt idx="66">
                  <c:v>199</c:v>
                </c:pt>
                <c:pt idx="67">
                  <c:v>242</c:v>
                </c:pt>
                <c:pt idx="68">
                  <c:v>287</c:v>
                </c:pt>
                <c:pt idx="69">
                  <c:v>329</c:v>
                </c:pt>
                <c:pt idx="70">
                  <c:v>387</c:v>
                </c:pt>
                <c:pt idx="71">
                  <c:v>429</c:v>
                </c:pt>
                <c:pt idx="72">
                  <c:v>471</c:v>
                </c:pt>
                <c:pt idx="73">
                  <c:v>489</c:v>
                </c:pt>
                <c:pt idx="74">
                  <c:v>529</c:v>
                </c:pt>
                <c:pt idx="75">
                  <c:v>623</c:v>
                </c:pt>
                <c:pt idx="76">
                  <c:v>722</c:v>
                </c:pt>
                <c:pt idx="77">
                  <c:v>815</c:v>
                </c:pt>
                <c:pt idx="78">
                  <c:v>922</c:v>
                </c:pt>
                <c:pt idx="79">
                  <c:v>990</c:v>
                </c:pt>
                <c:pt idx="80">
                  <c:v>1010</c:v>
                </c:pt>
                <c:pt idx="81">
                  <c:v>1088</c:v>
                </c:pt>
                <c:pt idx="82">
                  <c:v>1242</c:v>
                </c:pt>
                <c:pt idx="83">
                  <c:v>1349</c:v>
                </c:pt>
                <c:pt idx="84">
                  <c:v>1489</c:v>
                </c:pt>
                <c:pt idx="85">
                  <c:v>1625</c:v>
                </c:pt>
                <c:pt idx="86">
                  <c:v>1735</c:v>
                </c:pt>
                <c:pt idx="87">
                  <c:v>1850</c:v>
                </c:pt>
                <c:pt idx="88">
                  <c:v>1961</c:v>
                </c:pt>
                <c:pt idx="89">
                  <c:v>2208</c:v>
                </c:pt>
                <c:pt idx="90">
                  <c:v>2353</c:v>
                </c:pt>
                <c:pt idx="91">
                  <c:v>2477</c:v>
                </c:pt>
                <c:pt idx="92">
                  <c:v>2550</c:v>
                </c:pt>
                <c:pt idx="93">
                  <c:v>2754</c:v>
                </c:pt>
                <c:pt idx="94">
                  <c:v>2906</c:v>
                </c:pt>
                <c:pt idx="95">
                  <c:v>2991</c:v>
                </c:pt>
                <c:pt idx="96">
                  <c:v>3182</c:v>
                </c:pt>
                <c:pt idx="97">
                  <c:v>3410</c:v>
                </c:pt>
                <c:pt idx="98">
                  <c:v>3687</c:v>
                </c:pt>
                <c:pt idx="99">
                  <c:v>3915</c:v>
                </c:pt>
                <c:pt idx="100">
                  <c:v>4095</c:v>
                </c:pt>
                <c:pt idx="101">
                  <c:v>4388</c:v>
                </c:pt>
                <c:pt idx="102">
                  <c:v>4529</c:v>
                </c:pt>
                <c:pt idx="103">
                  <c:v>4905</c:v>
                </c:pt>
                <c:pt idx="104">
                  <c:v>5458</c:v>
                </c:pt>
                <c:pt idx="105">
                  <c:v>5964</c:v>
                </c:pt>
                <c:pt idx="106">
                  <c:v>6277</c:v>
                </c:pt>
                <c:pt idx="107">
                  <c:v>6594</c:v>
                </c:pt>
                <c:pt idx="108">
                  <c:v>6597</c:v>
                </c:pt>
                <c:pt idx="109">
                  <c:v>6832</c:v>
                </c:pt>
                <c:pt idx="110">
                  <c:v>7103</c:v>
                </c:pt>
                <c:pt idx="111">
                  <c:v>7554</c:v>
                </c:pt>
                <c:pt idx="112">
                  <c:v>7756</c:v>
                </c:pt>
                <c:pt idx="113">
                  <c:v>7943</c:v>
                </c:pt>
                <c:pt idx="114">
                  <c:v>7927</c:v>
                </c:pt>
                <c:pt idx="115">
                  <c:v>7792</c:v>
                </c:pt>
                <c:pt idx="116">
                  <c:v>7926</c:v>
                </c:pt>
                <c:pt idx="117">
                  <c:v>8031</c:v>
                </c:pt>
                <c:pt idx="118">
                  <c:v>7872</c:v>
                </c:pt>
                <c:pt idx="119">
                  <c:v>7524</c:v>
                </c:pt>
                <c:pt idx="120">
                  <c:v>7414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D-4E27-8E16-DA672E496E9F}"/>
            </c:ext>
          </c:extLst>
        </c:ser>
        <c:ser>
          <c:idx val="7"/>
          <c:order val="7"/>
          <c:tx>
            <c:strRef>
              <c:f>R0_estimation!$BV$16</c:f>
              <c:strCache>
                <c:ptCount val="1"/>
                <c:pt idx="0">
                  <c:v>Northern Cape</c:v>
                </c:pt>
              </c:strCache>
            </c:strRef>
          </c:tx>
          <c:spPr>
            <a:ln w="28575" cap="rnd">
              <a:solidFill>
                <a:srgbClr val="FF66FF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R0_estimation!$BV$18:$BV$138</c:f>
              <c:numCache>
                <c:formatCode>General</c:formatCode>
                <c:ptCount val="121"/>
                <c:pt idx="0">
                  <c:v>5</c:v>
                </c:pt>
                <c:pt idx="1">
                  <c:v>6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6</c:v>
                </c:pt>
                <c:pt idx="10">
                  <c:v>8.5</c:v>
                </c:pt>
                <c:pt idx="11">
                  <c:v>11</c:v>
                </c:pt>
                <c:pt idx="12">
                  <c:v>14</c:v>
                </c:pt>
                <c:pt idx="13">
                  <c:v>15</c:v>
                </c:pt>
                <c:pt idx="14">
                  <c:v>11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7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8</c:v>
                </c:pt>
                <c:pt idx="23">
                  <c:v>10</c:v>
                </c:pt>
                <c:pt idx="24">
                  <c:v>5.5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7</c:v>
                </c:pt>
                <c:pt idx="36">
                  <c:v>8</c:v>
                </c:pt>
                <c:pt idx="37">
                  <c:v>7</c:v>
                </c:pt>
                <c:pt idx="38">
                  <c:v>10</c:v>
                </c:pt>
                <c:pt idx="39">
                  <c:v>10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13</c:v>
                </c:pt>
                <c:pt idx="51">
                  <c:v>12</c:v>
                </c:pt>
                <c:pt idx="52">
                  <c:v>11</c:v>
                </c:pt>
                <c:pt idx="53">
                  <c:v>12</c:v>
                </c:pt>
                <c:pt idx="54">
                  <c:v>10</c:v>
                </c:pt>
                <c:pt idx="55">
                  <c:v>12</c:v>
                </c:pt>
                <c:pt idx="56">
                  <c:v>12</c:v>
                </c:pt>
                <c:pt idx="57">
                  <c:v>11</c:v>
                </c:pt>
                <c:pt idx="58">
                  <c:v>15</c:v>
                </c:pt>
                <c:pt idx="59">
                  <c:v>15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22</c:v>
                </c:pt>
                <c:pt idx="64">
                  <c:v>32</c:v>
                </c:pt>
                <c:pt idx="65">
                  <c:v>45</c:v>
                </c:pt>
                <c:pt idx="66">
                  <c:v>54</c:v>
                </c:pt>
                <c:pt idx="67">
                  <c:v>55</c:v>
                </c:pt>
                <c:pt idx="68">
                  <c:v>58</c:v>
                </c:pt>
                <c:pt idx="69">
                  <c:v>63</c:v>
                </c:pt>
                <c:pt idx="70">
                  <c:v>65</c:v>
                </c:pt>
                <c:pt idx="71">
                  <c:v>74</c:v>
                </c:pt>
                <c:pt idx="72">
                  <c:v>73</c:v>
                </c:pt>
                <c:pt idx="73">
                  <c:v>77</c:v>
                </c:pt>
                <c:pt idx="74">
                  <c:v>77</c:v>
                </c:pt>
                <c:pt idx="75">
                  <c:v>81</c:v>
                </c:pt>
                <c:pt idx="76">
                  <c:v>86</c:v>
                </c:pt>
                <c:pt idx="77">
                  <c:v>87</c:v>
                </c:pt>
                <c:pt idx="78">
                  <c:v>87</c:v>
                </c:pt>
                <c:pt idx="79">
                  <c:v>123</c:v>
                </c:pt>
                <c:pt idx="80">
                  <c:v>120</c:v>
                </c:pt>
                <c:pt idx="81">
                  <c:v>118</c:v>
                </c:pt>
                <c:pt idx="82">
                  <c:v>119</c:v>
                </c:pt>
                <c:pt idx="83">
                  <c:v>116</c:v>
                </c:pt>
                <c:pt idx="84">
                  <c:v>127</c:v>
                </c:pt>
                <c:pt idx="85">
                  <c:v>123</c:v>
                </c:pt>
                <c:pt idx="86">
                  <c:v>136</c:v>
                </c:pt>
                <c:pt idx="87">
                  <c:v>148</c:v>
                </c:pt>
                <c:pt idx="88">
                  <c:v>174</c:v>
                </c:pt>
                <c:pt idx="89">
                  <c:v>186</c:v>
                </c:pt>
                <c:pt idx="90">
                  <c:v>199</c:v>
                </c:pt>
                <c:pt idx="91">
                  <c:v>211</c:v>
                </c:pt>
                <c:pt idx="92">
                  <c:v>229</c:v>
                </c:pt>
                <c:pt idx="93">
                  <c:v>199</c:v>
                </c:pt>
                <c:pt idx="94">
                  <c:v>254</c:v>
                </c:pt>
                <c:pt idx="95">
                  <c:v>283</c:v>
                </c:pt>
                <c:pt idx="96">
                  <c:v>359</c:v>
                </c:pt>
                <c:pt idx="97">
                  <c:v>408</c:v>
                </c:pt>
                <c:pt idx="98">
                  <c:v>454</c:v>
                </c:pt>
                <c:pt idx="99">
                  <c:v>497</c:v>
                </c:pt>
                <c:pt idx="100">
                  <c:v>566</c:v>
                </c:pt>
                <c:pt idx="101">
                  <c:v>618</c:v>
                </c:pt>
                <c:pt idx="102">
                  <c:v>675</c:v>
                </c:pt>
                <c:pt idx="103">
                  <c:v>721</c:v>
                </c:pt>
                <c:pt idx="104">
                  <c:v>831</c:v>
                </c:pt>
                <c:pt idx="105">
                  <c:v>911</c:v>
                </c:pt>
                <c:pt idx="106">
                  <c:v>1016</c:v>
                </c:pt>
                <c:pt idx="107">
                  <c:v>1118</c:v>
                </c:pt>
                <c:pt idx="108">
                  <c:v>1114</c:v>
                </c:pt>
                <c:pt idx="109">
                  <c:v>1173</c:v>
                </c:pt>
                <c:pt idx="110">
                  <c:v>1258</c:v>
                </c:pt>
                <c:pt idx="111">
                  <c:v>1418</c:v>
                </c:pt>
                <c:pt idx="112">
                  <c:v>1511</c:v>
                </c:pt>
                <c:pt idx="113">
                  <c:v>1532</c:v>
                </c:pt>
                <c:pt idx="114">
                  <c:v>1531</c:v>
                </c:pt>
                <c:pt idx="115">
                  <c:v>1651</c:v>
                </c:pt>
                <c:pt idx="116">
                  <c:v>1753</c:v>
                </c:pt>
                <c:pt idx="117">
                  <c:v>1931</c:v>
                </c:pt>
                <c:pt idx="118">
                  <c:v>2007</c:v>
                </c:pt>
                <c:pt idx="119">
                  <c:v>2123</c:v>
                </c:pt>
                <c:pt idx="120">
                  <c:v>2199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9D-4E27-8E16-DA672E496E9F}"/>
            </c:ext>
          </c:extLst>
        </c:ser>
        <c:ser>
          <c:idx val="8"/>
          <c:order val="8"/>
          <c:tx>
            <c:strRef>
              <c:f>R0_estimation!$CE$16</c:f>
              <c:strCache>
                <c:ptCount val="1"/>
                <c:pt idx="0">
                  <c:v>Western Cape</c:v>
                </c:pt>
              </c:strCache>
            </c:strRef>
          </c:tx>
          <c:spPr>
            <a:ln w="28575" cap="rnd">
              <a:solidFill>
                <a:srgbClr val="009999"/>
              </a:solidFill>
              <a:prstDash val="solid"/>
              <a:round/>
            </a:ln>
          </c:spPr>
          <c:marker>
            <c:symbol val="none"/>
          </c:marker>
          <c:cat>
            <c:numRef>
              <c:f>R0_estimation!$A$18:$A$138</c:f>
              <c:numCache>
                <c:formatCode>d\-mmm\-yy</c:formatCode>
                <c:ptCount val="121"/>
                <c:pt idx="0">
                  <c:v>43918</c:v>
                </c:pt>
                <c:pt idx="1">
                  <c:v>43919</c:v>
                </c:pt>
                <c:pt idx="2">
                  <c:v>43920</c:v>
                </c:pt>
                <c:pt idx="3">
                  <c:v>43921</c:v>
                </c:pt>
                <c:pt idx="4">
                  <c:v>43922</c:v>
                </c:pt>
                <c:pt idx="5">
                  <c:v>43923</c:v>
                </c:pt>
                <c:pt idx="6">
                  <c:v>43924</c:v>
                </c:pt>
                <c:pt idx="7">
                  <c:v>43925</c:v>
                </c:pt>
                <c:pt idx="8">
                  <c:v>43926</c:v>
                </c:pt>
                <c:pt idx="9">
                  <c:v>43927</c:v>
                </c:pt>
                <c:pt idx="10">
                  <c:v>43928</c:v>
                </c:pt>
                <c:pt idx="11">
                  <c:v>43929</c:v>
                </c:pt>
                <c:pt idx="12">
                  <c:v>43930</c:v>
                </c:pt>
                <c:pt idx="13">
                  <c:v>43931</c:v>
                </c:pt>
                <c:pt idx="14">
                  <c:v>43932</c:v>
                </c:pt>
                <c:pt idx="15">
                  <c:v>43933</c:v>
                </c:pt>
                <c:pt idx="16">
                  <c:v>43934</c:v>
                </c:pt>
                <c:pt idx="17">
                  <c:v>43935</c:v>
                </c:pt>
                <c:pt idx="18">
                  <c:v>43936</c:v>
                </c:pt>
                <c:pt idx="19">
                  <c:v>43937</c:v>
                </c:pt>
                <c:pt idx="20">
                  <c:v>43938</c:v>
                </c:pt>
                <c:pt idx="21">
                  <c:v>43939</c:v>
                </c:pt>
                <c:pt idx="22">
                  <c:v>43940</c:v>
                </c:pt>
                <c:pt idx="23">
                  <c:v>43941</c:v>
                </c:pt>
                <c:pt idx="24">
                  <c:v>43942</c:v>
                </c:pt>
                <c:pt idx="25">
                  <c:v>43943</c:v>
                </c:pt>
                <c:pt idx="26">
                  <c:v>43944</c:v>
                </c:pt>
                <c:pt idx="27">
                  <c:v>43945</c:v>
                </c:pt>
                <c:pt idx="28">
                  <c:v>43946</c:v>
                </c:pt>
                <c:pt idx="29">
                  <c:v>43947</c:v>
                </c:pt>
                <c:pt idx="30">
                  <c:v>43948</c:v>
                </c:pt>
                <c:pt idx="31">
                  <c:v>43949</c:v>
                </c:pt>
                <c:pt idx="32">
                  <c:v>43950</c:v>
                </c:pt>
                <c:pt idx="33">
                  <c:v>43951</c:v>
                </c:pt>
                <c:pt idx="34">
                  <c:v>43952</c:v>
                </c:pt>
                <c:pt idx="35">
                  <c:v>43953</c:v>
                </c:pt>
                <c:pt idx="36">
                  <c:v>43954</c:v>
                </c:pt>
                <c:pt idx="37">
                  <c:v>43955</c:v>
                </c:pt>
                <c:pt idx="38">
                  <c:v>43956</c:v>
                </c:pt>
                <c:pt idx="39">
                  <c:v>43957</c:v>
                </c:pt>
                <c:pt idx="40">
                  <c:v>43958</c:v>
                </c:pt>
                <c:pt idx="41">
                  <c:v>43959</c:v>
                </c:pt>
                <c:pt idx="42">
                  <c:v>43960</c:v>
                </c:pt>
                <c:pt idx="43">
                  <c:v>43961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43967</c:v>
                </c:pt>
                <c:pt idx="50">
                  <c:v>43968</c:v>
                </c:pt>
                <c:pt idx="51">
                  <c:v>43969</c:v>
                </c:pt>
                <c:pt idx="52">
                  <c:v>43970</c:v>
                </c:pt>
                <c:pt idx="53">
                  <c:v>43971</c:v>
                </c:pt>
                <c:pt idx="54">
                  <c:v>43972</c:v>
                </c:pt>
                <c:pt idx="55">
                  <c:v>43973</c:v>
                </c:pt>
                <c:pt idx="56">
                  <c:v>43974</c:v>
                </c:pt>
                <c:pt idx="57">
                  <c:v>43975</c:v>
                </c:pt>
                <c:pt idx="58">
                  <c:v>43976</c:v>
                </c:pt>
                <c:pt idx="59">
                  <c:v>43977</c:v>
                </c:pt>
                <c:pt idx="60">
                  <c:v>43978</c:v>
                </c:pt>
                <c:pt idx="61">
                  <c:v>43979</c:v>
                </c:pt>
                <c:pt idx="62">
                  <c:v>43980</c:v>
                </c:pt>
                <c:pt idx="63">
                  <c:v>43981</c:v>
                </c:pt>
                <c:pt idx="64">
                  <c:v>43982</c:v>
                </c:pt>
                <c:pt idx="65">
                  <c:v>43983</c:v>
                </c:pt>
                <c:pt idx="66">
                  <c:v>43984</c:v>
                </c:pt>
                <c:pt idx="67">
                  <c:v>43985</c:v>
                </c:pt>
                <c:pt idx="68">
                  <c:v>43986</c:v>
                </c:pt>
                <c:pt idx="69">
                  <c:v>43987</c:v>
                </c:pt>
                <c:pt idx="70">
                  <c:v>43988</c:v>
                </c:pt>
                <c:pt idx="71">
                  <c:v>43989</c:v>
                </c:pt>
                <c:pt idx="72">
                  <c:v>43990</c:v>
                </c:pt>
                <c:pt idx="73">
                  <c:v>43991</c:v>
                </c:pt>
                <c:pt idx="74">
                  <c:v>43992</c:v>
                </c:pt>
                <c:pt idx="75">
                  <c:v>43993</c:v>
                </c:pt>
                <c:pt idx="76">
                  <c:v>43994</c:v>
                </c:pt>
                <c:pt idx="77">
                  <c:v>43995</c:v>
                </c:pt>
                <c:pt idx="78">
                  <c:v>43996</c:v>
                </c:pt>
                <c:pt idx="79">
                  <c:v>43997</c:v>
                </c:pt>
                <c:pt idx="80">
                  <c:v>43998</c:v>
                </c:pt>
                <c:pt idx="81">
                  <c:v>43999</c:v>
                </c:pt>
                <c:pt idx="82">
                  <c:v>44000</c:v>
                </c:pt>
                <c:pt idx="83">
                  <c:v>44001</c:v>
                </c:pt>
                <c:pt idx="84">
                  <c:v>44002</c:v>
                </c:pt>
                <c:pt idx="85">
                  <c:v>44003</c:v>
                </c:pt>
                <c:pt idx="86">
                  <c:v>44004</c:v>
                </c:pt>
                <c:pt idx="87">
                  <c:v>44005</c:v>
                </c:pt>
                <c:pt idx="88">
                  <c:v>44006</c:v>
                </c:pt>
                <c:pt idx="89">
                  <c:v>44007</c:v>
                </c:pt>
                <c:pt idx="90">
                  <c:v>44008</c:v>
                </c:pt>
                <c:pt idx="91">
                  <c:v>44009</c:v>
                </c:pt>
                <c:pt idx="92">
                  <c:v>44010</c:v>
                </c:pt>
                <c:pt idx="93">
                  <c:v>44011</c:v>
                </c:pt>
                <c:pt idx="94">
                  <c:v>44012</c:v>
                </c:pt>
                <c:pt idx="95">
                  <c:v>44013</c:v>
                </c:pt>
                <c:pt idx="96">
                  <c:v>44014</c:v>
                </c:pt>
                <c:pt idx="97">
                  <c:v>44015</c:v>
                </c:pt>
                <c:pt idx="98">
                  <c:v>44016</c:v>
                </c:pt>
                <c:pt idx="99">
                  <c:v>44017</c:v>
                </c:pt>
                <c:pt idx="100">
                  <c:v>44018</c:v>
                </c:pt>
                <c:pt idx="101">
                  <c:v>44019</c:v>
                </c:pt>
                <c:pt idx="102">
                  <c:v>44020</c:v>
                </c:pt>
                <c:pt idx="103">
                  <c:v>44021</c:v>
                </c:pt>
                <c:pt idx="104">
                  <c:v>44022</c:v>
                </c:pt>
                <c:pt idx="105">
                  <c:v>44023</c:v>
                </c:pt>
                <c:pt idx="106">
                  <c:v>44024</c:v>
                </c:pt>
                <c:pt idx="107">
                  <c:v>44025</c:v>
                </c:pt>
                <c:pt idx="108">
                  <c:v>44026</c:v>
                </c:pt>
                <c:pt idx="109">
                  <c:v>44027</c:v>
                </c:pt>
                <c:pt idx="110">
                  <c:v>44028</c:v>
                </c:pt>
                <c:pt idx="111">
                  <c:v>44029</c:v>
                </c:pt>
                <c:pt idx="112">
                  <c:v>44030</c:v>
                </c:pt>
                <c:pt idx="113">
                  <c:v>44031</c:v>
                </c:pt>
                <c:pt idx="114">
                  <c:v>44032</c:v>
                </c:pt>
                <c:pt idx="115">
                  <c:v>44033</c:v>
                </c:pt>
                <c:pt idx="116">
                  <c:v>44034</c:v>
                </c:pt>
                <c:pt idx="117">
                  <c:v>44035</c:v>
                </c:pt>
                <c:pt idx="118">
                  <c:v>44036</c:v>
                </c:pt>
                <c:pt idx="119">
                  <c:v>44037</c:v>
                </c:pt>
                <c:pt idx="120">
                  <c:v>44038</c:v>
                </c:pt>
              </c:numCache>
            </c:numRef>
          </c:cat>
          <c:val>
            <c:numRef>
              <c:f>R0_estimation!$CE$18:$CE$138</c:f>
              <c:numCache>
                <c:formatCode>General</c:formatCode>
                <c:ptCount val="121"/>
                <c:pt idx="0">
                  <c:v>262</c:v>
                </c:pt>
                <c:pt idx="1">
                  <c:v>296</c:v>
                </c:pt>
                <c:pt idx="2">
                  <c:v>308</c:v>
                </c:pt>
                <c:pt idx="3">
                  <c:v>304</c:v>
                </c:pt>
                <c:pt idx="4">
                  <c:v>295</c:v>
                </c:pt>
                <c:pt idx="5">
                  <c:v>307</c:v>
                </c:pt>
                <c:pt idx="6">
                  <c:v>318</c:v>
                </c:pt>
                <c:pt idx="7">
                  <c:v>359</c:v>
                </c:pt>
                <c:pt idx="8">
                  <c:v>366</c:v>
                </c:pt>
                <c:pt idx="9">
                  <c:v>362</c:v>
                </c:pt>
                <c:pt idx="10">
                  <c:v>365.5</c:v>
                </c:pt>
                <c:pt idx="11">
                  <c:v>312</c:v>
                </c:pt>
                <c:pt idx="12">
                  <c:v>286</c:v>
                </c:pt>
                <c:pt idx="13">
                  <c:v>291</c:v>
                </c:pt>
                <c:pt idx="14">
                  <c:v>275</c:v>
                </c:pt>
                <c:pt idx="15">
                  <c:v>277</c:v>
                </c:pt>
                <c:pt idx="16">
                  <c:v>293</c:v>
                </c:pt>
                <c:pt idx="17">
                  <c:v>318</c:v>
                </c:pt>
                <c:pt idx="18">
                  <c:v>331</c:v>
                </c:pt>
                <c:pt idx="19">
                  <c:v>322</c:v>
                </c:pt>
                <c:pt idx="20">
                  <c:v>343</c:v>
                </c:pt>
                <c:pt idx="21">
                  <c:v>405</c:v>
                </c:pt>
                <c:pt idx="22">
                  <c:v>414</c:v>
                </c:pt>
                <c:pt idx="23">
                  <c:v>486</c:v>
                </c:pt>
                <c:pt idx="24">
                  <c:v>536.5</c:v>
                </c:pt>
                <c:pt idx="25">
                  <c:v>630</c:v>
                </c:pt>
                <c:pt idx="26">
                  <c:v>784</c:v>
                </c:pt>
                <c:pt idx="27">
                  <c:v>894</c:v>
                </c:pt>
                <c:pt idx="28">
                  <c:v>968</c:v>
                </c:pt>
                <c:pt idx="29">
                  <c:v>1021</c:v>
                </c:pt>
                <c:pt idx="30">
                  <c:v>1120</c:v>
                </c:pt>
                <c:pt idx="31">
                  <c:v>1227</c:v>
                </c:pt>
                <c:pt idx="32">
                  <c:v>1478</c:v>
                </c:pt>
                <c:pt idx="33">
                  <c:v>1667</c:v>
                </c:pt>
                <c:pt idx="34">
                  <c:v>1790</c:v>
                </c:pt>
                <c:pt idx="35">
                  <c:v>1862</c:v>
                </c:pt>
                <c:pt idx="36">
                  <c:v>2176</c:v>
                </c:pt>
                <c:pt idx="37">
                  <c:v>2414</c:v>
                </c:pt>
                <c:pt idx="38">
                  <c:v>2594</c:v>
                </c:pt>
                <c:pt idx="39">
                  <c:v>2635</c:v>
                </c:pt>
                <c:pt idx="40">
                  <c:v>2695</c:v>
                </c:pt>
                <c:pt idx="41">
                  <c:v>3062</c:v>
                </c:pt>
                <c:pt idx="42">
                  <c:v>3295</c:v>
                </c:pt>
                <c:pt idx="43">
                  <c:v>3560</c:v>
                </c:pt>
                <c:pt idx="44">
                  <c:v>3884</c:v>
                </c:pt>
                <c:pt idx="45">
                  <c:v>4235</c:v>
                </c:pt>
                <c:pt idx="46">
                  <c:v>4578</c:v>
                </c:pt>
                <c:pt idx="47">
                  <c:v>4893</c:v>
                </c:pt>
                <c:pt idx="48">
                  <c:v>5291</c:v>
                </c:pt>
                <c:pt idx="49">
                  <c:v>5704</c:v>
                </c:pt>
                <c:pt idx="50">
                  <c:v>6250</c:v>
                </c:pt>
                <c:pt idx="51">
                  <c:v>6673</c:v>
                </c:pt>
                <c:pt idx="52">
                  <c:v>7030</c:v>
                </c:pt>
                <c:pt idx="53">
                  <c:v>7312</c:v>
                </c:pt>
                <c:pt idx="54">
                  <c:v>8159</c:v>
                </c:pt>
                <c:pt idx="55">
                  <c:v>8391</c:v>
                </c:pt>
                <c:pt idx="56">
                  <c:v>9017</c:v>
                </c:pt>
                <c:pt idx="57">
                  <c:v>9572</c:v>
                </c:pt>
                <c:pt idx="58">
                  <c:v>9775</c:v>
                </c:pt>
                <c:pt idx="59">
                  <c:v>9724</c:v>
                </c:pt>
                <c:pt idx="60">
                  <c:v>10270</c:v>
                </c:pt>
                <c:pt idx="61">
                  <c:v>10519</c:v>
                </c:pt>
                <c:pt idx="62">
                  <c:v>11108</c:v>
                </c:pt>
                <c:pt idx="63">
                  <c:v>11756</c:v>
                </c:pt>
                <c:pt idx="64">
                  <c:v>12088</c:v>
                </c:pt>
                <c:pt idx="65">
                  <c:v>12532</c:v>
                </c:pt>
                <c:pt idx="66">
                  <c:v>12944</c:v>
                </c:pt>
                <c:pt idx="67">
                  <c:v>13585</c:v>
                </c:pt>
                <c:pt idx="68">
                  <c:v>14853</c:v>
                </c:pt>
                <c:pt idx="69">
                  <c:v>15919</c:v>
                </c:pt>
                <c:pt idx="70">
                  <c:v>16553</c:v>
                </c:pt>
                <c:pt idx="71">
                  <c:v>17084</c:v>
                </c:pt>
                <c:pt idx="72">
                  <c:v>18172</c:v>
                </c:pt>
                <c:pt idx="73">
                  <c:v>18990</c:v>
                </c:pt>
                <c:pt idx="74">
                  <c:v>19038</c:v>
                </c:pt>
                <c:pt idx="75">
                  <c:v>19668</c:v>
                </c:pt>
                <c:pt idx="76">
                  <c:v>20020</c:v>
                </c:pt>
                <c:pt idx="77">
                  <c:v>20445</c:v>
                </c:pt>
                <c:pt idx="78">
                  <c:v>21157</c:v>
                </c:pt>
                <c:pt idx="79">
                  <c:v>21576</c:v>
                </c:pt>
                <c:pt idx="80">
                  <c:v>21774</c:v>
                </c:pt>
                <c:pt idx="81">
                  <c:v>21898</c:v>
                </c:pt>
                <c:pt idx="82">
                  <c:v>20516</c:v>
                </c:pt>
                <c:pt idx="83">
                  <c:v>19899</c:v>
                </c:pt>
                <c:pt idx="84">
                  <c:v>19794</c:v>
                </c:pt>
                <c:pt idx="85">
                  <c:v>19617</c:v>
                </c:pt>
                <c:pt idx="86">
                  <c:v>18986</c:v>
                </c:pt>
                <c:pt idx="87">
                  <c:v>18693</c:v>
                </c:pt>
                <c:pt idx="88">
                  <c:v>19141</c:v>
                </c:pt>
                <c:pt idx="89">
                  <c:v>19358</c:v>
                </c:pt>
                <c:pt idx="90">
                  <c:v>19015</c:v>
                </c:pt>
                <c:pt idx="91">
                  <c:v>18710</c:v>
                </c:pt>
                <c:pt idx="92">
                  <c:v>17906</c:v>
                </c:pt>
                <c:pt idx="93">
                  <c:v>17232</c:v>
                </c:pt>
                <c:pt idx="94">
                  <c:v>17124</c:v>
                </c:pt>
                <c:pt idx="95">
                  <c:v>17822</c:v>
                </c:pt>
                <c:pt idx="96">
                  <c:v>18319</c:v>
                </c:pt>
                <c:pt idx="97">
                  <c:v>18230</c:v>
                </c:pt>
                <c:pt idx="98">
                  <c:v>18203</c:v>
                </c:pt>
                <c:pt idx="99">
                  <c:v>18090</c:v>
                </c:pt>
                <c:pt idx="100">
                  <c:v>18384</c:v>
                </c:pt>
                <c:pt idx="101">
                  <c:v>18644</c:v>
                </c:pt>
                <c:pt idx="102">
                  <c:v>18130</c:v>
                </c:pt>
                <c:pt idx="103">
                  <c:v>18035</c:v>
                </c:pt>
                <c:pt idx="104">
                  <c:v>18126</c:v>
                </c:pt>
                <c:pt idx="105">
                  <c:v>18021</c:v>
                </c:pt>
                <c:pt idx="106">
                  <c:v>17954</c:v>
                </c:pt>
                <c:pt idx="107">
                  <c:v>17969</c:v>
                </c:pt>
                <c:pt idx="108">
                  <c:v>17718</c:v>
                </c:pt>
                <c:pt idx="109">
                  <c:v>17179</c:v>
                </c:pt>
                <c:pt idx="110">
                  <c:v>17145</c:v>
                </c:pt>
                <c:pt idx="111">
                  <c:v>17318</c:v>
                </c:pt>
                <c:pt idx="112">
                  <c:v>17035</c:v>
                </c:pt>
                <c:pt idx="113">
                  <c:v>16395</c:v>
                </c:pt>
                <c:pt idx="114">
                  <c:v>14834</c:v>
                </c:pt>
                <c:pt idx="115">
                  <c:v>14173</c:v>
                </c:pt>
                <c:pt idx="116">
                  <c:v>14555</c:v>
                </c:pt>
                <c:pt idx="117">
                  <c:v>14113</c:v>
                </c:pt>
                <c:pt idx="118">
                  <c:v>13944</c:v>
                </c:pt>
                <c:pt idx="119">
                  <c:v>13697</c:v>
                </c:pt>
                <c:pt idx="120">
                  <c:v>13680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A9D-4E27-8E16-DA672E496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005248"/>
        <c:axId val="720193520"/>
      </c:lineChart>
      <c:dateAx>
        <c:axId val="488005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720193520"/>
        <c:crosses val="autoZero"/>
        <c:auto val="1"/>
        <c:lblOffset val="100"/>
        <c:baseTimeUnit val="days"/>
      </c:dateAx>
      <c:valAx>
        <c:axId val="7201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05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57246710140614"/>
          <c:y val="4.0366432795122399E-2"/>
          <c:w val="0.2156818284312399"/>
          <c:h val="0.94261343791170071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579909862408552E-2"/>
          <c:y val="3.2199044953738938E-2"/>
          <c:w val="0.76556081352196037"/>
          <c:h val="0.45847060759620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Admissions!$M$119</c:f>
              <c:strCache>
                <c:ptCount val="1"/>
                <c:pt idx="0">
                  <c:v>Eastern Cape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Admissions!$N$119:$W$119</c:f>
              <c:numCache>
                <c:formatCode>General</c:formatCode>
                <c:ptCount val="10"/>
                <c:pt idx="0">
                  <c:v>86</c:v>
                </c:pt>
                <c:pt idx="1">
                  <c:v>252</c:v>
                </c:pt>
                <c:pt idx="2">
                  <c:v>213</c:v>
                </c:pt>
                <c:pt idx="3">
                  <c:v>299</c:v>
                </c:pt>
                <c:pt idx="4">
                  <c:v>257</c:v>
                </c:pt>
                <c:pt idx="5">
                  <c:v>228</c:v>
                </c:pt>
                <c:pt idx="6">
                  <c:v>302</c:v>
                </c:pt>
                <c:pt idx="7">
                  <c:v>1516</c:v>
                </c:pt>
                <c:pt idx="8">
                  <c:v>725</c:v>
                </c:pt>
                <c:pt idx="9">
                  <c:v>2007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5-450F-AA88-56A79EE4D886}"/>
            </c:ext>
          </c:extLst>
        </c:ser>
        <c:ser>
          <c:idx val="1"/>
          <c:order val="1"/>
          <c:tx>
            <c:strRef>
              <c:f>Admissions!$M$120</c:f>
              <c:strCache>
                <c:ptCount val="1"/>
                <c:pt idx="0">
                  <c:v>Free State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Admissions!$N$120:$W$120</c:f>
              <c:numCache>
                <c:formatCode>General</c:formatCode>
                <c:ptCount val="10"/>
                <c:pt idx="0">
                  <c:v>38</c:v>
                </c:pt>
                <c:pt idx="1">
                  <c:v>50</c:v>
                </c:pt>
                <c:pt idx="2">
                  <c:v>89</c:v>
                </c:pt>
                <c:pt idx="3">
                  <c:v>183</c:v>
                </c:pt>
                <c:pt idx="4">
                  <c:v>280</c:v>
                </c:pt>
                <c:pt idx="5">
                  <c:v>368</c:v>
                </c:pt>
                <c:pt idx="6">
                  <c:v>657</c:v>
                </c:pt>
                <c:pt idx="7">
                  <c:v>754</c:v>
                </c:pt>
                <c:pt idx="8">
                  <c:v>533</c:v>
                </c:pt>
                <c:pt idx="9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5-450F-AA88-56A79EE4D886}"/>
            </c:ext>
          </c:extLst>
        </c:ser>
        <c:ser>
          <c:idx val="2"/>
          <c:order val="2"/>
          <c:tx>
            <c:strRef>
              <c:f>Admissions!$M$121</c:f>
              <c:strCache>
                <c:ptCount val="1"/>
                <c:pt idx="0">
                  <c:v>Gauteng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Admissions!$N$121:$W$121</c:f>
              <c:numCache>
                <c:formatCode>General</c:formatCode>
                <c:ptCount val="10"/>
                <c:pt idx="0">
                  <c:v>334</c:v>
                </c:pt>
                <c:pt idx="1">
                  <c:v>766</c:v>
                </c:pt>
                <c:pt idx="2">
                  <c:v>1011</c:v>
                </c:pt>
                <c:pt idx="3">
                  <c:v>1320</c:v>
                </c:pt>
                <c:pt idx="4">
                  <c:v>1961</c:v>
                </c:pt>
                <c:pt idx="5">
                  <c:v>1695</c:v>
                </c:pt>
                <c:pt idx="6">
                  <c:v>2049</c:v>
                </c:pt>
                <c:pt idx="7">
                  <c:v>3022</c:v>
                </c:pt>
                <c:pt idx="8">
                  <c:v>1583</c:v>
                </c:pt>
                <c:pt idx="9">
                  <c:v>1133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5-450F-AA88-56A79EE4D886}"/>
            </c:ext>
          </c:extLst>
        </c:ser>
        <c:ser>
          <c:idx val="3"/>
          <c:order val="3"/>
          <c:tx>
            <c:strRef>
              <c:f>Admissions!$M$122</c:f>
              <c:strCache>
                <c:ptCount val="1"/>
                <c:pt idx="0">
                  <c:v>Kwazulu-Natal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Admissions!$N$122:$W$122</c:f>
              <c:numCache>
                <c:formatCode>General</c:formatCode>
                <c:ptCount val="10"/>
                <c:pt idx="0">
                  <c:v>98</c:v>
                </c:pt>
                <c:pt idx="1">
                  <c:v>164</c:v>
                </c:pt>
                <c:pt idx="2">
                  <c:v>367</c:v>
                </c:pt>
                <c:pt idx="3">
                  <c:v>592</c:v>
                </c:pt>
                <c:pt idx="4">
                  <c:v>996</c:v>
                </c:pt>
                <c:pt idx="5">
                  <c:v>814</c:v>
                </c:pt>
                <c:pt idx="6">
                  <c:v>1813</c:v>
                </c:pt>
                <c:pt idx="7">
                  <c:v>1810</c:v>
                </c:pt>
                <c:pt idx="8">
                  <c:v>907</c:v>
                </c:pt>
                <c:pt idx="9">
                  <c:v>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15-450F-AA88-56A79EE4D886}"/>
            </c:ext>
          </c:extLst>
        </c:ser>
        <c:ser>
          <c:idx val="4"/>
          <c:order val="4"/>
          <c:tx>
            <c:strRef>
              <c:f>Admissions!$M$123</c:f>
              <c:strCache>
                <c:ptCount val="1"/>
                <c:pt idx="0">
                  <c:v>Limpopo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Admissions!$N$123:$W$123</c:f>
              <c:numCache>
                <c:formatCode>General</c:formatCode>
                <c:ptCount val="10"/>
                <c:pt idx="0">
                  <c:v>13</c:v>
                </c:pt>
                <c:pt idx="1">
                  <c:v>23</c:v>
                </c:pt>
                <c:pt idx="2">
                  <c:v>43</c:v>
                </c:pt>
                <c:pt idx="3">
                  <c:v>61</c:v>
                </c:pt>
                <c:pt idx="4">
                  <c:v>79</c:v>
                </c:pt>
                <c:pt idx="5">
                  <c:v>74</c:v>
                </c:pt>
                <c:pt idx="6">
                  <c:v>131</c:v>
                </c:pt>
                <c:pt idx="7">
                  <c:v>125</c:v>
                </c:pt>
                <c:pt idx="8">
                  <c:v>75</c:v>
                </c:pt>
                <c:pt idx="9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15-450F-AA88-56A79EE4D886}"/>
            </c:ext>
          </c:extLst>
        </c:ser>
        <c:ser>
          <c:idx val="5"/>
          <c:order val="5"/>
          <c:tx>
            <c:strRef>
              <c:f>Admissions!$M$124</c:f>
              <c:strCache>
                <c:ptCount val="1"/>
                <c:pt idx="0">
                  <c:v>Mpumalanga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Admissions!$N$124:$W$124</c:f>
              <c:numCache>
                <c:formatCode>General</c:formatCode>
                <c:ptCount val="10"/>
                <c:pt idx="0">
                  <c:v>11</c:v>
                </c:pt>
                <c:pt idx="1">
                  <c:v>15</c:v>
                </c:pt>
                <c:pt idx="2">
                  <c:v>34</c:v>
                </c:pt>
                <c:pt idx="3">
                  <c:v>48</c:v>
                </c:pt>
                <c:pt idx="4">
                  <c:v>95</c:v>
                </c:pt>
                <c:pt idx="5">
                  <c:v>61</c:v>
                </c:pt>
                <c:pt idx="6">
                  <c:v>211</c:v>
                </c:pt>
                <c:pt idx="7">
                  <c:v>326</c:v>
                </c:pt>
                <c:pt idx="8">
                  <c:v>242</c:v>
                </c:pt>
                <c:pt idx="9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15-450F-AA88-56A79EE4D886}"/>
            </c:ext>
          </c:extLst>
        </c:ser>
        <c:ser>
          <c:idx val="6"/>
          <c:order val="6"/>
          <c:tx>
            <c:strRef>
              <c:f>Admissions!$M$125</c:f>
              <c:strCache>
                <c:ptCount val="1"/>
                <c:pt idx="0">
                  <c:v>North West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Admissions!$N$125:$W$125</c:f>
              <c:numCache>
                <c:formatCode>General</c:formatCode>
                <c:ptCount val="10"/>
                <c:pt idx="0">
                  <c:v>84</c:v>
                </c:pt>
                <c:pt idx="1">
                  <c:v>75</c:v>
                </c:pt>
                <c:pt idx="2">
                  <c:v>121</c:v>
                </c:pt>
                <c:pt idx="3">
                  <c:v>180</c:v>
                </c:pt>
                <c:pt idx="4">
                  <c:v>197</c:v>
                </c:pt>
                <c:pt idx="5">
                  <c:v>189</c:v>
                </c:pt>
                <c:pt idx="6">
                  <c:v>276</c:v>
                </c:pt>
                <c:pt idx="7">
                  <c:v>600</c:v>
                </c:pt>
                <c:pt idx="8">
                  <c:v>175</c:v>
                </c:pt>
                <c:pt idx="9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15-450F-AA88-56A79EE4D886}"/>
            </c:ext>
          </c:extLst>
        </c:ser>
        <c:ser>
          <c:idx val="7"/>
          <c:order val="7"/>
          <c:tx>
            <c:strRef>
              <c:f>Admissions!$M$126</c:f>
              <c:strCache>
                <c:ptCount val="1"/>
                <c:pt idx="0">
                  <c:v>Northern Cape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Admissions!$N$126:$W$126</c:f>
              <c:numCache>
                <c:formatCode>General</c:formatCode>
                <c:ptCount val="10"/>
                <c:pt idx="0">
                  <c:v>4</c:v>
                </c:pt>
                <c:pt idx="1">
                  <c:v>7</c:v>
                </c:pt>
                <c:pt idx="2">
                  <c:v>15</c:v>
                </c:pt>
                <c:pt idx="3">
                  <c:v>42</c:v>
                </c:pt>
                <c:pt idx="4">
                  <c:v>62</c:v>
                </c:pt>
                <c:pt idx="5">
                  <c:v>70</c:v>
                </c:pt>
                <c:pt idx="6">
                  <c:v>145</c:v>
                </c:pt>
                <c:pt idx="7">
                  <c:v>90</c:v>
                </c:pt>
                <c:pt idx="8">
                  <c:v>85</c:v>
                </c:pt>
                <c:pt idx="9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15-450F-AA88-56A79EE4D886}"/>
            </c:ext>
          </c:extLst>
        </c:ser>
        <c:ser>
          <c:idx val="8"/>
          <c:order val="8"/>
          <c:tx>
            <c:strRef>
              <c:f>Admissions!$M$127</c:f>
              <c:strCache>
                <c:ptCount val="1"/>
                <c:pt idx="0">
                  <c:v>Western Cape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Admissions!$N$127:$W$127</c:f>
              <c:numCache>
                <c:formatCode>General</c:formatCode>
                <c:ptCount val="10"/>
                <c:pt idx="0">
                  <c:v>1242</c:v>
                </c:pt>
                <c:pt idx="1">
                  <c:v>1591</c:v>
                </c:pt>
                <c:pt idx="2">
                  <c:v>1629</c:v>
                </c:pt>
                <c:pt idx="3">
                  <c:v>1387</c:v>
                </c:pt>
                <c:pt idx="4">
                  <c:v>1181</c:v>
                </c:pt>
                <c:pt idx="5">
                  <c:v>936</c:v>
                </c:pt>
                <c:pt idx="6">
                  <c:v>1164</c:v>
                </c:pt>
                <c:pt idx="7">
                  <c:v>1390</c:v>
                </c:pt>
                <c:pt idx="8">
                  <c:v>773</c:v>
                </c:pt>
                <c:pt idx="9">
                  <c:v>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15-450F-AA88-56A79EE4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145024"/>
        <c:axId val="85228064"/>
      </c:barChart>
      <c:catAx>
        <c:axId val="517145024"/>
        <c:scaling>
          <c:orientation val="minMax"/>
        </c:scaling>
        <c:delete val="1"/>
        <c:axPos val="b"/>
        <c:numFmt formatCode="d\-mmm\-yy" sourceLinked="1"/>
        <c:majorTickMark val="none"/>
        <c:minorTickMark val="none"/>
        <c:tickLblPos val="nextTo"/>
        <c:crossAx val="85228064"/>
        <c:crosses val="autoZero"/>
        <c:auto val="0"/>
        <c:lblAlgn val="ctr"/>
        <c:lblOffset val="100"/>
        <c:noMultiLvlLbl val="0"/>
      </c:catAx>
      <c:valAx>
        <c:axId val="85228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Admissions!$M$131</c:f>
              <c:strCache>
                <c:ptCount val="1"/>
                <c:pt idx="0">
                  <c:v>Eastern Cape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Admissions!$N$131:$W$131</c:f>
              <c:numCache>
                <c:formatCode>General</c:formatCode>
                <c:ptCount val="10"/>
                <c:pt idx="0">
                  <c:v>-70</c:v>
                </c:pt>
                <c:pt idx="1">
                  <c:v>-140</c:v>
                </c:pt>
                <c:pt idx="2">
                  <c:v>-181</c:v>
                </c:pt>
                <c:pt idx="3">
                  <c:v>-226</c:v>
                </c:pt>
                <c:pt idx="4">
                  <c:v>-279</c:v>
                </c:pt>
                <c:pt idx="5">
                  <c:v>-197</c:v>
                </c:pt>
                <c:pt idx="6">
                  <c:v>-249</c:v>
                </c:pt>
                <c:pt idx="7">
                  <c:v>-1317</c:v>
                </c:pt>
                <c:pt idx="8">
                  <c:v>-668</c:v>
                </c:pt>
                <c:pt idx="9">
                  <c:v>-2191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F-4158-8E92-FE96C7204489}"/>
            </c:ext>
          </c:extLst>
        </c:ser>
        <c:ser>
          <c:idx val="1"/>
          <c:order val="1"/>
          <c:tx>
            <c:strRef>
              <c:f>Admissions!$M$132</c:f>
              <c:strCache>
                <c:ptCount val="1"/>
                <c:pt idx="0">
                  <c:v>Free State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Admissions!$N$132:$W$132</c:f>
              <c:numCache>
                <c:formatCode>General</c:formatCode>
                <c:ptCount val="10"/>
                <c:pt idx="0">
                  <c:v>-16</c:v>
                </c:pt>
                <c:pt idx="1">
                  <c:v>-24</c:v>
                </c:pt>
                <c:pt idx="2">
                  <c:v>-43</c:v>
                </c:pt>
                <c:pt idx="3">
                  <c:v>-96</c:v>
                </c:pt>
                <c:pt idx="4">
                  <c:v>-147</c:v>
                </c:pt>
                <c:pt idx="5">
                  <c:v>-204</c:v>
                </c:pt>
                <c:pt idx="6">
                  <c:v>-570</c:v>
                </c:pt>
                <c:pt idx="7">
                  <c:v>-650</c:v>
                </c:pt>
                <c:pt idx="8">
                  <c:v>-510</c:v>
                </c:pt>
                <c:pt idx="9">
                  <c:v>-650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DF-4158-8E92-FE96C7204489}"/>
            </c:ext>
          </c:extLst>
        </c:ser>
        <c:ser>
          <c:idx val="2"/>
          <c:order val="2"/>
          <c:tx>
            <c:strRef>
              <c:f>Admissions!$M$133</c:f>
              <c:strCache>
                <c:ptCount val="1"/>
                <c:pt idx="0">
                  <c:v>Gauteng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Admissions!$N$133:$W$133</c:f>
              <c:numCache>
                <c:formatCode>General</c:formatCode>
                <c:ptCount val="10"/>
                <c:pt idx="0">
                  <c:v>-155</c:v>
                </c:pt>
                <c:pt idx="1">
                  <c:v>-335</c:v>
                </c:pt>
                <c:pt idx="2">
                  <c:v>-545</c:v>
                </c:pt>
                <c:pt idx="3">
                  <c:v>-622</c:v>
                </c:pt>
                <c:pt idx="4">
                  <c:v>-1676</c:v>
                </c:pt>
                <c:pt idx="5">
                  <c:v>-1076</c:v>
                </c:pt>
                <c:pt idx="6">
                  <c:v>-2213</c:v>
                </c:pt>
                <c:pt idx="7">
                  <c:v>-3144</c:v>
                </c:pt>
                <c:pt idx="8">
                  <c:v>-1722</c:v>
                </c:pt>
                <c:pt idx="9">
                  <c:v>-1606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DF-4158-8E92-FE96C7204489}"/>
            </c:ext>
          </c:extLst>
        </c:ser>
        <c:ser>
          <c:idx val="3"/>
          <c:order val="3"/>
          <c:tx>
            <c:strRef>
              <c:f>Admissions!$M$134</c:f>
              <c:strCache>
                <c:ptCount val="1"/>
                <c:pt idx="0">
                  <c:v>Kwazulu-Natal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Admissions!$N$134:$W$134</c:f>
              <c:numCache>
                <c:formatCode>General</c:formatCode>
                <c:ptCount val="10"/>
                <c:pt idx="0">
                  <c:v>-40</c:v>
                </c:pt>
                <c:pt idx="1">
                  <c:v>-86</c:v>
                </c:pt>
                <c:pt idx="2">
                  <c:v>-110</c:v>
                </c:pt>
                <c:pt idx="3">
                  <c:v>-228</c:v>
                </c:pt>
                <c:pt idx="4">
                  <c:v>-707</c:v>
                </c:pt>
                <c:pt idx="5">
                  <c:v>-609</c:v>
                </c:pt>
                <c:pt idx="6">
                  <c:v>-1666</c:v>
                </c:pt>
                <c:pt idx="7">
                  <c:v>-1798</c:v>
                </c:pt>
                <c:pt idx="8">
                  <c:v>-1083</c:v>
                </c:pt>
                <c:pt idx="9">
                  <c:v>-1051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DF-4158-8E92-FE96C7204489}"/>
            </c:ext>
          </c:extLst>
        </c:ser>
        <c:ser>
          <c:idx val="4"/>
          <c:order val="4"/>
          <c:tx>
            <c:strRef>
              <c:f>Admissions!$M$135</c:f>
              <c:strCache>
                <c:ptCount val="1"/>
                <c:pt idx="0">
                  <c:v>Limpopo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Admissions!$N$135:$W$135</c:f>
              <c:numCache>
                <c:formatCode>General</c:formatCode>
                <c:ptCount val="10"/>
                <c:pt idx="0">
                  <c:v>-8</c:v>
                </c:pt>
                <c:pt idx="1">
                  <c:v>-21</c:v>
                </c:pt>
                <c:pt idx="2">
                  <c:v>-19</c:v>
                </c:pt>
                <c:pt idx="3">
                  <c:v>-41</c:v>
                </c:pt>
                <c:pt idx="4">
                  <c:v>-73</c:v>
                </c:pt>
                <c:pt idx="5">
                  <c:v>-47</c:v>
                </c:pt>
                <c:pt idx="6">
                  <c:v>-141</c:v>
                </c:pt>
                <c:pt idx="7">
                  <c:v>-101</c:v>
                </c:pt>
                <c:pt idx="8">
                  <c:v>-84</c:v>
                </c:pt>
                <c:pt idx="9">
                  <c:v>-105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DF-4158-8E92-FE96C7204489}"/>
            </c:ext>
          </c:extLst>
        </c:ser>
        <c:ser>
          <c:idx val="5"/>
          <c:order val="5"/>
          <c:tx>
            <c:strRef>
              <c:f>Admissions!$M$136</c:f>
              <c:strCache>
                <c:ptCount val="1"/>
                <c:pt idx="0">
                  <c:v>Mpumalanga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Admissions!$N$136:$W$136</c:f>
              <c:numCache>
                <c:formatCode>General</c:formatCode>
                <c:ptCount val="10"/>
                <c:pt idx="0">
                  <c:v>-5</c:v>
                </c:pt>
                <c:pt idx="1">
                  <c:v>-15</c:v>
                </c:pt>
                <c:pt idx="2">
                  <c:v>-16</c:v>
                </c:pt>
                <c:pt idx="3">
                  <c:v>-32</c:v>
                </c:pt>
                <c:pt idx="4">
                  <c:v>-68</c:v>
                </c:pt>
                <c:pt idx="5">
                  <c:v>-45</c:v>
                </c:pt>
                <c:pt idx="6">
                  <c:v>-174</c:v>
                </c:pt>
                <c:pt idx="7">
                  <c:v>-268</c:v>
                </c:pt>
                <c:pt idx="8">
                  <c:v>-228</c:v>
                </c:pt>
                <c:pt idx="9">
                  <c:v>-208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DF-4158-8E92-FE96C7204489}"/>
            </c:ext>
          </c:extLst>
        </c:ser>
        <c:ser>
          <c:idx val="6"/>
          <c:order val="6"/>
          <c:tx>
            <c:strRef>
              <c:f>Admissions!$M$137</c:f>
              <c:strCache>
                <c:ptCount val="1"/>
                <c:pt idx="0">
                  <c:v>North West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Admissions!$N$137:$W$137</c:f>
              <c:numCache>
                <c:formatCode>General</c:formatCode>
                <c:ptCount val="10"/>
                <c:pt idx="0">
                  <c:v>-33</c:v>
                </c:pt>
                <c:pt idx="1">
                  <c:v>-46</c:v>
                </c:pt>
                <c:pt idx="2">
                  <c:v>-62</c:v>
                </c:pt>
                <c:pt idx="3">
                  <c:v>-145</c:v>
                </c:pt>
                <c:pt idx="4">
                  <c:v>-187</c:v>
                </c:pt>
                <c:pt idx="5">
                  <c:v>-105</c:v>
                </c:pt>
                <c:pt idx="6">
                  <c:v>-289</c:v>
                </c:pt>
                <c:pt idx="7">
                  <c:v>-550</c:v>
                </c:pt>
                <c:pt idx="8">
                  <c:v>-217</c:v>
                </c:pt>
                <c:pt idx="9">
                  <c:v>-308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DF-4158-8E92-FE96C7204489}"/>
            </c:ext>
          </c:extLst>
        </c:ser>
        <c:ser>
          <c:idx val="7"/>
          <c:order val="7"/>
          <c:tx>
            <c:strRef>
              <c:f>Admissions!$M$138</c:f>
              <c:strCache>
                <c:ptCount val="1"/>
                <c:pt idx="0">
                  <c:v>Northern Cape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Admissions!$N$138:$W$138</c:f>
              <c:numCache>
                <c:formatCode>General</c:formatCode>
                <c:ptCount val="10"/>
                <c:pt idx="0">
                  <c:v>-4</c:v>
                </c:pt>
                <c:pt idx="1">
                  <c:v>-5</c:v>
                </c:pt>
                <c:pt idx="2">
                  <c:v>-10</c:v>
                </c:pt>
                <c:pt idx="3">
                  <c:v>-17</c:v>
                </c:pt>
                <c:pt idx="4">
                  <c:v>-46</c:v>
                </c:pt>
                <c:pt idx="5">
                  <c:v>-41</c:v>
                </c:pt>
                <c:pt idx="6">
                  <c:v>-123</c:v>
                </c:pt>
                <c:pt idx="7">
                  <c:v>-74</c:v>
                </c:pt>
                <c:pt idx="8">
                  <c:v>-92</c:v>
                </c:pt>
                <c:pt idx="9">
                  <c:v>-93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DF-4158-8E92-FE96C7204489}"/>
            </c:ext>
          </c:extLst>
        </c:ser>
        <c:ser>
          <c:idx val="8"/>
          <c:order val="8"/>
          <c:tx>
            <c:strRef>
              <c:f>Admissions!$M$139</c:f>
              <c:strCache>
                <c:ptCount val="1"/>
                <c:pt idx="0">
                  <c:v>Western Cape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Admissions!$N$139:$W$139</c:f>
              <c:numCache>
                <c:formatCode>General</c:formatCode>
                <c:ptCount val="10"/>
                <c:pt idx="0">
                  <c:v>-1016</c:v>
                </c:pt>
                <c:pt idx="1">
                  <c:v>-1260</c:v>
                </c:pt>
                <c:pt idx="2">
                  <c:v>-1684</c:v>
                </c:pt>
                <c:pt idx="3">
                  <c:v>-1409</c:v>
                </c:pt>
                <c:pt idx="4">
                  <c:v>-1252</c:v>
                </c:pt>
                <c:pt idx="5">
                  <c:v>-946</c:v>
                </c:pt>
                <c:pt idx="6">
                  <c:v>-1286</c:v>
                </c:pt>
                <c:pt idx="7">
                  <c:v>-1558</c:v>
                </c:pt>
                <c:pt idx="8">
                  <c:v>-842</c:v>
                </c:pt>
                <c:pt idx="9">
                  <c:v>-734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DF-4158-8E92-FE96C7204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145024"/>
        <c:axId val="85228064"/>
      </c:barChart>
      <c:catAx>
        <c:axId val="517145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28064"/>
        <c:crosses val="autoZero"/>
        <c:auto val="0"/>
        <c:lblAlgn val="ctr"/>
        <c:lblOffset val="100"/>
        <c:noMultiLvlLbl val="0"/>
      </c:catAx>
      <c:valAx>
        <c:axId val="85228064"/>
        <c:scaling>
          <c:orientation val="minMax"/>
          <c:min val="-25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4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579909862408552E-2"/>
          <c:y val="3.2199044953738938E-2"/>
          <c:w val="0.91779305359340158"/>
          <c:h val="0.951758478235521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Admissions!$M$128</c:f>
              <c:strCache>
                <c:ptCount val="1"/>
                <c:pt idx="0">
                  <c:v>South Africa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Admissions!$N$118:$W$118</c:f>
              <c:numCache>
                <c:formatCode>d\-mmm\-yy</c:formatCode>
                <c:ptCount val="10"/>
                <c:pt idx="0">
                  <c:v>43999</c:v>
                </c:pt>
                <c:pt idx="1">
                  <c:v>44006</c:v>
                </c:pt>
                <c:pt idx="2">
                  <c:v>44013</c:v>
                </c:pt>
                <c:pt idx="3">
                  <c:v>44020</c:v>
                </c:pt>
                <c:pt idx="4">
                  <c:v>44027</c:v>
                </c:pt>
                <c:pt idx="5">
                  <c:v>44034</c:v>
                </c:pt>
                <c:pt idx="6">
                  <c:v>44041</c:v>
                </c:pt>
                <c:pt idx="7">
                  <c:v>44048</c:v>
                </c:pt>
                <c:pt idx="8">
                  <c:v>44055</c:v>
                </c:pt>
                <c:pt idx="9">
                  <c:v>44062</c:v>
                </c:pt>
              </c:numCache>
            </c:numRef>
          </c:cat>
          <c:val>
            <c:numRef>
              <c:f>Admissions!$N$128:$W$128</c:f>
              <c:numCache>
                <c:formatCode>General</c:formatCode>
                <c:ptCount val="10"/>
                <c:pt idx="0">
                  <c:v>1910</c:v>
                </c:pt>
                <c:pt idx="1">
                  <c:v>2943</c:v>
                </c:pt>
                <c:pt idx="2">
                  <c:v>3522</c:v>
                </c:pt>
                <c:pt idx="3">
                  <c:v>4112</c:v>
                </c:pt>
                <c:pt idx="4">
                  <c:v>5108</c:v>
                </c:pt>
                <c:pt idx="5">
                  <c:v>4435</c:v>
                </c:pt>
                <c:pt idx="6">
                  <c:v>6748</c:v>
                </c:pt>
                <c:pt idx="7">
                  <c:v>9633</c:v>
                </c:pt>
                <c:pt idx="8">
                  <c:v>5098</c:v>
                </c:pt>
                <c:pt idx="9">
                  <c:v>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4-40FB-8AA8-A6271580F3F3}"/>
            </c:ext>
          </c:extLst>
        </c:ser>
        <c:ser>
          <c:idx val="1"/>
          <c:order val="1"/>
          <c:tx>
            <c:strRef>
              <c:f>Admissions!$M$140</c:f>
              <c:strCache>
                <c:ptCount val="1"/>
                <c:pt idx="0">
                  <c:v>South Africa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Admissions!$N$140:$W$140</c:f>
              <c:numCache>
                <c:formatCode>General</c:formatCode>
                <c:ptCount val="10"/>
                <c:pt idx="0">
                  <c:v>-1347</c:v>
                </c:pt>
                <c:pt idx="1">
                  <c:v>-1932</c:v>
                </c:pt>
                <c:pt idx="2">
                  <c:v>-2670</c:v>
                </c:pt>
                <c:pt idx="3">
                  <c:v>-2816</c:v>
                </c:pt>
                <c:pt idx="4">
                  <c:v>-4435</c:v>
                </c:pt>
                <c:pt idx="5">
                  <c:v>-3270</c:v>
                </c:pt>
                <c:pt idx="6">
                  <c:v>-6711</c:v>
                </c:pt>
                <c:pt idx="7">
                  <c:v>-9460</c:v>
                </c:pt>
                <c:pt idx="8">
                  <c:v>-5446</c:v>
                </c:pt>
                <c:pt idx="9">
                  <c:v>-6946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B4-40FB-8AA8-A6271580F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145024"/>
        <c:axId val="85228064"/>
      </c:barChart>
      <c:catAx>
        <c:axId val="517145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28064"/>
        <c:crosses val="autoZero"/>
        <c:auto val="0"/>
        <c:lblAlgn val="ctr"/>
        <c:lblOffset val="100"/>
        <c:noMultiLvlLbl val="0"/>
      </c:catAx>
      <c:valAx>
        <c:axId val="85228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4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0</xdr:rowOff>
    </xdr:from>
    <xdr:to>
      <xdr:col>9</xdr:col>
      <xdr:colOff>158750</xdr:colOff>
      <xdr:row>15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587375</xdr:colOff>
      <xdr:row>17</xdr:row>
      <xdr:rowOff>130175</xdr:rowOff>
    </xdr:from>
    <xdr:to>
      <xdr:col>16</xdr:col>
      <xdr:colOff>485339</xdr:colOff>
      <xdr:row>37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50800</xdr:colOff>
          <xdr:row>0</xdr:row>
          <xdr:rowOff>152400</xdr:rowOff>
        </xdr:from>
        <xdr:to>
          <xdr:col>42</xdr:col>
          <xdr:colOff>508000</xdr:colOff>
          <xdr:row>2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760411</xdr:colOff>
      <xdr:row>19</xdr:row>
      <xdr:rowOff>173037</xdr:rowOff>
    </xdr:from>
    <xdr:to>
      <xdr:col>31</xdr:col>
      <xdr:colOff>266699</xdr:colOff>
      <xdr:row>43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739776</xdr:colOff>
      <xdr:row>31</xdr:row>
      <xdr:rowOff>9525</xdr:rowOff>
    </xdr:from>
    <xdr:to>
      <xdr:col>30</xdr:col>
      <xdr:colOff>323850</xdr:colOff>
      <xdr:row>46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74610</xdr:colOff>
      <xdr:row>47</xdr:row>
      <xdr:rowOff>168275</xdr:rowOff>
    </xdr:from>
    <xdr:to>
      <xdr:col>31</xdr:col>
      <xdr:colOff>390523</xdr:colOff>
      <xdr:row>71</xdr:row>
      <xdr:rowOff>173038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yn King (RMB)" refreshedDate="44022.496317129633" createdVersion="6" refreshedVersion="6" minRefreshableVersion="3" recordCount="813" xr:uid="{F42163F8-B27E-41E7-83D4-FC5ABAA86E04}">
  <cacheSource type="worksheet">
    <worksheetSource ref="C1:I814" sheet="Hospitals"/>
  </cacheSource>
  <cacheFields count="7">
    <cacheField name="Province " numFmtId="0">
      <sharedItems count="9">
        <s v="Gauteng"/>
        <s v="North West"/>
        <s v="Northern Cape"/>
        <s v="Western Cape"/>
        <s v="Eastern Cape"/>
        <s v="Kwazulu-Natal"/>
        <s v="Mpumalanga"/>
        <s v="Free State"/>
        <s v="Limpopo"/>
      </sharedItems>
    </cacheField>
    <cacheField name="Province Code" numFmtId="0">
      <sharedItems count="9">
        <s v="GP"/>
        <s v="NW"/>
        <s v="NC"/>
        <s v="WC"/>
        <s v="EC"/>
        <s v="KZN"/>
        <s v="MP"/>
        <s v="FS"/>
        <s v="LP"/>
      </sharedItems>
    </cacheField>
    <cacheField name="DistrictMunicipality" numFmtId="0">
      <sharedItems/>
    </cacheField>
    <cacheField name="LocalMunicipality" numFmtId="0">
      <sharedItems/>
    </cacheField>
    <cacheField name="Hospital Type  " numFmtId="0">
      <sharedItems count="15">
        <s v="Hospital "/>
        <s v="Psychiatric"/>
        <s v="Sub-Acute "/>
        <s v="Day Hospital "/>
        <s v="Opthalmology"/>
        <s v="Rehabilitation"/>
        <s v="Mining"/>
        <s v="Renal"/>
        <s v="District Hospital"/>
        <s v="Regional Hospital"/>
        <s v="National Central Hospital"/>
        <s v="Specialised Psychiatric Hospital"/>
        <s v="Provincial Tertiary Hospital"/>
        <s v="Specialised TB Hospital"/>
        <s v="Specialised Hospital Other"/>
      </sharedItems>
    </cacheField>
    <cacheField name="Total Beds" numFmtId="0">
      <sharedItems containsSemiMixedTypes="0" containsString="0" containsNumber="1" containsInteger="1" minValue="0" maxValue="2685"/>
    </cacheField>
    <cacheField name="ICU" numFmtId="0">
      <sharedItems containsSemiMixedTypes="0" containsString="0" containsNumber="1" containsInteger="1" minValue="0" maxValue="1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3">
  <r>
    <x v="0"/>
    <x v="0"/>
    <s v="City of Tshwane"/>
    <s v="City of Tshwane"/>
    <x v="0"/>
    <n v="139"/>
    <n v="27"/>
  </r>
  <r>
    <x v="0"/>
    <x v="0"/>
    <s v="City of Tshwane"/>
    <s v="City of Tshwane"/>
    <x v="1"/>
    <n v="60"/>
    <n v="0"/>
  </r>
  <r>
    <x v="0"/>
    <x v="0"/>
    <s v="Ekurhuleni"/>
    <s v="Ekurhuleni"/>
    <x v="0"/>
    <n v="200"/>
    <n v="14"/>
  </r>
  <r>
    <x v="0"/>
    <x v="0"/>
    <s v="West Rand"/>
    <s v="West Rand"/>
    <x v="0"/>
    <n v="163"/>
    <n v="6"/>
  </r>
  <r>
    <x v="0"/>
    <x v="0"/>
    <s v="City of Tshwane"/>
    <s v="City of Tshwane"/>
    <x v="2"/>
    <n v="30"/>
    <n v="0"/>
  </r>
  <r>
    <x v="0"/>
    <x v="0"/>
    <s v="City of Tshwane"/>
    <s v="City of Tshwane"/>
    <x v="2"/>
    <n v="21"/>
    <n v="0"/>
  </r>
  <r>
    <x v="0"/>
    <x v="0"/>
    <s v="City of Tshwane"/>
    <s v="City of Tshwane"/>
    <x v="0"/>
    <n v="125"/>
    <n v="11"/>
  </r>
  <r>
    <x v="0"/>
    <x v="0"/>
    <s v="Ekurhuleni"/>
    <s v="Ekurhuleni"/>
    <x v="3"/>
    <n v="15"/>
    <n v="0"/>
  </r>
  <r>
    <x v="0"/>
    <x v="0"/>
    <s v="City of Johannesburg"/>
    <s v="City of Johannesburg"/>
    <x v="4"/>
    <n v="10"/>
    <n v="0"/>
  </r>
  <r>
    <x v="0"/>
    <x v="0"/>
    <s v="City of Johannesburg"/>
    <s v="City of Johannesburg"/>
    <x v="3"/>
    <n v="11"/>
    <n v="0"/>
  </r>
  <r>
    <x v="0"/>
    <x v="0"/>
    <s v="City of Tshwane"/>
    <s v="City of Tshwane"/>
    <x v="4"/>
    <n v="60"/>
    <n v="1"/>
  </r>
  <r>
    <x v="0"/>
    <x v="0"/>
    <s v="City of Johannesburg"/>
    <s v="City of Johannesburg"/>
    <x v="4"/>
    <n v="2"/>
    <n v="0"/>
  </r>
  <r>
    <x v="0"/>
    <x v="0"/>
    <s v="City of Tshwane"/>
    <s v="City of Tshwane"/>
    <x v="4"/>
    <n v="10"/>
    <n v="0"/>
  </r>
  <r>
    <x v="0"/>
    <x v="0"/>
    <s v="City of Johannesburg"/>
    <s v="City of Johannesburg"/>
    <x v="4"/>
    <n v="4"/>
    <n v="0"/>
  </r>
  <r>
    <x v="0"/>
    <x v="0"/>
    <s v="Sedibeng"/>
    <s v="Sedibeng"/>
    <x v="4"/>
    <n v="20"/>
    <n v="0"/>
  </r>
  <r>
    <x v="0"/>
    <x v="0"/>
    <s v="Ekurhuleni"/>
    <s v="Ekurhuleni"/>
    <x v="2"/>
    <n v="30"/>
    <n v="0"/>
  </r>
  <r>
    <x v="0"/>
    <x v="0"/>
    <s v="City of Tshwane"/>
    <s v="City of Tshwane"/>
    <x v="3"/>
    <n v="10"/>
    <n v="0"/>
  </r>
  <r>
    <x v="0"/>
    <x v="0"/>
    <s v="Sedibeng"/>
    <s v="Sedibeng"/>
    <x v="0"/>
    <n v="124"/>
    <n v="6"/>
  </r>
  <r>
    <x v="0"/>
    <x v="0"/>
    <s v="City of Tshwane"/>
    <s v="City of Tshwane"/>
    <x v="0"/>
    <n v="240"/>
    <n v="35"/>
  </r>
  <r>
    <x v="0"/>
    <x v="0"/>
    <s v="West Rand"/>
    <s v="West Rand"/>
    <x v="0"/>
    <n v="177"/>
    <n v="12"/>
  </r>
  <r>
    <x v="0"/>
    <x v="0"/>
    <s v="Ekurhuleni"/>
    <s v="Ekurhuleni"/>
    <x v="0"/>
    <n v="94"/>
    <n v="10"/>
  </r>
  <r>
    <x v="0"/>
    <x v="0"/>
    <s v="City of Johannesburg"/>
    <s v="City of Johannesburg"/>
    <x v="0"/>
    <n v="254"/>
    <n v="32"/>
  </r>
  <r>
    <x v="0"/>
    <x v="0"/>
    <s v="City of Johannesburg"/>
    <s v="City of Johannesburg"/>
    <x v="2"/>
    <n v="20"/>
    <n v="0"/>
  </r>
  <r>
    <x v="0"/>
    <x v="0"/>
    <s v="Ekurhuleni"/>
    <s v="Ekurhuleni"/>
    <x v="4"/>
    <n v="4"/>
    <n v="0"/>
  </r>
  <r>
    <x v="0"/>
    <x v="0"/>
    <s v="Ekurhuleni"/>
    <s v="Ekurhuleni"/>
    <x v="3"/>
    <n v="33"/>
    <n v="0"/>
  </r>
  <r>
    <x v="0"/>
    <x v="0"/>
    <s v="City of Tshwane"/>
    <s v="City of Tshwane"/>
    <x v="3"/>
    <n v="20"/>
    <n v="0"/>
  </r>
  <r>
    <x v="0"/>
    <x v="0"/>
    <s v="City of Tshwane"/>
    <s v="City of Tshwane"/>
    <x v="1"/>
    <n v="41"/>
    <n v="0"/>
  </r>
  <r>
    <x v="0"/>
    <x v="0"/>
    <s v="Ekurhuleni"/>
    <s v="Ekurhuleni"/>
    <x v="3"/>
    <n v="8"/>
    <n v="0"/>
  </r>
  <r>
    <x v="0"/>
    <x v="0"/>
    <s v="City of Johannesburg"/>
    <s v="City of Johannesburg"/>
    <x v="3"/>
    <n v="20"/>
    <n v="0"/>
  </r>
  <r>
    <x v="0"/>
    <x v="0"/>
    <s v="City of Tshwane"/>
    <s v="City of Tshwane"/>
    <x v="1"/>
    <n v="170"/>
    <n v="0"/>
  </r>
  <r>
    <x v="0"/>
    <x v="0"/>
    <s v="Ekurhuleni"/>
    <s v="Ekurhuleni"/>
    <x v="3"/>
    <n v="21"/>
    <n v="0"/>
  </r>
  <r>
    <x v="0"/>
    <x v="0"/>
    <s v="City of Tshwane"/>
    <s v="City of Tshwane"/>
    <x v="0"/>
    <n v="100"/>
    <n v="10"/>
  </r>
  <r>
    <x v="0"/>
    <x v="0"/>
    <s v="Ekurhuleni"/>
    <s v="Ekurhuleni"/>
    <x v="0"/>
    <n v="170"/>
    <n v="20"/>
  </r>
  <r>
    <x v="0"/>
    <x v="0"/>
    <s v="City of Tshwane"/>
    <s v="City of Tshwane"/>
    <x v="2"/>
    <n v="30"/>
    <n v="0"/>
  </r>
  <r>
    <x v="0"/>
    <x v="0"/>
    <s v="Ekurhuleni"/>
    <s v="Ekurhuleni"/>
    <x v="2"/>
    <n v="20"/>
    <n v="0"/>
  </r>
  <r>
    <x v="0"/>
    <x v="0"/>
    <s v="City of Tshwane"/>
    <s v="City of Tshwane"/>
    <x v="3"/>
    <n v="20"/>
    <n v="0"/>
  </r>
  <r>
    <x v="0"/>
    <x v="0"/>
    <s v="City of Johannesburg"/>
    <s v="City of Johannesburg"/>
    <x v="2"/>
    <n v="42"/>
    <n v="0"/>
  </r>
  <r>
    <x v="0"/>
    <x v="0"/>
    <s v="City of Johannesburg"/>
    <s v="City of Johannesburg"/>
    <x v="0"/>
    <n v="343"/>
    <n v="46"/>
  </r>
  <r>
    <x v="0"/>
    <x v="0"/>
    <s v="City of Johannesburg"/>
    <s v="City of Johannesburg"/>
    <x v="3"/>
    <n v="24"/>
    <n v="0"/>
  </r>
  <r>
    <x v="0"/>
    <x v="0"/>
    <s v="Ekurhuleni"/>
    <s v="Ekurhuleni"/>
    <x v="1"/>
    <n v="80"/>
    <n v="0"/>
  </r>
  <r>
    <x v="0"/>
    <x v="0"/>
    <s v="West Rand"/>
    <s v="West Rand"/>
    <x v="1"/>
    <n v="51"/>
    <n v="0"/>
  </r>
  <r>
    <x v="0"/>
    <x v="0"/>
    <s v="City of Johannesburg"/>
    <s v="City of Johannesburg"/>
    <x v="1"/>
    <n v="41"/>
    <n v="0"/>
  </r>
  <r>
    <x v="0"/>
    <x v="0"/>
    <s v="Sedibeng"/>
    <s v="Sedibeng"/>
    <x v="2"/>
    <n v="42"/>
    <n v="0"/>
  </r>
  <r>
    <x v="0"/>
    <x v="0"/>
    <s v="City of Tshwane"/>
    <s v="City of Tshwane"/>
    <x v="0"/>
    <n v="369"/>
    <n v="50"/>
  </r>
  <r>
    <x v="0"/>
    <x v="0"/>
    <s v="City of Johannesburg"/>
    <s v="City of Johannesburg"/>
    <x v="0"/>
    <n v="219"/>
    <n v="29"/>
  </r>
  <r>
    <x v="0"/>
    <x v="0"/>
    <s v="Ekurhuleni"/>
    <s v="Ekurhuleni"/>
    <x v="0"/>
    <n v="329"/>
    <n v="36"/>
  </r>
  <r>
    <x v="0"/>
    <x v="0"/>
    <s v="Sedibeng"/>
    <s v="Sedibeng"/>
    <x v="0"/>
    <n v="96"/>
    <n v="10"/>
  </r>
  <r>
    <x v="0"/>
    <x v="0"/>
    <s v="Ekurhuleni"/>
    <s v="Ekurhuleni"/>
    <x v="0"/>
    <n v="251"/>
    <n v="38"/>
  </r>
  <r>
    <x v="0"/>
    <x v="0"/>
    <s v="City of Johannesburg"/>
    <s v="City of Johannesburg"/>
    <x v="5"/>
    <n v="41"/>
    <n v="0"/>
  </r>
  <r>
    <x v="0"/>
    <x v="0"/>
    <s v="West Rand"/>
    <s v="West Rand"/>
    <x v="0"/>
    <n v="139"/>
    <n v="12"/>
  </r>
  <r>
    <x v="0"/>
    <x v="0"/>
    <s v="Ekurhuleni"/>
    <s v="Ekurhuleni"/>
    <x v="0"/>
    <n v="133"/>
    <n v="16"/>
  </r>
  <r>
    <x v="0"/>
    <x v="0"/>
    <s v="City of Johannesburg"/>
    <s v="City of Johannesburg"/>
    <x v="1"/>
    <n v="76"/>
    <n v="0"/>
  </r>
  <r>
    <x v="0"/>
    <x v="0"/>
    <s v="City of Johannesburg"/>
    <s v="City of Johannesburg"/>
    <x v="0"/>
    <n v="240"/>
    <n v="26"/>
  </r>
  <r>
    <x v="0"/>
    <x v="0"/>
    <s v="City of Tshwane"/>
    <s v="City of Tshwane"/>
    <x v="3"/>
    <n v="13"/>
    <n v="0"/>
  </r>
  <r>
    <x v="0"/>
    <x v="0"/>
    <s v="City of Tshwane"/>
    <s v="City of Tshwane"/>
    <x v="0"/>
    <n v="370"/>
    <n v="39"/>
  </r>
  <r>
    <x v="0"/>
    <x v="0"/>
    <s v="City of Tshwane"/>
    <s v="City of Tshwane"/>
    <x v="0"/>
    <n v="89"/>
    <n v="9"/>
  </r>
  <r>
    <x v="0"/>
    <x v="0"/>
    <s v="City of Johannesburg"/>
    <s v="City of Johannesburg"/>
    <x v="0"/>
    <n v="339"/>
    <n v="58"/>
  </r>
  <r>
    <x v="0"/>
    <x v="0"/>
    <s v="City of Johannesburg"/>
    <s v="City of Johannesburg"/>
    <x v="0"/>
    <n v="199"/>
    <n v="37"/>
  </r>
  <r>
    <x v="0"/>
    <x v="0"/>
    <s v="City of Johannesburg"/>
    <s v="City of Johannesburg"/>
    <x v="1"/>
    <n v="87"/>
    <n v="0"/>
  </r>
  <r>
    <x v="0"/>
    <x v="0"/>
    <s v="City of Tshwane"/>
    <s v="City of Tshwane"/>
    <x v="0"/>
    <n v="219"/>
    <n v="21"/>
  </r>
  <r>
    <x v="0"/>
    <x v="0"/>
    <s v="Ekurhuleni"/>
    <s v="Ekurhuleni"/>
    <x v="0"/>
    <n v="99"/>
    <n v="8"/>
  </r>
  <r>
    <x v="0"/>
    <x v="0"/>
    <s v="Ekurhuleni"/>
    <s v="Ekurhuleni"/>
    <x v="0"/>
    <n v="149"/>
    <n v="18"/>
  </r>
  <r>
    <x v="0"/>
    <x v="0"/>
    <s v="City of Tshwane"/>
    <s v="City of Tshwane"/>
    <x v="3"/>
    <n v="31"/>
    <n v="0"/>
  </r>
  <r>
    <x v="0"/>
    <x v="0"/>
    <s v="City of Johannesburg"/>
    <s v="City of Johannesburg"/>
    <x v="0"/>
    <n v="153"/>
    <n v="18"/>
  </r>
  <r>
    <x v="0"/>
    <x v="0"/>
    <s v="City of Johannesburg"/>
    <s v="City of Johannesburg"/>
    <x v="0"/>
    <n v="15"/>
    <n v="0"/>
  </r>
  <r>
    <x v="0"/>
    <x v="0"/>
    <s v="City of Tshwane"/>
    <s v="City of Tshwane"/>
    <x v="5"/>
    <n v="21"/>
    <n v="0"/>
  </r>
  <r>
    <x v="0"/>
    <x v="0"/>
    <s v="City of Johannesburg"/>
    <s v="City of Johannesburg"/>
    <x v="5"/>
    <n v="76"/>
    <n v="0"/>
  </r>
  <r>
    <x v="0"/>
    <x v="0"/>
    <s v="City of Tshwane"/>
    <s v="City of Tshwane"/>
    <x v="0"/>
    <n v="8"/>
    <n v="0"/>
  </r>
  <r>
    <x v="0"/>
    <x v="0"/>
    <s v="City of Johannesburg"/>
    <s v="City of Johannesburg"/>
    <x v="1"/>
    <n v="46"/>
    <n v="0"/>
  </r>
  <r>
    <x v="0"/>
    <x v="0"/>
    <s v="City of Johannesburg"/>
    <s v="City of Johannesburg"/>
    <x v="0"/>
    <n v="200"/>
    <n v="30"/>
  </r>
  <r>
    <x v="0"/>
    <x v="0"/>
    <s v="Ekurhuleni"/>
    <s v="Ekurhuleni"/>
    <x v="0"/>
    <n v="170"/>
    <n v="25"/>
  </r>
  <r>
    <x v="0"/>
    <x v="0"/>
    <s v="City of Johannesburg"/>
    <s v="City of Johannesburg"/>
    <x v="3"/>
    <n v="24"/>
    <n v="0"/>
  </r>
  <r>
    <x v="0"/>
    <x v="0"/>
    <s v="City of Johannesburg"/>
    <s v="City of Johannesburg"/>
    <x v="0"/>
    <n v="363"/>
    <n v="37"/>
  </r>
  <r>
    <x v="0"/>
    <x v="0"/>
    <s v="West Rand"/>
    <s v="West Rand"/>
    <x v="0"/>
    <n v="265"/>
    <n v="36"/>
  </r>
  <r>
    <x v="0"/>
    <x v="0"/>
    <s v="City of Johannesburg"/>
    <s v="City of Johannesburg"/>
    <x v="0"/>
    <n v="283"/>
    <n v="25"/>
  </r>
  <r>
    <x v="0"/>
    <x v="0"/>
    <s v="City of Johannesburg"/>
    <s v="City of Johannesburg"/>
    <x v="0"/>
    <n v="48"/>
    <n v="13"/>
  </r>
  <r>
    <x v="0"/>
    <x v="0"/>
    <s v="City of Johannesburg"/>
    <s v="City of Johannesburg"/>
    <x v="0"/>
    <n v="456"/>
    <n v="117"/>
  </r>
  <r>
    <x v="0"/>
    <x v="0"/>
    <s v="City of Johannesburg"/>
    <s v="City of Johannesburg"/>
    <x v="0"/>
    <n v="216"/>
    <n v="28"/>
  </r>
  <r>
    <x v="0"/>
    <x v="0"/>
    <s v="City of Johannesburg"/>
    <s v="City of Johannesburg"/>
    <x v="0"/>
    <n v="265"/>
    <n v="33"/>
  </r>
  <r>
    <x v="0"/>
    <x v="0"/>
    <s v="City of Johannesburg"/>
    <s v="City of Johannesburg"/>
    <x v="0"/>
    <n v="204"/>
    <n v="23"/>
  </r>
  <r>
    <x v="0"/>
    <x v="0"/>
    <s v="West Rand"/>
    <s v="West Rand"/>
    <x v="0"/>
    <n v="131"/>
    <n v="15"/>
  </r>
  <r>
    <x v="0"/>
    <x v="0"/>
    <s v="City of Johannesburg"/>
    <s v="City of Johannesburg"/>
    <x v="5"/>
    <n v="128"/>
    <n v="0"/>
  </r>
  <r>
    <x v="0"/>
    <x v="0"/>
    <s v="City of Johannesburg"/>
    <s v="City of Johannesburg"/>
    <x v="0"/>
    <n v="128"/>
    <n v="6"/>
  </r>
  <r>
    <x v="0"/>
    <x v="0"/>
    <s v="City of Johannesburg"/>
    <s v="City of Johannesburg"/>
    <x v="0"/>
    <n v="279"/>
    <n v="87"/>
  </r>
  <r>
    <x v="0"/>
    <x v="0"/>
    <s v="Ekurhuleni"/>
    <s v="Ekurhuleni"/>
    <x v="0"/>
    <n v="222"/>
    <n v="45"/>
  </r>
  <r>
    <x v="0"/>
    <x v="0"/>
    <s v="Ekurhuleni"/>
    <s v="Ekurhuleni"/>
    <x v="0"/>
    <n v="29"/>
    <n v="0"/>
  </r>
  <r>
    <x v="0"/>
    <x v="0"/>
    <s v="Ekurhuleni"/>
    <s v="Ekurhuleni"/>
    <x v="0"/>
    <n v="214"/>
    <n v="27"/>
  </r>
  <r>
    <x v="0"/>
    <x v="0"/>
    <s v="Ekurhuleni"/>
    <s v="Ekurhuleni"/>
    <x v="0"/>
    <n v="203"/>
    <n v="22"/>
  </r>
  <r>
    <x v="0"/>
    <x v="0"/>
    <s v="Ekurhuleni"/>
    <s v="Ekurhuleni"/>
    <x v="0"/>
    <n v="175"/>
    <n v="21"/>
  </r>
  <r>
    <x v="0"/>
    <x v="0"/>
    <s v="City of Tshwane"/>
    <s v="City of Tshwane"/>
    <x v="0"/>
    <n v="475"/>
    <n v="78"/>
  </r>
  <r>
    <x v="0"/>
    <x v="0"/>
    <s v="City of Tshwane"/>
    <s v="City of Tshwane"/>
    <x v="0"/>
    <n v="358"/>
    <n v="41"/>
  </r>
  <r>
    <x v="0"/>
    <x v="0"/>
    <s v="City of Tshwane"/>
    <s v="City of Tshwane"/>
    <x v="0"/>
    <n v="130"/>
    <n v="7"/>
  </r>
  <r>
    <x v="0"/>
    <x v="0"/>
    <s v="City of Tshwane"/>
    <s v="City of Tshwane"/>
    <x v="0"/>
    <n v="134"/>
    <n v="23"/>
  </r>
  <r>
    <x v="0"/>
    <x v="0"/>
    <s v="City of Tshwane"/>
    <s v="City of Tshwane"/>
    <x v="0"/>
    <n v="92"/>
    <n v="12"/>
  </r>
  <r>
    <x v="0"/>
    <x v="0"/>
    <s v="City of Tshwane"/>
    <s v="City of Tshwane"/>
    <x v="0"/>
    <n v="60"/>
    <n v="4"/>
  </r>
  <r>
    <x v="0"/>
    <x v="0"/>
    <s v="City of Tshwane"/>
    <s v="City of Tshwane"/>
    <x v="0"/>
    <n v="162"/>
    <n v="20"/>
  </r>
  <r>
    <x v="0"/>
    <x v="0"/>
    <s v="City of Tshwane"/>
    <s v="City of Tshwane"/>
    <x v="0"/>
    <n v="212"/>
    <n v="30"/>
  </r>
  <r>
    <x v="0"/>
    <x v="0"/>
    <s v="Sedibeng"/>
    <s v="Sedibeng"/>
    <x v="0"/>
    <n v="267"/>
    <n v="20"/>
  </r>
  <r>
    <x v="0"/>
    <x v="0"/>
    <s v="City of Johannesburg"/>
    <s v="City of Johannesburg"/>
    <x v="0"/>
    <n v="301"/>
    <n v="36"/>
  </r>
  <r>
    <x v="0"/>
    <x v="0"/>
    <s v="City of Tshwane"/>
    <s v="City of Tshwane"/>
    <x v="0"/>
    <n v="279"/>
    <n v="46"/>
  </r>
  <r>
    <x v="0"/>
    <x v="0"/>
    <s v="City of Tshwane"/>
    <s v="City of Tshwane"/>
    <x v="0"/>
    <n v="209"/>
    <n v="24"/>
  </r>
  <r>
    <x v="0"/>
    <x v="0"/>
    <s v="City of Tshwane"/>
    <s v="City of Tshwane"/>
    <x v="0"/>
    <n v="156"/>
    <n v="14"/>
  </r>
  <r>
    <x v="0"/>
    <x v="0"/>
    <s v="City of Johannesburg"/>
    <s v="City of Johannesburg"/>
    <x v="0"/>
    <n v="176"/>
    <n v="20"/>
  </r>
  <r>
    <x v="0"/>
    <x v="0"/>
    <s v="City of Johannesburg"/>
    <s v="City of Johannesburg"/>
    <x v="0"/>
    <n v="230"/>
    <n v="35"/>
  </r>
  <r>
    <x v="0"/>
    <x v="0"/>
    <s v="City of Tshwane"/>
    <s v="City of Tshwane"/>
    <x v="0"/>
    <n v="206"/>
    <n v="20"/>
  </r>
  <r>
    <x v="0"/>
    <x v="0"/>
    <s v="City of Tshwane"/>
    <s v="City of Tshwane"/>
    <x v="0"/>
    <n v="53"/>
    <n v="5"/>
  </r>
  <r>
    <x v="0"/>
    <x v="0"/>
    <s v="City of Tshwane"/>
    <s v="City of Tshwane"/>
    <x v="0"/>
    <n v="90"/>
    <n v="33"/>
  </r>
  <r>
    <x v="0"/>
    <x v="0"/>
    <s v="Sedibeng"/>
    <s v="Sedibeng"/>
    <x v="0"/>
    <n v="155"/>
    <n v="16"/>
  </r>
  <r>
    <x v="0"/>
    <x v="0"/>
    <s v="City of Tshwane"/>
    <s v="City of Tshwane"/>
    <x v="5"/>
    <n v="16"/>
    <n v="0"/>
  </r>
  <r>
    <x v="0"/>
    <x v="0"/>
    <s v="City of Johannesburg"/>
    <s v="City of Johannesburg"/>
    <x v="2"/>
    <n v="30"/>
    <n v="0"/>
  </r>
  <r>
    <x v="0"/>
    <x v="0"/>
    <s v="City of Johannesburg"/>
    <s v="City of Johannesburg"/>
    <x v="0"/>
    <n v="131"/>
    <n v="19"/>
  </r>
  <r>
    <x v="0"/>
    <x v="0"/>
    <s v="Sedibeng"/>
    <s v="Sedibeng"/>
    <x v="0"/>
    <n v="153"/>
    <n v="20"/>
  </r>
  <r>
    <x v="0"/>
    <x v="0"/>
    <s v="City of Johannesburg"/>
    <s v="City of Johannesburg"/>
    <x v="0"/>
    <n v="155"/>
    <n v="18"/>
  </r>
  <r>
    <x v="0"/>
    <x v="0"/>
    <s v="City of Johannesburg"/>
    <s v="City of Johannesburg"/>
    <x v="0"/>
    <n v="249"/>
    <n v="34"/>
  </r>
  <r>
    <x v="0"/>
    <x v="0"/>
    <s v="City of Johannesburg"/>
    <s v="City of Johannesburg"/>
    <x v="0"/>
    <n v="515"/>
    <n v="0"/>
  </r>
  <r>
    <x v="0"/>
    <x v="0"/>
    <s v="City of Johannesburg"/>
    <s v="City of Johannesburg"/>
    <x v="0"/>
    <n v="210"/>
    <n v="21"/>
  </r>
  <r>
    <x v="0"/>
    <x v="0"/>
    <s v="City of Johannesburg"/>
    <s v="City of Johannesburg"/>
    <x v="3"/>
    <n v="30"/>
    <n v="0"/>
  </r>
  <r>
    <x v="0"/>
    <x v="0"/>
    <s v="City of Tshwane"/>
    <s v="City of Tshwane"/>
    <x v="0"/>
    <n v="12"/>
    <n v="0"/>
  </r>
  <r>
    <x v="0"/>
    <x v="0"/>
    <s v="Ekurhuleni"/>
    <s v="Ekurhuleni"/>
    <x v="0"/>
    <n v="94"/>
    <n v="14"/>
  </r>
  <r>
    <x v="0"/>
    <x v="0"/>
    <s v="City of Johannesburg"/>
    <s v="City of Johannesburg"/>
    <x v="1"/>
    <n v="74"/>
    <n v="0"/>
  </r>
  <r>
    <x v="0"/>
    <x v="0"/>
    <s v="City of Johannesburg"/>
    <s v="City of Johannesburg"/>
    <x v="1"/>
    <n v="65"/>
    <n v="0"/>
  </r>
  <r>
    <x v="0"/>
    <x v="0"/>
    <s v="City of Johannesburg"/>
    <s v="City of Johannesburg"/>
    <x v="1"/>
    <n v="70"/>
    <n v="0"/>
  </r>
  <r>
    <x v="0"/>
    <x v="0"/>
    <s v="City of Johannesburg"/>
    <s v="City of Johannesburg"/>
    <x v="4"/>
    <n v="16"/>
    <n v="0"/>
  </r>
  <r>
    <x v="0"/>
    <x v="0"/>
    <s v="City of Johannesburg"/>
    <s v="City of Johannesburg"/>
    <x v="3"/>
    <n v="20"/>
    <n v="0"/>
  </r>
  <r>
    <x v="0"/>
    <x v="0"/>
    <s v="City of Johannesburg"/>
    <s v="City of Johannesburg"/>
    <x v="2"/>
    <n v="37"/>
    <n v="0"/>
  </r>
  <r>
    <x v="0"/>
    <x v="0"/>
    <s v="City of Johannesburg"/>
    <s v="City of Johannesburg"/>
    <x v="4"/>
    <n v="36"/>
    <n v="0"/>
  </r>
  <r>
    <x v="0"/>
    <x v="0"/>
    <s v="City of Johannesburg"/>
    <s v="City of Johannesburg"/>
    <x v="0"/>
    <n v="21"/>
    <n v="0"/>
  </r>
  <r>
    <x v="0"/>
    <x v="0"/>
    <s v="City of Johannesburg"/>
    <s v="City of Johannesburg"/>
    <x v="3"/>
    <n v="16"/>
    <n v="0"/>
  </r>
  <r>
    <x v="0"/>
    <x v="0"/>
    <s v="City of Johannesburg"/>
    <s v="City of Johannesburg"/>
    <x v="3"/>
    <n v="20"/>
    <n v="0"/>
  </r>
  <r>
    <x v="0"/>
    <x v="0"/>
    <s v="City of Johannesburg"/>
    <s v="City of Johannesburg"/>
    <x v="3"/>
    <n v="18"/>
    <n v="0"/>
  </r>
  <r>
    <x v="0"/>
    <x v="0"/>
    <s v="City of Johannesburg"/>
    <s v="City of Johannesburg"/>
    <x v="3"/>
    <n v="28"/>
    <n v="0"/>
  </r>
  <r>
    <x v="0"/>
    <x v="0"/>
    <s v="City of Johannesburg"/>
    <s v="City of Johannesburg"/>
    <x v="2"/>
    <n v="26"/>
    <n v="0"/>
  </r>
  <r>
    <x v="0"/>
    <x v="0"/>
    <s v="City of Johannesburg"/>
    <s v="City of Johannesburg"/>
    <x v="0"/>
    <n v="64"/>
    <n v="7"/>
  </r>
  <r>
    <x v="0"/>
    <x v="0"/>
    <s v="City of Tshwane"/>
    <s v="City of Tshwane"/>
    <x v="3"/>
    <n v="24"/>
    <n v="0"/>
  </r>
  <r>
    <x v="0"/>
    <x v="0"/>
    <s v="City of Tshwane"/>
    <s v="City of Tshwane"/>
    <x v="2"/>
    <n v="36"/>
    <n v="0"/>
  </r>
  <r>
    <x v="0"/>
    <x v="0"/>
    <s v="City of Tshwane"/>
    <s v="City of Tshwane"/>
    <x v="1"/>
    <n v="158"/>
    <n v="0"/>
  </r>
  <r>
    <x v="0"/>
    <x v="0"/>
    <s v="City of Tshwane"/>
    <s v="City of Tshwane"/>
    <x v="4"/>
    <n v="14"/>
    <n v="0"/>
  </r>
  <r>
    <x v="0"/>
    <x v="0"/>
    <s v="Sedibeng"/>
    <s v="Sedibeng"/>
    <x v="4"/>
    <n v="13"/>
    <n v="0"/>
  </r>
  <r>
    <x v="0"/>
    <x v="0"/>
    <s v="City of Tshwane"/>
    <s v="City of Tshwane"/>
    <x v="2"/>
    <n v="36"/>
    <n v="0"/>
  </r>
  <r>
    <x v="0"/>
    <x v="0"/>
    <s v="City of Tshwane"/>
    <s v="City of Tshwane"/>
    <x v="3"/>
    <n v="24"/>
    <n v="0"/>
  </r>
  <r>
    <x v="0"/>
    <x v="0"/>
    <s v="Sedibeng"/>
    <s v="Sedibeng"/>
    <x v="0"/>
    <n v="32"/>
    <n v="0"/>
  </r>
  <r>
    <x v="0"/>
    <x v="0"/>
    <s v="West Rand"/>
    <s v="West Rand"/>
    <x v="0"/>
    <n v="37"/>
    <n v="0"/>
  </r>
  <r>
    <x v="0"/>
    <x v="0"/>
    <s v="City of Johannesburg"/>
    <s v="City of Johannesburg"/>
    <x v="3"/>
    <n v="5"/>
    <n v="0"/>
  </r>
  <r>
    <x v="0"/>
    <x v="0"/>
    <s v="City of Johannesburg"/>
    <s v="City of Johannesburg"/>
    <x v="0"/>
    <n v="7"/>
    <n v="0"/>
  </r>
  <r>
    <x v="1"/>
    <x v="1"/>
    <s v="Dr Kenneth Kaunda"/>
    <s v="Dr Kenneth Kaunda"/>
    <x v="0"/>
    <n v="148"/>
    <n v="15"/>
  </r>
  <r>
    <x v="1"/>
    <x v="1"/>
    <s v="Bojanala"/>
    <s v="Bojanala"/>
    <x v="0"/>
    <n v="80"/>
    <n v="5"/>
  </r>
  <r>
    <x v="1"/>
    <x v="1"/>
    <s v="Dr Kenneth Kaunda"/>
    <s v="Dr Kenneth Kaunda"/>
    <x v="0"/>
    <n v="185"/>
    <n v="13"/>
  </r>
  <r>
    <x v="1"/>
    <x v="1"/>
    <s v="Dr Kenneth Kaunda"/>
    <s v="Dr Kenneth Kaunda"/>
    <x v="0"/>
    <n v="62"/>
    <n v="2"/>
  </r>
  <r>
    <x v="1"/>
    <x v="1"/>
    <s v="Dr Kenneth Kaunda"/>
    <s v="Dr Kenneth Kaunda"/>
    <x v="1"/>
    <n v="50"/>
    <n v="0"/>
  </r>
  <r>
    <x v="1"/>
    <x v="1"/>
    <s v="Dr Kenneth Kaunda"/>
    <s v="Dr Kenneth Kaunda"/>
    <x v="2"/>
    <n v="26"/>
    <n v="0"/>
  </r>
  <r>
    <x v="1"/>
    <x v="1"/>
    <s v="Bojanala Platinum"/>
    <s v="Bojanala Platinum"/>
    <x v="1"/>
    <n v="60"/>
    <n v="0"/>
  </r>
  <r>
    <x v="1"/>
    <x v="1"/>
    <s v="Dr Kenneth Kaunda"/>
    <s v="Dr Kenneth Kaunda"/>
    <x v="0"/>
    <n v="147"/>
    <n v="24"/>
  </r>
  <r>
    <x v="1"/>
    <x v="1"/>
    <s v="Bojanala"/>
    <s v="Bojanala"/>
    <x v="0"/>
    <n v="285"/>
    <n v="22"/>
  </r>
  <r>
    <x v="1"/>
    <x v="1"/>
    <s v="Ngaka Modiri Molema"/>
    <s v="Ngaka Modiri Molema"/>
    <x v="0"/>
    <n v="125"/>
    <n v="19"/>
  </r>
  <r>
    <x v="1"/>
    <x v="1"/>
    <s v="Dr Kenneth Kaunda"/>
    <s v="Dr Kenneth Kaunda"/>
    <x v="0"/>
    <n v="83"/>
    <n v="5"/>
  </r>
  <r>
    <x v="1"/>
    <x v="1"/>
    <s v="Bojanala Platinum"/>
    <s v="Bojanala Platinum"/>
    <x v="0"/>
    <n v="110"/>
    <n v="20"/>
  </r>
  <r>
    <x v="1"/>
    <x v="1"/>
    <s v="Ngaka Modiri Molema"/>
    <s v="Ngaka Modiri Molema"/>
    <x v="1"/>
    <n v="50"/>
    <n v="0"/>
  </r>
  <r>
    <x v="1"/>
    <x v="1"/>
    <s v="Dr Ruth Segomotsi Mompati"/>
    <s v="Dr Ruth Segomotsi Mompati"/>
    <x v="0"/>
    <n v="44"/>
    <n v="2"/>
  </r>
  <r>
    <x v="1"/>
    <x v="1"/>
    <s v="Bojanala"/>
    <s v="Bojanala"/>
    <x v="0"/>
    <n v="211"/>
    <n v="27"/>
  </r>
  <r>
    <x v="1"/>
    <x v="1"/>
    <s v="Bojanala Platinum"/>
    <s v="Bojanala Platinum"/>
    <x v="6"/>
    <n v="56"/>
    <n v="0"/>
  </r>
  <r>
    <x v="2"/>
    <x v="2"/>
    <s v="Frances Baard"/>
    <s v="Frances Baard"/>
    <x v="0"/>
    <n v="197"/>
    <n v="36"/>
  </r>
  <r>
    <x v="2"/>
    <x v="2"/>
    <s v="John Taolo Gaetsewe"/>
    <s v="John Taolo Gaetsewe"/>
    <x v="0"/>
    <n v="55"/>
    <n v="0"/>
  </r>
  <r>
    <x v="2"/>
    <x v="2"/>
    <s v="Frances Baard"/>
    <s v="Frances Baard"/>
    <x v="1"/>
    <n v="19"/>
    <n v="0"/>
  </r>
  <r>
    <x v="2"/>
    <x v="2"/>
    <s v="Frances Baard"/>
    <s v="Frances Baard"/>
    <x v="5"/>
    <n v="15"/>
    <n v="0"/>
  </r>
  <r>
    <x v="2"/>
    <x v="2"/>
    <s v="Frances Baard"/>
    <s v="Frances Baard"/>
    <x v="0"/>
    <n v="22"/>
    <n v="0"/>
  </r>
  <r>
    <x v="2"/>
    <x v="2"/>
    <s v="Frances Baard"/>
    <s v="Frances Baard"/>
    <x v="0"/>
    <n v="98"/>
    <n v="15"/>
  </r>
  <r>
    <x v="2"/>
    <x v="2"/>
    <s v="Frances Baard"/>
    <s v="Frances Baard"/>
    <x v="0"/>
    <n v="196"/>
    <n v="10"/>
  </r>
  <r>
    <x v="2"/>
    <x v="2"/>
    <s v="Siyanda"/>
    <s v="Siyanda"/>
    <x v="0"/>
    <n v="76"/>
    <n v="6"/>
  </r>
  <r>
    <x v="2"/>
    <x v="2"/>
    <s v="Frances Baard"/>
    <s v="Frances Baard"/>
    <x v="2"/>
    <n v="16"/>
    <n v="0"/>
  </r>
  <r>
    <x v="2"/>
    <x v="2"/>
    <s v="Frances Baard"/>
    <s v="Frances Baard"/>
    <x v="3"/>
    <n v="5"/>
    <n v="0"/>
  </r>
  <r>
    <x v="3"/>
    <x v="3"/>
    <s v="Cape Winelands"/>
    <s v="Cape Winelands"/>
    <x v="0"/>
    <n v="143"/>
    <n v="11"/>
  </r>
  <r>
    <x v="3"/>
    <x v="3"/>
    <s v="Garden Route"/>
    <s v="Garden Route"/>
    <x v="1"/>
    <n v="40"/>
    <n v="0"/>
  </r>
  <r>
    <x v="3"/>
    <x v="3"/>
    <s v="Cape Winelands"/>
    <s v="Cape Winelands"/>
    <x v="0"/>
    <n v="182"/>
    <n v="9"/>
  </r>
  <r>
    <x v="3"/>
    <x v="3"/>
    <s v="City of Cape Town"/>
    <s v="City of Cape Town"/>
    <x v="0"/>
    <n v="400"/>
    <n v="30"/>
  </r>
  <r>
    <x v="3"/>
    <x v="3"/>
    <s v="Garden Route"/>
    <s v="Garden Route"/>
    <x v="0"/>
    <n v="27"/>
    <n v="3"/>
  </r>
  <r>
    <x v="3"/>
    <x v="3"/>
    <s v="City of Cape Town"/>
    <s v="City of Cape Town"/>
    <x v="0"/>
    <n v="26"/>
    <n v="0"/>
  </r>
  <r>
    <x v="3"/>
    <x v="3"/>
    <s v="City of Cape Town"/>
    <s v="City of Cape Town"/>
    <x v="3"/>
    <n v="24"/>
    <n v="0"/>
  </r>
  <r>
    <x v="3"/>
    <x v="3"/>
    <s v="City of Cape Town"/>
    <s v="City of Cape Town"/>
    <x v="2"/>
    <n v="58"/>
    <n v="0"/>
  </r>
  <r>
    <x v="3"/>
    <x v="3"/>
    <s v="Cape Winelands"/>
    <s v="Cape Winelands"/>
    <x v="3"/>
    <n v="20"/>
    <n v="0"/>
  </r>
  <r>
    <x v="3"/>
    <x v="3"/>
    <s v="Cape Winelands"/>
    <s v="Cape Winelands"/>
    <x v="2"/>
    <n v="22"/>
    <n v="0"/>
  </r>
  <r>
    <x v="3"/>
    <x v="3"/>
    <s v="City of Cape Town"/>
    <s v="City of Cape Town"/>
    <x v="1"/>
    <n v="28"/>
    <n v="0"/>
  </r>
  <r>
    <x v="3"/>
    <x v="3"/>
    <s v="Garden Route"/>
    <s v="Garden Route"/>
    <x v="2"/>
    <n v="24"/>
    <n v="0"/>
  </r>
  <r>
    <x v="3"/>
    <x v="3"/>
    <s v="City of Cape Town"/>
    <s v="City of Cape Town"/>
    <x v="2"/>
    <n v="25"/>
    <n v="0"/>
  </r>
  <r>
    <x v="3"/>
    <x v="3"/>
    <s v="Overberg"/>
    <s v="Overberg"/>
    <x v="2"/>
    <n v="20"/>
    <n v="0"/>
  </r>
  <r>
    <x v="3"/>
    <x v="3"/>
    <s v="Cape Winelands"/>
    <s v="Cape Winelands"/>
    <x v="2"/>
    <n v="26"/>
    <n v="0"/>
  </r>
  <r>
    <x v="3"/>
    <x v="3"/>
    <s v="Garden Route"/>
    <s v="Garden Route"/>
    <x v="2"/>
    <n v="24"/>
    <n v="0"/>
  </r>
  <r>
    <x v="3"/>
    <x v="3"/>
    <s v="Cape Winelands"/>
    <s v="Cape Winelands"/>
    <x v="2"/>
    <n v="30"/>
    <n v="0"/>
  </r>
  <r>
    <x v="3"/>
    <x v="3"/>
    <s v="City of Cape Town"/>
    <s v="City of Cape Town"/>
    <x v="0"/>
    <n v="134"/>
    <n v="13"/>
  </r>
  <r>
    <x v="3"/>
    <x v="3"/>
    <s v="City of Cape Town"/>
    <s v="City of Cape Town"/>
    <x v="0"/>
    <n v="100"/>
    <n v="10"/>
  </r>
  <r>
    <x v="3"/>
    <x v="3"/>
    <s v="City of Cape Town"/>
    <s v="City of Cape Town"/>
    <x v="1"/>
    <n v="15"/>
    <n v="0"/>
  </r>
  <r>
    <x v="3"/>
    <x v="3"/>
    <s v="City of Cape Town"/>
    <s v="City of Cape Town"/>
    <x v="2"/>
    <n v="20"/>
    <n v="0"/>
  </r>
  <r>
    <x v="3"/>
    <x v="3"/>
    <s v="City of Cape Town"/>
    <s v="City of Cape Town"/>
    <x v="2"/>
    <n v="45"/>
    <n v="0"/>
  </r>
  <r>
    <x v="3"/>
    <x v="3"/>
    <s v="City of Cape Town"/>
    <s v="City of Cape Town"/>
    <x v="3"/>
    <n v="4"/>
    <n v="0"/>
  </r>
  <r>
    <x v="3"/>
    <x v="3"/>
    <s v="City of Cape Town"/>
    <s v="City of Cape Town"/>
    <x v="2"/>
    <n v="54"/>
    <n v="0"/>
  </r>
  <r>
    <x v="3"/>
    <x v="3"/>
    <s v="City of Cape Town"/>
    <s v="City of Cape Town"/>
    <x v="1"/>
    <n v="25"/>
    <n v="0"/>
  </r>
  <r>
    <x v="3"/>
    <x v="3"/>
    <s v="City of Cape Town"/>
    <s v="City of Cape Town"/>
    <x v="1"/>
    <n v="25"/>
    <n v="0"/>
  </r>
  <r>
    <x v="3"/>
    <x v="3"/>
    <s v="City of Cape Town"/>
    <s v="City of Cape Town"/>
    <x v="1"/>
    <n v="33"/>
    <n v="0"/>
  </r>
  <r>
    <x v="3"/>
    <x v="3"/>
    <s v="City of Cape Town"/>
    <s v="City of Cape Town"/>
    <x v="1"/>
    <n v="34"/>
    <n v="0"/>
  </r>
  <r>
    <x v="3"/>
    <x v="3"/>
    <s v="City of Cape Town"/>
    <s v="City of Cape Town"/>
    <x v="1"/>
    <n v="38"/>
    <n v="0"/>
  </r>
  <r>
    <x v="3"/>
    <x v="3"/>
    <s v="Cape Winelands"/>
    <s v="Cape Winelands"/>
    <x v="1"/>
    <n v="30"/>
    <n v="0"/>
  </r>
  <r>
    <x v="3"/>
    <x v="3"/>
    <s v="City of Cape Town"/>
    <s v="City of Cape Town"/>
    <x v="1"/>
    <n v="37"/>
    <n v="0"/>
  </r>
  <r>
    <x v="3"/>
    <x v="3"/>
    <s v="City of Cape Town"/>
    <s v="City of Cape Town"/>
    <x v="1"/>
    <n v="43"/>
    <n v="0"/>
  </r>
  <r>
    <x v="3"/>
    <x v="3"/>
    <s v="Cape Winelands"/>
    <s v="Cape Winelands"/>
    <x v="1"/>
    <n v="28"/>
    <n v="0"/>
  </r>
  <r>
    <x v="3"/>
    <x v="3"/>
    <s v="City of Cape Town"/>
    <s v="City of Cape Town"/>
    <x v="2"/>
    <n v="58"/>
    <n v="0"/>
  </r>
  <r>
    <x v="3"/>
    <x v="3"/>
    <s v="Garden Route"/>
    <s v="Garden Route"/>
    <x v="3"/>
    <n v="14"/>
    <n v="0"/>
  </r>
  <r>
    <x v="3"/>
    <x v="3"/>
    <s v="City of Cape Town"/>
    <s v="City of Cape Town"/>
    <x v="2"/>
    <n v="12"/>
    <n v="0"/>
  </r>
  <r>
    <x v="3"/>
    <x v="3"/>
    <s v="City of Cape Town"/>
    <s v="City of Cape Town"/>
    <x v="1"/>
    <n v="24"/>
    <n v="0"/>
  </r>
  <r>
    <x v="3"/>
    <x v="3"/>
    <s v="Cape Winelands"/>
    <s v="Cape Winelands"/>
    <x v="3"/>
    <n v="15"/>
    <n v="0"/>
  </r>
  <r>
    <x v="3"/>
    <x v="3"/>
    <s v="City of Cape Town"/>
    <s v="City of Cape Town"/>
    <x v="3"/>
    <n v="27"/>
    <n v="0"/>
  </r>
  <r>
    <x v="3"/>
    <x v="3"/>
    <s v="City of Cape Town"/>
    <s v="City of Cape Town"/>
    <x v="3"/>
    <n v="20"/>
    <n v="0"/>
  </r>
  <r>
    <x v="3"/>
    <x v="3"/>
    <s v="Garden Route"/>
    <s v="Garden Route"/>
    <x v="3"/>
    <n v="20"/>
    <n v="0"/>
  </r>
  <r>
    <x v="3"/>
    <x v="3"/>
    <s v="City of Cape Town"/>
    <s v="City of Cape Town"/>
    <x v="3"/>
    <n v="24"/>
    <n v="0"/>
  </r>
  <r>
    <x v="3"/>
    <x v="3"/>
    <s v="City of Cape Town"/>
    <s v="City of Cape Town"/>
    <x v="2"/>
    <n v="44"/>
    <n v="0"/>
  </r>
  <r>
    <x v="3"/>
    <x v="3"/>
    <s v="Garden Route"/>
    <s v="Garden Route"/>
    <x v="2"/>
    <n v="14"/>
    <n v="0"/>
  </r>
  <r>
    <x v="3"/>
    <x v="3"/>
    <s v="Overberg"/>
    <s v="Overberg"/>
    <x v="3"/>
    <n v="21"/>
    <n v="0"/>
  </r>
  <r>
    <x v="3"/>
    <x v="3"/>
    <s v="Eden"/>
    <s v="Eden"/>
    <x v="3"/>
    <n v="14"/>
    <n v="0"/>
  </r>
  <r>
    <x v="3"/>
    <x v="3"/>
    <s v="City of Cape Town"/>
    <s v="City of Cape Town"/>
    <x v="4"/>
    <n v="4"/>
    <n v="0"/>
  </r>
  <r>
    <x v="3"/>
    <x v="3"/>
    <s v="Cape Winelands"/>
    <s v="Cape Winelands"/>
    <x v="1"/>
    <n v="32"/>
    <n v="0"/>
  </r>
  <r>
    <x v="3"/>
    <x v="3"/>
    <s v="City of Cape Town"/>
    <s v="City of Cape Town"/>
    <x v="2"/>
    <n v="10"/>
    <n v="0"/>
  </r>
  <r>
    <x v="3"/>
    <x v="3"/>
    <s v="City of Cape Town"/>
    <s v="City of Cape Town"/>
    <x v="0"/>
    <n v="263"/>
    <n v="32"/>
  </r>
  <r>
    <x v="3"/>
    <x v="3"/>
    <s v="West Coast"/>
    <s v="West Coast"/>
    <x v="0"/>
    <n v="63"/>
    <n v="4"/>
  </r>
  <r>
    <x v="3"/>
    <x v="3"/>
    <s v="City of Cape Town"/>
    <s v="City of Cape Town"/>
    <x v="3"/>
    <n v="10"/>
    <n v="0"/>
  </r>
  <r>
    <x v="3"/>
    <x v="3"/>
    <s v="City of Cape Town"/>
    <s v="City of Cape Town"/>
    <x v="0"/>
    <n v="18"/>
    <n v="0"/>
  </r>
  <r>
    <x v="3"/>
    <x v="3"/>
    <s v="City of Cape Town"/>
    <s v="City of Cape Town"/>
    <x v="0"/>
    <n v="240"/>
    <n v="17"/>
  </r>
  <r>
    <x v="3"/>
    <x v="3"/>
    <s v="Eden"/>
    <s v="Eden"/>
    <x v="0"/>
    <n v="69"/>
    <n v="6"/>
  </r>
  <r>
    <x v="3"/>
    <x v="3"/>
    <s v="Eden"/>
    <s v="Eden"/>
    <x v="0"/>
    <n v="152"/>
    <n v="8"/>
  </r>
  <r>
    <x v="3"/>
    <x v="3"/>
    <s v="City of Cape Town"/>
    <s v="City of Cape Town"/>
    <x v="5"/>
    <n v="71"/>
    <n v="0"/>
  </r>
  <r>
    <x v="3"/>
    <x v="3"/>
    <s v="City of Cape Town"/>
    <s v="City of Cape Town"/>
    <x v="0"/>
    <n v="189"/>
    <n v="17"/>
  </r>
  <r>
    <x v="3"/>
    <x v="3"/>
    <s v="City of Cape Town"/>
    <s v="City of Cape Town"/>
    <x v="0"/>
    <n v="224"/>
    <n v="31"/>
  </r>
  <r>
    <x v="3"/>
    <x v="3"/>
    <s v="City of Cape Town"/>
    <s v="City of Cape Town"/>
    <x v="0"/>
    <n v="112"/>
    <n v="10"/>
  </r>
  <r>
    <x v="3"/>
    <x v="3"/>
    <s v="City of Cape Town"/>
    <s v="City of Cape Town"/>
    <x v="0"/>
    <n v="154"/>
    <n v="18"/>
  </r>
  <r>
    <x v="3"/>
    <x v="3"/>
    <s v="City of Cape Town"/>
    <s v="City of Cape Town"/>
    <x v="0"/>
    <n v="260"/>
    <n v="22"/>
  </r>
  <r>
    <x v="3"/>
    <x v="3"/>
    <s v="Cape Winelands"/>
    <s v="Cape Winelands"/>
    <x v="0"/>
    <n v="28"/>
    <n v="0"/>
  </r>
  <r>
    <x v="3"/>
    <x v="3"/>
    <s v="Garden Route"/>
    <s v="Garden Route"/>
    <x v="1"/>
    <n v="12"/>
    <n v="0"/>
  </r>
  <r>
    <x v="3"/>
    <x v="3"/>
    <s v="City of Cape Town"/>
    <s v="City of Cape Town"/>
    <x v="3"/>
    <n v="20"/>
    <n v="0"/>
  </r>
  <r>
    <x v="3"/>
    <x v="3"/>
    <s v="City of Cape Town"/>
    <s v="City of Cape Town"/>
    <x v="3"/>
    <n v="12"/>
    <n v="0"/>
  </r>
  <r>
    <x v="3"/>
    <x v="3"/>
    <s v="Eden"/>
    <s v="Eden"/>
    <x v="0"/>
    <n v="56"/>
    <n v="0"/>
  </r>
  <r>
    <x v="3"/>
    <x v="3"/>
    <s v="Garden Route"/>
    <s v="Garden Route"/>
    <x v="0"/>
    <n v="130"/>
    <n v="10"/>
  </r>
  <r>
    <x v="3"/>
    <x v="3"/>
    <s v="Eden"/>
    <s v="Eden"/>
    <x v="0"/>
    <n v="50"/>
    <n v="6"/>
  </r>
  <r>
    <x v="3"/>
    <x v="3"/>
    <s v="Overberg"/>
    <s v="Overberg"/>
    <x v="0"/>
    <n v="80"/>
    <n v="9"/>
  </r>
  <r>
    <x v="3"/>
    <x v="3"/>
    <s v="City of Cape Town"/>
    <s v="City of Cape Town"/>
    <x v="0"/>
    <n v="128"/>
    <n v="9"/>
  </r>
  <r>
    <x v="3"/>
    <x v="3"/>
    <s v="City of Cape Town"/>
    <s v="City of Cape Town"/>
    <x v="0"/>
    <n v="228"/>
    <n v="21"/>
  </r>
  <r>
    <x v="3"/>
    <x v="3"/>
    <s v="City of Cape Town"/>
    <s v="City of Cape Town"/>
    <x v="3"/>
    <n v="26"/>
    <n v="0"/>
  </r>
  <r>
    <x v="3"/>
    <x v="3"/>
    <s v="City of Cape Town"/>
    <s v="City of Cape Town"/>
    <x v="0"/>
    <n v="205"/>
    <n v="26"/>
  </r>
  <r>
    <x v="3"/>
    <x v="3"/>
    <s v="City of Cape Town"/>
    <s v="City of Cape Town"/>
    <x v="1"/>
    <n v="42"/>
    <n v="0"/>
  </r>
  <r>
    <x v="3"/>
    <x v="3"/>
    <s v="City of Cape Town"/>
    <s v="City of Cape Town"/>
    <x v="1"/>
    <n v="59"/>
    <n v="0"/>
  </r>
  <r>
    <x v="3"/>
    <x v="3"/>
    <s v="City of Cape Town"/>
    <s v="City of Cape Town"/>
    <x v="1"/>
    <n v="30"/>
    <n v="0"/>
  </r>
  <r>
    <x v="3"/>
    <x v="3"/>
    <s v="City of Cape Town"/>
    <s v="City of Cape Town"/>
    <x v="0"/>
    <n v="144"/>
    <n v="13"/>
  </r>
  <r>
    <x v="3"/>
    <x v="3"/>
    <s v="City of Cape Town"/>
    <s v="City of Cape Town"/>
    <x v="0"/>
    <n v="162"/>
    <n v="12"/>
  </r>
  <r>
    <x v="3"/>
    <x v="3"/>
    <s v="City of Cape Town"/>
    <s v="City of Cape Town"/>
    <x v="0"/>
    <n v="237"/>
    <n v="26"/>
  </r>
  <r>
    <x v="3"/>
    <x v="3"/>
    <s v="City of Cape Town"/>
    <s v="City of Cape Town"/>
    <x v="0"/>
    <n v="186"/>
    <n v="9"/>
  </r>
  <r>
    <x v="3"/>
    <x v="3"/>
    <s v="City of Cape Town"/>
    <s v="City of Cape Town"/>
    <x v="0"/>
    <n v="158"/>
    <n v="16"/>
  </r>
  <r>
    <x v="3"/>
    <x v="3"/>
    <s v="City of Cape Town"/>
    <s v="City of Cape Town"/>
    <x v="0"/>
    <n v="116"/>
    <n v="3"/>
  </r>
  <r>
    <x v="3"/>
    <x v="3"/>
    <s v="City of Cape Town"/>
    <s v="City of Cape Town"/>
    <x v="0"/>
    <n v="225"/>
    <n v="34"/>
  </r>
  <r>
    <x v="3"/>
    <x v="3"/>
    <s v="City of Cape Town"/>
    <s v="City of Cape Town"/>
    <x v="0"/>
    <n v="133"/>
    <n v="8"/>
  </r>
  <r>
    <x v="3"/>
    <x v="3"/>
    <s v="City of Cape Town"/>
    <s v="City of Cape Town"/>
    <x v="1"/>
    <n v="30"/>
    <n v="0"/>
  </r>
  <r>
    <x v="3"/>
    <x v="3"/>
    <s v="Cape Winelands"/>
    <s v="Cape Winelands"/>
    <x v="0"/>
    <n v="95"/>
    <n v="10"/>
  </r>
  <r>
    <x v="3"/>
    <x v="3"/>
    <s v="City of Cape Town"/>
    <s v="City of Cape Town"/>
    <x v="3"/>
    <n v="9"/>
    <n v="0"/>
  </r>
  <r>
    <x v="3"/>
    <x v="3"/>
    <s v="City of Cape Town"/>
    <s v="City of Cape Town"/>
    <x v="4"/>
    <n v="20"/>
    <n v="0"/>
  </r>
  <r>
    <x v="3"/>
    <x v="3"/>
    <s v="City of Cape Town"/>
    <s v="City of Cape Town"/>
    <x v="3"/>
    <n v="4"/>
    <n v="0"/>
  </r>
  <r>
    <x v="3"/>
    <x v="3"/>
    <s v="City of Cape Town"/>
    <s v="City of Cape Town"/>
    <x v="1"/>
    <n v="21"/>
    <n v="0"/>
  </r>
  <r>
    <x v="3"/>
    <x v="3"/>
    <s v="City of Cape Town"/>
    <s v="City of Cape Town"/>
    <x v="3"/>
    <n v="6"/>
    <n v="0"/>
  </r>
  <r>
    <x v="3"/>
    <x v="3"/>
    <s v="Garden Route"/>
    <s v="Garden Route"/>
    <x v="3"/>
    <n v="25"/>
    <n v="0"/>
  </r>
  <r>
    <x v="3"/>
    <x v="3"/>
    <s v="Garden Route"/>
    <s v="Garden Route"/>
    <x v="2"/>
    <n v="15"/>
    <n v="0"/>
  </r>
  <r>
    <x v="3"/>
    <x v="3"/>
    <s v="City of Cape Town"/>
    <s v="City of Cape Town"/>
    <x v="3"/>
    <n v="10"/>
    <n v="0"/>
  </r>
  <r>
    <x v="3"/>
    <x v="3"/>
    <s v="Cape Winelands"/>
    <s v="Cape Winelands"/>
    <x v="3"/>
    <n v="4"/>
    <n v="0"/>
  </r>
  <r>
    <x v="3"/>
    <x v="3"/>
    <s v="City of Cape Town"/>
    <s v="City of Cape Town"/>
    <x v="0"/>
    <n v="8"/>
    <n v="0"/>
  </r>
  <r>
    <x v="3"/>
    <x v="3"/>
    <s v="City of Cape Town"/>
    <s v="City of Cape Town"/>
    <x v="0"/>
    <n v="33"/>
    <n v="1"/>
  </r>
  <r>
    <x v="4"/>
    <x v="4"/>
    <s v="Nelson Mandela Bay"/>
    <s v="Nelson Mandela Bay"/>
    <x v="4"/>
    <n v="15"/>
    <n v="0"/>
  </r>
  <r>
    <x v="5"/>
    <x v="5"/>
    <s v="Alfred Nzo"/>
    <s v="Alfred Nzo"/>
    <x v="0"/>
    <n v="31"/>
    <n v="2"/>
  </r>
  <r>
    <x v="4"/>
    <x v="4"/>
    <s v="Sarah Baartman"/>
    <s v="Sarah Baartman"/>
    <x v="2"/>
    <n v="48"/>
    <n v="0"/>
  </r>
  <r>
    <x v="4"/>
    <x v="4"/>
    <s v="OR Tambo"/>
    <s v="OR Tambo"/>
    <x v="0"/>
    <n v="52"/>
    <n v="6"/>
  </r>
  <r>
    <x v="4"/>
    <x v="4"/>
    <s v="Chris Hani"/>
    <s v="Chris Hani"/>
    <x v="0"/>
    <n v="28"/>
    <n v="0"/>
  </r>
  <r>
    <x v="4"/>
    <x v="4"/>
    <s v="Nelson Mandela Bay"/>
    <s v="Nelson Mandela Bay"/>
    <x v="0"/>
    <n v="35"/>
    <n v="0"/>
  </r>
  <r>
    <x v="4"/>
    <x v="4"/>
    <s v="Nelson Mandela Bay"/>
    <s v="Nelson Mandela Bay"/>
    <x v="5"/>
    <n v="20"/>
    <n v="0"/>
  </r>
  <r>
    <x v="4"/>
    <x v="4"/>
    <s v="O.R.Tambo"/>
    <s v="O.R.Tambo"/>
    <x v="0"/>
    <n v="151"/>
    <n v="14"/>
  </r>
  <r>
    <x v="4"/>
    <x v="4"/>
    <s v="Buffalo City"/>
    <s v="Buffalo City"/>
    <x v="1"/>
    <n v="80"/>
    <n v="0"/>
  </r>
  <r>
    <x v="4"/>
    <x v="4"/>
    <s v="Buffalo City"/>
    <s v="Buffalo City"/>
    <x v="0"/>
    <n v="196"/>
    <n v="23"/>
  </r>
  <r>
    <x v="4"/>
    <x v="4"/>
    <s v="Buffalo City"/>
    <s v="Buffalo City"/>
    <x v="5"/>
    <n v="28"/>
    <n v="0"/>
  </r>
  <r>
    <x v="4"/>
    <x v="4"/>
    <s v="Nelson Mandela Bay"/>
    <s v="Nelson Mandela Bay"/>
    <x v="0"/>
    <n v="318"/>
    <n v="48"/>
  </r>
  <r>
    <x v="4"/>
    <x v="4"/>
    <s v="Buffalo City"/>
    <s v="Buffalo City"/>
    <x v="0"/>
    <n v="32"/>
    <n v="0"/>
  </r>
  <r>
    <x v="4"/>
    <x v="4"/>
    <s v="Chris Hani"/>
    <s v="Chris Hani"/>
    <x v="0"/>
    <n v="104"/>
    <n v="13"/>
  </r>
  <r>
    <x v="4"/>
    <x v="4"/>
    <s v="Nelson Mandela Bay"/>
    <s v="Nelson Mandela Bay"/>
    <x v="0"/>
    <n v="207"/>
    <n v="15"/>
  </r>
  <r>
    <x v="4"/>
    <x v="4"/>
    <s v="Sarah Baartman"/>
    <s v="Sarah Baartman"/>
    <x v="0"/>
    <n v="32"/>
    <n v="0"/>
  </r>
  <r>
    <x v="4"/>
    <x v="4"/>
    <s v="Buffalo City"/>
    <s v="Buffalo City"/>
    <x v="0"/>
    <n v="100"/>
    <n v="6"/>
  </r>
  <r>
    <x v="4"/>
    <x v="4"/>
    <s v="Nelson Mandela Bay"/>
    <s v="Nelson Mandela Bay"/>
    <x v="0"/>
    <n v="41"/>
    <n v="0"/>
  </r>
  <r>
    <x v="4"/>
    <x v="4"/>
    <s v="Buffalo City"/>
    <s v="Buffalo City"/>
    <x v="0"/>
    <n v="6"/>
    <n v="0"/>
  </r>
  <r>
    <x v="4"/>
    <x v="4"/>
    <s v="Nelson Mandela Bay"/>
    <s v="Nelson Mandela Bay"/>
    <x v="1"/>
    <n v="50"/>
    <n v="0"/>
  </r>
  <r>
    <x v="4"/>
    <x v="4"/>
    <s v="Buffalo City"/>
    <s v="Buffalo City"/>
    <x v="0"/>
    <n v="175"/>
    <n v="31"/>
  </r>
  <r>
    <x v="4"/>
    <x v="4"/>
    <s v="Nelson Mandela Bay"/>
    <s v="Nelson Mandela Bay"/>
    <x v="0"/>
    <n v="340"/>
    <n v="42"/>
  </r>
  <r>
    <x v="4"/>
    <x v="4"/>
    <s v="Nelson Mandela Bay"/>
    <s v="Nelson Mandela Bay"/>
    <x v="0"/>
    <n v="149"/>
    <n v="25"/>
  </r>
  <r>
    <x v="4"/>
    <x v="4"/>
    <s v="Buffalo City"/>
    <s v="Buffalo City"/>
    <x v="4"/>
    <n v="10"/>
    <n v="0"/>
  </r>
  <r>
    <x v="4"/>
    <x v="4"/>
    <s v="Nelson Mandela Bay"/>
    <s v="Nelson Mandela Bay"/>
    <x v="3"/>
    <n v="15"/>
    <n v="0"/>
  </r>
  <r>
    <x v="6"/>
    <x v="6"/>
    <s v="Ehlanzeni"/>
    <s v="Ehlanzeni"/>
    <x v="0"/>
    <n v="317"/>
    <n v="27"/>
  </r>
  <r>
    <x v="6"/>
    <x v="6"/>
    <s v="Gert Sibande"/>
    <s v="Gert Sibande"/>
    <x v="0"/>
    <n v="43"/>
    <n v="0"/>
  </r>
  <r>
    <x v="6"/>
    <x v="6"/>
    <s v="Central Karoo"/>
    <s v="Central Karoo"/>
    <x v="0"/>
    <n v="30"/>
    <n v="0"/>
  </r>
  <r>
    <x v="6"/>
    <x v="6"/>
    <s v="Gert Sibande"/>
    <s v="Gert Sibande"/>
    <x v="0"/>
    <n v="60"/>
    <n v="0"/>
  </r>
  <r>
    <x v="6"/>
    <x v="6"/>
    <s v="Gert Sibande"/>
    <s v="Gert Sibande"/>
    <x v="0"/>
    <n v="202"/>
    <n v="26"/>
  </r>
  <r>
    <x v="6"/>
    <x v="6"/>
    <s v="Nkangala"/>
    <s v="Nkangala"/>
    <x v="4"/>
    <n v="18"/>
    <n v="0"/>
  </r>
  <r>
    <x v="6"/>
    <x v="6"/>
    <s v="Ehlanzeni"/>
    <s v="Ehlanzeni"/>
    <x v="2"/>
    <n v="33"/>
    <n v="0"/>
  </r>
  <r>
    <x v="6"/>
    <x v="6"/>
    <s v="Nkangala"/>
    <s v="Nkangala"/>
    <x v="2"/>
    <n v="30"/>
    <n v="0"/>
  </r>
  <r>
    <x v="6"/>
    <x v="6"/>
    <s v="Ehlanzeni"/>
    <s v="Ehlanzeni"/>
    <x v="0"/>
    <n v="125"/>
    <n v="23"/>
  </r>
  <r>
    <x v="6"/>
    <x v="6"/>
    <s v="Nkangala"/>
    <s v="Nkangala"/>
    <x v="3"/>
    <n v="20"/>
    <n v="0"/>
  </r>
  <r>
    <x v="6"/>
    <x v="6"/>
    <s v="Nkangala"/>
    <s v="Nkangala"/>
    <x v="0"/>
    <n v="110"/>
    <n v="18"/>
  </r>
  <r>
    <x v="6"/>
    <x v="6"/>
    <s v="Nkangala"/>
    <s v="Nkangala"/>
    <x v="3"/>
    <n v="40"/>
    <n v="0"/>
  </r>
  <r>
    <x v="6"/>
    <x v="6"/>
    <s v="Central Karoo"/>
    <s v="Central Karoo"/>
    <x v="1"/>
    <n v="75"/>
    <n v="0"/>
  </r>
  <r>
    <x v="6"/>
    <x v="6"/>
    <s v="Gert Sibande"/>
    <s v="Gert Sibande"/>
    <x v="0"/>
    <n v="43"/>
    <n v="2"/>
  </r>
  <r>
    <x v="6"/>
    <x v="6"/>
    <s v="Nkangala"/>
    <s v="Nkangala"/>
    <x v="0"/>
    <n v="237"/>
    <n v="25"/>
  </r>
  <r>
    <x v="6"/>
    <x v="6"/>
    <s v="Nkangala"/>
    <s v="Nkangala"/>
    <x v="0"/>
    <n v="262"/>
    <n v="45"/>
  </r>
  <r>
    <x v="6"/>
    <x v="6"/>
    <s v="Nkangala"/>
    <s v="Nkangala"/>
    <x v="0"/>
    <n v="134"/>
    <n v="0"/>
  </r>
  <r>
    <x v="6"/>
    <x v="6"/>
    <s v="Central Karoo"/>
    <s v="Central Karoo"/>
    <x v="0"/>
    <n v="12"/>
    <n v="0"/>
  </r>
  <r>
    <x v="6"/>
    <x v="6"/>
    <s v="Central Karoo"/>
    <s v="Central Karoo"/>
    <x v="0"/>
    <n v="50"/>
    <n v="0"/>
  </r>
  <r>
    <x v="6"/>
    <x v="6"/>
    <s v="Central Karoo"/>
    <s v="Central Karoo"/>
    <x v="0"/>
    <n v="30"/>
    <n v="0"/>
  </r>
  <r>
    <x v="6"/>
    <x v="6"/>
    <s v="Central Karoo"/>
    <s v="Central Karoo"/>
    <x v="3"/>
    <n v="16"/>
    <n v="0"/>
  </r>
  <r>
    <x v="5"/>
    <x v="5"/>
    <s v="uMgungundlovu"/>
    <s v="uMgungundlovu"/>
    <x v="0"/>
    <n v="46"/>
    <n v="0"/>
  </r>
  <r>
    <x v="5"/>
    <x v="5"/>
    <s v="Amajuba"/>
    <s v="Amajuba"/>
    <x v="0"/>
    <n v="206"/>
    <n v="18"/>
  </r>
  <r>
    <x v="5"/>
    <x v="5"/>
    <s v="eThekwini"/>
    <s v="eThekwini"/>
    <x v="0"/>
    <n v="132"/>
    <n v="12"/>
  </r>
  <r>
    <x v="5"/>
    <x v="5"/>
    <s v="UMgungundlovu"/>
    <s v="UMgungundlovu"/>
    <x v="0"/>
    <n v="222"/>
    <n v="32"/>
  </r>
  <r>
    <x v="5"/>
    <x v="5"/>
    <s v="uMgungundlovu"/>
    <s v="uMgungundlovu"/>
    <x v="3"/>
    <n v="30"/>
    <n v="0"/>
  </r>
  <r>
    <x v="5"/>
    <x v="5"/>
    <s v="King Cetshwayo"/>
    <s v="King Cetshwayo"/>
    <x v="2"/>
    <n v="40"/>
    <n v="0"/>
  </r>
  <r>
    <x v="5"/>
    <x v="5"/>
    <s v="eThekwini"/>
    <s v="eThekwini"/>
    <x v="3"/>
    <n v="36"/>
    <n v="0"/>
  </r>
  <r>
    <x v="5"/>
    <x v="5"/>
    <s v="uMgungundlovu"/>
    <s v="uMgungundlovu"/>
    <x v="2"/>
    <n v="10"/>
    <n v="0"/>
  </r>
  <r>
    <x v="5"/>
    <x v="5"/>
    <s v="Harry Gwala"/>
    <s v="Harry Gwala"/>
    <x v="0"/>
    <n v="32"/>
    <n v="0"/>
  </r>
  <r>
    <x v="5"/>
    <x v="5"/>
    <s v="uMgungundlovu"/>
    <s v="uMgungundlovu"/>
    <x v="2"/>
    <n v="20"/>
    <n v="0"/>
  </r>
  <r>
    <x v="5"/>
    <x v="5"/>
    <s v="eThekwini"/>
    <s v="eThekwini"/>
    <x v="2"/>
    <n v="30"/>
    <n v="0"/>
  </r>
  <r>
    <x v="5"/>
    <x v="5"/>
    <s v="Zululand"/>
    <s v="Zululand"/>
    <x v="0"/>
    <n v="11"/>
    <n v="0"/>
  </r>
  <r>
    <x v="5"/>
    <x v="5"/>
    <s v="eThekwini"/>
    <s v="eThekwini"/>
    <x v="2"/>
    <n v="22"/>
    <n v="0"/>
  </r>
  <r>
    <x v="5"/>
    <x v="5"/>
    <s v="Uthukela"/>
    <s v="Uthukela"/>
    <x v="0"/>
    <n v="107"/>
    <n v="9"/>
  </r>
  <r>
    <x v="5"/>
    <x v="5"/>
    <s v="eThekwini"/>
    <s v="eThekwini"/>
    <x v="0"/>
    <n v="115"/>
    <n v="8"/>
  </r>
  <r>
    <x v="5"/>
    <x v="5"/>
    <s v="uMgungundlovu"/>
    <s v="uMgungundlovu"/>
    <x v="3"/>
    <n v="6"/>
    <n v="0"/>
  </r>
  <r>
    <x v="5"/>
    <x v="5"/>
    <s v="eThekwini"/>
    <s v="eThekwini"/>
    <x v="4"/>
    <n v="5"/>
    <n v="0"/>
  </r>
  <r>
    <x v="5"/>
    <x v="5"/>
    <s v="eThekwini"/>
    <s v="eThekwini"/>
    <x v="0"/>
    <n v="158"/>
    <n v="24"/>
  </r>
  <r>
    <x v="5"/>
    <x v="5"/>
    <s v="eThekwini"/>
    <s v="eThekwini"/>
    <x v="1"/>
    <n v="30"/>
    <n v="0"/>
  </r>
  <r>
    <x v="5"/>
    <x v="5"/>
    <s v="Ugu"/>
    <s v="Ugu"/>
    <x v="0"/>
    <n v="154"/>
    <n v="14"/>
  </r>
  <r>
    <x v="5"/>
    <x v="5"/>
    <s v="eThekwini"/>
    <s v="eThekwini"/>
    <x v="0"/>
    <n v="213"/>
    <n v="12"/>
  </r>
  <r>
    <x v="5"/>
    <x v="5"/>
    <s v="Ugu"/>
    <s v="Ugu"/>
    <x v="3"/>
    <n v="20"/>
    <n v="0"/>
  </r>
  <r>
    <x v="5"/>
    <x v="5"/>
    <s v="uMgungundlovu"/>
    <s v="uMgungundlovu"/>
    <x v="0"/>
    <n v="142"/>
    <n v="15"/>
  </r>
  <r>
    <x v="5"/>
    <x v="5"/>
    <s v="eThekwini"/>
    <s v="eThekwini"/>
    <x v="0"/>
    <n v="42"/>
    <n v="12"/>
  </r>
  <r>
    <x v="5"/>
    <x v="5"/>
    <s v="eThekwini"/>
    <s v="eThekwini"/>
    <x v="2"/>
    <n v="41"/>
    <n v="0"/>
  </r>
  <r>
    <x v="5"/>
    <x v="5"/>
    <s v="eThekwini"/>
    <s v="eThekwini"/>
    <x v="0"/>
    <n v="300"/>
    <n v="28"/>
  </r>
  <r>
    <x v="5"/>
    <x v="5"/>
    <s v="eThekwini"/>
    <s v="eThekwini"/>
    <x v="0"/>
    <n v="193"/>
    <n v="11"/>
  </r>
  <r>
    <x v="5"/>
    <x v="5"/>
    <s v="eThekwini"/>
    <s v="eThekwini"/>
    <x v="0"/>
    <n v="190"/>
    <n v="22"/>
  </r>
  <r>
    <x v="5"/>
    <x v="5"/>
    <s v="uMgungundlovu"/>
    <s v="uMgungundlovu"/>
    <x v="0"/>
    <n v="101"/>
    <n v="11"/>
  </r>
  <r>
    <x v="5"/>
    <x v="5"/>
    <s v="eThekwini"/>
    <s v="eThekwini"/>
    <x v="0"/>
    <n v="492"/>
    <n v="27"/>
  </r>
  <r>
    <x v="5"/>
    <x v="5"/>
    <s v="Uthungulu"/>
    <s v="Uthungulu"/>
    <x v="0"/>
    <n v="179"/>
    <n v="11"/>
  </r>
  <r>
    <x v="5"/>
    <x v="5"/>
    <s v="eThekwini"/>
    <s v="eThekwini"/>
    <x v="0"/>
    <n v="217"/>
    <n v="7"/>
  </r>
  <r>
    <x v="5"/>
    <x v="5"/>
    <s v="Uthungulu"/>
    <s v="Uthungulu"/>
    <x v="0"/>
    <n v="263"/>
    <n v="38"/>
  </r>
  <r>
    <x v="5"/>
    <x v="5"/>
    <s v="eThekwini"/>
    <s v="eThekwini"/>
    <x v="4"/>
    <n v="21"/>
    <n v="0"/>
  </r>
  <r>
    <x v="5"/>
    <x v="5"/>
    <s v="eThekwini"/>
    <s v="eThekwini"/>
    <x v="0"/>
    <n v="290"/>
    <n v="30"/>
  </r>
  <r>
    <x v="5"/>
    <x v="5"/>
    <s v="eThekwini"/>
    <s v="eThekwini"/>
    <x v="0"/>
    <n v="441"/>
    <n v="71"/>
  </r>
  <r>
    <x v="5"/>
    <x v="5"/>
    <s v="UMgungundlovu"/>
    <s v="UMgungundlovu"/>
    <x v="0"/>
    <n v="233"/>
    <n v="25"/>
  </r>
  <r>
    <x v="5"/>
    <x v="5"/>
    <s v="eThekwini"/>
    <s v="eThekwini"/>
    <x v="0"/>
    <n v="197"/>
    <n v="8"/>
  </r>
  <r>
    <x v="5"/>
    <x v="5"/>
    <s v="Ugu"/>
    <s v="Ugu"/>
    <x v="0"/>
    <n v="151"/>
    <n v="13"/>
  </r>
  <r>
    <x v="5"/>
    <x v="5"/>
    <s v="eThekwini"/>
    <s v="eThekwini"/>
    <x v="0"/>
    <n v="235"/>
    <n v="14"/>
  </r>
  <r>
    <x v="5"/>
    <x v="5"/>
    <s v="eThekwini"/>
    <s v="eThekwini"/>
    <x v="0"/>
    <n v="119"/>
    <n v="21"/>
  </r>
  <r>
    <x v="5"/>
    <x v="5"/>
    <s v="Harry Gwala"/>
    <s v="Harry Gwala"/>
    <x v="0"/>
    <n v="36"/>
    <n v="0"/>
  </r>
  <r>
    <x v="5"/>
    <x v="5"/>
    <s v="eThekwini"/>
    <s v="eThekwini"/>
    <x v="3"/>
    <n v="21"/>
    <n v="0"/>
  </r>
  <r>
    <x v="5"/>
    <x v="5"/>
    <s v="eThekwini"/>
    <s v="eThekwini"/>
    <x v="2"/>
    <n v="22"/>
    <n v="0"/>
  </r>
  <r>
    <x v="5"/>
    <x v="5"/>
    <s v="uMgungundlovu"/>
    <s v="uMgungundlovu"/>
    <x v="4"/>
    <n v="10"/>
    <n v="0"/>
  </r>
  <r>
    <x v="5"/>
    <x v="5"/>
    <s v="eThekwini"/>
    <s v="eThekwini"/>
    <x v="0"/>
    <n v="87"/>
    <n v="3"/>
  </r>
  <r>
    <x v="5"/>
    <x v="5"/>
    <s v="eThekwini"/>
    <s v="eThekwini"/>
    <x v="0"/>
    <n v="163"/>
    <n v="15"/>
  </r>
  <r>
    <x v="5"/>
    <x v="5"/>
    <s v="uMgungundlovu"/>
    <s v="uMgungundlovu"/>
    <x v="0"/>
    <n v="125"/>
    <n v="9"/>
  </r>
  <r>
    <x v="5"/>
    <x v="5"/>
    <s v="eThekwini"/>
    <s v="eThekwini"/>
    <x v="3"/>
    <n v="11"/>
    <n v="0"/>
  </r>
  <r>
    <x v="5"/>
    <x v="5"/>
    <s v="Ugu"/>
    <s v="Ugu"/>
    <x v="3"/>
    <n v="13"/>
    <n v="0"/>
  </r>
  <r>
    <x v="5"/>
    <x v="5"/>
    <s v="Ugu"/>
    <s v="Ugu"/>
    <x v="0"/>
    <n v="130"/>
    <n v="19"/>
  </r>
  <r>
    <x v="5"/>
    <x v="5"/>
    <s v="uMgungundlovu"/>
    <s v="uMgungundlovu"/>
    <x v="1"/>
    <n v="58"/>
    <n v="0"/>
  </r>
  <r>
    <x v="5"/>
    <x v="5"/>
    <s v="eThekwini"/>
    <s v="eThekwini"/>
    <x v="1"/>
    <n v="77"/>
    <n v="0"/>
  </r>
  <r>
    <x v="5"/>
    <x v="5"/>
    <s v="eThekwini"/>
    <s v="eThekwini"/>
    <x v="0"/>
    <n v="373"/>
    <n v="50"/>
  </r>
  <r>
    <x v="5"/>
    <x v="5"/>
    <s v="King Cetshwayo"/>
    <s v="King Cetshwayo"/>
    <x v="0"/>
    <n v="200"/>
    <n v="14"/>
  </r>
  <r>
    <x v="5"/>
    <x v="5"/>
    <s v="eThekwini"/>
    <s v="eThekwini"/>
    <x v="0"/>
    <n v="62"/>
    <n v="4"/>
  </r>
  <r>
    <x v="5"/>
    <x v="5"/>
    <s v="eThekwini"/>
    <s v="eThekwini"/>
    <x v="0"/>
    <n v="250"/>
    <n v="30"/>
  </r>
  <r>
    <x v="5"/>
    <x v="5"/>
    <s v="eThekwini"/>
    <s v="eThekwini"/>
    <x v="0"/>
    <n v="163"/>
    <n v="16"/>
  </r>
  <r>
    <x v="5"/>
    <x v="5"/>
    <s v="uMgungundlovu"/>
    <s v="uMgungundlovu"/>
    <x v="0"/>
    <n v="47"/>
    <n v="2"/>
  </r>
  <r>
    <x v="5"/>
    <x v="5"/>
    <s v="iLembe"/>
    <s v="iLembe"/>
    <x v="0"/>
    <n v="70"/>
    <n v="8"/>
  </r>
  <r>
    <x v="5"/>
    <x v="5"/>
    <s v="eThekwini"/>
    <s v="eThekwini"/>
    <x v="3"/>
    <n v="18"/>
    <n v="0"/>
  </r>
  <r>
    <x v="5"/>
    <x v="5"/>
    <s v="uMgungundlovu"/>
    <s v="uMgungundlovu"/>
    <x v="0"/>
    <n v="265"/>
    <n v="36"/>
  </r>
  <r>
    <x v="5"/>
    <x v="5"/>
    <s v="Ugu"/>
    <s v="Ugu"/>
    <x v="2"/>
    <n v="20"/>
    <n v="0"/>
  </r>
  <r>
    <x v="5"/>
    <x v="5"/>
    <s v="uMgungundlovu"/>
    <s v="uMgungundlovu"/>
    <x v="3"/>
    <n v="10"/>
    <n v="0"/>
  </r>
  <r>
    <x v="5"/>
    <x v="5"/>
    <s v="iLembe"/>
    <s v="iLembe"/>
    <x v="5"/>
    <n v="54"/>
    <n v="0"/>
  </r>
  <r>
    <x v="5"/>
    <x v="5"/>
    <s v="uMgungundlovu"/>
    <s v="uMgungundlovu"/>
    <x v="5"/>
    <n v="26"/>
    <n v="0"/>
  </r>
  <r>
    <x v="7"/>
    <x v="7"/>
    <s v="Lejweleputswa"/>
    <s v="Lejweleputswa"/>
    <x v="0"/>
    <n v="227"/>
    <n v="24"/>
  </r>
  <r>
    <x v="7"/>
    <x v="7"/>
    <s v="Mangaung"/>
    <s v="Mangaung"/>
    <x v="0"/>
    <n v="377"/>
    <n v="38"/>
  </r>
  <r>
    <x v="7"/>
    <x v="7"/>
    <s v="Thabo Mofutsanyane"/>
    <s v="Thabo Mofutsanyane"/>
    <x v="0"/>
    <n v="114"/>
    <n v="6"/>
  </r>
  <r>
    <x v="7"/>
    <x v="7"/>
    <s v="Mangaung"/>
    <s v="Mangaung"/>
    <x v="3"/>
    <n v="20"/>
    <n v="0"/>
  </r>
  <r>
    <x v="7"/>
    <x v="7"/>
    <s v="Mangaung"/>
    <s v="Mangaung"/>
    <x v="2"/>
    <n v="40"/>
    <n v="0"/>
  </r>
  <r>
    <x v="7"/>
    <x v="7"/>
    <s v="Lejweleputswa"/>
    <s v="Lejweleputswa"/>
    <x v="0"/>
    <n v="131"/>
    <n v="6"/>
  </r>
  <r>
    <x v="7"/>
    <x v="7"/>
    <s v="Fezile Dabi"/>
    <s v="Fezile Dabi"/>
    <x v="0"/>
    <n v="10"/>
    <n v="0"/>
  </r>
  <r>
    <x v="7"/>
    <x v="7"/>
    <s v="Mangaung"/>
    <s v="Mangaung"/>
    <x v="5"/>
    <n v="12"/>
    <n v="0"/>
  </r>
  <r>
    <x v="7"/>
    <x v="7"/>
    <s v="Mangaung"/>
    <s v="Mangaung"/>
    <x v="2"/>
    <n v="24"/>
    <n v="0"/>
  </r>
  <r>
    <x v="7"/>
    <x v="7"/>
    <s v="Mangaung"/>
    <s v="Mangaung"/>
    <x v="1"/>
    <n v="22"/>
    <n v="0"/>
  </r>
  <r>
    <x v="7"/>
    <x v="7"/>
    <s v="Mangaung"/>
    <s v="Mangaung"/>
    <x v="1"/>
    <n v="116"/>
    <n v="0"/>
  </r>
  <r>
    <x v="7"/>
    <x v="7"/>
    <s v="Mangaung"/>
    <s v="Mangaung"/>
    <x v="3"/>
    <n v="40"/>
    <n v="0"/>
  </r>
  <r>
    <x v="7"/>
    <x v="7"/>
    <s v="Mangaung"/>
    <s v="Mangaung"/>
    <x v="1"/>
    <n v="76"/>
    <n v="0"/>
  </r>
  <r>
    <x v="7"/>
    <x v="7"/>
    <s v="Mangaung"/>
    <s v="Mangaung"/>
    <x v="0"/>
    <n v="21"/>
    <n v="0"/>
  </r>
  <r>
    <x v="7"/>
    <x v="7"/>
    <s v="Thabo Mofutsanyana"/>
    <s v="Thabo Mofutsanyana"/>
    <x v="0"/>
    <n v="120"/>
    <n v="12"/>
  </r>
  <r>
    <x v="7"/>
    <x v="7"/>
    <s v="Mangaung"/>
    <s v="Mangaung"/>
    <x v="0"/>
    <n v="261"/>
    <n v="38"/>
  </r>
  <r>
    <x v="7"/>
    <x v="7"/>
    <s v="Mangaung"/>
    <s v="Mangaung"/>
    <x v="5"/>
    <n v="37"/>
    <n v="0"/>
  </r>
  <r>
    <x v="7"/>
    <x v="7"/>
    <s v="Mangaung"/>
    <s v="Mangaung"/>
    <x v="2"/>
    <n v="12"/>
    <n v="0"/>
  </r>
  <r>
    <x v="7"/>
    <x v="7"/>
    <s v="Mangaung"/>
    <s v="Mangaung"/>
    <x v="2"/>
    <n v="10"/>
    <n v="0"/>
  </r>
  <r>
    <x v="7"/>
    <x v="7"/>
    <s v="Fezile Dabi"/>
    <s v="Fezile Dabi"/>
    <x v="0"/>
    <n v="80"/>
    <n v="5"/>
  </r>
  <r>
    <x v="7"/>
    <x v="7"/>
    <s v="Fezile Dabi"/>
    <s v="Fezile Dabi"/>
    <x v="0"/>
    <n v="68"/>
    <n v="0"/>
  </r>
  <r>
    <x v="7"/>
    <x v="7"/>
    <s v="Mangaung"/>
    <s v="Mangaung"/>
    <x v="0"/>
    <n v="127"/>
    <n v="11"/>
  </r>
  <r>
    <x v="7"/>
    <x v="7"/>
    <s v="Mangaung"/>
    <s v="Mangaung"/>
    <x v="0"/>
    <n v="133"/>
    <n v="12"/>
  </r>
  <r>
    <x v="7"/>
    <x v="7"/>
    <s v="Mangaung"/>
    <s v="Mangaung"/>
    <x v="0"/>
    <n v="110"/>
    <n v="0"/>
  </r>
  <r>
    <x v="7"/>
    <x v="7"/>
    <s v="Mangaung"/>
    <s v="Mangaung"/>
    <x v="0"/>
    <n v="40"/>
    <n v="6"/>
  </r>
  <r>
    <x v="7"/>
    <x v="7"/>
    <s v="Thabo Mofutsanyana"/>
    <s v="Thabo Mofutsanyana"/>
    <x v="2"/>
    <n v="30"/>
    <n v="0"/>
  </r>
  <r>
    <x v="7"/>
    <x v="7"/>
    <s v="Lejweleputswa"/>
    <s v="Lejweleputswa"/>
    <x v="0"/>
    <n v="136"/>
    <n v="14"/>
  </r>
  <r>
    <x v="8"/>
    <x v="8"/>
    <s v="Vhembe"/>
    <s v="Vhembe"/>
    <x v="0"/>
    <n v="32"/>
    <n v="0"/>
  </r>
  <r>
    <x v="8"/>
    <x v="8"/>
    <s v="Waterberg"/>
    <s v="Waterberg"/>
    <x v="0"/>
    <n v="34"/>
    <n v="0"/>
  </r>
  <r>
    <x v="8"/>
    <x v="8"/>
    <s v="Waterberg"/>
    <s v="Waterberg"/>
    <x v="0"/>
    <n v="34"/>
    <n v="0"/>
  </r>
  <r>
    <x v="8"/>
    <x v="8"/>
    <s v="Capricorn"/>
    <s v="Capricorn"/>
    <x v="0"/>
    <n v="247"/>
    <n v="31"/>
  </r>
  <r>
    <x v="8"/>
    <x v="8"/>
    <s v="Mopani"/>
    <s v="Mopani"/>
    <x v="0"/>
    <n v="131"/>
    <n v="16"/>
  </r>
  <r>
    <x v="8"/>
    <x v="8"/>
    <s v="Capricorn"/>
    <s v="Capricorn"/>
    <x v="3"/>
    <n v="26"/>
    <n v="0"/>
  </r>
  <r>
    <x v="8"/>
    <x v="8"/>
    <s v="Vhembe"/>
    <s v="Vhembe"/>
    <x v="0"/>
    <n v="9"/>
    <n v="0"/>
  </r>
  <r>
    <x v="8"/>
    <x v="8"/>
    <s v="Waterberg"/>
    <s v="Waterberg"/>
    <x v="0"/>
    <n v="42"/>
    <n v="0"/>
  </r>
  <r>
    <x v="8"/>
    <x v="8"/>
    <s v="Capricorn"/>
    <s v="Capricorn"/>
    <x v="0"/>
    <n v="200"/>
    <n v="32"/>
  </r>
  <r>
    <x v="8"/>
    <x v="8"/>
    <s v="Capricorn"/>
    <s v="Capricorn"/>
    <x v="0"/>
    <n v="21"/>
    <n v="0"/>
  </r>
  <r>
    <x v="2"/>
    <x v="2"/>
    <s v="Frances Baard"/>
    <s v="Frances Baard"/>
    <x v="0"/>
    <n v="10"/>
    <n v="4"/>
  </r>
  <r>
    <x v="2"/>
    <x v="2"/>
    <s v="Frances Baard"/>
    <s v="Frances Baard"/>
    <x v="1"/>
    <n v="68"/>
    <n v="0"/>
  </r>
  <r>
    <x v="0"/>
    <x v="0"/>
    <s v="Ekurhuleni"/>
    <s v="Ekurhuleni"/>
    <x v="4"/>
    <n v="12"/>
    <n v="0"/>
  </r>
  <r>
    <x v="7"/>
    <x v="7"/>
    <s v="Mangaung"/>
    <s v="Mangaung"/>
    <x v="4"/>
    <n v="20"/>
    <n v="0"/>
  </r>
  <r>
    <x v="0"/>
    <x v="0"/>
    <s v="City of Johannesburg"/>
    <s v="City of Johannesburg"/>
    <x v="0"/>
    <n v="144"/>
    <n v="6"/>
  </r>
  <r>
    <x v="3"/>
    <x v="3"/>
    <s v="City of Cape Town"/>
    <s v="City of Cape Town"/>
    <x v="1"/>
    <n v="49"/>
    <n v="0"/>
  </r>
  <r>
    <x v="0"/>
    <x v="0"/>
    <s v="West Rand"/>
    <s v="West Rand"/>
    <x v="0"/>
    <n v="50"/>
    <n v="0"/>
  </r>
  <r>
    <x v="3"/>
    <x v="3"/>
    <s v="City of Cape Town"/>
    <s v="City of Cape Town"/>
    <x v="2"/>
    <n v="30"/>
    <n v="0"/>
  </r>
  <r>
    <x v="4"/>
    <x v="4"/>
    <s v="Buffalo City"/>
    <s v="Buffalo City"/>
    <x v="7"/>
    <n v="1"/>
    <n v="0"/>
  </r>
  <r>
    <x v="0"/>
    <x v="0"/>
    <s v="City of Johannesburg"/>
    <s v="City of Johannesburg"/>
    <x v="2"/>
    <n v="20"/>
    <n v="0"/>
  </r>
  <r>
    <x v="0"/>
    <x v="0"/>
    <s v="City of Johannesburg"/>
    <s v="City of Johannesburg"/>
    <x v="1"/>
    <n v="32"/>
    <n v="0"/>
  </r>
  <r>
    <x v="5"/>
    <x v="5"/>
    <s v="Zululand "/>
    <s v="Zululand "/>
    <x v="8"/>
    <n v="120"/>
    <n v="0"/>
  </r>
  <r>
    <x v="5"/>
    <x v="5"/>
    <s v="Umzinyathi "/>
    <s v="Umzinyathi "/>
    <x v="8"/>
    <n v="347"/>
    <n v="0"/>
  </r>
  <r>
    <x v="5"/>
    <x v="5"/>
    <s v="King Cetshwayo "/>
    <s v="King Cetshwayo "/>
    <x v="8"/>
    <n v="162"/>
    <n v="0"/>
  </r>
  <r>
    <x v="6"/>
    <x v="6"/>
    <s v="Ehlanzeni "/>
    <s v="Ehlanzeni "/>
    <x v="9"/>
    <n v="269"/>
    <n v="2"/>
  </r>
  <r>
    <x v="5"/>
    <x v="5"/>
    <s v="uMgungundlovu "/>
    <s v="uMgungundlovu "/>
    <x v="8"/>
    <n v="140"/>
    <n v="0"/>
  </r>
  <r>
    <x v="8"/>
    <x v="8"/>
    <s v="Sekhukhune "/>
    <s v="Sekhukhune "/>
    <x v="8"/>
    <n v="186"/>
    <n v="0"/>
  </r>
  <r>
    <x v="8"/>
    <x v="8"/>
    <s v="Waterberg "/>
    <s v="Waterberg "/>
    <x v="8"/>
    <n v="143"/>
    <n v="0"/>
  </r>
  <r>
    <x v="5"/>
    <x v="5"/>
    <s v="Ugu "/>
    <s v="Ugu "/>
    <x v="8"/>
    <n v="300"/>
    <n v="0"/>
  </r>
  <r>
    <x v="0"/>
    <x v="0"/>
    <s v="Ekurhuleni "/>
    <s v="Ekurhuleni "/>
    <x v="9"/>
    <n v="483"/>
    <n v="5"/>
  </r>
  <r>
    <x v="8"/>
    <x v="8"/>
    <s v="Vhembe "/>
    <s v="Vhembe "/>
    <x v="8"/>
    <n v="80"/>
    <n v="0"/>
  </r>
  <r>
    <x v="0"/>
    <x v="0"/>
    <s v="City of Johannesburg "/>
    <s v="City of Johannesburg "/>
    <x v="8"/>
    <n v="268"/>
    <n v="0"/>
  </r>
  <r>
    <x v="4"/>
    <x v="4"/>
    <s v="Oliver Tambo "/>
    <s v="Oliver Tambo "/>
    <x v="10"/>
    <n v="576"/>
    <n v="20"/>
  </r>
  <r>
    <x v="4"/>
    <x v="4"/>
    <s v="Chris Hani "/>
    <s v="Chris Hani "/>
    <x v="8"/>
    <n v="151"/>
    <n v="0"/>
  </r>
  <r>
    <x v="6"/>
    <x v="6"/>
    <s v="Ehlanzeni "/>
    <s v="Ehlanzeni "/>
    <x v="8"/>
    <n v="151"/>
    <n v="0"/>
  </r>
  <r>
    <x v="0"/>
    <x v="0"/>
    <s v="City of Johannesburg "/>
    <s v="City of Johannesburg "/>
    <x v="11"/>
    <n v="137"/>
    <n v="0"/>
  </r>
  <r>
    <x v="6"/>
    <x v="6"/>
    <s v="Gert Sibande "/>
    <s v="Gert Sibande "/>
    <x v="8"/>
    <n v="95"/>
    <n v="0"/>
  </r>
  <r>
    <x v="4"/>
    <x v="4"/>
    <s v="Joe Gqabi "/>
    <s v="Joe Gqabi "/>
    <x v="8"/>
    <n v="12"/>
    <n v="0"/>
  </r>
  <r>
    <x v="3"/>
    <x v="3"/>
    <s v="City of Cape Town "/>
    <s v="City of Cape Town "/>
    <x v="11"/>
    <n v="386"/>
    <n v="0"/>
  </r>
  <r>
    <x v="0"/>
    <x v="0"/>
    <s v="West Rand "/>
    <s v="West Rand "/>
    <x v="9"/>
    <n v="855"/>
    <n v="12"/>
  </r>
  <r>
    <x v="5"/>
    <x v="5"/>
    <s v="Umkhanyakude "/>
    <s v="Umkhanyakude "/>
    <x v="8"/>
    <n v="200"/>
    <n v="0"/>
  </r>
  <r>
    <x v="5"/>
    <x v="5"/>
    <s v="Zululand "/>
    <s v="Zululand "/>
    <x v="8"/>
    <n v="154"/>
    <n v="0"/>
  </r>
  <r>
    <x v="7"/>
    <x v="7"/>
    <s v="Thabo Mofutsanyana "/>
    <s v="Thabo Mofutsanyana "/>
    <x v="9"/>
    <n v="300"/>
    <n v="6"/>
  </r>
  <r>
    <x v="4"/>
    <x v="4"/>
    <s v="Chris Hani "/>
    <s v="Chris Hani "/>
    <x v="8"/>
    <n v="140"/>
    <n v="0"/>
  </r>
  <r>
    <x v="5"/>
    <x v="5"/>
    <s v="Harry Gwala "/>
    <s v="Harry Gwala "/>
    <x v="8"/>
    <n v="188"/>
    <n v="0"/>
  </r>
  <r>
    <x v="7"/>
    <x v="7"/>
    <s v="Mangaung "/>
    <s v="Mangaung "/>
    <x v="8"/>
    <n v="170"/>
    <n v="0"/>
  </r>
  <r>
    <x v="3"/>
    <x v="3"/>
    <s v="City of Cape Town "/>
    <s v="City of Cape Town "/>
    <x v="8"/>
    <n v="76"/>
    <n v="0"/>
  </r>
  <r>
    <x v="4"/>
    <x v="4"/>
    <s v="Chris Hani "/>
    <s v="Chris Hani "/>
    <x v="8"/>
    <n v="8"/>
    <n v="0"/>
  </r>
  <r>
    <x v="7"/>
    <x v="7"/>
    <s v="Xhariep "/>
    <s v="Xhariep "/>
    <x v="8"/>
    <n v="69"/>
    <n v="0"/>
  </r>
  <r>
    <x v="4"/>
    <x v="4"/>
    <s v="Amathole "/>
    <s v="Amathole "/>
    <x v="8"/>
    <n v="33"/>
    <n v="0"/>
  </r>
  <r>
    <x v="3"/>
    <x v="3"/>
    <s v="City of Cape Town "/>
    <s v="City of Cape Town "/>
    <x v="10"/>
    <n v="975"/>
    <n v="59"/>
  </r>
  <r>
    <x v="3"/>
    <x v="3"/>
    <s v="West Coast "/>
    <s v="West Coast "/>
    <x v="8"/>
    <n v="75"/>
    <n v="0"/>
  </r>
  <r>
    <x v="6"/>
    <x v="6"/>
    <s v="Gert Sibande "/>
    <s v="Gert Sibande "/>
    <x v="8"/>
    <n v="0"/>
    <n v="0"/>
  </r>
  <r>
    <x v="1"/>
    <x v="1"/>
    <s v="Dr Kenneth Kaunda "/>
    <s v="Dr Kenneth Kaunda "/>
    <x v="8"/>
    <n v="88"/>
    <n v="0"/>
  </r>
  <r>
    <x v="1"/>
    <x v="1"/>
    <s v="Ngaka Modiri Molema "/>
    <s v="Ngaka Modiri Molema "/>
    <x v="8"/>
    <n v="70"/>
    <n v="0"/>
  </r>
  <r>
    <x v="7"/>
    <x v="7"/>
    <s v="Thabo Mofutsanyana "/>
    <s v="Thabo Mofutsanyana "/>
    <x v="8"/>
    <n v="31"/>
    <n v="0"/>
  </r>
  <r>
    <x v="6"/>
    <x v="6"/>
    <s v="Nkangala "/>
    <s v="Nkangala "/>
    <x v="8"/>
    <n v="12"/>
    <n v="0"/>
  </r>
  <r>
    <x v="0"/>
    <x v="0"/>
    <s v="Sedibeng "/>
    <s v="Sedibeng "/>
    <x v="9"/>
    <n v="731"/>
    <n v="6"/>
  </r>
  <r>
    <x v="7"/>
    <x v="7"/>
    <s v="Xhariep "/>
    <s v="Xhariep "/>
    <x v="8"/>
    <n v="69"/>
    <n v="0"/>
  </r>
  <r>
    <x v="6"/>
    <x v="6"/>
    <s v="Gert Sibande "/>
    <s v="Gert Sibande "/>
    <x v="8"/>
    <n v="185"/>
    <n v="0"/>
  </r>
  <r>
    <x v="5"/>
    <x v="5"/>
    <s v="Uthukela "/>
    <s v="Uthukela "/>
    <x v="8"/>
    <n v="156"/>
    <n v="0"/>
  </r>
  <r>
    <x v="5"/>
    <x v="5"/>
    <s v="iLembe "/>
    <s v="iLembe "/>
    <x v="8"/>
    <n v="141"/>
    <n v="0"/>
  </r>
  <r>
    <x v="7"/>
    <x v="7"/>
    <s v="Thabo Mofutsanyana "/>
    <s v="Thabo Mofutsanyana "/>
    <x v="8"/>
    <n v="98"/>
    <n v="0"/>
  </r>
  <r>
    <x v="8"/>
    <x v="8"/>
    <s v="Capricorn "/>
    <s v="Capricorn "/>
    <x v="12"/>
    <n v="509"/>
    <n v="10"/>
  </r>
  <r>
    <x v="8"/>
    <x v="8"/>
    <s v="Waterberg "/>
    <s v="Waterberg "/>
    <x v="8"/>
    <n v="120"/>
    <n v="0"/>
  </r>
  <r>
    <x v="4"/>
    <x v="4"/>
    <s v="Oliver Tambo "/>
    <s v="Oliver Tambo "/>
    <x v="8"/>
    <n v="40"/>
    <n v="0"/>
  </r>
  <r>
    <x v="4"/>
    <x v="4"/>
    <s v="Joe Gqabi "/>
    <s v="Joe Gqabi "/>
    <x v="8"/>
    <n v="26"/>
    <n v="0"/>
  </r>
  <r>
    <x v="4"/>
    <x v="4"/>
    <s v="Joe Gqabi "/>
    <s v="Joe Gqabi "/>
    <x v="8"/>
    <n v="49"/>
    <n v="0"/>
  </r>
  <r>
    <x v="3"/>
    <x v="3"/>
    <s v="Garden Route "/>
    <s v="Garden Route "/>
    <x v="8"/>
    <n v="123"/>
    <n v="0"/>
  </r>
  <r>
    <x v="5"/>
    <x v="5"/>
    <s v="uMgungundlovu "/>
    <s v="uMgungundlovu "/>
    <x v="9"/>
    <n v="897"/>
    <n v="11"/>
  </r>
  <r>
    <x v="0"/>
    <x v="0"/>
    <s v="City of Johannesburg "/>
    <s v="City of Johannesburg "/>
    <x v="8"/>
    <n v="262"/>
    <n v="0"/>
  </r>
  <r>
    <x v="6"/>
    <x v="6"/>
    <s v="Gert Sibande "/>
    <s v="Gert Sibande "/>
    <x v="8"/>
    <n v="195"/>
    <n v="0"/>
  </r>
  <r>
    <x v="7"/>
    <x v="7"/>
    <s v="Fezile Dabi "/>
    <s v="Fezile Dabi "/>
    <x v="8"/>
    <n v="27"/>
    <n v="0"/>
  </r>
  <r>
    <x v="7"/>
    <x v="7"/>
    <s v="Thabo Mofutsanyana "/>
    <s v="Thabo Mofutsanyana "/>
    <x v="8"/>
    <n v="27"/>
    <n v="0"/>
  </r>
  <r>
    <x v="0"/>
    <x v="0"/>
    <s v="West Rand "/>
    <s v="West Rand "/>
    <x v="11"/>
    <n v="585"/>
    <n v="0"/>
  </r>
  <r>
    <x v="0"/>
    <x v="0"/>
    <s v="West Rand "/>
    <s v="West Rand "/>
    <x v="8"/>
    <n v="200"/>
    <n v="0"/>
  </r>
  <r>
    <x v="0"/>
    <x v="0"/>
    <s v="City of Tshwane "/>
    <s v="City of Tshwane "/>
    <x v="8"/>
    <n v="153"/>
    <n v="0"/>
  </r>
  <r>
    <x v="4"/>
    <x v="4"/>
    <s v="Chris Hani "/>
    <s v="Chris Hani "/>
    <x v="8"/>
    <n v="229"/>
    <n v="0"/>
  </r>
  <r>
    <x v="5"/>
    <x v="5"/>
    <s v="King Cetshwayo "/>
    <s v="King Cetshwayo "/>
    <x v="8"/>
    <n v="139"/>
    <n v="0"/>
  </r>
  <r>
    <x v="5"/>
    <x v="5"/>
    <s v="Umkhanyakude "/>
    <s v="Umkhanyakude "/>
    <x v="8"/>
    <n v="185"/>
    <n v="0"/>
  </r>
  <r>
    <x v="8"/>
    <x v="8"/>
    <s v="Waterberg "/>
    <s v="Waterberg "/>
    <x v="9"/>
    <n v="266"/>
    <n v="3"/>
  </r>
  <r>
    <x v="4"/>
    <x v="4"/>
    <s v="Sarah Baartman "/>
    <s v="Sarah Baartman "/>
    <x v="8"/>
    <n v="60"/>
    <n v="0"/>
  </r>
  <r>
    <x v="4"/>
    <x v="4"/>
    <s v="Chris Hani "/>
    <s v="Chris Hani "/>
    <x v="9"/>
    <n v="297"/>
    <n v="12"/>
  </r>
  <r>
    <x v="3"/>
    <x v="3"/>
    <s v="City of Cape Town "/>
    <s v="City of Cape Town "/>
    <x v="8"/>
    <n v="181"/>
    <n v="3"/>
  </r>
  <r>
    <x v="2"/>
    <x v="2"/>
    <s v="Frances Baard "/>
    <s v="Frances Baard "/>
    <x v="12"/>
    <n v="648"/>
    <n v="10"/>
  </r>
  <r>
    <x v="2"/>
    <x v="2"/>
    <s v="Zwelentlanga Fatman Mgcawu "/>
    <s v="Zwelentlanga Fatman Mgcawu "/>
    <x v="8"/>
    <n v="56"/>
    <n v="0"/>
  </r>
  <r>
    <x v="5"/>
    <x v="5"/>
    <s v="uMgungundlovu "/>
    <s v="uMgungundlovu "/>
    <x v="12"/>
    <n v="510"/>
    <n v="11"/>
  </r>
  <r>
    <x v="7"/>
    <x v="7"/>
    <s v="Thabo Mofutsanyana "/>
    <s v="Thabo Mofutsanyana "/>
    <x v="8"/>
    <n v="31"/>
    <n v="0"/>
  </r>
  <r>
    <x v="0"/>
    <x v="0"/>
    <s v="City of Tshwane "/>
    <s v="City of Tshwane "/>
    <x v="11"/>
    <n v="706"/>
    <n v="0"/>
  </r>
  <r>
    <x v="8"/>
    <x v="8"/>
    <s v="Waterberg "/>
    <s v="Waterberg "/>
    <x v="8"/>
    <n v="55"/>
    <n v="0"/>
  </r>
  <r>
    <x v="8"/>
    <x v="8"/>
    <s v="Capricorn "/>
    <s v="Capricorn "/>
    <x v="8"/>
    <n v="56"/>
    <n v="0"/>
  </r>
  <r>
    <x v="5"/>
    <x v="5"/>
    <s v="Ugu "/>
    <s v="Ugu "/>
    <x v="8"/>
    <n v="205"/>
    <n v="0"/>
  </r>
  <r>
    <x v="5"/>
    <x v="5"/>
    <s v="Zululand "/>
    <s v="Zululand "/>
    <x v="8"/>
    <n v="207"/>
    <n v="0"/>
  </r>
  <r>
    <x v="0"/>
    <x v="0"/>
    <s v="City of Tshwane "/>
    <s v="City of Tshwane "/>
    <x v="9"/>
    <n v="318"/>
    <n v="0"/>
  </r>
  <r>
    <x v="4"/>
    <x v="4"/>
    <s v="Buffalo City "/>
    <s v="Buffalo City "/>
    <x v="9"/>
    <n v="586"/>
    <n v="12"/>
  </r>
  <r>
    <x v="3"/>
    <x v="3"/>
    <s v="Central Karoo "/>
    <s v="Central Karoo "/>
    <x v="8"/>
    <n v="57"/>
    <n v="0"/>
  </r>
  <r>
    <x v="3"/>
    <x v="3"/>
    <s v="Garden Route "/>
    <s v="Garden Route "/>
    <x v="8"/>
    <n v="30"/>
    <n v="0"/>
  </r>
  <r>
    <x v="0"/>
    <x v="0"/>
    <s v="City of Johannesburg "/>
    <s v="City of Johannesburg "/>
    <x v="10"/>
    <n v="2685"/>
    <n v="40"/>
  </r>
  <r>
    <x v="1"/>
    <x v="1"/>
    <s v="Bojanala Platinum "/>
    <s v="Bojanala Platinum "/>
    <x v="8"/>
    <n v="186"/>
    <n v="0"/>
  </r>
  <r>
    <x v="6"/>
    <x v="6"/>
    <s v="Gert Sibande "/>
    <s v="Gert Sibande "/>
    <x v="8"/>
    <n v="145"/>
    <n v="0"/>
  </r>
  <r>
    <x v="1"/>
    <x v="1"/>
    <s v="Dr Kenneth Kaunda "/>
    <s v="Dr Kenneth Kaunda "/>
    <x v="9"/>
    <n v="305"/>
    <n v="4"/>
  </r>
  <r>
    <x v="7"/>
    <x v="7"/>
    <s v="Thabo Mofutsanyana "/>
    <s v="Thabo Mofutsanyana "/>
    <x v="8"/>
    <n v="55"/>
    <n v="0"/>
  </r>
  <r>
    <x v="8"/>
    <x v="8"/>
    <s v="Sekhukhune "/>
    <s v="Sekhukhune "/>
    <x v="8"/>
    <n v="121"/>
    <n v="0"/>
  </r>
  <r>
    <x v="7"/>
    <x v="7"/>
    <s v="Thabo Mofutsanyana "/>
    <s v="Thabo Mofutsanyana "/>
    <x v="8"/>
    <n v="85"/>
    <n v="0"/>
  </r>
  <r>
    <x v="8"/>
    <x v="8"/>
    <s v="Mopani "/>
    <s v="Mopani "/>
    <x v="9"/>
    <n v="316"/>
    <n v="8"/>
  </r>
  <r>
    <x v="5"/>
    <x v="5"/>
    <s v="Umkhanyakude "/>
    <s v="Umkhanyakude "/>
    <x v="8"/>
    <n v="265"/>
    <n v="0"/>
  </r>
  <r>
    <x v="5"/>
    <x v="5"/>
    <s v="Umkhanyakude "/>
    <s v="Umkhanyakude "/>
    <x v="8"/>
    <n v="241"/>
    <n v="0"/>
  </r>
  <r>
    <x v="5"/>
    <x v="5"/>
    <s v="King Cetshwayo "/>
    <s v="King Cetshwayo "/>
    <x v="8"/>
    <n v="213"/>
    <n v="0"/>
  </r>
  <r>
    <x v="5"/>
    <x v="5"/>
    <s v="eThekwini "/>
    <s v="eThekwini "/>
    <x v="9"/>
    <n v="1162"/>
    <n v="9"/>
  </r>
  <r>
    <x v="8"/>
    <x v="8"/>
    <s v="Sekhukhune "/>
    <s v="Sekhukhune "/>
    <x v="8"/>
    <n v="200"/>
    <n v="0"/>
  </r>
  <r>
    <x v="8"/>
    <x v="8"/>
    <s v="Capricorn "/>
    <s v="Capricorn "/>
    <x v="8"/>
    <n v="220"/>
    <n v="4"/>
  </r>
  <r>
    <x v="3"/>
    <x v="3"/>
    <s v="West Coast "/>
    <s v="West Coast "/>
    <x v="8"/>
    <n v="31"/>
    <n v="0"/>
  </r>
  <r>
    <x v="1"/>
    <x v="1"/>
    <s v="Bojanala Platinum "/>
    <s v="Bojanala Platinum "/>
    <x v="8"/>
    <n v="209"/>
    <n v="8"/>
  </r>
  <r>
    <x v="4"/>
    <x v="4"/>
    <s v="Alfred Nzo "/>
    <s v="Alfred Nzo "/>
    <x v="8"/>
    <n v="100"/>
    <n v="0"/>
  </r>
  <r>
    <x v="3"/>
    <x v="3"/>
    <s v="Garden Route "/>
    <s v="Garden Route "/>
    <x v="8"/>
    <n v="50"/>
    <n v="0"/>
  </r>
  <r>
    <x v="3"/>
    <x v="3"/>
    <s v="Cape Winelands "/>
    <s v="Cape Winelands "/>
    <x v="8"/>
    <n v="50"/>
    <n v="0"/>
  </r>
  <r>
    <x v="6"/>
    <x v="6"/>
    <s v="Gert Sibande "/>
    <s v="Gert Sibande "/>
    <x v="8"/>
    <n v="119"/>
    <n v="0"/>
  </r>
  <r>
    <x v="6"/>
    <x v="6"/>
    <s v="Gert Sibande "/>
    <s v="Gert Sibande "/>
    <x v="8"/>
    <n v="113"/>
    <n v="0"/>
  </r>
  <r>
    <x v="3"/>
    <x v="3"/>
    <s v="City of Cape Town "/>
    <s v="City of Cape Town "/>
    <x v="11"/>
    <n v="423"/>
    <n v="0"/>
  </r>
  <r>
    <x v="3"/>
    <x v="3"/>
    <s v="Garden Route "/>
    <s v="Garden Route "/>
    <x v="8"/>
    <n v="13"/>
    <n v="0"/>
  </r>
  <r>
    <x v="5"/>
    <x v="5"/>
    <s v="iLembe "/>
    <s v="iLembe "/>
    <x v="8"/>
    <n v="18"/>
    <n v="0"/>
  </r>
  <r>
    <x v="8"/>
    <x v="8"/>
    <s v="Vhembe "/>
    <s v="Vhembe "/>
    <x v="8"/>
    <n v="320"/>
    <n v="0"/>
  </r>
  <r>
    <x v="8"/>
    <x v="8"/>
    <s v="Vhembe "/>
    <s v="Vhembe "/>
    <x v="8"/>
    <n v="220"/>
    <n v="0"/>
  </r>
  <r>
    <x v="8"/>
    <x v="8"/>
    <s v="Capricorn "/>
    <s v="Capricorn "/>
    <x v="8"/>
    <n v="180"/>
    <n v="0"/>
  </r>
  <r>
    <x v="4"/>
    <x v="4"/>
    <s v="Chris Hani "/>
    <s v="Chris Hani "/>
    <x v="8"/>
    <n v="180"/>
    <n v="0"/>
  </r>
  <r>
    <x v="4"/>
    <x v="4"/>
    <s v="Buffalo City "/>
    <s v="Buffalo City "/>
    <x v="8"/>
    <n v="67"/>
    <n v="0"/>
  </r>
  <r>
    <x v="3"/>
    <x v="3"/>
    <s v="City of Cape Town "/>
    <s v="City of Cape Town "/>
    <x v="9"/>
    <n v="205"/>
    <n v="6"/>
  </r>
  <r>
    <x v="3"/>
    <x v="3"/>
    <s v="Overberg "/>
    <s v="Overberg "/>
    <x v="8"/>
    <n v="51"/>
    <n v="0"/>
  </r>
  <r>
    <x v="0"/>
    <x v="0"/>
    <s v="City of Johannesburg "/>
    <s v="City of Johannesburg "/>
    <x v="12"/>
    <n v="601"/>
    <n v="10"/>
  </r>
  <r>
    <x v="7"/>
    <x v="7"/>
    <s v="Xhariep "/>
    <s v="Xhariep "/>
    <x v="8"/>
    <n v="29"/>
    <n v="0"/>
  </r>
  <r>
    <x v="4"/>
    <x v="4"/>
    <s v="Amathole "/>
    <s v="Amathole "/>
    <x v="8"/>
    <n v="180"/>
    <n v="0"/>
  </r>
  <r>
    <x v="4"/>
    <x v="4"/>
    <s v="Chris Hani "/>
    <s v="Chris Hani "/>
    <x v="8"/>
    <n v="30"/>
    <n v="0"/>
  </r>
  <r>
    <x v="3"/>
    <x v="3"/>
    <s v="Central Karoo "/>
    <s v="Central Karoo "/>
    <x v="8"/>
    <n v="20"/>
    <n v="0"/>
  </r>
  <r>
    <x v="4"/>
    <x v="4"/>
    <s v="Alfred Nzo "/>
    <s v="Alfred Nzo "/>
    <x v="8"/>
    <n v="94"/>
    <n v="0"/>
  </r>
  <r>
    <x v="2"/>
    <x v="2"/>
    <s v="Frances Baard "/>
    <s v="Frances Baard "/>
    <x v="8"/>
    <n v="50"/>
    <n v="0"/>
  </r>
  <r>
    <x v="3"/>
    <x v="3"/>
    <s v="West Coast "/>
    <s v="West Coast "/>
    <x v="13"/>
    <n v="49"/>
    <n v="0"/>
  </r>
  <r>
    <x v="4"/>
    <x v="4"/>
    <s v="Sarah Baartman "/>
    <s v="Sarah Baartman "/>
    <x v="8"/>
    <n v="74"/>
    <n v="0"/>
  </r>
  <r>
    <x v="3"/>
    <x v="3"/>
    <s v="City of Cape Town "/>
    <s v="City of Cape Town "/>
    <x v="11"/>
    <n v="690"/>
    <n v="0"/>
  </r>
  <r>
    <x v="5"/>
    <x v="5"/>
    <s v="Zululand "/>
    <s v="Zululand "/>
    <x v="13"/>
    <n v="60"/>
    <n v="0"/>
  </r>
  <r>
    <x v="5"/>
    <x v="5"/>
    <s v="King Cetshwayo "/>
    <s v="King Cetshwayo "/>
    <x v="8"/>
    <n v="120"/>
    <n v="0"/>
  </r>
  <r>
    <x v="5"/>
    <x v="5"/>
    <s v="Amajuba "/>
    <s v="Amajuba "/>
    <x v="9"/>
    <n v="246"/>
    <n v="9"/>
  </r>
  <r>
    <x v="5"/>
    <x v="5"/>
    <s v="Umzinyathi "/>
    <s v="Umzinyathi "/>
    <x v="13"/>
    <n v="37"/>
    <n v="0"/>
  </r>
  <r>
    <x v="1"/>
    <x v="1"/>
    <s v="Dr Ruth Segomotsi Mompati "/>
    <s v="Dr Ruth Segomotsi Mompati "/>
    <x v="9"/>
    <n v="133"/>
    <n v="0"/>
  </r>
  <r>
    <x v="4"/>
    <x v="4"/>
    <s v="Chris Hani "/>
    <s v="Chris Hani "/>
    <x v="8"/>
    <n v="83"/>
    <n v="0"/>
  </r>
  <r>
    <x v="5"/>
    <x v="5"/>
    <s v="uMgungundlovu "/>
    <s v="uMgungundlovu "/>
    <x v="13"/>
    <n v="50"/>
    <n v="0"/>
  </r>
  <r>
    <x v="4"/>
    <x v="4"/>
    <s v="Joe Gqabi "/>
    <s v="Joe Gqabi "/>
    <x v="8"/>
    <n v="25"/>
    <n v="0"/>
  </r>
  <r>
    <x v="3"/>
    <x v="3"/>
    <s v="Overberg "/>
    <s v="Overberg "/>
    <x v="8"/>
    <n v="50"/>
    <n v="0"/>
  </r>
  <r>
    <x v="4"/>
    <x v="4"/>
    <s v="Sarah Baartman "/>
    <s v="Sarah Baartman "/>
    <x v="8"/>
    <n v="80"/>
    <n v="0"/>
  </r>
  <r>
    <x v="2"/>
    <x v="2"/>
    <s v="Pixley ka Seme "/>
    <s v="Pixley ka Seme "/>
    <x v="8"/>
    <n v="33"/>
    <n v="0"/>
  </r>
  <r>
    <x v="4"/>
    <x v="4"/>
    <s v="Chris Hani "/>
    <s v="Chris Hani "/>
    <x v="8"/>
    <n v="20"/>
    <n v="0"/>
  </r>
  <r>
    <x v="4"/>
    <x v="4"/>
    <s v="Buffalo City "/>
    <s v="Buffalo City "/>
    <x v="14"/>
    <n v="45"/>
    <n v="0"/>
  </r>
  <r>
    <x v="0"/>
    <x v="0"/>
    <s v="City of Tshwane "/>
    <s v="City of Tshwane "/>
    <x v="8"/>
    <n v="70"/>
    <n v="0"/>
  </r>
  <r>
    <x v="3"/>
    <x v="3"/>
    <s v="City of Cape Town "/>
    <s v="City of Cape Town "/>
    <x v="8"/>
    <n v="184"/>
    <n v="0"/>
  </r>
  <r>
    <x v="5"/>
    <x v="5"/>
    <s v="eThekwini "/>
    <s v="eThekwini "/>
    <x v="8"/>
    <n v="200"/>
    <n v="0"/>
  </r>
  <r>
    <x v="5"/>
    <x v="5"/>
    <s v="Harry Gwala "/>
    <s v="Harry Gwala "/>
    <x v="8"/>
    <n v="185"/>
    <n v="0"/>
  </r>
  <r>
    <x v="8"/>
    <x v="8"/>
    <s v="Capricorn "/>
    <s v="Capricorn "/>
    <x v="12"/>
    <n v="510"/>
    <n v="16"/>
  </r>
  <r>
    <x v="3"/>
    <x v="3"/>
    <s v="City of Cape Town "/>
    <s v="City of Cape Town "/>
    <x v="8"/>
    <n v="395"/>
    <n v="0"/>
  </r>
  <r>
    <x v="6"/>
    <x v="6"/>
    <s v="Ehlanzeni "/>
    <s v="Ehlanzeni "/>
    <x v="13"/>
    <n v="77"/>
    <n v="0"/>
  </r>
  <r>
    <x v="4"/>
    <x v="4"/>
    <s v="Sarah Baartman "/>
    <s v="Sarah Baartman "/>
    <x v="8"/>
    <n v="166"/>
    <n v="0"/>
  </r>
  <r>
    <x v="5"/>
    <x v="5"/>
    <s v="Zululand "/>
    <s v="Zululand "/>
    <x v="8"/>
    <n v="338"/>
    <n v="0"/>
  </r>
  <r>
    <x v="0"/>
    <x v="0"/>
    <s v="City of Johannesburg "/>
    <s v="City of Johannesburg "/>
    <x v="9"/>
    <n v="230"/>
    <n v="0"/>
  </r>
  <r>
    <x v="3"/>
    <x v="3"/>
    <s v="Overberg "/>
    <s v="Overberg "/>
    <x v="8"/>
    <n v="71"/>
    <n v="0"/>
  </r>
  <r>
    <x v="6"/>
    <x v="6"/>
    <s v="Ehlanzeni "/>
    <s v="Ehlanzeni "/>
    <x v="8"/>
    <n v="200"/>
    <n v="0"/>
  </r>
  <r>
    <x v="8"/>
    <x v="8"/>
    <s v="Mopani "/>
    <s v="Mopani "/>
    <x v="8"/>
    <n v="132"/>
    <n v="0"/>
  </r>
  <r>
    <x v="6"/>
    <x v="6"/>
    <s v="Ehlanzeni "/>
    <s v="Ehlanzeni "/>
    <x v="8"/>
    <n v="178"/>
    <n v="0"/>
  </r>
  <r>
    <x v="5"/>
    <x v="5"/>
    <s v="Harry Gwala "/>
    <s v="Harry Gwala "/>
    <x v="11"/>
    <n v="320"/>
    <n v="0"/>
  </r>
  <r>
    <x v="4"/>
    <x v="4"/>
    <s v="Oliver Tambo "/>
    <s v="Oliver Tambo "/>
    <x v="8"/>
    <n v="100"/>
    <n v="0"/>
  </r>
  <r>
    <x v="3"/>
    <x v="3"/>
    <s v="Garden Route "/>
    <s v="Garden Route "/>
    <x v="9"/>
    <n v="275"/>
    <n v="13"/>
  </r>
  <r>
    <x v="0"/>
    <x v="0"/>
    <s v="Ekurhuleni "/>
    <s v="Ekurhuleni "/>
    <x v="9"/>
    <n v="821"/>
    <n v="0"/>
  </r>
  <r>
    <x v="6"/>
    <x v="6"/>
    <s v="Nkangala "/>
    <s v="Nkangala "/>
    <x v="8"/>
    <n v="14"/>
    <n v="0"/>
  </r>
  <r>
    <x v="3"/>
    <x v="3"/>
    <s v="Cape Winelands "/>
    <s v="Cape Winelands "/>
    <x v="13"/>
    <n v="199"/>
    <n v="0"/>
  </r>
  <r>
    <x v="0"/>
    <x v="0"/>
    <s v="City of Tshwane "/>
    <s v="City of Tshwane "/>
    <x v="10"/>
    <n v="845"/>
    <n v="0"/>
  </r>
  <r>
    <x v="8"/>
    <x v="8"/>
    <s v="Capricorn "/>
    <s v="Capricorn "/>
    <x v="8"/>
    <n v="110"/>
    <n v="0"/>
  </r>
  <r>
    <x v="7"/>
    <x v="7"/>
    <s v="Lejweleputswa "/>
    <s v="Lejweleputswa "/>
    <x v="8"/>
    <n v="38"/>
    <n v="0"/>
  </r>
  <r>
    <x v="2"/>
    <x v="2"/>
    <s v="Pixley ka Seme "/>
    <s v="Pixley ka Seme "/>
    <x v="8"/>
    <n v="51"/>
    <n v="0"/>
  </r>
  <r>
    <x v="7"/>
    <x v="7"/>
    <s v="Lejweleputswa "/>
    <s v="Lejweleputswa "/>
    <x v="9"/>
    <n v="450"/>
    <n v="8"/>
  </r>
  <r>
    <x v="4"/>
    <x v="4"/>
    <s v="Chris Hani "/>
    <s v="Chris Hani "/>
    <x v="8"/>
    <n v="20"/>
    <n v="0"/>
  </r>
  <r>
    <x v="4"/>
    <x v="4"/>
    <s v="Amathole "/>
    <s v="Amathole "/>
    <x v="8"/>
    <n v="15"/>
    <n v="0"/>
  </r>
  <r>
    <x v="1"/>
    <x v="1"/>
    <s v="Ngaka Modiri Molema "/>
    <s v="Ngaka Modiri Molema "/>
    <x v="9"/>
    <n v="393"/>
    <n v="5"/>
  </r>
  <r>
    <x v="4"/>
    <x v="4"/>
    <s v="Sarah Baartman "/>
    <s v="Sarah Baartman "/>
    <x v="13"/>
    <n v="57"/>
    <n v="0"/>
  </r>
  <r>
    <x v="4"/>
    <x v="4"/>
    <s v="Amathole "/>
    <s v="Amathole "/>
    <x v="13"/>
    <n v="100"/>
    <n v="0"/>
  </r>
  <r>
    <x v="4"/>
    <x v="4"/>
    <s v="Sarah Baartman "/>
    <s v="Sarah Baartman "/>
    <x v="13"/>
    <n v="80"/>
    <n v="0"/>
  </r>
  <r>
    <x v="5"/>
    <x v="5"/>
    <s v="eThekwini "/>
    <s v="eThekwini "/>
    <x v="9"/>
    <n v="380"/>
    <n v="0"/>
  </r>
  <r>
    <x v="4"/>
    <x v="4"/>
    <s v="Amathole "/>
    <s v="Amathole "/>
    <x v="11"/>
    <n v="400"/>
    <n v="0"/>
  </r>
  <r>
    <x v="5"/>
    <x v="5"/>
    <s v="Harry Gwala "/>
    <s v="Harry Gwala "/>
    <x v="8"/>
    <n v="187"/>
    <n v="0"/>
  </r>
  <r>
    <x v="5"/>
    <x v="5"/>
    <s v="Umkhanyakude "/>
    <s v="Umkhanyakude "/>
    <x v="8"/>
    <n v="208"/>
    <n v="0"/>
  </r>
  <r>
    <x v="5"/>
    <x v="5"/>
    <s v="King Cetshwayo "/>
    <s v="King Cetshwayo "/>
    <x v="12"/>
    <n v="436"/>
    <n v="8"/>
  </r>
  <r>
    <x v="8"/>
    <x v="8"/>
    <s v="Mopani "/>
    <s v="Mopani "/>
    <x v="8"/>
    <n v="246"/>
    <n v="0"/>
  </r>
  <r>
    <x v="7"/>
    <x v="7"/>
    <s v="Mangaung "/>
    <s v="Mangaung "/>
    <x v="8"/>
    <n v="137"/>
    <n v="0"/>
  </r>
  <r>
    <x v="4"/>
    <x v="4"/>
    <s v="Oliver Tambo "/>
    <s v="Oliver Tambo "/>
    <x v="9"/>
    <n v="293"/>
    <n v="0"/>
  </r>
  <r>
    <x v="6"/>
    <x v="6"/>
    <s v="Gert Sibande "/>
    <s v="Gert Sibande "/>
    <x v="9"/>
    <n v="226"/>
    <n v="2"/>
  </r>
  <r>
    <x v="6"/>
    <x v="6"/>
    <s v="Ehlanzeni "/>
    <s v="Ehlanzeni "/>
    <x v="8"/>
    <n v="83"/>
    <n v="0"/>
  </r>
  <r>
    <x v="0"/>
    <x v="0"/>
    <s v="Sedibeng "/>
    <s v="Sedibeng "/>
    <x v="8"/>
    <n v="214"/>
    <n v="0"/>
  </r>
  <r>
    <x v="4"/>
    <x v="4"/>
    <s v="Amathole "/>
    <s v="Amathole "/>
    <x v="8"/>
    <n v="260"/>
    <n v="0"/>
  </r>
  <r>
    <x v="4"/>
    <x v="4"/>
    <s v="Sarah Baartman "/>
    <s v="Sarah Baartman "/>
    <x v="11"/>
    <n v="313"/>
    <n v="0"/>
  </r>
  <r>
    <x v="0"/>
    <x v="0"/>
    <s v="City of Tshwane "/>
    <s v="City of Tshwane "/>
    <x v="14"/>
    <n v="61"/>
    <n v="0"/>
  </r>
  <r>
    <x v="8"/>
    <x v="8"/>
    <s v="Sekhukhune "/>
    <s v="Sekhukhune "/>
    <x v="9"/>
    <n v="286"/>
    <n v="4"/>
  </r>
  <r>
    <x v="7"/>
    <x v="7"/>
    <s v="Fezile Dabi "/>
    <s v="Fezile Dabi "/>
    <x v="8"/>
    <n v="63"/>
    <n v="0"/>
  </r>
  <r>
    <x v="8"/>
    <x v="8"/>
    <s v="Mopani "/>
    <s v="Mopani "/>
    <x v="8"/>
    <n v="140"/>
    <n v="0"/>
  </r>
  <r>
    <x v="8"/>
    <x v="8"/>
    <s v="Vhembe "/>
    <s v="Vhembe "/>
    <x v="8"/>
    <n v="55"/>
    <n v="0"/>
  </r>
  <r>
    <x v="6"/>
    <x v="6"/>
    <s v="Nkangala "/>
    <s v="Nkangala "/>
    <x v="8"/>
    <n v="227"/>
    <n v="0"/>
  </r>
  <r>
    <x v="3"/>
    <x v="3"/>
    <s v="West Coast "/>
    <s v="West Coast "/>
    <x v="8"/>
    <n v="81"/>
    <n v="0"/>
  </r>
  <r>
    <x v="7"/>
    <x v="7"/>
    <s v="Thabo Mofutsanyana "/>
    <s v="Thabo Mofutsanyana "/>
    <x v="8"/>
    <n v="57"/>
    <n v="0"/>
  </r>
  <r>
    <x v="8"/>
    <x v="8"/>
    <s v="Capricorn "/>
    <s v="Capricorn "/>
    <x v="8"/>
    <n v="74"/>
    <n v="0"/>
  </r>
  <r>
    <x v="0"/>
    <x v="0"/>
    <s v="City of Tshwane "/>
    <s v="City of Tshwane "/>
    <x v="8"/>
    <n v="366"/>
    <n v="4"/>
  </r>
  <r>
    <x v="8"/>
    <x v="8"/>
    <s v="Vhembe "/>
    <s v="Vhembe "/>
    <x v="9"/>
    <n v="380"/>
    <n v="4"/>
  </r>
  <r>
    <x v="5"/>
    <x v="5"/>
    <s v="iLembe "/>
    <s v="iLembe "/>
    <x v="8"/>
    <n v="130"/>
    <n v="0"/>
  </r>
  <r>
    <x v="3"/>
    <x v="3"/>
    <s v="Cape Winelands "/>
    <s v="Cape Winelands "/>
    <x v="9"/>
    <n v="275"/>
    <n v="5"/>
  </r>
  <r>
    <x v="3"/>
    <x v="3"/>
    <s v="City of Cape Town "/>
    <s v="City of Cape Town "/>
    <x v="8"/>
    <n v="311"/>
    <n v="0"/>
  </r>
  <r>
    <x v="4"/>
    <x v="4"/>
    <s v="Nelson Mandela Bay "/>
    <s v="Nelson Mandela Bay "/>
    <x v="12"/>
    <n v="642"/>
    <n v="16"/>
  </r>
  <r>
    <x v="3"/>
    <x v="3"/>
    <s v="Overberg "/>
    <s v="Overberg "/>
    <x v="8"/>
    <n v="30"/>
    <n v="0"/>
  </r>
  <r>
    <x v="7"/>
    <x v="7"/>
    <s v="Lejweleputswa "/>
    <s v="Lejweleputswa "/>
    <x v="8"/>
    <n v="78"/>
    <n v="0"/>
  </r>
  <r>
    <x v="0"/>
    <x v="0"/>
    <s v="Sedibeng "/>
    <s v="Sedibeng "/>
    <x v="8"/>
    <n v="126"/>
    <n v="0"/>
  </r>
  <r>
    <x v="0"/>
    <x v="0"/>
    <s v="Ekurhuleni "/>
    <s v="Ekurhuleni "/>
    <x v="8"/>
    <n v="297"/>
    <n v="0"/>
  </r>
  <r>
    <x v="6"/>
    <x v="6"/>
    <s v="Ehlanzeni "/>
    <s v="Ehlanzeni "/>
    <x v="12"/>
    <n v="392"/>
    <n v="0"/>
  </r>
  <r>
    <x v="1"/>
    <x v="1"/>
    <s v="Dr Ruth Segomotsi Mompati "/>
    <s v="Dr Ruth Segomotsi Mompati "/>
    <x v="8"/>
    <n v="59"/>
    <n v="0"/>
  </r>
  <r>
    <x v="0"/>
    <x v="0"/>
    <s v="City of Tshwane "/>
    <s v="City of Tshwane "/>
    <x v="12"/>
    <n v="737"/>
    <n v="14"/>
  </r>
  <r>
    <x v="4"/>
    <x v="4"/>
    <s v="Chris Hani "/>
    <s v="Chris Hani "/>
    <x v="11"/>
    <n v="440"/>
    <n v="0"/>
  </r>
  <r>
    <x v="1"/>
    <x v="1"/>
    <s v="Ngaka Modiri Molema "/>
    <s v="Ngaka Modiri Molema "/>
    <x v="11"/>
    <n v="317"/>
    <n v="0"/>
  </r>
  <r>
    <x v="4"/>
    <x v="4"/>
    <s v="Amathole "/>
    <s v="Amathole "/>
    <x v="8"/>
    <n v="122"/>
    <n v="0"/>
  </r>
  <r>
    <x v="4"/>
    <x v="4"/>
    <s v="Sarah Baartman "/>
    <s v="Sarah Baartman "/>
    <x v="8"/>
    <n v="37"/>
    <n v="0"/>
  </r>
  <r>
    <x v="2"/>
    <x v="2"/>
    <s v="John Taolo Gaetsewe "/>
    <s v="John Taolo Gaetsewe "/>
    <x v="8"/>
    <n v="69"/>
    <n v="0"/>
  </r>
  <r>
    <x v="6"/>
    <x v="6"/>
    <s v="Ehlanzeni "/>
    <s v="Ehlanzeni "/>
    <x v="9"/>
    <n v="382"/>
    <n v="0"/>
  </r>
  <r>
    <x v="5"/>
    <x v="5"/>
    <s v="Umzinyathi "/>
    <s v="Umzinyathi "/>
    <x v="8"/>
    <n v="349"/>
    <n v="0"/>
  </r>
  <r>
    <x v="8"/>
    <x v="8"/>
    <s v="Vhembe "/>
    <s v="Vhembe "/>
    <x v="8"/>
    <n v="195"/>
    <n v="0"/>
  </r>
  <r>
    <x v="5"/>
    <x v="5"/>
    <s v="Joe Gqabi "/>
    <s v="Joe Gqabi "/>
    <x v="11"/>
    <n v="79"/>
    <n v="0"/>
  </r>
  <r>
    <x v="4"/>
    <x v="4"/>
    <s v="Oliver Tambo "/>
    <s v="Oliver Tambo "/>
    <x v="8"/>
    <n v="180"/>
    <n v="0"/>
  </r>
  <r>
    <x v="8"/>
    <x v="8"/>
    <s v="Waterberg "/>
    <s v="Waterberg "/>
    <x v="8"/>
    <n v="91"/>
    <n v="0"/>
  </r>
  <r>
    <x v="8"/>
    <x v="8"/>
    <s v="Capricorn "/>
    <s v="Capricorn "/>
    <x v="11"/>
    <n v="400"/>
    <n v="0"/>
  </r>
  <r>
    <x v="1"/>
    <x v="1"/>
    <s v="Dr Ruth Segomotsi Mompati "/>
    <s v="Dr Ruth Segomotsi Mompati "/>
    <x v="8"/>
    <n v="40"/>
    <n v="0"/>
  </r>
  <r>
    <x v="3"/>
    <x v="3"/>
    <s v="Cape Winelands "/>
    <s v="Cape Winelands "/>
    <x v="8"/>
    <n v="26"/>
    <n v="0"/>
  </r>
  <r>
    <x v="5"/>
    <x v="5"/>
    <s v="Ugu "/>
    <s v="Ugu "/>
    <x v="9"/>
    <n v="309"/>
    <n v="4"/>
  </r>
  <r>
    <x v="6"/>
    <x v="6"/>
    <s v="Nkangala "/>
    <s v="Nkangala "/>
    <x v="13"/>
    <n v="226"/>
    <n v="0"/>
  </r>
  <r>
    <x v="2"/>
    <x v="2"/>
    <s v="John Taolo Gaetsewe "/>
    <s v="John Taolo Gaetsewe "/>
    <x v="8"/>
    <n v="164"/>
    <n v="0"/>
  </r>
  <r>
    <x v="1"/>
    <x v="1"/>
    <s v="Dr Ruth Segomotsi Mompati "/>
    <s v="Dr Ruth Segomotsi Mompati "/>
    <x v="8"/>
    <n v="198"/>
    <n v="0"/>
  </r>
  <r>
    <x v="4"/>
    <x v="4"/>
    <s v="Buffalo City "/>
    <s v="Buffalo City "/>
    <x v="8"/>
    <n v="205"/>
    <n v="0"/>
  </r>
  <r>
    <x v="5"/>
    <x v="5"/>
    <s v="eThekwini "/>
    <s v="eThekwini "/>
    <x v="13"/>
    <n v="120"/>
    <n v="0"/>
  </r>
  <r>
    <x v="3"/>
    <x v="3"/>
    <s v="West Coast "/>
    <s v="West Coast "/>
    <x v="8"/>
    <n v="10"/>
    <n v="0"/>
  </r>
  <r>
    <x v="8"/>
    <x v="8"/>
    <s v="Waterberg "/>
    <s v="Waterberg "/>
    <x v="8"/>
    <n v="122"/>
    <n v="0"/>
  </r>
  <r>
    <x v="7"/>
    <x v="7"/>
    <s v="Mangaung "/>
    <s v="Mangaung "/>
    <x v="11"/>
    <n v="760"/>
    <n v="0"/>
  </r>
  <r>
    <x v="6"/>
    <x v="6"/>
    <s v="Ehlanzeni "/>
    <s v="Ehlanzeni "/>
    <x v="8"/>
    <n v="314"/>
    <n v="0"/>
  </r>
  <r>
    <x v="4"/>
    <x v="4"/>
    <s v="Oliver Tambo "/>
    <s v="Oliver Tambo "/>
    <x v="8"/>
    <n v="146"/>
    <n v="0"/>
  </r>
  <r>
    <x v="8"/>
    <x v="8"/>
    <s v="Vhembe "/>
    <s v="Vhembe "/>
    <x v="11"/>
    <n v="233"/>
    <n v="0"/>
  </r>
  <r>
    <x v="5"/>
    <x v="5"/>
    <s v="eThekwini "/>
    <s v="eThekwini "/>
    <x v="9"/>
    <n v="146"/>
    <n v="0"/>
  </r>
  <r>
    <x v="3"/>
    <x v="3"/>
    <s v="Garden Route "/>
    <s v="Garden Route "/>
    <x v="13"/>
    <n v="85"/>
    <n v="0"/>
  </r>
  <r>
    <x v="3"/>
    <x v="3"/>
    <s v="Cape Winelands "/>
    <s v="Cape Winelands "/>
    <x v="9"/>
    <n v="331"/>
    <n v="0"/>
  </r>
  <r>
    <x v="5"/>
    <x v="5"/>
    <s v="eThekwini "/>
    <s v="eThekwini "/>
    <x v="8"/>
    <n v="80"/>
    <n v="0"/>
  </r>
  <r>
    <x v="1"/>
    <x v="1"/>
    <s v="Ngaka Modiri Molema "/>
    <s v="Ngaka Modiri Molema "/>
    <x v="8"/>
    <n v="56"/>
    <n v="0"/>
  </r>
  <r>
    <x v="5"/>
    <x v="5"/>
    <s v="King Cetshwayo "/>
    <s v="King Cetshwayo "/>
    <x v="8"/>
    <n v="147"/>
    <n v="0"/>
  </r>
  <r>
    <x v="5"/>
    <x v="5"/>
    <s v="Ugu "/>
    <s v="Ugu "/>
    <x v="8"/>
    <n v="297"/>
    <n v="0"/>
  </r>
  <r>
    <x v="2"/>
    <x v="2"/>
    <s v="Namakwa "/>
    <s v="Namakwa "/>
    <x v="8"/>
    <n v="33"/>
    <n v="2"/>
  </r>
  <r>
    <x v="3"/>
    <x v="3"/>
    <s v="City of Cape Town "/>
    <s v="City of Cape Town "/>
    <x v="13"/>
    <n v="349"/>
    <n v="0"/>
  </r>
  <r>
    <x v="7"/>
    <x v="7"/>
    <s v="Mangaung "/>
    <s v="Mangaung "/>
    <x v="12"/>
    <n v="588"/>
    <n v="9"/>
  </r>
  <r>
    <x v="4"/>
    <x v="4"/>
    <s v="Sarah Baartman "/>
    <s v="Sarah Baartman "/>
    <x v="8"/>
    <n v="23"/>
    <n v="0"/>
  </r>
  <r>
    <x v="1"/>
    <x v="1"/>
    <s v="Ngaka Modiri Molema "/>
    <s v="Ngaka Modiri Molema "/>
    <x v="8"/>
    <n v="94"/>
    <n v="32"/>
  </r>
  <r>
    <x v="4"/>
    <x v="4"/>
    <s v="Oliver Tambo "/>
    <s v="Oliver Tambo "/>
    <x v="14"/>
    <n v="182"/>
    <n v="0"/>
  </r>
  <r>
    <x v="4"/>
    <x v="4"/>
    <s v="Oliver Tambo "/>
    <s v="Oliver Tambo "/>
    <x v="8"/>
    <n v="100"/>
    <n v="0"/>
  </r>
  <r>
    <x v="4"/>
    <x v="4"/>
    <s v="Nelson Mandela Bay "/>
    <s v="Nelson Mandela Bay "/>
    <x v="11"/>
    <n v="163"/>
    <n v="0"/>
  </r>
  <r>
    <x v="5"/>
    <x v="5"/>
    <s v="Harry Gwala "/>
    <s v="Harry Gwala "/>
    <x v="8"/>
    <n v="146"/>
    <n v="0"/>
  </r>
  <r>
    <x v="6"/>
    <x v="6"/>
    <s v="Ehlanzeni "/>
    <s v="Ehlanzeni "/>
    <x v="8"/>
    <n v="50"/>
    <n v="0"/>
  </r>
  <r>
    <x v="4"/>
    <x v="4"/>
    <s v="Chris Hani "/>
    <s v="Chris Hani "/>
    <x v="8"/>
    <n v="92"/>
    <n v="0"/>
  </r>
  <r>
    <x v="4"/>
    <x v="4"/>
    <s v="Chris Hani "/>
    <s v="Chris Hani "/>
    <x v="8"/>
    <n v="25"/>
    <n v="0"/>
  </r>
  <r>
    <x v="3"/>
    <x v="3"/>
    <s v="City of Cape Town "/>
    <s v="City of Cape Town "/>
    <x v="8"/>
    <n v="150"/>
    <n v="0"/>
  </r>
  <r>
    <x v="3"/>
    <x v="3"/>
    <s v="Cape Winelands "/>
    <s v="Cape Winelands "/>
    <x v="8"/>
    <n v="86"/>
    <n v="0"/>
  </r>
  <r>
    <x v="4"/>
    <x v="4"/>
    <s v="Buffalo City "/>
    <s v="Buffalo City "/>
    <x v="12"/>
    <n v="868"/>
    <n v="16"/>
  </r>
  <r>
    <x v="4"/>
    <x v="4"/>
    <s v="Nelson Mandela Bay "/>
    <s v="Nelson Mandela Bay "/>
    <x v="12"/>
    <n v="249"/>
    <n v="6"/>
  </r>
  <r>
    <x v="3"/>
    <x v="3"/>
    <s v="West Coast "/>
    <s v="West Coast "/>
    <x v="8"/>
    <n v="41"/>
    <n v="0"/>
  </r>
  <r>
    <x v="5"/>
    <x v="5"/>
    <s v="Uthukela "/>
    <s v="Uthukela "/>
    <x v="9"/>
    <n v="458"/>
    <n v="6"/>
  </r>
  <r>
    <x v="6"/>
    <x v="6"/>
    <s v="Gert Sibande "/>
    <s v="Gert Sibande "/>
    <x v="8"/>
    <n v="75"/>
    <n v="0"/>
  </r>
  <r>
    <x v="7"/>
    <x v="7"/>
    <s v="Thabo Mofutsanyana "/>
    <s v="Thabo Mofutsanyana "/>
    <x v="8"/>
    <n v="71"/>
    <n v="0"/>
  </r>
  <r>
    <x v="0"/>
    <x v="0"/>
    <s v="City of Tshwane "/>
    <s v="City of Tshwane "/>
    <x v="10"/>
    <n v="1422"/>
    <n v="20"/>
  </r>
  <r>
    <x v="4"/>
    <x v="4"/>
    <s v="Chris Hani "/>
    <s v="Chris Hani "/>
    <x v="8"/>
    <n v="52"/>
    <n v="0"/>
  </r>
  <r>
    <x v="5"/>
    <x v="5"/>
    <s v="Amajuba "/>
    <s v="Amajuba "/>
    <x v="9"/>
    <n v="822"/>
    <n v="8"/>
  </r>
  <r>
    <x v="0"/>
    <x v="0"/>
    <s v="City of Tshwane "/>
    <s v="City of Tshwane "/>
    <x v="8"/>
    <n v="214"/>
    <n v="0"/>
  </r>
  <r>
    <x v="5"/>
    <x v="5"/>
    <s v="eThekwini "/>
    <s v="eThekwini "/>
    <x v="14"/>
    <n v="175"/>
    <n v="0"/>
  </r>
  <r>
    <x v="5"/>
    <x v="5"/>
    <s v="Uthukela "/>
    <s v="Uthukela "/>
    <x v="8"/>
    <n v="307"/>
    <n v="0"/>
  </r>
  <r>
    <x v="4"/>
    <x v="4"/>
    <s v="Alfred Nzo "/>
    <s v="Alfred Nzo "/>
    <x v="13"/>
    <n v="120"/>
    <n v="0"/>
  </r>
  <r>
    <x v="4"/>
    <x v="4"/>
    <s v="Joe Gqabi "/>
    <s v="Joe Gqabi "/>
    <x v="8"/>
    <n v="10"/>
    <n v="0"/>
  </r>
  <r>
    <x v="3"/>
    <x v="3"/>
    <s v="Cape Winelands "/>
    <s v="Cape Winelands "/>
    <x v="8"/>
    <n v="85"/>
    <n v="0"/>
  </r>
  <r>
    <x v="1"/>
    <x v="1"/>
    <s v="Dr Kenneth Kaunda "/>
    <s v="Dr Kenneth Kaunda "/>
    <x v="11"/>
    <n v="889"/>
    <n v="0"/>
  </r>
  <r>
    <x v="8"/>
    <x v="8"/>
    <s v="Waterberg "/>
    <s v="Waterberg "/>
    <x v="13"/>
    <n v="62"/>
    <n v="0"/>
  </r>
  <r>
    <x v="3"/>
    <x v="3"/>
    <s v="West Coast "/>
    <s v="West Coast "/>
    <x v="13"/>
    <n v="84"/>
    <n v="0"/>
  </r>
  <r>
    <x v="5"/>
    <x v="5"/>
    <s v="Zululand "/>
    <s v="Zululand "/>
    <x v="8"/>
    <n v="363"/>
    <n v="0"/>
  </r>
  <r>
    <x v="4"/>
    <x v="4"/>
    <s v="Alfred Nzo "/>
    <s v="Alfred Nzo "/>
    <x v="8"/>
    <n v="216"/>
    <n v="0"/>
  </r>
  <r>
    <x v="4"/>
    <x v="4"/>
    <s v="Amathole "/>
    <s v="Amathole "/>
    <x v="8"/>
    <n v="22"/>
    <n v="0"/>
  </r>
  <r>
    <x v="4"/>
    <x v="4"/>
    <s v="Oliver Tambo "/>
    <s v="Oliver Tambo "/>
    <x v="8"/>
    <n v="169"/>
    <n v="0"/>
  </r>
  <r>
    <x v="4"/>
    <x v="4"/>
    <s v="Amathole "/>
    <s v="Amathole "/>
    <x v="8"/>
    <n v="60"/>
    <n v="0"/>
  </r>
  <r>
    <x v="3"/>
    <x v="3"/>
    <s v="City of Cape Town "/>
    <s v="City of Cape Town "/>
    <x v="9"/>
    <n v="352"/>
    <n v="4"/>
  </r>
  <r>
    <x v="5"/>
    <x v="5"/>
    <s v="eThekwini "/>
    <s v="eThekwini "/>
    <x v="9"/>
    <n v="454"/>
    <n v="4"/>
  </r>
  <r>
    <x v="5"/>
    <x v="5"/>
    <s v="eThekwini "/>
    <s v="eThekwini "/>
    <x v="14"/>
    <n v="343"/>
    <n v="0"/>
  </r>
  <r>
    <x v="5"/>
    <x v="5"/>
    <s v="Amajuba "/>
    <s v="Amajuba "/>
    <x v="8"/>
    <n v="56"/>
    <n v="0"/>
  </r>
  <r>
    <x v="5"/>
    <x v="5"/>
    <s v="eThekwini "/>
    <s v="eThekwini "/>
    <x v="8"/>
    <n v="178"/>
    <n v="0"/>
  </r>
  <r>
    <x v="3"/>
    <x v="3"/>
    <s v="City of Cape Town "/>
    <s v="City of Cape Town "/>
    <x v="11"/>
    <n v="300"/>
    <n v="0"/>
  </r>
  <r>
    <x v="4"/>
    <x v="4"/>
    <s v="Joe Gqabi "/>
    <s v="Joe Gqabi "/>
    <x v="8"/>
    <n v="74"/>
    <n v="0"/>
  </r>
  <r>
    <x v="6"/>
    <x v="6"/>
    <s v="Nkangala "/>
    <s v="Nkangala "/>
    <x v="8"/>
    <n v="40"/>
    <n v="0"/>
  </r>
  <r>
    <x v="0"/>
    <x v="0"/>
    <s v="City of Johannesburg "/>
    <s v="City of Johannesburg "/>
    <x v="14"/>
    <n v="201"/>
    <n v="0"/>
  </r>
  <r>
    <x v="7"/>
    <x v="7"/>
    <s v="Mangaung "/>
    <s v="Mangaung "/>
    <x v="8"/>
    <n v="180"/>
    <n v="0"/>
  </r>
  <r>
    <x v="6"/>
    <x v="6"/>
    <s v="Gert Sibande "/>
    <s v="Gert Sibande "/>
    <x v="13"/>
    <n v="52"/>
    <n v="0"/>
  </r>
  <r>
    <x v="4"/>
    <x v="4"/>
    <s v="Joe Gqabi "/>
    <s v="Joe Gqabi "/>
    <x v="8"/>
    <n v="141"/>
    <n v="0"/>
  </r>
  <r>
    <x v="7"/>
    <x v="7"/>
    <s v="Thabo Mofutsanyana "/>
    <s v="Thabo Mofutsanyana "/>
    <x v="9"/>
    <n v="140"/>
    <n v="5"/>
  </r>
  <r>
    <x v="4"/>
    <x v="4"/>
    <s v="Nelson Mandela Bay "/>
    <s v="Nelson Mandela Bay "/>
    <x v="13"/>
    <n v="160"/>
    <n v="0"/>
  </r>
  <r>
    <x v="1"/>
    <x v="1"/>
    <s v="Ngaka Modiri Molema "/>
    <s v="Ngaka Modiri Molema "/>
    <x v="8"/>
    <n v="103"/>
    <n v="0"/>
  </r>
  <r>
    <x v="4"/>
    <x v="4"/>
    <s v="Alfred Nzo "/>
    <s v="Alfred Nzo "/>
    <x v="8"/>
    <n v="223"/>
    <n v="0"/>
  </r>
  <r>
    <x v="8"/>
    <x v="8"/>
    <s v="Vhembe "/>
    <s v="Vhembe "/>
    <x v="8"/>
    <n v="316"/>
    <n v="0"/>
  </r>
  <r>
    <x v="4"/>
    <x v="4"/>
    <s v="Alfred Nzo "/>
    <s v="Alfred Nzo "/>
    <x v="8"/>
    <n v="100"/>
    <n v="0"/>
  </r>
  <r>
    <x v="4"/>
    <x v="4"/>
    <s v="Chris Hani "/>
    <s v="Chris Hani "/>
    <x v="8"/>
    <n v="100"/>
    <n v="0"/>
  </r>
  <r>
    <x v="4"/>
    <x v="4"/>
    <s v="Nelson Mandela Bay "/>
    <s v="Nelson Mandela Bay "/>
    <x v="13"/>
    <n v="255"/>
    <n v="0"/>
  </r>
  <r>
    <x v="4"/>
    <x v="4"/>
    <s v="Joe Gqabi "/>
    <s v="Joe Gqabi "/>
    <x v="8"/>
    <n v="23"/>
    <n v="0"/>
  </r>
  <r>
    <x v="3"/>
    <x v="3"/>
    <s v="Garden Route "/>
    <s v="Garden Route "/>
    <x v="8"/>
    <n v="90"/>
    <n v="0"/>
  </r>
  <r>
    <x v="4"/>
    <x v="4"/>
    <s v="Nelson Mandela Bay "/>
    <s v="Nelson Mandela Bay "/>
    <x v="9"/>
    <n v="627"/>
    <n v="6"/>
  </r>
  <r>
    <x v="3"/>
    <x v="3"/>
    <s v="Central Karoo "/>
    <s v="Central Karoo "/>
    <x v="8"/>
    <n v="14"/>
    <n v="0"/>
  </r>
  <r>
    <x v="1"/>
    <x v="1"/>
    <s v="Ngaka Modiri Molema "/>
    <s v="Ngaka Modiri Molema "/>
    <x v="8"/>
    <n v="184"/>
    <n v="0"/>
  </r>
  <r>
    <x v="1"/>
    <x v="1"/>
    <s v="Bojanala Platinum "/>
    <s v="Bojanala Platinum "/>
    <x v="12"/>
    <n v="377"/>
    <n v="0"/>
  </r>
  <r>
    <x v="5"/>
    <x v="5"/>
    <s v="eThekwini "/>
    <s v="eThekwini "/>
    <x v="13"/>
    <n v="140"/>
    <n v="0"/>
  </r>
  <r>
    <x v="5"/>
    <x v="5"/>
    <s v="eThekwini "/>
    <s v="eThekwini "/>
    <x v="9"/>
    <n v="671"/>
    <n v="0"/>
  </r>
  <r>
    <x v="8"/>
    <x v="8"/>
    <s v="Waterberg "/>
    <s v="Waterberg "/>
    <x v="8"/>
    <n v="133"/>
    <n v="4"/>
  </r>
  <r>
    <x v="4"/>
    <x v="4"/>
    <s v="Sarah Baartman "/>
    <s v="Sarah Baartman "/>
    <x v="8"/>
    <n v="19"/>
    <n v="0"/>
  </r>
  <r>
    <x v="4"/>
    <x v="4"/>
    <s v="Nelson Mandela Bay "/>
    <s v="Nelson Mandela Bay "/>
    <x v="13"/>
    <n v="227"/>
    <n v="0"/>
  </r>
  <r>
    <x v="6"/>
    <x v="6"/>
    <s v="Gert Sibande "/>
    <s v="Gert Sibande "/>
    <x v="13"/>
    <n v="106"/>
    <n v="0"/>
  </r>
  <r>
    <x v="4"/>
    <x v="4"/>
    <s v="Sarah Baartman "/>
    <s v="Sarah Baartman "/>
    <x v="13"/>
    <n v="100"/>
    <n v="0"/>
  </r>
  <r>
    <x v="5"/>
    <x v="5"/>
    <s v="uMgungundlovu "/>
    <s v="uMgungundlovu "/>
    <x v="13"/>
    <n v="148"/>
    <n v="0"/>
  </r>
  <r>
    <x v="7"/>
    <x v="7"/>
    <s v="Fezile Dabi "/>
    <s v="Fezile Dabi "/>
    <x v="8"/>
    <n v="133"/>
    <n v="0"/>
  </r>
  <r>
    <x v="4"/>
    <x v="4"/>
    <s v="Alfred Nzo "/>
    <s v="Alfred Nzo "/>
    <x v="8"/>
    <n v="166"/>
    <n v="0"/>
  </r>
  <r>
    <x v="6"/>
    <x v="6"/>
    <s v="Ehlanzeni "/>
    <s v="Ehlanzeni "/>
    <x v="13"/>
    <n v="75"/>
    <n v="0"/>
  </r>
  <r>
    <x v="6"/>
    <x v="6"/>
    <s v="Nkangala "/>
    <s v="Nkangala "/>
    <x v="8"/>
    <n v="136"/>
    <n v="0"/>
  </r>
  <r>
    <x v="2"/>
    <x v="2"/>
    <s v="Frances Baard "/>
    <s v="Frances Baard "/>
    <x v="8"/>
    <n v="43"/>
    <n v="0"/>
  </r>
  <r>
    <x v="8"/>
    <x v="8"/>
    <s v="Mopani "/>
    <s v="Mopani "/>
    <x v="8"/>
    <n v="74"/>
    <n v="0"/>
  </r>
  <r>
    <x v="7"/>
    <x v="7"/>
    <s v="Mangaung "/>
    <s v="Mangaung "/>
    <x v="10"/>
    <n v="636"/>
    <n v="37"/>
  </r>
  <r>
    <x v="7"/>
    <x v="7"/>
    <s v="Fezile Dabi "/>
    <s v="Fezile Dabi "/>
    <x v="9"/>
    <n v="344"/>
    <n v="4"/>
  </r>
  <r>
    <x v="5"/>
    <x v="5"/>
    <s v="eThekwini "/>
    <s v="eThekwini "/>
    <x v="9"/>
    <n v="543"/>
    <n v="3"/>
  </r>
  <r>
    <x v="4"/>
    <x v="4"/>
    <s v="Joe Gqabi "/>
    <s v="Joe Gqabi "/>
    <x v="8"/>
    <n v="113"/>
    <n v="0"/>
  </r>
  <r>
    <x v="4"/>
    <x v="4"/>
    <s v="Chris Hani "/>
    <s v="Chris Hani "/>
    <x v="8"/>
    <n v="35"/>
    <n v="0"/>
  </r>
  <r>
    <x v="7"/>
    <x v="7"/>
    <s v="Lejweleputswa "/>
    <s v="Lejweleputswa "/>
    <x v="8"/>
    <n v="28"/>
    <n v="0"/>
  </r>
  <r>
    <x v="4"/>
    <x v="4"/>
    <s v="Sarah Baartman "/>
    <s v="Sarah Baartman "/>
    <x v="8"/>
    <n v="37"/>
    <n v="0"/>
  </r>
  <r>
    <x v="2"/>
    <x v="2"/>
    <s v="Namakwa "/>
    <s v="Namakwa "/>
    <x v="8"/>
    <n v="40"/>
    <n v="0"/>
  </r>
  <r>
    <x v="4"/>
    <x v="4"/>
    <s v="Nelson Mandela Bay "/>
    <s v="Nelson Mandela Bay "/>
    <x v="8"/>
    <n v="238"/>
    <n v="5"/>
  </r>
  <r>
    <x v="4"/>
    <x v="4"/>
    <s v="Oliver Tambo "/>
    <s v="Oliver Tambo "/>
    <x v="8"/>
    <n v="120"/>
    <n v="0"/>
  </r>
  <r>
    <x v="2"/>
    <x v="2"/>
    <s v="Zwelentlanga Fatman Mgcawu "/>
    <s v="Zwelentlanga Fatman Mgcawu "/>
    <x v="8"/>
    <n v="36"/>
    <n v="0"/>
  </r>
  <r>
    <x v="3"/>
    <x v="3"/>
    <s v="Central Karoo "/>
    <s v="Central Karoo "/>
    <x v="8"/>
    <n v="29"/>
    <n v="0"/>
  </r>
  <r>
    <x v="4"/>
    <x v="4"/>
    <s v="Oliver Tambo "/>
    <s v="Oliver Tambo "/>
    <x v="8"/>
    <n v="129"/>
    <n v="0"/>
  </r>
  <r>
    <x v="8"/>
    <x v="8"/>
    <s v="Mopani "/>
    <s v="Mopani "/>
    <x v="8"/>
    <n v="178"/>
    <n v="0"/>
  </r>
  <r>
    <x v="0"/>
    <x v="0"/>
    <s v="City of Tshwane "/>
    <s v="City of Tshwane "/>
    <x v="8"/>
    <n v="197"/>
    <n v="0"/>
  </r>
  <r>
    <x v="5"/>
    <x v="5"/>
    <s v="iLembe "/>
    <s v="iLembe "/>
    <x v="9"/>
    <n v="500"/>
    <n v="4"/>
  </r>
  <r>
    <x v="8"/>
    <x v="8"/>
    <s v="Mopani "/>
    <s v="Mopani "/>
    <x v="8"/>
    <n v="104"/>
    <n v="0"/>
  </r>
  <r>
    <x v="4"/>
    <x v="4"/>
    <s v="Sarah Baartman "/>
    <s v="Sarah Baartman "/>
    <x v="8"/>
    <n v="80"/>
    <n v="0"/>
  </r>
  <r>
    <x v="0"/>
    <x v="0"/>
    <s v="Ekurhuleni "/>
    <s v="Ekurhuleni "/>
    <x v="9"/>
    <n v="387"/>
    <n v="5"/>
  </r>
  <r>
    <x v="0"/>
    <x v="0"/>
    <s v="West Rand "/>
    <s v="West Rand "/>
    <x v="8"/>
    <n v="268"/>
    <n v="0"/>
  </r>
  <r>
    <x v="3"/>
    <x v="3"/>
    <s v="City of Cape Town "/>
    <s v="City of Cape Town "/>
    <x v="8"/>
    <n v="50"/>
    <n v="0"/>
  </r>
  <r>
    <x v="5"/>
    <x v="5"/>
    <s v="Umzinyathi "/>
    <s v="Umzinyathi "/>
    <x v="8"/>
    <n v="204"/>
    <n v="0"/>
  </r>
  <r>
    <x v="3"/>
    <x v="3"/>
    <s v="Garden Route "/>
    <s v="Garden Route "/>
    <x v="8"/>
    <n v="90"/>
    <n v="0"/>
  </r>
  <r>
    <x v="4"/>
    <x v="4"/>
    <s v="Sarah Baartman "/>
    <s v="Sarah Baartman "/>
    <x v="13"/>
    <n v="60"/>
    <n v="0"/>
  </r>
  <r>
    <x v="4"/>
    <x v="4"/>
    <s v="Buffalo City "/>
    <s v="Buffalo City "/>
    <x v="13"/>
    <n v="270"/>
    <n v="0"/>
  </r>
  <r>
    <x v="5"/>
    <x v="5"/>
    <s v="Harry Gwala "/>
    <s v="Harry Gwala "/>
    <x v="13"/>
    <n v="54"/>
    <n v="0"/>
  </r>
  <r>
    <x v="6"/>
    <x v="6"/>
    <s v="Nkangala "/>
    <s v="Nkangala "/>
    <x v="12"/>
    <n v="382"/>
    <n v="7"/>
  </r>
  <r>
    <x v="4"/>
    <x v="4"/>
    <s v="Amathole "/>
    <s v="Amathole "/>
    <x v="8"/>
    <n v="70"/>
    <n v="0"/>
  </r>
  <r>
    <x v="1"/>
    <x v="1"/>
    <s v="Dr Ruth Segomotsi Mompati "/>
    <s v="Dr Ruth Segomotsi Mompati "/>
    <x v="8"/>
    <n v="60"/>
    <n v="0"/>
  </r>
  <r>
    <x v="5"/>
    <x v="5"/>
    <s v="eThekwini "/>
    <s v="eThekwini "/>
    <x v="8"/>
    <n v="240"/>
    <n v="0"/>
  </r>
  <r>
    <x v="4"/>
    <x v="4"/>
    <s v="Oliver Tambo "/>
    <s v="Oliver Tambo "/>
    <x v="8"/>
    <n v="100"/>
    <n v="0"/>
  </r>
  <r>
    <x v="8"/>
    <x v="8"/>
    <s v="Sekhukhune "/>
    <s v="Sekhukhune "/>
    <x v="8"/>
    <n v="120"/>
    <n v="0"/>
  </r>
  <r>
    <x v="4"/>
    <x v="4"/>
    <s v="Oliver Tambo "/>
    <s v="Oliver Tambo "/>
    <x v="9"/>
    <n v="302"/>
    <n v="0"/>
  </r>
  <r>
    <x v="8"/>
    <x v="8"/>
    <s v="Waterberg "/>
    <s v="Waterberg "/>
    <x v="8"/>
    <n v="59"/>
    <n v="0"/>
  </r>
  <r>
    <x v="6"/>
    <x v="6"/>
    <s v="Ehlanzeni "/>
    <s v="Ehlanzeni "/>
    <x v="8"/>
    <n v="187"/>
    <n v="0"/>
  </r>
  <r>
    <x v="5"/>
    <x v="5"/>
    <s v="eThekwini "/>
    <s v="eThekwini "/>
    <x v="10"/>
    <n v="846"/>
    <n v="88"/>
  </r>
  <r>
    <x v="3"/>
    <x v="3"/>
    <s v="West Coast "/>
    <s v="West Coast "/>
    <x v="8"/>
    <n v="34"/>
    <n v="0"/>
  </r>
  <r>
    <x v="4"/>
    <x v="4"/>
    <s v="Amathole "/>
    <s v="Amathole "/>
    <x v="8"/>
    <n v="70"/>
    <n v="0"/>
  </r>
  <r>
    <x v="2"/>
    <x v="2"/>
    <s v="Zwelentlanga Fatman Mgcawu "/>
    <s v="Zwelentlanga Fatman Mgcawu "/>
    <x v="9"/>
    <n v="227"/>
    <n v="5"/>
  </r>
  <r>
    <x v="3"/>
    <x v="3"/>
    <s v="City of Cape Town "/>
    <s v="City of Cape Town "/>
    <x v="12"/>
    <n v="272"/>
    <n v="30"/>
  </r>
  <r>
    <x v="4"/>
    <x v="4"/>
    <s v="City of Cape Town "/>
    <s v="City of Cape Town "/>
    <x v="8"/>
    <n v="110"/>
    <n v="0"/>
  </r>
  <r>
    <x v="5"/>
    <x v="5"/>
    <s v="eThekwini "/>
    <s v="eThekwini "/>
    <x v="12"/>
    <n v="692"/>
    <n v="12"/>
  </r>
  <r>
    <x v="5"/>
    <x v="5"/>
    <s v="King Cetshwayo "/>
    <s v="King Cetshwayo "/>
    <x v="9"/>
    <n v="369"/>
    <n v="9"/>
  </r>
  <r>
    <x v="5"/>
    <x v="5"/>
    <s v="Umzinyathi "/>
    <s v="Umzinyathi "/>
    <x v="8"/>
    <n v="234"/>
    <n v="0"/>
  </r>
  <r>
    <x v="0"/>
    <x v="0"/>
    <s v="Ekurhuleni "/>
    <s v="Ekurhuleni "/>
    <x v="9"/>
    <n v="566"/>
    <n v="6"/>
  </r>
  <r>
    <x v="6"/>
    <x v="6"/>
    <s v="Ehlanzeni "/>
    <s v="Ehlanzeni "/>
    <x v="8"/>
    <n v="90"/>
    <n v="0"/>
  </r>
  <r>
    <x v="5"/>
    <x v="5"/>
    <s v="uMgungundlovu "/>
    <s v="uMgungundlovu "/>
    <x v="11"/>
    <n v="378"/>
    <n v="0"/>
  </r>
  <r>
    <x v="3"/>
    <x v="3"/>
    <s v="City of Cape Town "/>
    <s v="City of Cape Town "/>
    <x v="10"/>
    <n v="1384"/>
    <n v="105"/>
  </r>
  <r>
    <x v="5"/>
    <x v="5"/>
    <s v="uMgungundlovu "/>
    <s v="uMgungundlovu "/>
    <x v="8"/>
    <n v="431"/>
    <n v="0"/>
  </r>
  <r>
    <x v="7"/>
    <x v="7"/>
    <s v="Lejweleputswa "/>
    <s v="Lejweleputswa "/>
    <x v="8"/>
    <n v="86"/>
    <n v="0"/>
  </r>
  <r>
    <x v="7"/>
    <x v="7"/>
    <s v="Fezile Dabi "/>
    <s v="Fezile Dabi "/>
    <x v="8"/>
    <n v="54"/>
    <n v="0"/>
  </r>
  <r>
    <x v="0"/>
    <x v="0"/>
    <s v="City of Tshwane "/>
    <s v="City of Tshwane "/>
    <x v="14"/>
    <n v="300"/>
    <n v="0"/>
  </r>
  <r>
    <x v="4"/>
    <x v="4"/>
    <s v="Joe Gqabi "/>
    <s v="Joe Gqabi "/>
    <x v="8"/>
    <n v="48"/>
    <n v="0"/>
  </r>
  <r>
    <x v="5"/>
    <x v="5"/>
    <s v="eThekwini "/>
    <s v="eThekwini "/>
    <x v="11"/>
    <n v="965"/>
    <n v="0"/>
  </r>
  <r>
    <x v="8"/>
    <x v="8"/>
    <s v="Mopani "/>
    <s v="Mopani "/>
    <x v="11"/>
    <n v="354"/>
    <n v="0"/>
  </r>
  <r>
    <x v="4"/>
    <x v="4"/>
    <s v="Amathole "/>
    <s v="Amathole "/>
    <x v="8"/>
    <n v="161"/>
    <n v="0"/>
  </r>
  <r>
    <x v="7"/>
    <x v="7"/>
    <s v="Xhariep "/>
    <s v="Xhariep "/>
    <x v="8"/>
    <n v="23"/>
    <n v="0"/>
  </r>
  <r>
    <x v="7"/>
    <x v="7"/>
    <s v="Xhariep "/>
    <s v="Xhariep "/>
    <x v="8"/>
    <n v="28"/>
    <n v="0"/>
  </r>
  <r>
    <x v="0"/>
    <x v="0"/>
    <s v="City of Johannesburg "/>
    <s v="City of Johannesburg "/>
    <x v="10"/>
    <n v="1053"/>
    <n v="0"/>
  </r>
  <r>
    <x v="5"/>
    <x v="5"/>
    <s v="King Cetshwayo "/>
    <s v="King Cetshwayo "/>
    <x v="8"/>
    <n v="400"/>
    <n v="0"/>
  </r>
  <r>
    <x v="3"/>
    <x v="3"/>
    <s v="City of Cape Town "/>
    <s v="City of Cape Town "/>
    <x v="8"/>
    <n v="340"/>
    <n v="0"/>
  </r>
  <r>
    <x v="2"/>
    <x v="2"/>
    <s v="Pixley ka Seme "/>
    <s v="Pixley ka Seme "/>
    <x v="8"/>
    <n v="29"/>
    <n v="0"/>
  </r>
  <r>
    <x v="8"/>
    <x v="8"/>
    <s v="Sekhukhune "/>
    <s v="Sekhukhune "/>
    <x v="9"/>
    <n v="302"/>
    <n v="4"/>
  </r>
  <r>
    <x v="3"/>
    <x v="3"/>
    <s v="West Coast "/>
    <s v="West Coast "/>
    <x v="8"/>
    <n v="50"/>
    <n v="0"/>
  </r>
  <r>
    <x v="5"/>
    <x v="5"/>
    <s v="uMgungundlovu "/>
    <s v="uMgungundlovu "/>
    <x v="11"/>
    <n v="280"/>
    <n v="0"/>
  </r>
  <r>
    <x v="4"/>
    <x v="4"/>
    <s v="Sarah Baartman "/>
    <s v="Sarah Baartman "/>
    <x v="8"/>
    <n v="25"/>
    <n v="0"/>
  </r>
  <r>
    <x v="1"/>
    <x v="1"/>
    <s v="Dr Kenneth Kaunda "/>
    <s v="Dr Kenneth Kaunda "/>
    <x v="12"/>
    <n v="859"/>
    <n v="16"/>
  </r>
  <r>
    <x v="1"/>
    <x v="1"/>
    <s v="Bojanala Platinum "/>
    <s v="Bojanala Platinum "/>
    <x v="8"/>
    <n v="50"/>
    <n v="0"/>
  </r>
  <r>
    <x v="7"/>
    <x v="7"/>
    <s v="Thabo Mofutsanyana "/>
    <s v="Thabo Mofutsanyana "/>
    <x v="8"/>
    <n v="42"/>
    <n v="0"/>
  </r>
  <r>
    <x v="6"/>
    <x v="6"/>
    <s v="Nkangala "/>
    <s v="Nkangala "/>
    <x v="8"/>
    <n v="153"/>
    <n v="0"/>
  </r>
  <r>
    <x v="0"/>
    <x v="0"/>
    <s v="Ekurhuleni "/>
    <s v="Ekurhuleni "/>
    <x v="12"/>
    <n v="846"/>
    <n v="10"/>
  </r>
  <r>
    <x v="7"/>
    <x v="7"/>
    <s v="Lejweleputswa "/>
    <s v="Lejweleputswa "/>
    <x v="8"/>
    <n v="55"/>
    <n v="0"/>
  </r>
  <r>
    <x v="8"/>
    <x v="8"/>
    <s v="Capricorn "/>
    <s v="Capricorn "/>
    <x v="8"/>
    <n v="133"/>
    <n v="0"/>
  </r>
  <r>
    <x v="0"/>
    <x v="0"/>
    <s v="City of Johannesburg "/>
    <s v="City of Johannesburg "/>
    <x v="9"/>
    <n v="322"/>
    <n v="0"/>
  </r>
  <r>
    <x v="8"/>
    <x v="8"/>
    <s v="Sekhukhune "/>
    <s v="Sekhukhune "/>
    <x v="8"/>
    <n v="52"/>
    <n v="0"/>
  </r>
  <r>
    <x v="4"/>
    <x v="4"/>
    <s v="Amathole "/>
    <s v="Amathole "/>
    <x v="8"/>
    <n v="163"/>
    <n v="0"/>
  </r>
  <r>
    <x v="3"/>
    <x v="3"/>
    <s v="City of Cape Town "/>
    <s v="City of Cape Town "/>
    <x v="13"/>
    <n v="260"/>
    <n v="0"/>
  </r>
  <r>
    <x v="4"/>
    <x v="4"/>
    <s v="Joe Gqabi "/>
    <s v="Joe Gqabi "/>
    <x v="8"/>
    <n v="20"/>
    <n v="0"/>
  </r>
  <r>
    <x v="2"/>
    <x v="2"/>
    <s v="Frances Baard "/>
    <s v="Frances Baard "/>
    <x v="11"/>
    <n v="13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FB97C-C519-40D5-8D17-8CC34AFC466D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3:S14" firstHeaderRow="1" firstDataRow="2" firstDataCol="1"/>
  <pivotFields count="7">
    <pivotField axis="axisRow" showAll="0">
      <items count="10">
        <item x="4"/>
        <item x="7"/>
        <item x="0"/>
        <item x="5"/>
        <item x="8"/>
        <item x="6"/>
        <item x="1"/>
        <item x="2"/>
        <item x="3"/>
        <item t="default"/>
      </items>
    </pivotField>
    <pivotField dataField="1" showAll="0">
      <items count="10">
        <item x="4"/>
        <item x="7"/>
        <item x="0"/>
        <item x="5"/>
        <item x="8"/>
        <item x="6"/>
        <item x="2"/>
        <item x="1"/>
        <item x="3"/>
        <item t="default"/>
      </items>
    </pivotField>
    <pivotField showAll="0"/>
    <pivotField showAll="0"/>
    <pivotField axis="axisCol" showAll="0">
      <items count="16">
        <item h="1" x="3"/>
        <item x="8"/>
        <item x="0"/>
        <item h="1" x="6"/>
        <item x="10"/>
        <item h="1" x="4"/>
        <item x="12"/>
        <item h="1" x="1"/>
        <item x="9"/>
        <item h="1" x="5"/>
        <item h="1" x="7"/>
        <item h="1" x="14"/>
        <item h="1" x="11"/>
        <item h="1" x="13"/>
        <item h="1" x="2"/>
        <item t="default"/>
      </items>
    </pivotField>
    <pivotField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6">
    <i>
      <x v="1"/>
    </i>
    <i>
      <x v="2"/>
    </i>
    <i>
      <x v="4"/>
    </i>
    <i>
      <x v="6"/>
    </i>
    <i>
      <x v="8"/>
    </i>
    <i t="grand">
      <x/>
    </i>
  </colItems>
  <dataFields count="1">
    <dataField name="Count of Province Cod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5349C8-E0C7-4491-AA68-64220C6921D2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29:S40" firstHeaderRow="1" firstDataRow="2" firstDataCol="1"/>
  <pivotFields count="7">
    <pivotField axis="axisRow" showAll="0">
      <items count="10">
        <item x="4"/>
        <item x="7"/>
        <item x="0"/>
        <item x="5"/>
        <item x="8"/>
        <item x="6"/>
        <item x="1"/>
        <item x="2"/>
        <item x="3"/>
        <item t="default"/>
      </items>
    </pivotField>
    <pivotField showAll="0">
      <items count="10">
        <item x="4"/>
        <item x="7"/>
        <item x="0"/>
        <item x="5"/>
        <item x="8"/>
        <item x="6"/>
        <item x="2"/>
        <item x="1"/>
        <item x="3"/>
        <item t="default"/>
      </items>
    </pivotField>
    <pivotField showAll="0"/>
    <pivotField showAll="0"/>
    <pivotField axis="axisCol" showAll="0">
      <items count="16">
        <item h="1" x="3"/>
        <item x="8"/>
        <item x="0"/>
        <item h="1" x="6"/>
        <item x="10"/>
        <item h="1" x="4"/>
        <item x="12"/>
        <item h="1" x="1"/>
        <item x="9"/>
        <item h="1" x="5"/>
        <item h="1" x="7"/>
        <item h="1" x="14"/>
        <item h="1" x="11"/>
        <item h="1" x="13"/>
        <item h="1" x="2"/>
        <item t="default"/>
      </items>
    </pivotField>
    <pivotField showAll="0"/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6">
    <i>
      <x v="1"/>
    </i>
    <i>
      <x v="2"/>
    </i>
    <i>
      <x v="4"/>
    </i>
    <i>
      <x v="6"/>
    </i>
    <i>
      <x v="8"/>
    </i>
    <i t="grand">
      <x/>
    </i>
  </colItems>
  <dataFields count="1">
    <dataField name="Sum of ICU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35CC2-46F7-4BF5-B839-77C1E5E6E397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16:S27" firstHeaderRow="1" firstDataRow="2" firstDataCol="1"/>
  <pivotFields count="7">
    <pivotField axis="axisRow" showAll="0">
      <items count="10">
        <item x="4"/>
        <item x="7"/>
        <item x="0"/>
        <item x="5"/>
        <item x="8"/>
        <item x="6"/>
        <item x="1"/>
        <item x="2"/>
        <item x="3"/>
        <item t="default"/>
      </items>
    </pivotField>
    <pivotField showAll="0">
      <items count="10">
        <item x="4"/>
        <item x="7"/>
        <item x="0"/>
        <item x="5"/>
        <item x="8"/>
        <item x="6"/>
        <item x="2"/>
        <item x="1"/>
        <item x="3"/>
        <item t="default"/>
      </items>
    </pivotField>
    <pivotField showAll="0"/>
    <pivotField showAll="0"/>
    <pivotField axis="axisCol" showAll="0">
      <items count="16">
        <item h="1" x="3"/>
        <item x="8"/>
        <item x="0"/>
        <item h="1" x="6"/>
        <item x="10"/>
        <item h="1" x="4"/>
        <item x="12"/>
        <item h="1" x="1"/>
        <item x="9"/>
        <item h="1" x="5"/>
        <item h="1" x="7"/>
        <item h="1" x="14"/>
        <item h="1" x="11"/>
        <item h="1" x="13"/>
        <item h="1" x="2"/>
        <item t="default"/>
      </items>
    </pivotField>
    <pivotField dataField="1"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4"/>
  </colFields>
  <colItems count="6">
    <i>
      <x v="1"/>
    </i>
    <i>
      <x v="2"/>
    </i>
    <i>
      <x v="4"/>
    </i>
    <i>
      <x v="6"/>
    </i>
    <i>
      <x v="8"/>
    </i>
    <i t="grand">
      <x/>
    </i>
  </colItems>
  <dataFields count="1">
    <dataField name="Sum of Total Bed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E2227-B2AB-4C73-9ED2-463E5C3F8F72}">
  <sheetPr codeName="Sheet2">
    <tabColor rgb="FFD60093"/>
  </sheetPr>
  <dimension ref="A1:N10"/>
  <sheetViews>
    <sheetView tabSelected="1" workbookViewId="0">
      <selection activeCell="R11" sqref="R11"/>
    </sheetView>
  </sheetViews>
  <sheetFormatPr baseColWidth="10" defaultColWidth="8.6640625" defaultRowHeight="12"/>
  <cols>
    <col min="1" max="1" width="2.5" style="198" bestFit="1" customWidth="1"/>
    <col min="2" max="2" width="13.1640625" style="197" bestFit="1" customWidth="1"/>
    <col min="3" max="4" width="3.83203125" style="197" bestFit="1" customWidth="1"/>
    <col min="5" max="8" width="4.33203125" style="197" bestFit="1" customWidth="1"/>
    <col min="9" max="14" width="3.83203125" style="197" bestFit="1" customWidth="1"/>
    <col min="15" max="17" width="8.6640625" style="197" customWidth="1"/>
    <col min="18" max="16384" width="8.6640625" style="197"/>
  </cols>
  <sheetData>
    <row r="1" spans="1:14">
      <c r="A1" s="27" t="s">
        <v>63</v>
      </c>
      <c r="B1" s="27" t="s">
        <v>64</v>
      </c>
      <c r="C1" s="27">
        <v>0</v>
      </c>
      <c r="D1" s="27">
        <v>1</v>
      </c>
      <c r="E1" s="27">
        <v>2</v>
      </c>
      <c r="F1" s="27">
        <v>3</v>
      </c>
      <c r="G1" s="27">
        <v>4</v>
      </c>
      <c r="H1" s="27">
        <v>5</v>
      </c>
      <c r="I1" s="27">
        <v>6</v>
      </c>
      <c r="J1" s="27">
        <v>7</v>
      </c>
      <c r="K1" s="27">
        <v>8</v>
      </c>
      <c r="L1" s="27">
        <v>9</v>
      </c>
      <c r="M1" s="27">
        <v>10</v>
      </c>
      <c r="N1" s="27">
        <v>11</v>
      </c>
    </row>
    <row r="2" spans="1:14">
      <c r="A2" s="198">
        <v>1</v>
      </c>
      <c r="B2" s="198" t="str">
        <f>Census_SEIR_Province!B4</f>
        <v>EASTERN CAPE</v>
      </c>
      <c r="C2" s="30">
        <f>Census_SEIR_Province!D16</f>
        <v>2.0904899451712211</v>
      </c>
      <c r="D2" s="30">
        <f>Census_SEIR_Province!E16</f>
        <v>0.18243525437345401</v>
      </c>
      <c r="E2" s="30">
        <f>Census_SEIR_Province!F16</f>
        <v>0.18243525437345401</v>
      </c>
      <c r="F2" s="30">
        <f>Census_SEIR_Province!G16</f>
        <v>0.1277046780614178</v>
      </c>
      <c r="G2" s="30">
        <f>Census_SEIR_Province!H16</f>
        <v>0.1277046780614178</v>
      </c>
      <c r="H2" s="30">
        <f>Census_SEIR_Province!I16</f>
        <v>0.15324561367370135</v>
      </c>
      <c r="I2" s="30">
        <f>Census_SEIR_Province!J16</f>
        <v>0.85454325366581985</v>
      </c>
      <c r="J2" s="30">
        <f>Census_SEIR_Province!K16</f>
        <v>1.5558408936579382</v>
      </c>
      <c r="K2" s="30">
        <f>Census_SEIR_Province!L16</f>
        <v>1.4644950433982782</v>
      </c>
      <c r="L2" s="30">
        <f>Census_SEIR_Province!M16</f>
        <v>1.3731491931386182</v>
      </c>
      <c r="M2" s="30">
        <f>Census_SEIR_Province!N16</f>
        <v>1.2818033428789584</v>
      </c>
      <c r="N2" s="30">
        <f>Census_SEIR_Province!O16</f>
        <v>1.2818033428789584</v>
      </c>
    </row>
    <row r="3" spans="1:14">
      <c r="A3" s="198">
        <v>2</v>
      </c>
      <c r="B3" s="198" t="str">
        <f>Census_SEIR_Province!B5</f>
        <v>FREE STATE</v>
      </c>
      <c r="C3" s="30">
        <f>Census_SEIR_Province!D17</f>
        <v>2.1973771592210718</v>
      </c>
      <c r="D3" s="30">
        <f>Census_SEIR_Province!E17</f>
        <v>1.7579017273768576</v>
      </c>
      <c r="E3" s="30">
        <f>Census_SEIR_Province!F17</f>
        <v>1.4063213819014861</v>
      </c>
      <c r="F3" s="30">
        <f>Census_SEIR_Province!G17</f>
        <v>0.98442496733104023</v>
      </c>
      <c r="G3" s="30">
        <f>Census_SEIR_Province!H17</f>
        <v>0.98442496733104023</v>
      </c>
      <c r="H3" s="30">
        <f>Census_SEIR_Province!I17</f>
        <v>1.1813099607972481</v>
      </c>
      <c r="I3" s="30">
        <f>Census_SEIR_Province!J17</f>
        <v>0.89804074669341416</v>
      </c>
      <c r="J3" s="30">
        <f>Census_SEIR_Province!K17</f>
        <v>0.61477153258958006</v>
      </c>
      <c r="K3" s="30">
        <f>Census_SEIR_Province!L17</f>
        <v>0.63283328254465032</v>
      </c>
      <c r="L3" s="30">
        <f>Census_SEIR_Province!M17</f>
        <v>0.65089503249972058</v>
      </c>
      <c r="M3" s="30">
        <f>Census_SEIR_Province!N17</f>
        <v>0.66895678245479084</v>
      </c>
      <c r="N3" s="30">
        <f>Census_SEIR_Province!O17</f>
        <v>0.66895678245479084</v>
      </c>
    </row>
    <row r="4" spans="1:14">
      <c r="A4" s="198">
        <v>3</v>
      </c>
      <c r="B4" s="198" t="str">
        <f>Census_SEIR_Province!B6</f>
        <v>GAUTENG</v>
      </c>
      <c r="C4" s="30">
        <f>Census_SEIR_Province!D18</f>
        <v>2.099156525771106</v>
      </c>
      <c r="D4" s="30">
        <f>Census_SEIR_Province!E18</f>
        <v>0.31669408942052568</v>
      </c>
      <c r="E4" s="30">
        <f>Census_SEIR_Province!F18</f>
        <v>0.31669408942052568</v>
      </c>
      <c r="F4" s="30">
        <f>Census_SEIR_Province!G18</f>
        <v>0.22168586259436796</v>
      </c>
      <c r="G4" s="30">
        <f>Census_SEIR_Province!H18</f>
        <v>0.22168586259436796</v>
      </c>
      <c r="H4" s="30">
        <f>Census_SEIR_Province!I18</f>
        <v>0.26602303511324155</v>
      </c>
      <c r="I4" s="30">
        <f>Census_SEIR_Province!J18</f>
        <v>0.64573285470820418</v>
      </c>
      <c r="J4" s="30">
        <f>Census_SEIR_Province!K18</f>
        <v>1.0254426743031668</v>
      </c>
      <c r="K4" s="30">
        <f>Census_SEIR_Province!L18</f>
        <v>1.2232412964982391</v>
      </c>
      <c r="L4" s="30">
        <f>Census_SEIR_Province!M18</f>
        <v>1.4210399186933114</v>
      </c>
      <c r="M4" s="30">
        <f>Census_SEIR_Province!N18</f>
        <v>1.6188385408883836</v>
      </c>
      <c r="N4" s="30">
        <f>Census_SEIR_Province!O18</f>
        <v>1.6188385408883836</v>
      </c>
    </row>
    <row r="5" spans="1:14">
      <c r="A5" s="198">
        <v>4</v>
      </c>
      <c r="B5" s="198" t="str">
        <f>Census_SEIR_Province!B7</f>
        <v>KWAZULU-NATAL</v>
      </c>
      <c r="C5" s="30">
        <f>Census_SEIR_Province!D19</f>
        <v>3.4689397304751082</v>
      </c>
      <c r="D5" s="30">
        <f>Census_SEIR_Province!E19</f>
        <v>2.081363838285065</v>
      </c>
      <c r="E5" s="30">
        <f>Census_SEIR_Province!F19</f>
        <v>0.83254553531402609</v>
      </c>
      <c r="F5" s="30">
        <f>Census_SEIR_Province!G19</f>
        <v>0.58278187471981824</v>
      </c>
      <c r="G5" s="30">
        <f>Census_SEIR_Province!H19</f>
        <v>0.58278187471981824</v>
      </c>
      <c r="H5" s="30">
        <f>Census_SEIR_Province!I19</f>
        <v>0.69933824966378189</v>
      </c>
      <c r="I5" s="30">
        <f>Census_SEIR_Province!J19</f>
        <v>0.87113422176983946</v>
      </c>
      <c r="J5" s="30">
        <f>Census_SEIR_Province!K19</f>
        <v>1.042930193875897</v>
      </c>
      <c r="K5" s="30">
        <f>Census_SEIR_Province!L19</f>
        <v>1.6080476340744272</v>
      </c>
      <c r="L5" s="30">
        <f>Census_SEIR_Province!M19</f>
        <v>2.1731650742729576</v>
      </c>
      <c r="M5" s="30">
        <f>Census_SEIR_Province!N19</f>
        <v>2.738282514471488</v>
      </c>
      <c r="N5" s="30">
        <f>Census_SEIR_Province!O19</f>
        <v>2.738282514471488</v>
      </c>
    </row>
    <row r="6" spans="1:14">
      <c r="A6" s="198">
        <v>5</v>
      </c>
      <c r="B6" s="198" t="str">
        <f>Census_SEIR_Province!B8</f>
        <v>LIMPOPO</v>
      </c>
      <c r="C6" s="30">
        <f>Census_SEIR_Province!D20</f>
        <v>2.738282514471488</v>
      </c>
      <c r="D6" s="30">
        <f>Census_SEIR_Province!E20</f>
        <v>0.14080475601512601</v>
      </c>
      <c r="E6" s="30">
        <f>Census_SEIR_Province!F20</f>
        <v>0.14080475601512601</v>
      </c>
      <c r="F6" s="30">
        <f>Census_SEIR_Province!G20</f>
        <v>9.8563329210588205E-2</v>
      </c>
      <c r="G6" s="30">
        <f>Census_SEIR_Province!H20</f>
        <v>9.8563329210588205E-2</v>
      </c>
      <c r="H6" s="30">
        <f>Census_SEIR_Province!I20</f>
        <v>0.11827599505270583</v>
      </c>
      <c r="I6" s="30">
        <f>Census_SEIR_Province!J20</f>
        <v>0.36652376382114293</v>
      </c>
      <c r="J6" s="30">
        <f>Census_SEIR_Province!K20</f>
        <v>0.61477153258958006</v>
      </c>
      <c r="K6" s="30">
        <f>Census_SEIR_Province!L20</f>
        <v>0.63283328254465032</v>
      </c>
      <c r="L6" s="30">
        <f>Census_SEIR_Province!M20</f>
        <v>0.65089503249972058</v>
      </c>
      <c r="M6" s="30">
        <f>Census_SEIR_Province!N20</f>
        <v>0.66895678245479084</v>
      </c>
      <c r="N6" s="30">
        <f>Census_SEIR_Province!O20</f>
        <v>0.66895678245479084</v>
      </c>
    </row>
    <row r="7" spans="1:14">
      <c r="A7" s="198">
        <v>6</v>
      </c>
      <c r="B7" s="198" t="str">
        <f>Census_SEIR_Province!B9</f>
        <v>MPUMALANGA</v>
      </c>
      <c r="C7" s="30">
        <f>Census_SEIR_Province!D21</f>
        <v>2.1858594169625767</v>
      </c>
      <c r="D7" s="30">
        <f>Census_SEIR_Province!E21</f>
        <v>0.38086620830287732</v>
      </c>
      <c r="E7" s="30">
        <f>Census_SEIR_Province!F21</f>
        <v>0.38086620830287732</v>
      </c>
      <c r="F7" s="30">
        <f>Census_SEIR_Province!G21</f>
        <v>0.26660634581201409</v>
      </c>
      <c r="G7" s="30">
        <f>Census_SEIR_Province!H21</f>
        <v>0.26660634581201409</v>
      </c>
      <c r="H7" s="30">
        <f>Census_SEIR_Province!I21</f>
        <v>0.31992761497441691</v>
      </c>
      <c r="I7" s="30">
        <f>Census_SEIR_Province!J21</f>
        <v>0.46734957378199848</v>
      </c>
      <c r="J7" s="30">
        <f>Census_SEIR_Province!K21</f>
        <v>0.61477153258958006</v>
      </c>
      <c r="K7" s="30">
        <f>Census_SEIR_Province!L21</f>
        <v>0.63283328254465032</v>
      </c>
      <c r="L7" s="30">
        <f>Census_SEIR_Province!M21</f>
        <v>0.65089503249972058</v>
      </c>
      <c r="M7" s="30">
        <f>Census_SEIR_Province!N21</f>
        <v>0.66895678245479084</v>
      </c>
      <c r="N7" s="30">
        <f>Census_SEIR_Province!O21</f>
        <v>0.66895678245479084</v>
      </c>
    </row>
    <row r="8" spans="1:14">
      <c r="A8" s="198">
        <v>7</v>
      </c>
      <c r="B8" s="198" t="str">
        <f>Census_SEIR_Province!B10</f>
        <v>NORTH WEST</v>
      </c>
      <c r="C8" s="30">
        <f>Census_SEIR_Province!D22</f>
        <v>1.837188853102945</v>
      </c>
      <c r="D8" s="30">
        <f>Census_SEIR_Province!E22</f>
        <v>0.10328687028005483</v>
      </c>
      <c r="E8" s="30">
        <f>Census_SEIR_Province!F22</f>
        <v>0.10328687028005483</v>
      </c>
      <c r="F8" s="30">
        <f>Census_SEIR_Province!G22</f>
        <v>7.2300809196038374E-2</v>
      </c>
      <c r="G8" s="30">
        <f>Census_SEIR_Province!H22</f>
        <v>7.2300809196038374E-2</v>
      </c>
      <c r="H8" s="30">
        <f>Census_SEIR_Province!I22</f>
        <v>8.6760971035246048E-2</v>
      </c>
      <c r="I8" s="30">
        <f>Census_SEIR_Province!J22</f>
        <v>0.35076625181241305</v>
      </c>
      <c r="J8" s="30">
        <f>Census_SEIR_Province!K22</f>
        <v>0.61477153258958006</v>
      </c>
      <c r="K8" s="30">
        <f>Census_SEIR_Province!L22</f>
        <v>0.63283328254465032</v>
      </c>
      <c r="L8" s="30">
        <f>Census_SEIR_Province!M22</f>
        <v>0.65089503249972058</v>
      </c>
      <c r="M8" s="30">
        <f>Census_SEIR_Province!N22</f>
        <v>0.66895678245479084</v>
      </c>
      <c r="N8" s="30">
        <f>Census_SEIR_Province!O22</f>
        <v>0.66895678245479084</v>
      </c>
    </row>
    <row r="9" spans="1:14">
      <c r="A9" s="198">
        <v>8</v>
      </c>
      <c r="B9" s="198" t="str">
        <f>Census_SEIR_Province!B11</f>
        <v>NORTHERN CAPE</v>
      </c>
      <c r="C9" s="30">
        <f>Census_SEIR_Province!D23</f>
        <v>2.2007901862579322</v>
      </c>
      <c r="D9" s="30">
        <f>Census_SEIR_Province!E23</f>
        <v>1.7606321490063459</v>
      </c>
      <c r="E9" s="30">
        <f>Census_SEIR_Province!F23</f>
        <v>1.232442504304442</v>
      </c>
      <c r="F9" s="30">
        <f>Census_SEIR_Province!G23</f>
        <v>0.86270975301310937</v>
      </c>
      <c r="G9" s="30">
        <f>Census_SEIR_Province!H23</f>
        <v>0.86270975301310937</v>
      </c>
      <c r="H9" s="30">
        <f>Census_SEIR_Province!I23</f>
        <v>1.0352517036157312</v>
      </c>
      <c r="I9" s="30">
        <f>Census_SEIR_Province!J23</f>
        <v>0.82501161810265566</v>
      </c>
      <c r="J9" s="30">
        <f>Census_SEIR_Province!K23</f>
        <v>0.61477153258958006</v>
      </c>
      <c r="K9" s="30">
        <f>Census_SEIR_Province!L23</f>
        <v>0.63283328254465032</v>
      </c>
      <c r="L9" s="30">
        <f>Census_SEIR_Province!M23</f>
        <v>0.65089503249972058</v>
      </c>
      <c r="M9" s="30">
        <f>Census_SEIR_Province!N23</f>
        <v>0.66895678245479084</v>
      </c>
      <c r="N9" s="30">
        <f>Census_SEIR_Province!O23</f>
        <v>0.66895678245479084</v>
      </c>
    </row>
    <row r="10" spans="1:14">
      <c r="A10" s="198">
        <v>9</v>
      </c>
      <c r="B10" s="198" t="str">
        <f>Census_SEIR_Province!B12</f>
        <v>WESTERN CAPE</v>
      </c>
      <c r="C10" s="30">
        <f>Census_SEIR_Province!D24</f>
        <v>2.2264397413898798</v>
      </c>
      <c r="D10" s="30">
        <f>Census_SEIR_Province!E24</f>
        <v>1.0285699186505888</v>
      </c>
      <c r="E10" s="30">
        <f>Census_SEIR_Province!F24</f>
        <v>1.0285699186505888</v>
      </c>
      <c r="F10" s="30">
        <f>Census_SEIR_Province!G24</f>
        <v>0.71999894305541212</v>
      </c>
      <c r="G10" s="30">
        <f>Census_SEIR_Province!H24</f>
        <v>0.71999894305541212</v>
      </c>
      <c r="H10" s="30">
        <f>Census_SEIR_Province!I24</f>
        <v>0.86399873166649455</v>
      </c>
      <c r="I10" s="30">
        <f>Census_SEIR_Province!J24</f>
        <v>1.0543357232964226</v>
      </c>
      <c r="J10" s="30">
        <f>Census_SEIR_Province!K24</f>
        <v>1.2446727149263506</v>
      </c>
      <c r="K10" s="30">
        <f>Census_SEIR_Province!L24</f>
        <v>1.0574178274101276</v>
      </c>
      <c r="L10" s="30">
        <f>Census_SEIR_Province!M24</f>
        <v>0.87016293989390459</v>
      </c>
      <c r="M10" s="30">
        <f>Census_SEIR_Province!N24</f>
        <v>0.68290805237768171</v>
      </c>
      <c r="N10" s="30">
        <f>Census_SEIR_Province!O24</f>
        <v>0.68290805237768171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FF0066"/>
  </sheetPr>
  <dimension ref="A1:W53"/>
  <sheetViews>
    <sheetView workbookViewId="0">
      <selection activeCell="J13" sqref="J13"/>
    </sheetView>
  </sheetViews>
  <sheetFormatPr baseColWidth="10" defaultColWidth="8.6640625" defaultRowHeight="12"/>
  <cols>
    <col min="1" max="1" width="2.5" style="41" bestFit="1" customWidth="1"/>
    <col min="2" max="2" width="12.6640625" style="76" bestFit="1" customWidth="1"/>
    <col min="3" max="3" width="7.33203125" style="76" bestFit="1" customWidth="1"/>
    <col min="4" max="5" width="4.83203125" style="76" bestFit="1" customWidth="1"/>
    <col min="6" max="7" width="6" style="76" bestFit="1" customWidth="1"/>
    <col min="8" max="8" width="4.1640625" style="76" bestFit="1" customWidth="1"/>
    <col min="9" max="10" width="6" style="76" bestFit="1" customWidth="1"/>
    <col min="11" max="11" width="3.6640625" style="76" bestFit="1" customWidth="1"/>
    <col min="12" max="12" width="3.83203125" style="76" bestFit="1" customWidth="1"/>
    <col min="13" max="13" width="3.5" style="76" bestFit="1" customWidth="1"/>
    <col min="14" max="14" width="3.33203125" style="76" bestFit="1" customWidth="1"/>
    <col min="15" max="15" width="11.83203125" style="76" bestFit="1" customWidth="1"/>
    <col min="16" max="16" width="9.6640625" style="76" bestFit="1" customWidth="1"/>
    <col min="17" max="17" width="8.6640625" style="76" bestFit="1" customWidth="1"/>
    <col min="18" max="18" width="13.83203125" style="76" bestFit="1" customWidth="1"/>
    <col min="19" max="19" width="8.33203125" style="76" bestFit="1" customWidth="1"/>
    <col min="20" max="20" width="12.1640625" style="76" bestFit="1" customWidth="1"/>
    <col min="21" max="21" width="11.1640625" style="76" bestFit="1" customWidth="1"/>
    <col min="22" max="22" width="13.6640625" style="76" bestFit="1" customWidth="1"/>
    <col min="23" max="23" width="12.5" style="76" bestFit="1" customWidth="1"/>
    <col min="24" max="29" width="8.6640625" style="76" customWidth="1"/>
    <col min="30" max="16384" width="8.6640625" style="76"/>
  </cols>
  <sheetData>
    <row r="1" spans="1:23">
      <c r="A1" s="27" t="s">
        <v>63</v>
      </c>
      <c r="B1" s="27" t="s">
        <v>64</v>
      </c>
      <c r="C1" s="27" t="s">
        <v>65</v>
      </c>
      <c r="D1" s="27" t="s">
        <v>66</v>
      </c>
      <c r="E1" s="27" t="s">
        <v>67</v>
      </c>
      <c r="F1" s="27" t="s">
        <v>68</v>
      </c>
      <c r="G1" s="27" t="s">
        <v>69</v>
      </c>
      <c r="H1" s="27" t="s">
        <v>70</v>
      </c>
      <c r="I1" s="27" t="s">
        <v>71</v>
      </c>
      <c r="J1" s="27" t="s">
        <v>72</v>
      </c>
      <c r="K1" s="27" t="s">
        <v>73</v>
      </c>
      <c r="L1" s="27" t="s">
        <v>74</v>
      </c>
      <c r="M1" s="27" t="s">
        <v>75</v>
      </c>
      <c r="N1" s="27" t="s">
        <v>76</v>
      </c>
      <c r="O1" s="27" t="str">
        <f ca="1">IF(N1="","",IF(OFFSET($B$1,COUNTA($N$1:N1),0)="","","i_" &amp; OFFSET($B$1,COUNTA($N$1:N1),0)))</f>
        <v>i_EASTERN CAPE</v>
      </c>
      <c r="P1" s="27" t="str">
        <f ca="1">IF(O1="","",IF(OFFSET($B$1,COUNTA($N$1:O1),0)="","","i_" &amp; OFFSET($B$1,COUNTA($N$1:O1),0)))</f>
        <v>i_FREE STATE</v>
      </c>
      <c r="Q1" s="27" t="str">
        <f ca="1">IF(P1="","",IF(OFFSET($B$1,COUNTA($N$1:P1),0)="","","i_" &amp; OFFSET($B$1,COUNTA($N$1:P1),0)))</f>
        <v>i_GAUTENG</v>
      </c>
      <c r="R1" s="27" t="str">
        <f ca="1">IF(Q1="","",IF(OFFSET($B$1,COUNTA($N$1:Q1),0)="","","i_" &amp; OFFSET($B$1,COUNTA($N$1:Q1),0)))</f>
        <v>i_KWAZULU-NATAL</v>
      </c>
      <c r="S1" s="27" t="str">
        <f ca="1">IF(R1="","",IF(OFFSET($B$1,COUNTA($N$1:R1),0)="","","i_" &amp; OFFSET($B$1,COUNTA($N$1:R1),0)))</f>
        <v>i_LIMPOPO</v>
      </c>
      <c r="T1" s="27" t="str">
        <f ca="1">IF(S1="","",IF(OFFSET($B$1,COUNTA($N$1:S1),0)="","","i_" &amp; OFFSET($B$1,COUNTA($N$1:S1),0)))</f>
        <v>i_MPUMALANGA</v>
      </c>
      <c r="U1" s="27" t="str">
        <f ca="1">IF(T1="","",IF(OFFSET($B$1,COUNTA($N$1:T1),0)="","","i_" &amp; OFFSET($B$1,COUNTA($N$1:T1),0)))</f>
        <v>i_NORTH WEST</v>
      </c>
      <c r="V1" s="27" t="str">
        <f ca="1">IF(U1="","",IF(OFFSET($B$1,COUNTA($N$1:U1),0)="","","i_" &amp; OFFSET($B$1,COUNTA($N$1:U1),0)))</f>
        <v>i_NORTHERN CAPE</v>
      </c>
      <c r="W1" s="27" t="str">
        <f ca="1">IF(V1="","",IF(OFFSET($B$1,COUNTA($N$1:V1),0)="","","i_" &amp; OFFSET($B$1,COUNTA($N$1:V1),0)))</f>
        <v>i_WESTERN CAPE</v>
      </c>
    </row>
    <row r="2" spans="1:23">
      <c r="A2" s="41">
        <v>1</v>
      </c>
      <c r="B2" s="41" t="str">
        <f>Census_SEIR_Province!B4</f>
        <v>EASTERN CAPE</v>
      </c>
      <c r="C2" s="28">
        <f>Census_SEIR_Province!C4</f>
        <v>6870751.6833906518</v>
      </c>
      <c r="D2" s="28">
        <f ca="1">Census_SEIR_Province!V4</f>
        <v>10439</v>
      </c>
      <c r="E2" s="28">
        <f ca="1">Census_SEIR_Province!R4</f>
        <v>9685</v>
      </c>
      <c r="F2" s="28">
        <f ca="1">Census_SEIR_Province!S4</f>
        <v>185581.37253070774</v>
      </c>
      <c r="G2" s="28">
        <f ca="1">Census_SEIR_Province!U4</f>
        <v>48816.593132676935</v>
      </c>
      <c r="H2" s="28">
        <f ca="1">Census_SEIR_Province!T4</f>
        <v>1633.5</v>
      </c>
      <c r="I2" s="81">
        <f ca="1">Census_SEIR_Province!M4</f>
        <v>3.9546944826666739E-3</v>
      </c>
      <c r="J2" s="29">
        <f ca="1">Census_SEIR_Province!Q4</f>
        <v>0.95040108609342389</v>
      </c>
      <c r="K2" s="30">
        <f>Census_SEIR_Province!Z4</f>
        <v>-0.14233324113941079</v>
      </c>
      <c r="L2" s="31">
        <f>Census_SEIR_Province!AA4</f>
        <v>-1.0166660081386485E-2</v>
      </c>
      <c r="M2" s="28">
        <f t="shared" ref="M2:M10" si="0">IF($A2="","",4)</f>
        <v>4</v>
      </c>
      <c r="N2" s="28">
        <f t="shared" ref="N2:N10" si="1">IF($A2="","",14)</f>
        <v>14</v>
      </c>
      <c r="O2" s="29">
        <f>Census_SEIR_Province!AB4</f>
        <v>1.1900147003228769</v>
      </c>
      <c r="P2" s="29">
        <f>Census_SEIR_Province!AC4</f>
        <v>2.1310412216105279E-3</v>
      </c>
      <c r="Q2" s="29">
        <f>Census_SEIR_Province!AD4</f>
        <v>1.16627592733917E-2</v>
      </c>
      <c r="R2" s="29">
        <f>Census_SEIR_Province!AE4</f>
        <v>6.9567987430245908E-3</v>
      </c>
      <c r="S2" s="29">
        <f>Census_SEIR_Province!AF4</f>
        <v>3.7897159679937801E-4</v>
      </c>
      <c r="T2" s="29">
        <f>Census_SEIR_Province!AG4</f>
        <v>9.259196071533689E-4</v>
      </c>
      <c r="U2" s="29">
        <f>Census_SEIR_Province!AH4</f>
        <v>9.6440128993984246E-4</v>
      </c>
      <c r="V2" s="29">
        <f>Census_SEIR_Province!AI4</f>
        <v>4.2535216062161338E-4</v>
      </c>
      <c r="W2" s="29">
        <f>Census_SEIR_Province!AJ4</f>
        <v>6.9976080863149194E-3</v>
      </c>
    </row>
    <row r="3" spans="1:23">
      <c r="A3" s="41">
        <v>2</v>
      </c>
      <c r="B3" s="41" t="str">
        <f>Census_SEIR_Province!B5</f>
        <v>FREE STATE</v>
      </c>
      <c r="C3" s="28">
        <f>Census_SEIR_Province!C5</f>
        <v>2808924.1293476075</v>
      </c>
      <c r="D3" s="28">
        <f ca="1">Census_SEIR_Province!V5</f>
        <v>318</v>
      </c>
      <c r="E3" s="28">
        <f ca="1">Census_SEIR_Province!R5</f>
        <v>649</v>
      </c>
      <c r="F3" s="28">
        <f ca="1">Census_SEIR_Province!S5</f>
        <v>9532.3570912644682</v>
      </c>
      <c r="G3" s="28">
        <f ca="1">Census_SEIR_Province!U5</f>
        <v>2545.339272816117</v>
      </c>
      <c r="H3" s="28">
        <f ca="1">Census_SEIR_Province!T5</f>
        <v>40.5</v>
      </c>
      <c r="I3" s="81">
        <f ca="1">Census_SEIR_Province!M5</f>
        <v>2.6451130161263955E-3</v>
      </c>
      <c r="J3" s="29">
        <f ca="1">Census_SEIR_Province!Q5</f>
        <v>0.93625604188297873</v>
      </c>
      <c r="K3" s="30">
        <f>Census_SEIR_Province!Z5</f>
        <v>0.24361083801578898</v>
      </c>
      <c r="L3" s="31">
        <f>Census_SEIR_Province!AA5</f>
        <v>1.7400774143984925E-2</v>
      </c>
      <c r="M3" s="28">
        <f t="shared" si="0"/>
        <v>4</v>
      </c>
      <c r="N3" s="28">
        <f t="shared" si="1"/>
        <v>14</v>
      </c>
      <c r="O3" s="29">
        <f>Census_SEIR_Province!AB5</f>
        <v>3.7060379367839769E-3</v>
      </c>
      <c r="P3" s="29">
        <f>Census_SEIR_Province!AC5</f>
        <v>1.167527648688155</v>
      </c>
      <c r="Q3" s="29">
        <f>Census_SEIR_Province!AD5</f>
        <v>4.4209198102956787E-2</v>
      </c>
      <c r="R3" s="29">
        <f>Census_SEIR_Province!AE5</f>
        <v>4.0131594462745361E-3</v>
      </c>
      <c r="S3" s="29">
        <f>Census_SEIR_Province!AF5</f>
        <v>1.071419780387452E-3</v>
      </c>
      <c r="T3" s="29">
        <f>Census_SEIR_Province!AG5</f>
        <v>2.398975547051535E-3</v>
      </c>
      <c r="U3" s="29">
        <f>Census_SEIR_Province!AH5</f>
        <v>5.3409928629830463E-3</v>
      </c>
      <c r="V3" s="29">
        <f>Census_SEIR_Province!AI5</f>
        <v>3.0345263915139901E-3</v>
      </c>
      <c r="W3" s="29">
        <f>Census_SEIR_Province!AJ5</f>
        <v>5.6928397722728358E-3</v>
      </c>
    </row>
    <row r="4" spans="1:23">
      <c r="A4" s="41">
        <v>3</v>
      </c>
      <c r="B4" s="41" t="str">
        <f>Census_SEIR_Province!B6</f>
        <v>GAUTENG</v>
      </c>
      <c r="C4" s="28">
        <f>Census_SEIR_Province!C6</f>
        <v>15638791.17154902</v>
      </c>
      <c r="D4" s="28">
        <f ca="1">Census_SEIR_Province!V6</f>
        <v>5856</v>
      </c>
      <c r="E4" s="28">
        <f ca="1">Census_SEIR_Province!R6</f>
        <v>22741</v>
      </c>
      <c r="F4" s="28">
        <f ca="1">Census_SEIR_Province!S6</f>
        <v>159390.67943841181</v>
      </c>
      <c r="G4" s="28">
        <f ca="1">Census_SEIR_Province!U6</f>
        <v>45532.919859602953</v>
      </c>
      <c r="H4" s="28">
        <f ca="1">Census_SEIR_Province!T6</f>
        <v>670.5</v>
      </c>
      <c r="I4" s="81">
        <f ca="1">Census_SEIR_Province!M6</f>
        <v>2.9123624766428974E-3</v>
      </c>
      <c r="J4" s="29">
        <f ca="1">Census_SEIR_Province!Q6</f>
        <v>0.87513978858526964</v>
      </c>
      <c r="K4" s="30">
        <f>Census_SEIR_Province!Z6</f>
        <v>7.8723256669998659E-2</v>
      </c>
      <c r="L4" s="31">
        <f>Census_SEIR_Province!AA6</f>
        <v>5.6230897621427616E-3</v>
      </c>
      <c r="M4" s="28">
        <f t="shared" si="0"/>
        <v>4</v>
      </c>
      <c r="N4" s="28">
        <f t="shared" si="1"/>
        <v>14</v>
      </c>
      <c r="O4" s="29">
        <f>Census_SEIR_Province!AB6</f>
        <v>2.805398811217556E-3</v>
      </c>
      <c r="P4" s="29">
        <f>Census_SEIR_Province!AC6</f>
        <v>5.6711711449477318E-3</v>
      </c>
      <c r="Q4" s="29">
        <f>Census_SEIR_Province!AD6</f>
        <v>1.291161370320651</v>
      </c>
      <c r="R4" s="29">
        <f>Census_SEIR_Province!AE6</f>
        <v>4.8155870390239061E-3</v>
      </c>
      <c r="S4" s="29">
        <f>Census_SEIR_Province!AF6</f>
        <v>4.7346822089827838E-3</v>
      </c>
      <c r="T4" s="29">
        <f>Census_SEIR_Province!AG6</f>
        <v>4.29494873660583E-3</v>
      </c>
      <c r="U4" s="29">
        <f>Census_SEIR_Province!AH6</f>
        <v>5.3434516251914151E-3</v>
      </c>
      <c r="V4" s="29">
        <f>Census_SEIR_Province!AI6</f>
        <v>2.9512308355958108E-4</v>
      </c>
      <c r="W4" s="29">
        <f>Census_SEIR_Province!AJ6</f>
        <v>2.749195721243527E-3</v>
      </c>
    </row>
    <row r="5" spans="1:23">
      <c r="A5" s="41">
        <v>4</v>
      </c>
      <c r="B5" s="41" t="str">
        <f>Census_SEIR_Province!B7</f>
        <v>KWAZULU-NATAL</v>
      </c>
      <c r="C5" s="28">
        <f>Census_SEIR_Province!C7</f>
        <v>11000348.151987236</v>
      </c>
      <c r="D5" s="28">
        <f ca="1">Census_SEIR_Province!V7</f>
        <v>2947</v>
      </c>
      <c r="E5" s="28">
        <f ca="1">Census_SEIR_Province!R7</f>
        <v>3537</v>
      </c>
      <c r="F5" s="28">
        <f ca="1">Census_SEIR_Province!S7</f>
        <v>79166.678751352083</v>
      </c>
      <c r="G5" s="28">
        <f ca="1">Census_SEIR_Province!U7</f>
        <v>20675.919687838021</v>
      </c>
      <c r="H5" s="28">
        <f ca="1">Census_SEIR_Province!T7</f>
        <v>477</v>
      </c>
      <c r="I5" s="81">
        <f ca="1">Census_SEIR_Province!M7</f>
        <v>3.0955882988247074E-3</v>
      </c>
      <c r="J5" s="29">
        <f ca="1">Census_SEIR_Province!Q7</f>
        <v>0.95723285767451816</v>
      </c>
      <c r="K5" s="30">
        <f>Census_SEIR_Province!Z7</f>
        <v>0.10057482572509002</v>
      </c>
      <c r="L5" s="31">
        <f>Census_SEIR_Province!AA7</f>
        <v>7.183916123220716E-3</v>
      </c>
      <c r="M5" s="28">
        <f t="shared" si="0"/>
        <v>4</v>
      </c>
      <c r="N5" s="28">
        <f t="shared" si="1"/>
        <v>14</v>
      </c>
      <c r="O5" s="29">
        <f>Census_SEIR_Province!AB7</f>
        <v>3.5521497705521391E-3</v>
      </c>
      <c r="P5" s="29">
        <f>Census_SEIR_Province!AC7</f>
        <v>1.0305115440354181E-3</v>
      </c>
      <c r="Q5" s="29">
        <f>Census_SEIR_Province!AD7</f>
        <v>1.219829017424621E-2</v>
      </c>
      <c r="R5" s="29">
        <f>Census_SEIR_Province!AE7</f>
        <v>1.2773400807162369</v>
      </c>
      <c r="S5" s="29">
        <f>Census_SEIR_Province!AF7</f>
        <v>5.5486496117506257E-4</v>
      </c>
      <c r="T5" s="29">
        <f>Census_SEIR_Province!AG7</f>
        <v>3.4241101027898619E-3</v>
      </c>
      <c r="U5" s="29">
        <f>Census_SEIR_Province!AH7</f>
        <v>2.0460085341650462E-3</v>
      </c>
      <c r="V5" s="29">
        <f>Census_SEIR_Province!AI7</f>
        <v>9.3377906930335787E-5</v>
      </c>
      <c r="W5" s="29">
        <f>Census_SEIR_Province!AJ7</f>
        <v>4.3559444886253152E-3</v>
      </c>
    </row>
    <row r="6" spans="1:23">
      <c r="A6" s="41">
        <v>5</v>
      </c>
      <c r="B6" s="41" t="str">
        <f>Census_SEIR_Province!B8</f>
        <v>LIMPOPO</v>
      </c>
      <c r="C6" s="28">
        <f>Census_SEIR_Province!C8</f>
        <v>5853825.0671569509</v>
      </c>
      <c r="D6" s="28">
        <f ca="1">Census_SEIR_Province!V8</f>
        <v>329</v>
      </c>
      <c r="E6" s="28">
        <f ca="1">Census_SEIR_Province!R8</f>
        <v>396</v>
      </c>
      <c r="F6" s="28">
        <f ca="1">Census_SEIR_Province!S8</f>
        <v>3852.5183579381846</v>
      </c>
      <c r="G6" s="28">
        <f ca="1">Census_SEIR_Province!U8</f>
        <v>1062.1295894845462</v>
      </c>
      <c r="H6" s="28">
        <f ca="1">Census_SEIR_Province!T8</f>
        <v>22.5</v>
      </c>
      <c r="I6" s="81">
        <f ca="1">Census_SEIR_Province!M8</f>
        <v>2.8728790660041163E-3</v>
      </c>
      <c r="J6" s="29">
        <f ca="1">Census_SEIR_Province!Q8</f>
        <v>0.90679103474742195</v>
      </c>
      <c r="K6" s="30">
        <f>Census_SEIR_Province!Z8</f>
        <v>0.27204729164491237</v>
      </c>
      <c r="L6" s="31">
        <f>Census_SEIR_Province!AA8</f>
        <v>1.9431949403208026E-2</v>
      </c>
      <c r="M6" s="28">
        <f t="shared" si="0"/>
        <v>4</v>
      </c>
      <c r="N6" s="28">
        <f t="shared" si="1"/>
        <v>14</v>
      </c>
      <c r="O6" s="29">
        <f>Census_SEIR_Province!AB8</f>
        <v>7.2689186034851966E-4</v>
      </c>
      <c r="P6" s="29">
        <f>Census_SEIR_Province!AC8</f>
        <v>9.7661070423710238E-4</v>
      </c>
      <c r="Q6" s="29">
        <f>Census_SEIR_Province!AD8</f>
        <v>2.3896281516370799E-2</v>
      </c>
      <c r="R6" s="29">
        <f>Census_SEIR_Province!AE8</f>
        <v>1.2130164314160989E-3</v>
      </c>
      <c r="S6" s="29">
        <f>Census_SEIR_Province!AF8</f>
        <v>1.2286548639584709</v>
      </c>
      <c r="T6" s="29">
        <f>Census_SEIR_Province!AG8</f>
        <v>8.3787920529010979E-3</v>
      </c>
      <c r="U6" s="29">
        <f>Census_SEIR_Province!AH8</f>
        <v>3.8264064942863979E-3</v>
      </c>
      <c r="V6" s="29">
        <f>Census_SEIR_Province!AI8</f>
        <v>3.3640902791374979E-4</v>
      </c>
      <c r="W6" s="29">
        <f>Census_SEIR_Province!AJ8</f>
        <v>1.453254823083438E-3</v>
      </c>
    </row>
    <row r="7" spans="1:23">
      <c r="A7" s="41">
        <v>6</v>
      </c>
      <c r="B7" s="41" t="str">
        <f>Census_SEIR_Province!B9</f>
        <v>MPUMALANGA</v>
      </c>
      <c r="C7" s="28">
        <f>Census_SEIR_Province!C9</f>
        <v>4809186.3864003606</v>
      </c>
      <c r="D7" s="28">
        <f ca="1">Census_SEIR_Province!V9</f>
        <v>207</v>
      </c>
      <c r="E7" s="28">
        <f ca="1">Census_SEIR_Province!R9</f>
        <v>574</v>
      </c>
      <c r="F7" s="28">
        <f ca="1">Census_SEIR_Province!S9</f>
        <v>2280.9846324556761</v>
      </c>
      <c r="G7" s="28">
        <f ca="1">Census_SEIR_Province!U9</f>
        <v>713.74615811391902</v>
      </c>
      <c r="H7" s="28">
        <f ca="1">Census_SEIR_Province!T9</f>
        <v>9</v>
      </c>
      <c r="I7" s="81">
        <f ca="1">Census_SEIR_Province!M9</f>
        <v>2.3109410377982892E-3</v>
      </c>
      <c r="J7" s="29">
        <f ca="1">Census_SEIR_Province!Q9</f>
        <v>0.79894812971154883</v>
      </c>
      <c r="K7" s="30">
        <f>Census_SEIR_Province!Z9</f>
        <v>7.3776335914324878E-2</v>
      </c>
      <c r="L7" s="31">
        <f>Census_SEIR_Province!AA9</f>
        <v>5.2697382795946343E-3</v>
      </c>
      <c r="M7" s="28">
        <f t="shared" si="0"/>
        <v>4</v>
      </c>
      <c r="N7" s="28">
        <f t="shared" si="1"/>
        <v>14</v>
      </c>
      <c r="O7" s="29">
        <f>Census_SEIR_Province!AB9</f>
        <v>1.5647303424400039E-3</v>
      </c>
      <c r="P7" s="29">
        <f>Census_SEIR_Province!AC9</f>
        <v>2.4393553474934301E-3</v>
      </c>
      <c r="Q7" s="29">
        <f>Census_SEIR_Province!AD9</f>
        <v>2.758976729074963E-2</v>
      </c>
      <c r="R7" s="29">
        <f>Census_SEIR_Province!AE9</f>
        <v>8.9854046925801744E-3</v>
      </c>
      <c r="S7" s="29">
        <f>Census_SEIR_Province!AF9</f>
        <v>9.2202558777964311E-3</v>
      </c>
      <c r="T7" s="29">
        <f>Census_SEIR_Province!AG9</f>
        <v>1.2884354402141911</v>
      </c>
      <c r="U7" s="29">
        <f>Census_SEIR_Province!AH9</f>
        <v>1.4146541525465761E-3</v>
      </c>
      <c r="V7" s="29">
        <f>Census_SEIR_Province!AI9</f>
        <v>2.0461879272865699E-4</v>
      </c>
      <c r="W7" s="29">
        <f>Census_SEIR_Province!AJ9</f>
        <v>5.9827916320159174E-4</v>
      </c>
    </row>
    <row r="8" spans="1:23">
      <c r="A8" s="41">
        <v>7</v>
      </c>
      <c r="B8" s="41" t="str">
        <f>Census_SEIR_Province!B10</f>
        <v>NORTH WEST</v>
      </c>
      <c r="C8" s="28">
        <f>Census_SEIR_Province!C10</f>
        <v>4107627.6697600405</v>
      </c>
      <c r="D8" s="28">
        <f ca="1">Census_SEIR_Province!V10</f>
        <v>291</v>
      </c>
      <c r="E8" s="28">
        <f ca="1">Census_SEIR_Province!R10</f>
        <v>2669</v>
      </c>
      <c r="F8" s="28">
        <f ca="1">Census_SEIR_Province!S10</f>
        <v>7602.22853299703</v>
      </c>
      <c r="G8" s="28">
        <f ca="1">Census_SEIR_Province!U10</f>
        <v>2567.8071332492573</v>
      </c>
      <c r="H8" s="28">
        <f ca="1">Census_SEIR_Province!T10</f>
        <v>30</v>
      </c>
      <c r="I8" s="81">
        <f ca="1">Census_SEIR_Province!M10</f>
        <v>2.6291946416309221E-3</v>
      </c>
      <c r="J8" s="29">
        <f ca="1">Census_SEIR_Province!Q10</f>
        <v>0.74014792958547715</v>
      </c>
      <c r="K8" s="30">
        <f>Census_SEIR_Province!Z10</f>
        <v>0.30187606914172788</v>
      </c>
      <c r="L8" s="31">
        <f>Census_SEIR_Province!AA10</f>
        <v>2.1562576367266276E-2</v>
      </c>
      <c r="M8" s="28">
        <f t="shared" si="0"/>
        <v>4</v>
      </c>
      <c r="N8" s="28">
        <f t="shared" si="1"/>
        <v>14</v>
      </c>
      <c r="O8" s="29">
        <f>Census_SEIR_Province!AB10</f>
        <v>2.028944652463751E-3</v>
      </c>
      <c r="P8" s="29">
        <f>Census_SEIR_Province!AC10</f>
        <v>5.5877762151864633E-3</v>
      </c>
      <c r="Q8" s="29">
        <f>Census_SEIR_Province!AD10</f>
        <v>4.1455745298391862E-2</v>
      </c>
      <c r="R8" s="29">
        <f>Census_SEIR_Province!AE10</f>
        <v>7.815209758031634E-3</v>
      </c>
      <c r="S8" s="29">
        <f>Census_SEIR_Province!AF10</f>
        <v>4.7156575872520836E-3</v>
      </c>
      <c r="T8" s="29">
        <f>Census_SEIR_Province!AG10</f>
        <v>1.9083479534858191E-3</v>
      </c>
      <c r="U8" s="29">
        <f>Census_SEIR_Province!AH10</f>
        <v>1.244963239411274</v>
      </c>
      <c r="V8" s="29">
        <f>Census_SEIR_Province!AI10</f>
        <v>3.6198180156147429E-3</v>
      </c>
      <c r="W8" s="29">
        <f>Census_SEIR_Province!AJ10</f>
        <v>1.723684572497376E-3</v>
      </c>
    </row>
    <row r="9" spans="1:23">
      <c r="A9" s="41">
        <v>8</v>
      </c>
      <c r="B9" s="41" t="str">
        <f>Census_SEIR_Province!B11</f>
        <v>NORTHERN CAPE</v>
      </c>
      <c r="C9" s="28">
        <f>Census_SEIR_Province!C11</f>
        <v>1322227.8490723777</v>
      </c>
      <c r="D9" s="28">
        <f ca="1">Census_SEIR_Province!V11</f>
        <v>112</v>
      </c>
      <c r="E9" s="28">
        <f ca="1">Census_SEIR_Province!R11</f>
        <v>205</v>
      </c>
      <c r="F9" s="28">
        <f ca="1">Census_SEIR_Province!S11</f>
        <v>880.96041517316507</v>
      </c>
      <c r="G9" s="28">
        <f ca="1">Census_SEIR_Province!U11</f>
        <v>271.49010379329127</v>
      </c>
      <c r="H9" s="28">
        <f ca="1">Census_SEIR_Province!T11</f>
        <v>4.5</v>
      </c>
      <c r="I9" s="81">
        <f ca="1">Census_SEIR_Province!M11</f>
        <v>2.671315966672539E-3</v>
      </c>
      <c r="J9" s="29">
        <f ca="1">Census_SEIR_Province!Q11</f>
        <v>0.81122700502180722</v>
      </c>
      <c r="K9" s="30">
        <f>Census_SEIR_Province!Z11</f>
        <v>0.73469279903613482</v>
      </c>
      <c r="L9" s="31">
        <f>Census_SEIR_Province!AA11</f>
        <v>5.2478057074009633E-2</v>
      </c>
      <c r="M9" s="28">
        <f t="shared" si="0"/>
        <v>4</v>
      </c>
      <c r="N9" s="28">
        <f t="shared" si="1"/>
        <v>14</v>
      </c>
      <c r="O9" s="29">
        <f>Census_SEIR_Province!AB11</f>
        <v>2.2773281930277981E-3</v>
      </c>
      <c r="P9" s="29">
        <f>Census_SEIR_Province!AC11</f>
        <v>9.7782666397271852E-3</v>
      </c>
      <c r="Q9" s="29">
        <f>Census_SEIR_Province!AD11</f>
        <v>6.4104162213417326E-3</v>
      </c>
      <c r="R9" s="29">
        <f>Census_SEIR_Province!AE11</f>
        <v>8.4336366628464711E-4</v>
      </c>
      <c r="S9" s="29">
        <f>Census_SEIR_Province!AF11</f>
        <v>9.0971958266597929E-4</v>
      </c>
      <c r="T9" s="29">
        <f>Census_SEIR_Province!AG11</f>
        <v>8.0839572690479119E-4</v>
      </c>
      <c r="U9" s="29">
        <f>Census_SEIR_Province!AH11</f>
        <v>9.4479388293353065E-3</v>
      </c>
      <c r="V9" s="29">
        <f>Census_SEIR_Province!AI11</f>
        <v>1.2076497365933481</v>
      </c>
      <c r="W9" s="29">
        <f>Census_SEIR_Province!AJ11</f>
        <v>5.4186764136388314E-3</v>
      </c>
    </row>
    <row r="10" spans="1:23">
      <c r="A10" s="41">
        <v>9</v>
      </c>
      <c r="B10" s="41" t="str">
        <f>Census_SEIR_Province!B12</f>
        <v>WESTERN CAPE</v>
      </c>
      <c r="C10" s="28">
        <f>Census_SEIR_Province!C12</f>
        <v>7304555.4042803012</v>
      </c>
      <c r="D10" s="28">
        <f ca="1">Census_SEIR_Province!V12</f>
        <v>39475</v>
      </c>
      <c r="E10" s="28">
        <f ca="1">Census_SEIR_Province!R12</f>
        <v>15653</v>
      </c>
      <c r="F10" s="28">
        <f ca="1">Census_SEIR_Province!S12</f>
        <v>548080.99945900904</v>
      </c>
      <c r="G10" s="28">
        <f ca="1">Census_SEIR_Province!U12</f>
        <v>140933.49986475226</v>
      </c>
      <c r="H10" s="28">
        <f ca="1">Census_SEIR_Province!T12</f>
        <v>7434</v>
      </c>
      <c r="I10" s="81">
        <f ca="1">Census_SEIR_Province!M12</f>
        <v>3.6353859580832088E-3</v>
      </c>
      <c r="J10" s="29">
        <f ca="1">Census_SEIR_Province!Q12</f>
        <v>0.97223335825935375</v>
      </c>
      <c r="K10" s="30">
        <f>Census_SEIR_Province!Z12</f>
        <v>0.17553049825157571</v>
      </c>
      <c r="L10" s="31">
        <f>Census_SEIR_Province!AA12</f>
        <v>1.2537892732255407E-2</v>
      </c>
      <c r="M10" s="28">
        <f t="shared" si="0"/>
        <v>4</v>
      </c>
      <c r="N10" s="28">
        <f t="shared" si="1"/>
        <v>14</v>
      </c>
      <c r="O10" s="29">
        <f>Census_SEIR_Province!AB12</f>
        <v>4.2694043188668844E-3</v>
      </c>
      <c r="P10" s="29">
        <f>Census_SEIR_Province!AC12</f>
        <v>1.762976313374652E-3</v>
      </c>
      <c r="Q10" s="29">
        <f>Census_SEIR_Province!AD12</f>
        <v>7.3693037276181591E-3</v>
      </c>
      <c r="R10" s="29">
        <f>Census_SEIR_Province!AE12</f>
        <v>3.7291833175446308E-3</v>
      </c>
      <c r="S10" s="29">
        <f>Census_SEIR_Province!AF12</f>
        <v>4.8142011451243961E-4</v>
      </c>
      <c r="T10" s="29">
        <f>Census_SEIR_Province!AG12</f>
        <v>2.4983297387682967E-4</v>
      </c>
      <c r="U10" s="29">
        <f>Census_SEIR_Province!AH12</f>
        <v>5.4746173640127097E-4</v>
      </c>
      <c r="V10" s="29">
        <f>Census_SEIR_Province!AI12</f>
        <v>6.4474478072210583E-4</v>
      </c>
      <c r="W10" s="29">
        <f>Census_SEIR_Province!AJ12</f>
        <v>1.287355561304999</v>
      </c>
    </row>
    <row r="11" spans="1:23">
      <c r="J11" s="29"/>
    </row>
    <row r="12" spans="1:23">
      <c r="J12" s="29"/>
    </row>
    <row r="13" spans="1:23">
      <c r="J13" s="29"/>
    </row>
    <row r="14" spans="1:23">
      <c r="J14" s="29"/>
    </row>
    <row r="15" spans="1:23">
      <c r="J15" s="29"/>
    </row>
    <row r="16" spans="1:23">
      <c r="J16" s="29"/>
    </row>
    <row r="17" spans="10:10">
      <c r="J17" s="29"/>
    </row>
    <row r="18" spans="10:10">
      <c r="J18" s="29"/>
    </row>
    <row r="19" spans="10:10">
      <c r="J19" s="29"/>
    </row>
    <row r="20" spans="10:10">
      <c r="J20" s="29"/>
    </row>
    <row r="21" spans="10:10">
      <c r="J21" s="29"/>
    </row>
    <row r="22" spans="10:10">
      <c r="J22" s="29"/>
    </row>
    <row r="23" spans="10:10">
      <c r="J23" s="29"/>
    </row>
    <row r="24" spans="10:10">
      <c r="J24" s="29"/>
    </row>
    <row r="25" spans="10:10">
      <c r="J25" s="29"/>
    </row>
    <row r="26" spans="10:10">
      <c r="J26" s="29"/>
    </row>
    <row r="27" spans="10:10">
      <c r="J27" s="29"/>
    </row>
    <row r="28" spans="10:10">
      <c r="J28" s="29"/>
    </row>
    <row r="29" spans="10:10">
      <c r="J29" s="29"/>
    </row>
    <row r="30" spans="10:10">
      <c r="J30" s="29"/>
    </row>
    <row r="31" spans="10:10">
      <c r="J31" s="29"/>
    </row>
    <row r="32" spans="10:10">
      <c r="J32" s="29"/>
    </row>
    <row r="33" spans="10:10">
      <c r="J33" s="29"/>
    </row>
    <row r="34" spans="10:10">
      <c r="J34" s="29"/>
    </row>
    <row r="35" spans="10:10">
      <c r="J35" s="29"/>
    </row>
    <row r="36" spans="10:10">
      <c r="J36" s="29"/>
    </row>
    <row r="37" spans="10:10">
      <c r="J37" s="29"/>
    </row>
    <row r="38" spans="10:10">
      <c r="J38" s="29"/>
    </row>
    <row r="39" spans="10:10">
      <c r="J39" s="29"/>
    </row>
    <row r="40" spans="10:10">
      <c r="J40" s="29"/>
    </row>
    <row r="41" spans="10:10">
      <c r="J41" s="29"/>
    </row>
    <row r="42" spans="10:10">
      <c r="J42" s="29"/>
    </row>
    <row r="43" spans="10:10">
      <c r="J43" s="29"/>
    </row>
    <row r="44" spans="10:10">
      <c r="J44" s="29"/>
    </row>
    <row r="45" spans="10:10">
      <c r="J45" s="29"/>
    </row>
    <row r="46" spans="10:10">
      <c r="J46" s="29"/>
    </row>
    <row r="47" spans="10:10">
      <c r="J47" s="29"/>
    </row>
    <row r="48" spans="10:10">
      <c r="J48" s="29"/>
    </row>
    <row r="49" spans="10:10">
      <c r="J49" s="29"/>
    </row>
    <row r="50" spans="10:10">
      <c r="J50" s="29"/>
    </row>
    <row r="51" spans="10:10">
      <c r="J51" s="29"/>
    </row>
    <row r="52" spans="10:10">
      <c r="J52" s="29"/>
    </row>
    <row r="53" spans="10:10">
      <c r="J53" s="29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0066"/>
  </sheetPr>
  <dimension ref="A1:AK320"/>
  <sheetViews>
    <sheetView topLeftCell="C1" workbookViewId="0">
      <selection activeCell="AB4" sqref="AB4:AJ12"/>
    </sheetView>
  </sheetViews>
  <sheetFormatPr baseColWidth="10" defaultColWidth="8.6640625" defaultRowHeight="11"/>
  <cols>
    <col min="1" max="1" width="4" style="6" bestFit="1" customWidth="1"/>
    <col min="2" max="2" width="11" style="82" bestFit="1" customWidth="1"/>
    <col min="3" max="3" width="12.6640625" style="21" bestFit="1" customWidth="1"/>
    <col min="4" max="5" width="10.1640625" style="82" customWidth="1"/>
    <col min="6" max="6" width="13.6640625" style="82" bestFit="1" customWidth="1"/>
    <col min="7" max="11" width="12.6640625" style="82" bestFit="1" customWidth="1"/>
    <col min="12" max="12" width="11.1640625" style="82" bestFit="1" customWidth="1"/>
    <col min="13" max="13" width="8.5" style="82" bestFit="1" customWidth="1"/>
    <col min="14" max="16" width="8.5" style="82" customWidth="1"/>
    <col min="17" max="17" width="9.83203125" style="6" bestFit="1" customWidth="1"/>
    <col min="18" max="18" width="11" style="6" bestFit="1" customWidth="1"/>
    <col min="19" max="19" width="14.5" style="6" bestFit="1" customWidth="1"/>
    <col min="20" max="20" width="10.33203125" style="6" bestFit="1" customWidth="1"/>
    <col min="21" max="21" width="11.5" style="6" bestFit="1" customWidth="1"/>
    <col min="22" max="22" width="12.5" style="6" bestFit="1" customWidth="1"/>
    <col min="23" max="23" width="13.33203125" style="6" bestFit="1" customWidth="1"/>
    <col min="24" max="24" width="13.33203125" style="6" customWidth="1"/>
    <col min="25" max="25" width="11.6640625" style="6" bestFit="1" customWidth="1"/>
    <col min="26" max="26" width="5" style="6" bestFit="1" customWidth="1"/>
    <col min="27" max="27" width="4" style="6" bestFit="1" customWidth="1"/>
    <col min="28" max="28" width="9.5" style="6" bestFit="1" customWidth="1"/>
    <col min="29" max="29" width="7.5" style="6" bestFit="1" customWidth="1"/>
    <col min="30" max="30" width="6.5" style="6" bestFit="1" customWidth="1"/>
    <col min="31" max="31" width="11" style="6" bestFit="1" customWidth="1"/>
    <col min="32" max="32" width="6.33203125" style="6" bestFit="1" customWidth="1"/>
    <col min="33" max="33" width="9.5" style="6" bestFit="1" customWidth="1"/>
    <col min="34" max="34" width="8.6640625" style="6" bestFit="1" customWidth="1"/>
    <col min="35" max="35" width="10.83203125" style="6" bestFit="1" customWidth="1"/>
    <col min="36" max="36" width="9.83203125" style="6" bestFit="1" customWidth="1"/>
    <col min="37" max="42" width="8.6640625" style="82" customWidth="1"/>
    <col min="43" max="16384" width="8.6640625" style="82"/>
  </cols>
  <sheetData>
    <row r="1" spans="1:37" ht="15">
      <c r="B1" s="1" t="s">
        <v>77</v>
      </c>
      <c r="C1" s="2" t="s">
        <v>78</v>
      </c>
      <c r="D1" s="229" t="s">
        <v>79</v>
      </c>
      <c r="E1" s="227"/>
      <c r="F1" s="227"/>
      <c r="G1" s="227"/>
      <c r="H1" s="227"/>
      <c r="I1" s="227"/>
      <c r="J1" s="227"/>
      <c r="K1" s="227"/>
      <c r="L1" s="228"/>
      <c r="M1" s="230" t="s">
        <v>2448</v>
      </c>
      <c r="N1" s="230" t="s">
        <v>2447</v>
      </c>
      <c r="O1" s="230" t="s">
        <v>2457</v>
      </c>
      <c r="P1" s="234" t="s">
        <v>2460</v>
      </c>
      <c r="Q1" s="233" t="s">
        <v>80</v>
      </c>
      <c r="R1" s="233" t="s">
        <v>81</v>
      </c>
      <c r="S1" s="237" t="s">
        <v>82</v>
      </c>
      <c r="T1" s="234" t="s">
        <v>83</v>
      </c>
      <c r="U1" s="233" t="s">
        <v>84</v>
      </c>
      <c r="V1" s="233" t="s">
        <v>85</v>
      </c>
      <c r="W1" s="233" t="s">
        <v>86</v>
      </c>
      <c r="X1" s="233" t="s">
        <v>2412</v>
      </c>
      <c r="Y1" s="3" t="s">
        <v>87</v>
      </c>
      <c r="Z1" s="3" t="s">
        <v>73</v>
      </c>
      <c r="AA1" s="3" t="s">
        <v>88</v>
      </c>
      <c r="AB1" s="226" t="s">
        <v>89</v>
      </c>
      <c r="AC1" s="227"/>
      <c r="AD1" s="227"/>
      <c r="AE1" s="227"/>
      <c r="AF1" s="227"/>
      <c r="AG1" s="227"/>
      <c r="AH1" s="227"/>
      <c r="AI1" s="227"/>
      <c r="AJ1" s="228"/>
    </row>
    <row r="2" spans="1:37">
      <c r="C2" s="36">
        <v>1</v>
      </c>
      <c r="D2" s="4" t="s">
        <v>90</v>
      </c>
      <c r="E2" s="4" t="s">
        <v>91</v>
      </c>
      <c r="F2" s="4" t="s">
        <v>92</v>
      </c>
      <c r="G2" s="4" t="s">
        <v>93</v>
      </c>
      <c r="H2" s="4" t="s">
        <v>94</v>
      </c>
      <c r="I2" s="4" t="s">
        <v>95</v>
      </c>
      <c r="J2" s="4" t="s">
        <v>96</v>
      </c>
      <c r="K2" s="4" t="s">
        <v>97</v>
      </c>
      <c r="L2" s="4" t="s">
        <v>98</v>
      </c>
      <c r="M2" s="231"/>
      <c r="N2" s="231"/>
      <c r="O2" s="231"/>
      <c r="P2" s="235"/>
      <c r="Q2" s="231"/>
      <c r="R2" s="231"/>
      <c r="S2" s="231"/>
      <c r="T2" s="235"/>
      <c r="U2" s="231"/>
      <c r="V2" s="231"/>
      <c r="W2" s="231"/>
      <c r="X2" s="231"/>
      <c r="Y2" s="5"/>
      <c r="Z2" s="18" t="s">
        <v>99</v>
      </c>
      <c r="AA2" s="18"/>
      <c r="AB2" s="20" t="s">
        <v>54</v>
      </c>
      <c r="AC2" s="9" t="s">
        <v>55</v>
      </c>
      <c r="AD2" s="9" t="s">
        <v>56</v>
      </c>
      <c r="AE2" s="9" t="s">
        <v>57</v>
      </c>
      <c r="AF2" s="9" t="s">
        <v>58</v>
      </c>
      <c r="AG2" s="9" t="s">
        <v>59</v>
      </c>
      <c r="AH2" s="9" t="s">
        <v>60</v>
      </c>
      <c r="AI2" s="9" t="s">
        <v>61</v>
      </c>
      <c r="AJ2" s="9" t="s">
        <v>62</v>
      </c>
    </row>
    <row r="3" spans="1:37">
      <c r="C3" s="82"/>
      <c r="D3" s="85">
        <v>2.0000000000000002E-5</v>
      </c>
      <c r="E3" s="85">
        <v>6.0000000000000002E-5</v>
      </c>
      <c r="F3" s="85">
        <v>2.9999999999999997E-4</v>
      </c>
      <c r="G3" s="85">
        <v>8.0000000000000004E-4</v>
      </c>
      <c r="H3" s="85">
        <v>1.5E-3</v>
      </c>
      <c r="I3" s="85">
        <v>6.0000000000000001E-3</v>
      </c>
      <c r="J3" s="85">
        <v>2.1999999999999999E-2</v>
      </c>
      <c r="K3" s="85">
        <v>5.0999999999999997E-2</v>
      </c>
      <c r="L3" s="85">
        <v>9.2999999999999999E-2</v>
      </c>
      <c r="M3" s="232"/>
      <c r="N3" s="232"/>
      <c r="O3" s="232"/>
      <c r="P3" s="236"/>
      <c r="Q3" s="232"/>
      <c r="R3" s="232"/>
      <c r="S3" s="232"/>
      <c r="T3" s="236"/>
      <c r="U3" s="232"/>
      <c r="V3" s="232"/>
      <c r="W3" s="232"/>
      <c r="X3" s="232"/>
      <c r="Y3" s="7"/>
      <c r="Z3" s="7">
        <f>AVERAGE(Z4:Z12)</f>
        <v>0.20427763036223809</v>
      </c>
      <c r="AA3" s="19">
        <f>Z3/14</f>
        <v>1.4591259311588434E-2</v>
      </c>
      <c r="AB3" s="8"/>
      <c r="AC3" s="8"/>
      <c r="AD3" s="8"/>
      <c r="AE3" s="8"/>
      <c r="AF3" s="8"/>
      <c r="AG3" s="8"/>
      <c r="AH3" s="8"/>
      <c r="AI3" s="8"/>
      <c r="AJ3" s="8"/>
    </row>
    <row r="4" spans="1:37">
      <c r="A4" s="6">
        <v>1</v>
      </c>
      <c r="B4" s="16" t="s">
        <v>54</v>
      </c>
      <c r="C4" s="10">
        <f>SUMIF(Census!$C$2:$C$235,Census_SEIR_Province!$B4,Census!$CK$2:$CK$235)</f>
        <v>6870751.6833906518</v>
      </c>
      <c r="D4" s="11">
        <f ca="1">SUMIF(Census!$C$2:$C$235,Census_SEIR_Province!$B4,Census!CL$2:CL$235)/$C4</f>
        <v>0.22501918148224881</v>
      </c>
      <c r="E4" s="11">
        <f ca="1">SUMIF(Census!$C$2:$C$235,Census_SEIR_Province!$B4,Census!CM$2:CM$235)/$C4</f>
        <v>0.21563729443920149</v>
      </c>
      <c r="F4" s="11">
        <f ca="1">SUMIF(Census!$C$2:$C$235,Census_SEIR_Province!$B4,Census!CN$2:CN$235)/$C4</f>
        <v>0.16854061097165712</v>
      </c>
      <c r="G4" s="11">
        <f ca="1">SUMIF(Census!$C$2:$C$235,Census_SEIR_Province!$B4,Census!CO$2:CO$235)/$C4</f>
        <v>0.11523209730343219</v>
      </c>
      <c r="H4" s="11">
        <f ca="1">SUMIF(Census!$C$2:$C$235,Census_SEIR_Province!$B4,Census!CP$2:CP$235)/$C4</f>
        <v>9.0144946112921592E-2</v>
      </c>
      <c r="I4" s="11">
        <f ca="1">SUMIF(Census!$C$2:$C$235,Census_SEIR_Province!$B4,Census!CQ$2:CQ$235)/$C4</f>
        <v>8.1474861361265818E-2</v>
      </c>
      <c r="J4" s="11">
        <f ca="1">SUMIF(Census!$C$2:$C$235,Census_SEIR_Province!$B4,Census!CR$2:CR$235)/$C4</f>
        <v>5.1147525910842463E-2</v>
      </c>
      <c r="K4" s="11">
        <f ca="1">SUMIF(Census!$C$2:$C$235,Census_SEIR_Province!$B4,Census!CS$2:CS$235)/$C4</f>
        <v>3.1466992889950446E-2</v>
      </c>
      <c r="L4" s="11">
        <f ca="1">SUMIF(Census!$C$2:$C$235,Census_SEIR_Province!$B4,Census!CT$2:CT$235)/$C4</f>
        <v>1.3665215557348943E-2</v>
      </c>
      <c r="M4" s="72">
        <f ca="1">N4/O4</f>
        <v>3.9546944826666739E-3</v>
      </c>
      <c r="N4" s="72">
        <f ca="1">SUMPRODUCT($D$3:$L$3,D4:L4)/O4</f>
        <v>4.3501639309333415E-3</v>
      </c>
      <c r="O4" s="89">
        <v>1.1000000000000001</v>
      </c>
      <c r="P4" s="223">
        <v>1.5</v>
      </c>
      <c r="Q4" s="116">
        <f ca="1">(T4/M4-X4)/(T4/M4)</f>
        <v>0.95040108609342389</v>
      </c>
      <c r="R4" s="115">
        <f ca="1">Assumptions!D3</f>
        <v>9685</v>
      </c>
      <c r="S4" s="87">
        <f ca="1">(R4/X4)*(T4/M4-X4)</f>
        <v>185581.37253070774</v>
      </c>
      <c r="T4" s="222">
        <f ca="1">Assumptions!F3*P4*$T$13</f>
        <v>1633.5</v>
      </c>
      <c r="U4" s="13">
        <f ca="1">(S4+R4)*1/4</f>
        <v>48816.593132676935</v>
      </c>
      <c r="V4" s="13">
        <f ca="1">Assumptions!E3</f>
        <v>10439</v>
      </c>
      <c r="W4" s="13">
        <f ca="1">IF(R4="","",C4-T4-R4-S4-U4-V4)</f>
        <v>6614596.2177272672</v>
      </c>
      <c r="X4" s="13">
        <f ca="1">Assumptions!C3</f>
        <v>20487</v>
      </c>
      <c r="Y4" s="14">
        <f>SUMIF(Census!$C$2:$C$235,Census_SEIR_Province!$B4,Census!$CV$2:$CV$235)</f>
        <v>2616.4293157415323</v>
      </c>
      <c r="Z4" s="86">
        <f>IF(Z$2="Actuals",VLOOKUP($B4,R0_estimation!$K$5:$L$14,2,FALSE),IF(C4="","",AA4*14))</f>
        <v>-0.14233324113941079</v>
      </c>
      <c r="AA4" s="17">
        <f t="shared" ref="AA4:AA12" si="0">IF(C4="","",IF($Z$2="Actuals",Z4/14,$AA$3+0.1*(Y4-AVERAGE($Y$4:$Y$12))/SUM($Y$4:$Y$12)))</f>
        <v>-1.0166660081386485E-2</v>
      </c>
      <c r="AB4" s="22">
        <v>1.1900147003228769</v>
      </c>
      <c r="AC4" s="22">
        <v>2.1310412216105279E-3</v>
      </c>
      <c r="AD4" s="22">
        <v>1.16627592733917E-2</v>
      </c>
      <c r="AE4" s="22">
        <v>6.9567987430245908E-3</v>
      </c>
      <c r="AF4" s="22">
        <v>3.7897159679937801E-4</v>
      </c>
      <c r="AG4" s="22">
        <v>9.259196071533689E-4</v>
      </c>
      <c r="AH4" s="22">
        <v>9.6440128993984246E-4</v>
      </c>
      <c r="AI4" s="22">
        <v>4.2535216062161338E-4</v>
      </c>
      <c r="AJ4" s="22">
        <v>6.9976080863149194E-3</v>
      </c>
      <c r="AK4" s="26"/>
    </row>
    <row r="5" spans="1:37">
      <c r="A5" s="6">
        <f>IF(C5="","",MAX(A$4:A4)+1)</f>
        <v>2</v>
      </c>
      <c r="B5" s="16" t="s">
        <v>55</v>
      </c>
      <c r="C5" s="10">
        <f>SUMIF(Census!$C$2:$C$235,Census_SEIR_Province!$B5,Census!$CK$2:$CK$235)</f>
        <v>2808924.1293476075</v>
      </c>
      <c r="D5" s="11">
        <f ca="1">SUMIF(Census!$C$2:$C$235,Census_SEIR_Province!$B5,Census!CL$2:CL$235)/$C5</f>
        <v>0.20187358062755914</v>
      </c>
      <c r="E5" s="11">
        <f ca="1">SUMIF(Census!$C$2:$C$235,Census_SEIR_Province!$B5,Census!CM$2:CM$235)/$C5</f>
        <v>0.18227398322933244</v>
      </c>
      <c r="F5" s="11">
        <f ca="1">SUMIF(Census!$C$2:$C$235,Census_SEIR_Province!$B5,Census!CN$2:CN$235)/$C5</f>
        <v>0.19604798644856888</v>
      </c>
      <c r="G5" s="11">
        <f ca="1">SUMIF(Census!$C$2:$C$235,Census_SEIR_Province!$B5,Census!CO$2:CO$235)/$C5</f>
        <v>0.14111115952913553</v>
      </c>
      <c r="H5" s="11">
        <f ca="1">SUMIF(Census!$C$2:$C$235,Census_SEIR_Province!$B5,Census!CP$2:CP$235)/$C5</f>
        <v>0.10849011483773809</v>
      </c>
      <c r="I5" s="11">
        <f ca="1">SUMIF(Census!$C$2:$C$235,Census_SEIR_Province!$B5,Census!CQ$2:CQ$235)/$C5</f>
        <v>8.2620386945361557E-2</v>
      </c>
      <c r="J5" s="11">
        <f ca="1">SUMIF(Census!$C$2:$C$235,Census_SEIR_Province!$B5,Census!CR$2:CR$235)/$C5</f>
        <v>4.7806465418407718E-2</v>
      </c>
      <c r="K5" s="11">
        <f ca="1">SUMIF(Census!$C$2:$C$235,Census_SEIR_Province!$B5,Census!CS$2:CS$235)/$C5</f>
        <v>2.4421642444429542E-2</v>
      </c>
      <c r="L5" s="11">
        <f ca="1">SUMIF(Census!$C$2:$C$235,Census_SEIR_Province!$B5,Census!CT$2:CT$235)/$C5</f>
        <v>1.0651702749824203E-2</v>
      </c>
      <c r="M5" s="72">
        <f t="shared" ref="M5:M12" ca="1" si="1">N5/O5</f>
        <v>2.6451130161263955E-3</v>
      </c>
      <c r="N5" s="72">
        <f t="shared" ref="N5:N11" ca="1" si="2">SUMPRODUCT($D$3:$L$3,D5:L5)/O5</f>
        <v>3.3063912701579946E-3</v>
      </c>
      <c r="O5" s="89">
        <v>1.25</v>
      </c>
      <c r="P5" s="223">
        <v>1.5</v>
      </c>
      <c r="Q5" s="116">
        <f t="shared" ref="Q5:Q12" ca="1" si="3">(T5/M5-X5)/(T5/M5)</f>
        <v>0.93625604188297873</v>
      </c>
      <c r="R5" s="115">
        <f ca="1">Assumptions!D4</f>
        <v>649</v>
      </c>
      <c r="S5" s="87">
        <f t="shared" ref="S5:S12" ca="1" si="4">(R5/X5)*(T5/M5-X5)</f>
        <v>9532.3570912644682</v>
      </c>
      <c r="T5" s="222">
        <f ca="1">Assumptions!F4*P5*$T$13</f>
        <v>40.5</v>
      </c>
      <c r="U5" s="13">
        <f t="shared" ref="U5:U12" ca="1" si="5">(S5+R5)*1/4</f>
        <v>2545.339272816117</v>
      </c>
      <c r="V5" s="13">
        <f ca="1">Assumptions!E4</f>
        <v>318</v>
      </c>
      <c r="W5" s="13">
        <f t="shared" ref="W5:W12" ca="1" si="6">IF(R5="","",C5-T5-R5-S5-U5-V5)</f>
        <v>2795838.932983527</v>
      </c>
      <c r="X5" s="13">
        <f ca="1">Assumptions!C4</f>
        <v>976</v>
      </c>
      <c r="Y5" s="14">
        <f>SUMIF(Census!$C$2:$C$235,Census_SEIR_Province!$B5,Census!$CV$2:$CV$235)</f>
        <v>568.98930807192835</v>
      </c>
      <c r="Z5" s="86">
        <f>IF(Z$2="Actuals",VLOOKUP($B5,R0_estimation!$K$5:$L$14,2,FALSE),IF(C5="","",AA5*14))</f>
        <v>0.24361083801578898</v>
      </c>
      <c r="AA5" s="17">
        <f t="shared" si="0"/>
        <v>1.7400774143984925E-2</v>
      </c>
      <c r="AB5" s="22">
        <v>3.7060379367839769E-3</v>
      </c>
      <c r="AC5" s="22">
        <v>1.167527648688155</v>
      </c>
      <c r="AD5" s="22">
        <v>4.4209198102956787E-2</v>
      </c>
      <c r="AE5" s="22">
        <v>4.0131594462745361E-3</v>
      </c>
      <c r="AF5" s="22">
        <v>1.071419780387452E-3</v>
      </c>
      <c r="AG5" s="22">
        <v>2.398975547051535E-3</v>
      </c>
      <c r="AH5" s="22">
        <v>5.3409928629830463E-3</v>
      </c>
      <c r="AI5" s="22">
        <v>3.0345263915139901E-3</v>
      </c>
      <c r="AJ5" s="22">
        <v>5.6928397722728358E-3</v>
      </c>
      <c r="AK5" s="26"/>
    </row>
    <row r="6" spans="1:37">
      <c r="A6" s="6">
        <f>IF(C6="","",MAX(A$4:A5)+1)</f>
        <v>3</v>
      </c>
      <c r="B6" s="16" t="s">
        <v>56</v>
      </c>
      <c r="C6" s="10">
        <f>SUMIF(Census!$C$2:$C$235,Census_SEIR_Province!$B6,Census!$CK$2:$CK$235)</f>
        <v>15638791.17154902</v>
      </c>
      <c r="D6" s="11">
        <f ca="1">SUMIF(Census!$C$2:$C$235,Census_SEIR_Province!$B6,Census!CL$2:CL$235)/$C6</f>
        <v>0.1704709054751786</v>
      </c>
      <c r="E6" s="11">
        <f ca="1">SUMIF(Census!$C$2:$C$235,Census_SEIR_Province!$B6,Census!CM$2:CM$235)/$C6</f>
        <v>0.14094954177891736</v>
      </c>
      <c r="F6" s="11">
        <f ca="1">SUMIF(Census!$C$2:$C$235,Census_SEIR_Province!$B6,Census!CN$2:CN$235)/$C6</f>
        <v>0.23306823866742887</v>
      </c>
      <c r="G6" s="11">
        <f ca="1">SUMIF(Census!$C$2:$C$235,Census_SEIR_Province!$B6,Census!CO$2:CO$235)/$C6</f>
        <v>0.18277297479419155</v>
      </c>
      <c r="H6" s="11">
        <f ca="1">SUMIF(Census!$C$2:$C$235,Census_SEIR_Province!$B6,Census!CP$2:CP$235)/$C6</f>
        <v>0.12155192438319423</v>
      </c>
      <c r="I6" s="11">
        <f ca="1">SUMIF(Census!$C$2:$C$235,Census_SEIR_Province!$B6,Census!CQ$2:CQ$235)/$C6</f>
        <v>8.1457319915421017E-2</v>
      </c>
      <c r="J6" s="11">
        <f ca="1">SUMIF(Census!$C$2:$C$235,Census_SEIR_Province!$B6,Census!CR$2:CR$235)/$C6</f>
        <v>4.1642416083358474E-2</v>
      </c>
      <c r="K6" s="11">
        <f ca="1">SUMIF(Census!$C$2:$C$235,Census_SEIR_Province!$B6,Census!CS$2:CS$235)/$C6</f>
        <v>1.8562241305193215E-2</v>
      </c>
      <c r="L6" s="11">
        <f ca="1">SUMIF(Census!$C$2:$C$235,Census_SEIR_Province!$B6,Census!CT$2:CT$235)/$C6</f>
        <v>8.1943450346239569E-3</v>
      </c>
      <c r="M6" s="72">
        <f ca="1">N6/O6</f>
        <v>2.9123624766428974E-3</v>
      </c>
      <c r="N6" s="72">
        <f ca="1">SUMPRODUCT($D$3:$L$3,D6:L6)/O6</f>
        <v>3.2035987243071874E-3</v>
      </c>
      <c r="O6" s="89">
        <v>1.1000000000000001</v>
      </c>
      <c r="P6" s="223">
        <v>1.5</v>
      </c>
      <c r="Q6" s="116">
        <f t="shared" ca="1" si="3"/>
        <v>0.87513978858526964</v>
      </c>
      <c r="R6" s="115">
        <f ca="1">Assumptions!D5</f>
        <v>22741</v>
      </c>
      <c r="S6" s="87">
        <f t="shared" ca="1" si="4"/>
        <v>159390.67943841181</v>
      </c>
      <c r="T6" s="222">
        <f ca="1">Assumptions!F5*P6*$T$13</f>
        <v>670.5</v>
      </c>
      <c r="U6" s="13">
        <f t="shared" ca="1" si="5"/>
        <v>45532.919859602953</v>
      </c>
      <c r="V6" s="13">
        <f ca="1">Assumptions!E5</f>
        <v>5856</v>
      </c>
      <c r="W6" s="13">
        <f t="shared" ca="1" si="6"/>
        <v>15404600.072251005</v>
      </c>
      <c r="X6" s="13">
        <f ca="1">Assumptions!C5</f>
        <v>28746</v>
      </c>
      <c r="Y6" s="14">
        <f>SUMIF(Census!$C$2:$C$235,Census_SEIR_Province!$B6,Census!$CV$2:$CV$235)</f>
        <v>8140.6700270327547</v>
      </c>
      <c r="Z6" s="86">
        <f>IF(Z$2="Actuals",VLOOKUP($B6,R0_estimation!$K$5:$L$14,2,FALSE),IF(C6="","",AA6*14))</f>
        <v>7.8723256669998659E-2</v>
      </c>
      <c r="AA6" s="17">
        <f t="shared" si="0"/>
        <v>5.6230897621427616E-3</v>
      </c>
      <c r="AB6" s="22">
        <v>2.805398811217556E-3</v>
      </c>
      <c r="AC6" s="22">
        <v>5.6711711449477318E-3</v>
      </c>
      <c r="AD6" s="22">
        <v>1.291161370320651</v>
      </c>
      <c r="AE6" s="22">
        <v>4.8155870390239061E-3</v>
      </c>
      <c r="AF6" s="22">
        <v>4.7346822089827838E-3</v>
      </c>
      <c r="AG6" s="22">
        <v>4.29494873660583E-3</v>
      </c>
      <c r="AH6" s="22">
        <v>5.3434516251914151E-3</v>
      </c>
      <c r="AI6" s="22">
        <v>2.9512308355958108E-4</v>
      </c>
      <c r="AJ6" s="22">
        <v>2.749195721243527E-3</v>
      </c>
      <c r="AK6" s="26"/>
    </row>
    <row r="7" spans="1:37">
      <c r="A7" s="6">
        <f>IF(C7="","",MAX(A$4:A6)+1)</f>
        <v>4</v>
      </c>
      <c r="B7" s="16" t="s">
        <v>57</v>
      </c>
      <c r="C7" s="10">
        <f>SUMIF(Census!$C$2:$C$235,Census_SEIR_Province!$B7,Census!$CK$2:$CK$235)</f>
        <v>11000348.151987236</v>
      </c>
      <c r="D7" s="11">
        <f ca="1">SUMIF(Census!$C$2:$C$235,Census_SEIR_Province!$B7,Census!CL$2:CL$235)/$C7</f>
        <v>0.21605372860684607</v>
      </c>
      <c r="E7" s="11">
        <f ca="1">SUMIF(Census!$C$2:$C$235,Census_SEIR_Province!$B7,Census!CM$2:CM$235)/$C7</f>
        <v>0.20835873912842534</v>
      </c>
      <c r="F7" s="11">
        <f ca="1">SUMIF(Census!$C$2:$C$235,Census_SEIR_Province!$B7,Census!CN$2:CN$235)/$C7</f>
        <v>0.20425839024769535</v>
      </c>
      <c r="G7" s="11">
        <f ca="1">SUMIF(Census!$C$2:$C$235,Census_SEIR_Province!$B7,Census!CO$2:CO$235)/$C7</f>
        <v>0.13209786000922646</v>
      </c>
      <c r="H7" s="11">
        <f ca="1">SUMIF(Census!$C$2:$C$235,Census_SEIR_Province!$B7,Census!CP$2:CP$235)/$C7</f>
        <v>8.7143495650832375E-2</v>
      </c>
      <c r="I7" s="11">
        <f ca="1">SUMIF(Census!$C$2:$C$235,Census_SEIR_Province!$B7,Census!CQ$2:CQ$235)/$C7</f>
        <v>6.9232683456514732E-2</v>
      </c>
      <c r="J7" s="11">
        <f ca="1">SUMIF(Census!$C$2:$C$235,Census_SEIR_Province!$B7,Census!CR$2:CR$235)/$C7</f>
        <v>4.3732552040131281E-2</v>
      </c>
      <c r="K7" s="11">
        <f ca="1">SUMIF(Census!$C$2:$C$235,Census_SEIR_Province!$B7,Census!CS$2:CS$235)/$C7</f>
        <v>2.1668293423500795E-2</v>
      </c>
      <c r="L7" s="11">
        <f ca="1">SUMIF(Census!$C$2:$C$235,Census_SEIR_Province!$B7,Census!CT$2:CT$235)/$C7</f>
        <v>1.0199709504081715E-2</v>
      </c>
      <c r="M7" s="72">
        <f t="shared" ca="1" si="1"/>
        <v>3.0955882988247074E-3</v>
      </c>
      <c r="N7" s="72">
        <f t="shared" ca="1" si="2"/>
        <v>3.4051471287071785E-3</v>
      </c>
      <c r="O7" s="89">
        <v>1.1000000000000001</v>
      </c>
      <c r="P7" s="223">
        <v>1.5</v>
      </c>
      <c r="Q7" s="116">
        <f t="shared" ca="1" si="3"/>
        <v>0.95723285767451816</v>
      </c>
      <c r="R7" s="115">
        <f ca="1">Assumptions!D6</f>
        <v>3537</v>
      </c>
      <c r="S7" s="87">
        <f t="shared" ca="1" si="4"/>
        <v>79166.678751352083</v>
      </c>
      <c r="T7" s="222">
        <f ca="1">Assumptions!F6*P7*$T$13</f>
        <v>477</v>
      </c>
      <c r="U7" s="13">
        <f t="shared" ca="1" si="5"/>
        <v>20675.919687838021</v>
      </c>
      <c r="V7" s="13">
        <f ca="1">Assumptions!E6</f>
        <v>2947</v>
      </c>
      <c r="W7" s="13">
        <f t="shared" ca="1" si="6"/>
        <v>10893544.553548047</v>
      </c>
      <c r="X7" s="13">
        <f ca="1">Assumptions!C6</f>
        <v>6590</v>
      </c>
      <c r="Y7" s="14">
        <f>SUMIF(Census!$C$2:$C$235,Census_SEIR_Province!$B7,Census!$CV$2:$CV$235)</f>
        <v>7530.6861972480419</v>
      </c>
      <c r="Z7" s="86">
        <f>IF(Z$2="Actuals",VLOOKUP($B7,R0_estimation!$K$5:$L$14,2,FALSE),IF(C7="","",AA7*14))</f>
        <v>0.10057482572509002</v>
      </c>
      <c r="AA7" s="17">
        <f t="shared" si="0"/>
        <v>7.183916123220716E-3</v>
      </c>
      <c r="AB7" s="22">
        <v>3.5521497705521391E-3</v>
      </c>
      <c r="AC7" s="22">
        <v>1.0305115440354181E-3</v>
      </c>
      <c r="AD7" s="22">
        <v>1.219829017424621E-2</v>
      </c>
      <c r="AE7" s="22">
        <v>1.2773400807162369</v>
      </c>
      <c r="AF7" s="22">
        <v>5.5486496117506257E-4</v>
      </c>
      <c r="AG7" s="22">
        <v>3.4241101027898619E-3</v>
      </c>
      <c r="AH7" s="22">
        <v>2.0460085341650462E-3</v>
      </c>
      <c r="AI7" s="22">
        <v>9.3377906930335787E-5</v>
      </c>
      <c r="AJ7" s="22">
        <v>4.3559444886253152E-3</v>
      </c>
      <c r="AK7" s="26"/>
    </row>
    <row r="8" spans="1:37">
      <c r="A8" s="6">
        <f>IF(C8="","",MAX(A$4:A7)+1)</f>
        <v>5</v>
      </c>
      <c r="B8" s="16" t="s">
        <v>58</v>
      </c>
      <c r="C8" s="10">
        <f>SUMIF(Census!$C$2:$C$235,Census_SEIR_Province!$B8,Census!$CK$2:$CK$235)</f>
        <v>5853825.0671569509</v>
      </c>
      <c r="D8" s="11">
        <f ca="1">SUMIF(Census!$C$2:$C$235,Census_SEIR_Province!$B8,Census!CL$2:CL$235)/$C8</f>
        <v>0.23286398256724777</v>
      </c>
      <c r="E8" s="11">
        <f ca="1">SUMIF(Census!$C$2:$C$235,Census_SEIR_Province!$B8,Census!CM$2:CM$235)/$C8</f>
        <v>0.2200036829863542</v>
      </c>
      <c r="F8" s="11">
        <f ca="1">SUMIF(Census!$C$2:$C$235,Census_SEIR_Province!$B8,Census!CN$2:CN$235)/$C8</f>
        <v>0.1850842147252573</v>
      </c>
      <c r="G8" s="11">
        <f ca="1">SUMIF(Census!$C$2:$C$235,Census_SEIR_Province!$B8,Census!CO$2:CO$235)/$C8</f>
        <v>0.12089743800038973</v>
      </c>
      <c r="H8" s="11">
        <f ca="1">SUMIF(Census!$C$2:$C$235,Census_SEIR_Province!$B8,Census!CP$2:CP$235)/$C8</f>
        <v>8.3485975270146381E-2</v>
      </c>
      <c r="I8" s="11">
        <f ca="1">SUMIF(Census!$C$2:$C$235,Census_SEIR_Province!$B8,Census!CQ$2:CQ$235)/$C8</f>
        <v>6.4790166820790682E-2</v>
      </c>
      <c r="J8" s="11">
        <f ca="1">SUMIF(Census!$C$2:$C$235,Census_SEIR_Province!$B8,Census!CR$2:CR$235)/$C8</f>
        <v>4.2175159178955611E-2</v>
      </c>
      <c r="K8" s="11">
        <f ca="1">SUMIF(Census!$C$2:$C$235,Census_SEIR_Province!$B8,Census!CS$2:CS$235)/$C8</f>
        <v>2.6654198100591435E-2</v>
      </c>
      <c r="L8" s="11">
        <f ca="1">SUMIF(Census!$C$2:$C$235,Census_SEIR_Province!$B8,Census!CT$2:CT$235)/$C8</f>
        <v>1.6318121035331899E-2</v>
      </c>
      <c r="M8" s="72">
        <f t="shared" ca="1" si="1"/>
        <v>2.8728790660041163E-3</v>
      </c>
      <c r="N8" s="72">
        <f t="shared" ca="1" si="2"/>
        <v>3.5910988325051456E-3</v>
      </c>
      <c r="O8" s="89">
        <v>1.25</v>
      </c>
      <c r="P8" s="223">
        <v>1.5</v>
      </c>
      <c r="Q8" s="116">
        <f t="shared" ca="1" si="3"/>
        <v>0.90679103474742195</v>
      </c>
      <c r="R8" s="115">
        <f ca="1">Assumptions!D7</f>
        <v>396</v>
      </c>
      <c r="S8" s="87">
        <f t="shared" ca="1" si="4"/>
        <v>3852.5183579381846</v>
      </c>
      <c r="T8" s="222">
        <f ca="1">Assumptions!F7*P8*$T$13</f>
        <v>22.5</v>
      </c>
      <c r="U8" s="13">
        <f t="shared" ca="1" si="5"/>
        <v>1062.1295894845462</v>
      </c>
      <c r="V8" s="13">
        <f ca="1">Assumptions!E7</f>
        <v>329</v>
      </c>
      <c r="W8" s="13">
        <f t="shared" ca="1" si="6"/>
        <v>5848162.9192095278</v>
      </c>
      <c r="X8" s="13">
        <f ca="1">Assumptions!C7</f>
        <v>730</v>
      </c>
      <c r="Y8" s="14">
        <f>SUMIF(Census!$C$2:$C$235,Census_SEIR_Province!$B8,Census!$CV$2:$CV$235)</f>
        <v>1509.3953577631839</v>
      </c>
      <c r="Z8" s="86">
        <f>IF(Z$2="Actuals",VLOOKUP($B8,R0_estimation!$K$5:$L$14,2,FALSE),IF(C8="","",AA8*14))</f>
        <v>0.27204729164491237</v>
      </c>
      <c r="AA8" s="17">
        <f t="shared" si="0"/>
        <v>1.9431949403208026E-2</v>
      </c>
      <c r="AB8" s="22">
        <v>7.2689186034851966E-4</v>
      </c>
      <c r="AC8" s="22">
        <v>9.7661070423710238E-4</v>
      </c>
      <c r="AD8" s="22">
        <v>2.3896281516370799E-2</v>
      </c>
      <c r="AE8" s="22">
        <v>1.2130164314160989E-3</v>
      </c>
      <c r="AF8" s="22">
        <v>1.2286548639584709</v>
      </c>
      <c r="AG8" s="22">
        <v>8.3787920529010979E-3</v>
      </c>
      <c r="AH8" s="22">
        <v>3.8264064942863979E-3</v>
      </c>
      <c r="AI8" s="22">
        <v>3.3640902791374979E-4</v>
      </c>
      <c r="AJ8" s="22">
        <v>1.453254823083438E-3</v>
      </c>
      <c r="AK8" s="26"/>
    </row>
    <row r="9" spans="1:37">
      <c r="A9" s="6">
        <f>IF(C9="","",MAX(A$4:A8)+1)</f>
        <v>6</v>
      </c>
      <c r="B9" s="16" t="s">
        <v>59</v>
      </c>
      <c r="C9" s="10">
        <f>SUMIF(Census!$C$2:$C$235,Census_SEIR_Province!$B9,Census!$CK$2:$CK$235)</f>
        <v>4809186.3864003606</v>
      </c>
      <c r="D9" s="11">
        <f ca="1">SUMIF(Census!$C$2:$C$235,Census_SEIR_Province!$B9,Census!CL$2:CL$235)/$C9</f>
        <v>0.21175160426714512</v>
      </c>
      <c r="E9" s="11">
        <f ca="1">SUMIF(Census!$C$2:$C$235,Census_SEIR_Province!$B9,Census!CM$2:CM$235)/$C9</f>
        <v>0.20012976877956873</v>
      </c>
      <c r="F9" s="11">
        <f ca="1">SUMIF(Census!$C$2:$C$235,Census_SEIR_Province!$B9,Census!CN$2:CN$235)/$C9</f>
        <v>0.20483185681410973</v>
      </c>
      <c r="G9" s="11">
        <f ca="1">SUMIF(Census!$C$2:$C$235,Census_SEIR_Province!$B9,Census!CO$2:CO$235)/$C9</f>
        <v>0.13907313394991491</v>
      </c>
      <c r="H9" s="11">
        <f ca="1">SUMIF(Census!$C$2:$C$235,Census_SEIR_Province!$B9,Census!CP$2:CP$235)/$C9</f>
        <v>9.9380138383279457E-2</v>
      </c>
      <c r="I9" s="11">
        <f ca="1">SUMIF(Census!$C$2:$C$235,Census_SEIR_Province!$B9,Census!CQ$2:CQ$235)/$C9</f>
        <v>7.1670618477497269E-2</v>
      </c>
      <c r="J9" s="11">
        <f ca="1">SUMIF(Census!$C$2:$C$235,Census_SEIR_Province!$B9,Census!CR$2:CR$235)/$C9</f>
        <v>3.9069920930581682E-2</v>
      </c>
      <c r="K9" s="11">
        <f ca="1">SUMIF(Census!$C$2:$C$235,Census_SEIR_Province!$B9,Census!CS$2:CS$235)/$C9</f>
        <v>1.9890223891961586E-2</v>
      </c>
      <c r="L9" s="11">
        <f ca="1">SUMIF(Census!$C$2:$C$235,Census_SEIR_Province!$B9,Census!CT$2:CT$235)/$C9</f>
        <v>1.0417859050976395E-2</v>
      </c>
      <c r="M9" s="72">
        <f t="shared" ca="1" si="1"/>
        <v>2.3109410377982892E-3</v>
      </c>
      <c r="N9" s="72">
        <f t="shared" ca="1" si="2"/>
        <v>2.8886762972478615E-3</v>
      </c>
      <c r="O9" s="89">
        <v>1.25</v>
      </c>
      <c r="P9" s="223">
        <v>1.5</v>
      </c>
      <c r="Q9" s="116">
        <f t="shared" ca="1" si="3"/>
        <v>0.79894812971154883</v>
      </c>
      <c r="R9" s="115">
        <f ca="1">Assumptions!D8</f>
        <v>574</v>
      </c>
      <c r="S9" s="87">
        <f t="shared" ca="1" si="4"/>
        <v>2280.9846324556761</v>
      </c>
      <c r="T9" s="222">
        <f ca="1">Assumptions!F8*P9*$T$13</f>
        <v>9</v>
      </c>
      <c r="U9" s="13">
        <f t="shared" ca="1" si="5"/>
        <v>713.74615811391902</v>
      </c>
      <c r="V9" s="13">
        <f ca="1">Assumptions!E8</f>
        <v>207</v>
      </c>
      <c r="W9" s="13">
        <f t="shared" ca="1" si="6"/>
        <v>4805401.6556097912</v>
      </c>
      <c r="X9" s="13">
        <f ca="1">Assumptions!C8</f>
        <v>783</v>
      </c>
      <c r="Y9" s="14">
        <f>SUMIF(Census!$C$2:$C$235,Census_SEIR_Province!$B9,Census!$CV$2:$CV$235)</f>
        <v>1341.607843688188</v>
      </c>
      <c r="Z9" s="86">
        <f>IF(Z$2="Actuals",VLOOKUP($B9,R0_estimation!$K$5:$L$14,2,FALSE),IF(C9="","",AA9*14))</f>
        <v>7.3776335914324878E-2</v>
      </c>
      <c r="AA9" s="17">
        <f t="shared" si="0"/>
        <v>5.2697382795946343E-3</v>
      </c>
      <c r="AB9" s="22">
        <v>1.5647303424400039E-3</v>
      </c>
      <c r="AC9" s="22">
        <v>2.4393553474934301E-3</v>
      </c>
      <c r="AD9" s="22">
        <v>2.758976729074963E-2</v>
      </c>
      <c r="AE9" s="22">
        <v>8.9854046925801744E-3</v>
      </c>
      <c r="AF9" s="22">
        <v>9.2202558777964311E-3</v>
      </c>
      <c r="AG9" s="22">
        <v>1.2884354402141911</v>
      </c>
      <c r="AH9" s="22">
        <v>1.4146541525465761E-3</v>
      </c>
      <c r="AI9" s="22">
        <v>2.0461879272865699E-4</v>
      </c>
      <c r="AJ9" s="22">
        <v>5.9827916320159174E-4</v>
      </c>
      <c r="AK9" s="26"/>
    </row>
    <row r="10" spans="1:37">
      <c r="A10" s="6">
        <f>IF(C10="","",MAX(A$4:A9)+1)</f>
        <v>7</v>
      </c>
      <c r="B10" s="16" t="s">
        <v>60</v>
      </c>
      <c r="C10" s="10">
        <f>SUMIF(Census!$C$2:$C$235,Census_SEIR_Province!$B10,Census!$CK$2:$CK$235)</f>
        <v>4107627.6697600405</v>
      </c>
      <c r="D10" s="11">
        <f ca="1">SUMIF(Census!$C$2:$C$235,Census_SEIR_Province!$B10,Census!CL$2:CL$235)/$C10</f>
        <v>0.20762644838036037</v>
      </c>
      <c r="E10" s="11">
        <f ca="1">SUMIF(Census!$C$2:$C$235,Census_SEIR_Province!$B10,Census!CM$2:CM$235)/$C10</f>
        <v>0.17448190566057162</v>
      </c>
      <c r="F10" s="11">
        <f ca="1">SUMIF(Census!$C$2:$C$235,Census_SEIR_Province!$B10,Census!CN$2:CN$235)/$C10</f>
        <v>0.19400320242387381</v>
      </c>
      <c r="G10" s="11">
        <f ca="1">SUMIF(Census!$C$2:$C$235,Census_SEIR_Province!$B10,Census!CO$2:CO$235)/$C10</f>
        <v>0.1474265075908025</v>
      </c>
      <c r="H10" s="11">
        <f ca="1">SUMIF(Census!$C$2:$C$235,Census_SEIR_Province!$B10,Census!CP$2:CP$235)/$C10</f>
        <v>0.11459191969519157</v>
      </c>
      <c r="I10" s="11">
        <f ca="1">SUMIF(Census!$C$2:$C$235,Census_SEIR_Province!$B10,Census!CQ$2:CQ$235)/$C10</f>
        <v>8.2338288943947138E-2</v>
      </c>
      <c r="J10" s="11">
        <f ca="1">SUMIF(Census!$C$2:$C$235,Census_SEIR_Province!$B10,Census!CR$2:CR$235)/$C10</f>
        <v>4.6465171299408858E-2</v>
      </c>
      <c r="K10" s="11">
        <f ca="1">SUMIF(Census!$C$2:$C$235,Census_SEIR_Province!$B10,Census!CS$2:CS$235)/$C10</f>
        <v>2.39837890332333E-2</v>
      </c>
      <c r="L10" s="11">
        <f ca="1">SUMIF(Census!$C$2:$C$235,Census_SEIR_Province!$B10,Census!CT$2:CT$235)/$C10</f>
        <v>1.0817509623149535E-2</v>
      </c>
      <c r="M10" s="72">
        <f t="shared" ca="1" si="1"/>
        <v>2.6291946416309221E-3</v>
      </c>
      <c r="N10" s="72">
        <f t="shared" ca="1" si="2"/>
        <v>3.2864933020386525E-3</v>
      </c>
      <c r="O10" s="89">
        <v>1.25</v>
      </c>
      <c r="P10" s="223">
        <v>2</v>
      </c>
      <c r="Q10" s="116">
        <f ca="1">(T10/M10-X10)/(T10/M10)</f>
        <v>0.74014792958547715</v>
      </c>
      <c r="R10" s="115">
        <f ca="1">Assumptions!D9</f>
        <v>2669</v>
      </c>
      <c r="S10" s="87">
        <f t="shared" ca="1" si="4"/>
        <v>7602.22853299703</v>
      </c>
      <c r="T10" s="222">
        <f ca="1">Assumptions!F9*P10*$T$13</f>
        <v>30</v>
      </c>
      <c r="U10" s="13">
        <f t="shared" ca="1" si="5"/>
        <v>2567.8071332492573</v>
      </c>
      <c r="V10" s="13">
        <f ca="1">Assumptions!E9</f>
        <v>291</v>
      </c>
      <c r="W10" s="13">
        <f t="shared" ca="1" si="6"/>
        <v>4094467.634093794</v>
      </c>
      <c r="X10" s="13">
        <f ca="1">Assumptions!C9</f>
        <v>2965</v>
      </c>
      <c r="Y10" s="14">
        <f>SUMIF(Census!$C$2:$C$235,Census_SEIR_Province!$B10,Census!$CV$2:$CV$235)</f>
        <v>1089.7346663032176</v>
      </c>
      <c r="Z10" s="86">
        <f>IF(Z$2="Actuals",VLOOKUP($B10,R0_estimation!$K$5:$L$14,2,FALSE),IF(C10="","",AA10*14))</f>
        <v>0.30187606914172788</v>
      </c>
      <c r="AA10" s="17">
        <f t="shared" si="0"/>
        <v>2.1562576367266276E-2</v>
      </c>
      <c r="AB10" s="22">
        <v>2.028944652463751E-3</v>
      </c>
      <c r="AC10" s="22">
        <v>5.5877762151864633E-3</v>
      </c>
      <c r="AD10" s="22">
        <v>4.1455745298391862E-2</v>
      </c>
      <c r="AE10" s="22">
        <v>7.815209758031634E-3</v>
      </c>
      <c r="AF10" s="22">
        <v>4.7156575872520836E-3</v>
      </c>
      <c r="AG10" s="22">
        <v>1.9083479534858191E-3</v>
      </c>
      <c r="AH10" s="22">
        <v>1.244963239411274</v>
      </c>
      <c r="AI10" s="22">
        <v>3.6198180156147429E-3</v>
      </c>
      <c r="AJ10" s="22">
        <v>1.723684572497376E-3</v>
      </c>
      <c r="AK10" s="26"/>
    </row>
    <row r="11" spans="1:37">
      <c r="A11" s="6">
        <f>IF(C11="","",MAX(A$4:A10)+1)</f>
        <v>8</v>
      </c>
      <c r="B11" s="16" t="s">
        <v>61</v>
      </c>
      <c r="C11" s="10">
        <f>SUMIF(Census!$C$2:$C$235,Census_SEIR_Province!$B11,Census!$CK$2:$CK$235)</f>
        <v>1322227.8490723777</v>
      </c>
      <c r="D11" s="11">
        <f ca="1">SUMIF(Census!$C$2:$C$235,Census_SEIR_Province!$B11,Census!CL$2:CL$235)/$C11</f>
        <v>0.20476093572794488</v>
      </c>
      <c r="E11" s="11">
        <f ca="1">SUMIF(Census!$C$2:$C$235,Census_SEIR_Province!$B11,Census!CM$2:CM$235)/$C11</f>
        <v>0.18868899303187292</v>
      </c>
      <c r="F11" s="11">
        <f ca="1">SUMIF(Census!$C$2:$C$235,Census_SEIR_Province!$B11,Census!CN$2:CN$235)/$C11</f>
        <v>0.18130757626342578</v>
      </c>
      <c r="G11" s="11">
        <f ca="1">SUMIF(Census!$C$2:$C$235,Census_SEIR_Province!$B11,Census!CO$2:CO$235)/$C11</f>
        <v>0.14242926768349934</v>
      </c>
      <c r="H11" s="11">
        <f ca="1">SUMIF(Census!$C$2:$C$235,Census_SEIR_Province!$B11,Census!CP$2:CP$235)/$C11</f>
        <v>0.11076683815949916</v>
      </c>
      <c r="I11" s="11">
        <f ca="1">SUMIF(Census!$C$2:$C$235,Census_SEIR_Province!$B11,Census!CQ$2:CQ$235)/$C11</f>
        <v>8.5380914099807581E-2</v>
      </c>
      <c r="J11" s="11">
        <f ca="1">SUMIF(Census!$C$2:$C$235,Census_SEIR_Province!$B11,Census!CR$2:CR$235)/$C11</f>
        <v>4.9325742308930803E-2</v>
      </c>
      <c r="K11" s="11">
        <f ca="1">SUMIF(Census!$C$2:$C$235,Census_SEIR_Province!$B11,Census!CS$2:CS$235)/$C11</f>
        <v>2.4715520928254284E-2</v>
      </c>
      <c r="L11" s="11">
        <f ca="1">SUMIF(Census!$C$2:$C$235,Census_SEIR_Province!$B11,Census!CT$2:CT$235)/$C11</f>
        <v>1.0388014114279611E-2</v>
      </c>
      <c r="M11" s="72">
        <f t="shared" ca="1" si="1"/>
        <v>2.671315966672539E-3</v>
      </c>
      <c r="N11" s="72">
        <f t="shared" ca="1" si="2"/>
        <v>3.3391449583406738E-3</v>
      </c>
      <c r="O11" s="89">
        <v>1.25</v>
      </c>
      <c r="P11" s="223">
        <v>1.5</v>
      </c>
      <c r="Q11" s="116">
        <f t="shared" ca="1" si="3"/>
        <v>0.81122700502180722</v>
      </c>
      <c r="R11" s="115">
        <f ca="1">Assumptions!D10</f>
        <v>205</v>
      </c>
      <c r="S11" s="87">
        <f ca="1">(R11/X11)*(T11/M11-X11)</f>
        <v>880.96041517316507</v>
      </c>
      <c r="T11" s="222">
        <f ca="1">Assumptions!F10*P11*$T$13</f>
        <v>4.5</v>
      </c>
      <c r="U11" s="13">
        <f t="shared" ca="1" si="5"/>
        <v>271.49010379329127</v>
      </c>
      <c r="V11" s="13">
        <f ca="1">Assumptions!E10</f>
        <v>112</v>
      </c>
      <c r="W11" s="13">
        <f t="shared" ca="1" si="6"/>
        <v>1320753.8985534112</v>
      </c>
      <c r="X11" s="13">
        <f ca="1">Assumptions!C10</f>
        <v>318</v>
      </c>
      <c r="Y11" s="14">
        <f>SUMIF(Census!$C$2:$C$235,Census_SEIR_Province!$B11,Census!$CV$2:$CV$235)</f>
        <v>300.60936748533578</v>
      </c>
      <c r="Z11" s="86">
        <f>IF(Z$2="Actuals",VLOOKUP($B11,R0_estimation!$K$5:$L$14,2,FALSE),IF(C11="","",AA11*14))</f>
        <v>0.73469279903613482</v>
      </c>
      <c r="AA11" s="17">
        <f t="shared" si="0"/>
        <v>5.2478057074009633E-2</v>
      </c>
      <c r="AB11" s="22">
        <v>2.2773281930277981E-3</v>
      </c>
      <c r="AC11" s="22">
        <v>9.7782666397271852E-3</v>
      </c>
      <c r="AD11" s="22">
        <v>6.4104162213417326E-3</v>
      </c>
      <c r="AE11" s="22">
        <v>8.4336366628464711E-4</v>
      </c>
      <c r="AF11" s="22">
        <v>9.0971958266597929E-4</v>
      </c>
      <c r="AG11" s="22">
        <v>8.0839572690479119E-4</v>
      </c>
      <c r="AH11" s="22">
        <v>9.4479388293353065E-3</v>
      </c>
      <c r="AI11" s="22">
        <v>1.2076497365933481</v>
      </c>
      <c r="AJ11" s="22">
        <v>5.4186764136388314E-3</v>
      </c>
      <c r="AK11" s="26"/>
    </row>
    <row r="12" spans="1:37">
      <c r="A12" s="6">
        <f>IF(C12="","",MAX(A$4:A11)+1)</f>
        <v>9</v>
      </c>
      <c r="B12" s="16" t="s">
        <v>62</v>
      </c>
      <c r="C12" s="10">
        <f>SUMIF(Census!$C$2:$C$235,Census_SEIR_Province!$B12,Census!$CK$2:$CK$235)</f>
        <v>7304555.4042803012</v>
      </c>
      <c r="D12" s="11">
        <f ca="1">SUMIF(Census!$C$2:$C$235,Census_SEIR_Province!$B12,Census!CL$2:CL$235)/$C12</f>
        <v>0.17559400731261665</v>
      </c>
      <c r="E12" s="11">
        <f ca="1">SUMIF(Census!$C$2:$C$235,Census_SEIR_Province!$B12,Census!CM$2:CM$235)/$C12</f>
        <v>0.1566110556879349</v>
      </c>
      <c r="F12" s="11">
        <f ca="1">SUMIF(Census!$C$2:$C$235,Census_SEIR_Province!$B12,Census!CN$2:CN$235)/$C12</f>
        <v>0.20210369080480389</v>
      </c>
      <c r="G12" s="11">
        <f ca="1">SUMIF(Census!$C$2:$C$235,Census_SEIR_Province!$B12,Census!CO$2:CO$235)/$C12</f>
        <v>0.15875793081545828</v>
      </c>
      <c r="H12" s="11">
        <f ca="1">SUMIF(Census!$C$2:$C$235,Census_SEIR_Province!$B12,Census!CP$2:CP$235)/$C12</f>
        <v>0.1237636757594561</v>
      </c>
      <c r="I12" s="11">
        <f ca="1">SUMIF(Census!$C$2:$C$235,Census_SEIR_Province!$B12,Census!CQ$2:CQ$235)/$C12</f>
        <v>8.8954796369608291E-2</v>
      </c>
      <c r="J12" s="11">
        <f ca="1">SUMIF(Census!$C$2:$C$235,Census_SEIR_Province!$B12,Census!CR$2:CR$235)/$C12</f>
        <v>5.1953689619868855E-2</v>
      </c>
      <c r="K12" s="11">
        <f ca="1">SUMIF(Census!$C$2:$C$235,Census_SEIR_Province!$B12,Census!CS$2:CS$235)/$C12</f>
        <v>2.6460882237903247E-2</v>
      </c>
      <c r="L12" s="11">
        <f ca="1">SUMIF(Census!$C$2:$C$235,Census_SEIR_Province!$B12,Census!CT$2:CT$235)/$C12</f>
        <v>1.0606565121207881E-2</v>
      </c>
      <c r="M12" s="72">
        <f t="shared" ca="1" si="1"/>
        <v>3.6353859580832088E-3</v>
      </c>
      <c r="N12" s="72">
        <f ca="1">SUMPRODUCT($D$3:$L$3,D12:L12)/O12</f>
        <v>3.9989245538915299E-3</v>
      </c>
      <c r="O12" s="89">
        <v>1.1000000000000001</v>
      </c>
      <c r="P12" s="223">
        <v>1.5</v>
      </c>
      <c r="Q12" s="116">
        <f t="shared" ca="1" si="3"/>
        <v>0.97223335825935375</v>
      </c>
      <c r="R12" s="115">
        <f ca="1">Assumptions!D11</f>
        <v>15653</v>
      </c>
      <c r="S12" s="87">
        <f t="shared" ca="1" si="4"/>
        <v>548080.99945900904</v>
      </c>
      <c r="T12" s="222">
        <f ca="1">Assumptions!F11*P12*$T$13</f>
        <v>7434</v>
      </c>
      <c r="U12" s="13">
        <f t="shared" ca="1" si="5"/>
        <v>140933.49986475226</v>
      </c>
      <c r="V12" s="13">
        <f ca="1">Assumptions!E11</f>
        <v>39475</v>
      </c>
      <c r="W12" s="13">
        <f t="shared" ca="1" si="6"/>
        <v>6552978.9049565401</v>
      </c>
      <c r="X12" s="13">
        <f ca="1">Assumptions!C11</f>
        <v>56780</v>
      </c>
      <c r="Y12" s="14">
        <f>SUMIF(Census!$C$2:$C$235,Census_SEIR_Province!$B12,Census!$CV$2:$CV$235)</f>
        <v>3036.6829140546038</v>
      </c>
      <c r="Z12" s="86">
        <f>IF(Z$2="Actuals",VLOOKUP($B12,R0_estimation!$K$5:$L$14,2,FALSE),IF(C12="","",AA12*14))</f>
        <v>0.17553049825157571</v>
      </c>
      <c r="AA12" s="17">
        <f t="shared" si="0"/>
        <v>1.2537892732255407E-2</v>
      </c>
      <c r="AB12" s="22">
        <v>4.2694043188668844E-3</v>
      </c>
      <c r="AC12" s="22">
        <v>1.762976313374652E-3</v>
      </c>
      <c r="AD12" s="22">
        <v>7.3693037276181591E-3</v>
      </c>
      <c r="AE12" s="22">
        <v>3.7291833175446308E-3</v>
      </c>
      <c r="AF12" s="22">
        <v>4.8142011451243961E-4</v>
      </c>
      <c r="AG12" s="22">
        <v>2.4983297387682967E-4</v>
      </c>
      <c r="AH12" s="22">
        <v>5.4746173640127097E-4</v>
      </c>
      <c r="AI12" s="22">
        <v>6.4474478072210583E-4</v>
      </c>
      <c r="AJ12" s="22">
        <v>1.287355561304999</v>
      </c>
      <c r="AK12" s="26"/>
    </row>
    <row r="13" spans="1:37">
      <c r="D13" s="220">
        <f ca="1">SUMPRODUCT(D4:D12,$C$4:$C$12)</f>
        <v>11943450.479395894</v>
      </c>
      <c r="E13" s="220">
        <f t="shared" ref="E13:L13" ca="1" si="7">SUMPRODUCT(E4:E12,$C$4:$C$12)</f>
        <v>10850378.325962763</v>
      </c>
      <c r="F13" s="220">
        <f t="shared" ca="1" si="7"/>
        <v>12181929.173888588</v>
      </c>
      <c r="G13" s="220">
        <f t="shared" ca="1" si="7"/>
        <v>8829666.8255212083</v>
      </c>
      <c r="H13" s="220">
        <f t="shared" ca="1" si="7"/>
        <v>6271486.4631322455</v>
      </c>
      <c r="I13" s="220">
        <f t="shared" ca="1" si="7"/>
        <v>4652176.5366229704</v>
      </c>
      <c r="J13" s="220">
        <f t="shared" ca="1" si="7"/>
        <v>2688377.6646504556</v>
      </c>
      <c r="K13" s="220">
        <f t="shared" ca="1" si="7"/>
        <v>1389616.0349131217</v>
      </c>
      <c r="L13" s="220">
        <f t="shared" ca="1" si="7"/>
        <v>645430.85191559896</v>
      </c>
      <c r="M13" s="22"/>
      <c r="N13" s="22"/>
      <c r="O13" s="22"/>
      <c r="P13" s="22"/>
      <c r="Q13" s="23"/>
      <c r="R13" s="23"/>
      <c r="S13" s="225" t="s">
        <v>2480</v>
      </c>
      <c r="T13" s="224">
        <v>3</v>
      </c>
      <c r="U13" s="23"/>
      <c r="V13" s="23"/>
      <c r="W13" s="23"/>
      <c r="X13" s="23"/>
      <c r="Y13" s="23"/>
      <c r="Z13" s="24"/>
      <c r="AA13" s="25"/>
      <c r="AB13" s="22"/>
      <c r="AC13" s="22"/>
      <c r="AD13" s="22"/>
      <c r="AE13" s="22"/>
      <c r="AF13" s="22"/>
      <c r="AG13" s="22"/>
      <c r="AH13" s="22"/>
      <c r="AI13" s="22"/>
      <c r="AJ13" s="22"/>
      <c r="AK13" s="26"/>
    </row>
    <row r="14" spans="1:37" ht="15">
      <c r="D14" s="181">
        <f>Assumptions!C2</f>
        <v>44007</v>
      </c>
      <c r="E14" s="181">
        <f>EOMONTH(D14,1)</f>
        <v>44043</v>
      </c>
      <c r="F14" s="181">
        <f t="shared" ref="F14:Q14" si="8">EOMONTH(E14,1)</f>
        <v>44074</v>
      </c>
      <c r="G14" s="181">
        <f t="shared" si="8"/>
        <v>44104</v>
      </c>
      <c r="H14" s="181">
        <f t="shared" si="8"/>
        <v>44135</v>
      </c>
      <c r="I14" s="181">
        <f t="shared" si="8"/>
        <v>44165</v>
      </c>
      <c r="J14" s="181">
        <f t="shared" si="8"/>
        <v>44196</v>
      </c>
      <c r="K14" s="181">
        <f t="shared" si="8"/>
        <v>44227</v>
      </c>
      <c r="L14" s="181">
        <f t="shared" si="8"/>
        <v>44255</v>
      </c>
      <c r="M14" s="181">
        <f t="shared" si="8"/>
        <v>44286</v>
      </c>
      <c r="N14" s="181">
        <f t="shared" si="8"/>
        <v>44316</v>
      </c>
      <c r="O14" s="181">
        <f t="shared" si="8"/>
        <v>44347</v>
      </c>
      <c r="P14" s="181">
        <f t="shared" si="8"/>
        <v>44377</v>
      </c>
      <c r="Q14" s="181">
        <f t="shared" si="8"/>
        <v>44408</v>
      </c>
      <c r="R14" s="91"/>
      <c r="S14" s="181">
        <f>R0_estimation!P3</f>
        <v>43921</v>
      </c>
      <c r="T14" s="181">
        <f>R0_estimation!AB3</f>
        <v>44006</v>
      </c>
      <c r="U14" s="23"/>
      <c r="V14" s="23"/>
      <c r="W14" s="23"/>
      <c r="X14" s="23"/>
      <c r="Y14" s="23"/>
      <c r="Z14" s="24"/>
      <c r="AA14" s="25"/>
      <c r="AB14" s="22"/>
      <c r="AC14" s="22"/>
      <c r="AD14" s="22"/>
      <c r="AE14" s="22"/>
      <c r="AF14" s="22"/>
      <c r="AG14" s="22"/>
      <c r="AH14" s="22"/>
      <c r="AI14" s="22"/>
      <c r="AJ14" s="22"/>
      <c r="AK14" s="26"/>
    </row>
    <row r="15" spans="1:37" ht="15">
      <c r="B15" s="27" t="s">
        <v>63</v>
      </c>
      <c r="C15" s="27" t="s">
        <v>64</v>
      </c>
      <c r="D15" s="27" t="s">
        <v>2461</v>
      </c>
      <c r="E15" s="27" t="s">
        <v>2462</v>
      </c>
      <c r="F15" s="27" t="s">
        <v>2463</v>
      </c>
      <c r="G15" s="27" t="s">
        <v>2464</v>
      </c>
      <c r="H15" s="27" t="s">
        <v>2465</v>
      </c>
      <c r="I15" s="27" t="s">
        <v>2466</v>
      </c>
      <c r="J15" s="27" t="s">
        <v>2467</v>
      </c>
      <c r="K15" s="27" t="s">
        <v>2468</v>
      </c>
      <c r="L15" s="27" t="s">
        <v>2469</v>
      </c>
      <c r="M15" s="27" t="s">
        <v>2470</v>
      </c>
      <c r="N15" s="27" t="s">
        <v>2471</v>
      </c>
      <c r="O15" s="27" t="s">
        <v>2472</v>
      </c>
      <c r="P15" s="27" t="s">
        <v>2473</v>
      </c>
      <c r="Q15" s="27" t="s">
        <v>2474</v>
      </c>
      <c r="R15" s="84"/>
      <c r="S15" s="204">
        <f>R0_estimation!P5*0.8</f>
        <v>1.53692883147395</v>
      </c>
      <c r="T15" s="204">
        <f>R0_estimation!AB5*0.8</f>
        <v>1.6723919561369769</v>
      </c>
      <c r="U15" s="23"/>
      <c r="V15" s="23"/>
      <c r="W15" s="23"/>
      <c r="X15" s="23"/>
      <c r="Y15" s="23"/>
      <c r="Z15" s="24"/>
      <c r="AA15" s="25"/>
      <c r="AB15" s="22"/>
      <c r="AC15" s="22"/>
      <c r="AD15" s="22"/>
      <c r="AE15" s="22"/>
      <c r="AF15" s="22"/>
      <c r="AG15" s="22"/>
      <c r="AH15" s="22"/>
      <c r="AI15" s="22"/>
      <c r="AJ15" s="22"/>
      <c r="AK15" s="26"/>
    </row>
    <row r="16" spans="1:37" ht="12">
      <c r="B16" s="198">
        <v>1</v>
      </c>
      <c r="C16" s="198" t="str">
        <f>B4</f>
        <v>EASTERN CAPE</v>
      </c>
      <c r="D16" s="200">
        <f>R0_estimation!AB5</f>
        <v>2.0904899451712211</v>
      </c>
      <c r="E16" s="203">
        <f>R0_estimation!AN5*1.3</f>
        <v>0.18243525437345401</v>
      </c>
      <c r="F16" s="30">
        <f>E16*1</f>
        <v>0.18243525437345401</v>
      </c>
      <c r="G16" s="30">
        <f>F16*0.7</f>
        <v>0.1277046780614178</v>
      </c>
      <c r="H16" s="30">
        <f>G16</f>
        <v>0.1277046780614178</v>
      </c>
      <c r="I16" s="200">
        <f>H16*1.2</f>
        <v>0.15324561367370135</v>
      </c>
      <c r="J16" s="199">
        <f>I16+($K16-$I16)/COUNTA($J$15:$K$15)</f>
        <v>0.85454325366581985</v>
      </c>
      <c r="K16" s="200">
        <f>R16*S16</f>
        <v>1.5558408936579382</v>
      </c>
      <c r="L16" s="199">
        <f>K16+($N16-$K16)/COUNTA($L$15:$N$15)</f>
        <v>1.4644950433982782</v>
      </c>
      <c r="M16" s="199">
        <f>L16+($N16-$K16)/COUNTA($L$15:$N$15)</f>
        <v>1.3731491931386182</v>
      </c>
      <c r="N16" s="200">
        <f>R16*T16</f>
        <v>1.2818033428789584</v>
      </c>
      <c r="O16" s="199">
        <f t="shared" ref="O16" si="9">N16</f>
        <v>1.2818033428789584</v>
      </c>
      <c r="P16" s="199">
        <f>O16*0.9</f>
        <v>1.1536230085910626</v>
      </c>
      <c r="Q16" s="199">
        <f>P16*0.9</f>
        <v>1.0382607077319563</v>
      </c>
      <c r="R16" s="207">
        <v>0.7</v>
      </c>
      <c r="S16" s="211">
        <f>R0_estimation!P6*0.8</f>
        <v>2.2226298480827689</v>
      </c>
      <c r="T16" s="194">
        <f>R0_estimation!AB6</f>
        <v>1.8311476326842264</v>
      </c>
      <c r="U16" s="23"/>
      <c r="V16" s="23"/>
      <c r="W16" s="23"/>
      <c r="X16" s="208"/>
      <c r="Y16" s="23"/>
      <c r="Z16" s="24"/>
      <c r="AA16" s="25"/>
      <c r="AB16" s="22"/>
      <c r="AC16" s="22"/>
      <c r="AD16" s="22"/>
      <c r="AE16" s="22"/>
      <c r="AF16" s="22"/>
      <c r="AG16" s="22"/>
      <c r="AH16" s="22"/>
      <c r="AI16" s="22"/>
      <c r="AJ16" s="22"/>
      <c r="AK16" s="26"/>
    </row>
    <row r="17" spans="2:37" ht="12">
      <c r="B17" s="198">
        <v>2</v>
      </c>
      <c r="C17" s="198" t="str">
        <f t="shared" ref="C17:C24" si="10">B5</f>
        <v>FREE STATE</v>
      </c>
      <c r="D17" s="200">
        <f>R0_estimation!AB6*1.2</f>
        <v>2.1973771592210718</v>
      </c>
      <c r="E17" s="203">
        <f>D17*0.8</f>
        <v>1.7579017273768576</v>
      </c>
      <c r="F17" s="30">
        <f>E17*0.8</f>
        <v>1.4063213819014861</v>
      </c>
      <c r="G17" s="30">
        <f t="shared" ref="G17:G24" si="11">F17*0.7</f>
        <v>0.98442496733104023</v>
      </c>
      <c r="H17" s="30">
        <f t="shared" ref="H17:H24" si="12">G17</f>
        <v>0.98442496733104023</v>
      </c>
      <c r="I17" s="200">
        <f t="shared" ref="I17:I24" si="13">H17*1.2</f>
        <v>1.1813099607972481</v>
      </c>
      <c r="J17" s="199">
        <f t="shared" ref="J17:J24" si="14">I17+($K17-$I17)/COUNTA($J$15:$K$15)</f>
        <v>0.89804074669341416</v>
      </c>
      <c r="K17" s="200">
        <f t="shared" ref="K17:K24" si="15">R17*S17</f>
        <v>0.61477153258958006</v>
      </c>
      <c r="L17" s="199">
        <f t="shared" ref="L17:M17" si="16">K17+($N17-$K17)/COUNTA($L$15:$N$15)</f>
        <v>0.63283328254465032</v>
      </c>
      <c r="M17" s="199">
        <f t="shared" si="16"/>
        <v>0.65089503249972058</v>
      </c>
      <c r="N17" s="200">
        <f t="shared" ref="N17:N24" si="17">R17*T17</f>
        <v>0.66895678245479084</v>
      </c>
      <c r="O17" s="199">
        <f t="shared" ref="O17:O24" si="18">N17</f>
        <v>0.66895678245479084</v>
      </c>
      <c r="P17" s="199">
        <f t="shared" ref="P17:Q17" si="19">O17*0.9</f>
        <v>0.6020611042093118</v>
      </c>
      <c r="Q17" s="199">
        <f t="shared" si="19"/>
        <v>0.54185499378838065</v>
      </c>
      <c r="R17" s="201">
        <v>0.4</v>
      </c>
      <c r="S17" s="194">
        <f>S15</f>
        <v>1.53692883147395</v>
      </c>
      <c r="T17" s="194">
        <f>T15</f>
        <v>1.6723919561369769</v>
      </c>
      <c r="U17" s="23"/>
      <c r="V17" s="23"/>
      <c r="W17" s="23"/>
      <c r="X17" s="23"/>
      <c r="Y17" s="23"/>
      <c r="Z17" s="24"/>
      <c r="AA17" s="25"/>
      <c r="AB17" s="22"/>
      <c r="AC17" s="22"/>
      <c r="AD17" s="22"/>
      <c r="AE17" s="22"/>
      <c r="AF17" s="22"/>
      <c r="AG17" s="22"/>
      <c r="AH17" s="22"/>
      <c r="AI17" s="22"/>
      <c r="AJ17" s="22"/>
      <c r="AK17" s="26"/>
    </row>
    <row r="18" spans="2:37" ht="12">
      <c r="B18" s="198">
        <v>3</v>
      </c>
      <c r="C18" s="198" t="str">
        <f t="shared" si="10"/>
        <v>GAUTENG</v>
      </c>
      <c r="D18" s="200">
        <f>R0_estimation!AB7*0.5</f>
        <v>2.099156525771106</v>
      </c>
      <c r="E18" s="203">
        <f>R0_estimation!AN7*1.3</f>
        <v>0.31669408942052568</v>
      </c>
      <c r="F18" s="30">
        <f t="shared" ref="F18:F24" si="20">E18*1</f>
        <v>0.31669408942052568</v>
      </c>
      <c r="G18" s="30">
        <f t="shared" si="11"/>
        <v>0.22168586259436796</v>
      </c>
      <c r="H18" s="30">
        <f t="shared" si="12"/>
        <v>0.22168586259436796</v>
      </c>
      <c r="I18" s="200">
        <f t="shared" si="13"/>
        <v>0.26602303511324155</v>
      </c>
      <c r="J18" s="199">
        <f t="shared" si="14"/>
        <v>0.64573285470820418</v>
      </c>
      <c r="K18" s="200">
        <f t="shared" si="15"/>
        <v>1.0254426743031668</v>
      </c>
      <c r="L18" s="199">
        <f t="shared" ref="L18:M18" si="21">K18+($N18-$K18)/COUNTA($L$15:$N$15)</f>
        <v>1.2232412964982391</v>
      </c>
      <c r="M18" s="199">
        <f t="shared" si="21"/>
        <v>1.4210399186933114</v>
      </c>
      <c r="N18" s="200">
        <f t="shared" si="17"/>
        <v>1.6188385408883836</v>
      </c>
      <c r="O18" s="199">
        <f t="shared" si="18"/>
        <v>1.6188385408883836</v>
      </c>
      <c r="P18" s="199">
        <f t="shared" ref="P18:Q18" si="22">O18*0.9</f>
        <v>1.4569546867995453</v>
      </c>
      <c r="Q18" s="199">
        <f t="shared" si="22"/>
        <v>1.3112592181195908</v>
      </c>
      <c r="R18" s="207">
        <v>0.7</v>
      </c>
      <c r="S18" s="211">
        <f>T16*0.8</f>
        <v>1.4649181061473813</v>
      </c>
      <c r="T18" s="194">
        <f>R0_estimation!AB8</f>
        <v>2.3126264869834054</v>
      </c>
      <c r="U18" s="23"/>
      <c r="V18" s="23"/>
      <c r="W18" s="23"/>
      <c r="X18" s="23"/>
      <c r="Y18" s="23"/>
      <c r="Z18" s="24"/>
      <c r="AA18" s="25"/>
      <c r="AB18" s="22"/>
      <c r="AC18" s="22"/>
      <c r="AD18" s="22"/>
      <c r="AE18" s="22"/>
      <c r="AF18" s="22"/>
      <c r="AG18" s="22"/>
      <c r="AH18" s="22"/>
      <c r="AI18" s="22"/>
      <c r="AJ18" s="22"/>
      <c r="AK18" s="26"/>
    </row>
    <row r="19" spans="2:37" ht="12">
      <c r="B19" s="198">
        <v>4</v>
      </c>
      <c r="C19" s="198" t="str">
        <f t="shared" si="10"/>
        <v>KWAZULU-NATAL</v>
      </c>
      <c r="D19" s="200">
        <f>R0_estimation!AB8*1.5</f>
        <v>3.4689397304751082</v>
      </c>
      <c r="E19" s="203">
        <f>D19*0.6</f>
        <v>2.081363838285065</v>
      </c>
      <c r="F19" s="30">
        <f>E19*0.4</f>
        <v>0.83254553531402609</v>
      </c>
      <c r="G19" s="30">
        <f t="shared" si="11"/>
        <v>0.58278187471981824</v>
      </c>
      <c r="H19" s="30">
        <f t="shared" si="12"/>
        <v>0.58278187471981824</v>
      </c>
      <c r="I19" s="200">
        <f t="shared" si="13"/>
        <v>0.69933824966378189</v>
      </c>
      <c r="J19" s="199">
        <f t="shared" si="14"/>
        <v>0.87113422176983946</v>
      </c>
      <c r="K19" s="200">
        <f t="shared" si="15"/>
        <v>1.042930193875897</v>
      </c>
      <c r="L19" s="199">
        <f t="shared" ref="L19:M19" si="23">K19+($N19-$K19)/COUNTA($L$15:$N$15)</f>
        <v>1.6080476340744272</v>
      </c>
      <c r="M19" s="199">
        <f t="shared" si="23"/>
        <v>2.1731650742729576</v>
      </c>
      <c r="N19" s="200">
        <f t="shared" si="17"/>
        <v>2.738282514471488</v>
      </c>
      <c r="O19" s="199">
        <f t="shared" si="18"/>
        <v>2.738282514471488</v>
      </c>
      <c r="P19" s="199">
        <f t="shared" ref="P19:Q19" si="24">O19*0.9</f>
        <v>2.4644542630243391</v>
      </c>
      <c r="Q19" s="199">
        <f t="shared" si="24"/>
        <v>2.2180088367219053</v>
      </c>
      <c r="R19" s="207">
        <v>0.7</v>
      </c>
      <c r="S19" s="194">
        <f>R0_estimation!P9</f>
        <v>1.4899002769655674</v>
      </c>
      <c r="T19" s="194">
        <f>R0_estimation!AB9</f>
        <v>3.9118321635306974</v>
      </c>
      <c r="U19" s="23"/>
      <c r="V19" s="23"/>
      <c r="W19" s="23"/>
      <c r="X19" s="23"/>
      <c r="Y19" s="23"/>
      <c r="Z19" s="24"/>
      <c r="AA19" s="25"/>
      <c r="AB19" s="22"/>
      <c r="AC19" s="22"/>
      <c r="AD19" s="22"/>
      <c r="AE19" s="22"/>
      <c r="AF19" s="22"/>
      <c r="AG19" s="22"/>
      <c r="AH19" s="22"/>
      <c r="AI19" s="22"/>
      <c r="AJ19" s="22"/>
      <c r="AK19" s="26"/>
    </row>
    <row r="20" spans="2:37" ht="12">
      <c r="B20" s="198">
        <v>5</v>
      </c>
      <c r="C20" s="198" t="str">
        <f t="shared" si="10"/>
        <v>LIMPOPO</v>
      </c>
      <c r="D20" s="200">
        <f>R0_estimation!AB9*0.7</f>
        <v>2.738282514471488</v>
      </c>
      <c r="E20" s="203">
        <f>R0_estimation!AN9*1.4</f>
        <v>0.14080475601512601</v>
      </c>
      <c r="F20" s="30">
        <f t="shared" si="20"/>
        <v>0.14080475601512601</v>
      </c>
      <c r="G20" s="30">
        <f t="shared" si="11"/>
        <v>9.8563329210588205E-2</v>
      </c>
      <c r="H20" s="30">
        <f t="shared" si="12"/>
        <v>9.8563329210588205E-2</v>
      </c>
      <c r="I20" s="200">
        <f t="shared" si="13"/>
        <v>0.11827599505270583</v>
      </c>
      <c r="J20" s="199">
        <f t="shared" si="14"/>
        <v>0.36652376382114293</v>
      </c>
      <c r="K20" s="200">
        <f t="shared" si="15"/>
        <v>0.61477153258958006</v>
      </c>
      <c r="L20" s="199">
        <f t="shared" ref="L20:M20" si="25">K20+($N20-$K20)/COUNTA($L$15:$N$15)</f>
        <v>0.63283328254465032</v>
      </c>
      <c r="M20" s="199">
        <f t="shared" si="25"/>
        <v>0.65089503249972058</v>
      </c>
      <c r="N20" s="200">
        <f t="shared" si="17"/>
        <v>0.66895678245479084</v>
      </c>
      <c r="O20" s="199">
        <f t="shared" si="18"/>
        <v>0.66895678245479084</v>
      </c>
      <c r="P20" s="199">
        <f t="shared" ref="P20:Q20" si="26">O20*0.9</f>
        <v>0.6020611042093118</v>
      </c>
      <c r="Q20" s="199">
        <f t="shared" si="26"/>
        <v>0.54185499378838065</v>
      </c>
      <c r="R20" s="201">
        <v>0.4</v>
      </c>
      <c r="S20" s="194">
        <f>S$15</f>
        <v>1.53692883147395</v>
      </c>
      <c r="T20" s="194">
        <f>T$15</f>
        <v>1.6723919561369769</v>
      </c>
      <c r="U20" s="23"/>
      <c r="V20" s="23"/>
      <c r="W20" s="23"/>
      <c r="X20" s="23"/>
      <c r="Y20" s="23"/>
      <c r="Z20" s="24"/>
      <c r="AA20" s="25"/>
      <c r="AB20" s="22"/>
      <c r="AC20" s="22"/>
      <c r="AD20" s="22"/>
      <c r="AE20" s="22"/>
      <c r="AF20" s="22"/>
      <c r="AG20" s="22"/>
      <c r="AH20" s="22"/>
      <c r="AI20" s="22"/>
      <c r="AJ20" s="22"/>
      <c r="AK20" s="26"/>
    </row>
    <row r="21" spans="2:37" ht="12">
      <c r="B21" s="198">
        <v>6</v>
      </c>
      <c r="C21" s="198" t="str">
        <f t="shared" si="10"/>
        <v>MPUMALANGA</v>
      </c>
      <c r="D21" s="200">
        <f>R0_estimation!AB10*0.7</f>
        <v>2.1858594169625767</v>
      </c>
      <c r="E21" s="203">
        <f>R0_estimation!AN10*1.4</f>
        <v>0.38086620830287732</v>
      </c>
      <c r="F21" s="30">
        <f t="shared" si="20"/>
        <v>0.38086620830287732</v>
      </c>
      <c r="G21" s="30">
        <f t="shared" si="11"/>
        <v>0.26660634581201409</v>
      </c>
      <c r="H21" s="30">
        <f t="shared" si="12"/>
        <v>0.26660634581201409</v>
      </c>
      <c r="I21" s="200">
        <f t="shared" si="13"/>
        <v>0.31992761497441691</v>
      </c>
      <c r="J21" s="199">
        <f t="shared" si="14"/>
        <v>0.46734957378199848</v>
      </c>
      <c r="K21" s="200">
        <f t="shared" si="15"/>
        <v>0.61477153258958006</v>
      </c>
      <c r="L21" s="199">
        <f t="shared" ref="L21:M21" si="27">K21+($N21-$K21)/COUNTA($L$15:$N$15)</f>
        <v>0.63283328254465032</v>
      </c>
      <c r="M21" s="199">
        <f t="shared" si="27"/>
        <v>0.65089503249972058</v>
      </c>
      <c r="N21" s="200">
        <f t="shared" si="17"/>
        <v>0.66895678245479084</v>
      </c>
      <c r="O21" s="199">
        <f t="shared" si="18"/>
        <v>0.66895678245479084</v>
      </c>
      <c r="P21" s="199">
        <f t="shared" ref="P21:Q21" si="28">O21*0.9</f>
        <v>0.6020611042093118</v>
      </c>
      <c r="Q21" s="199">
        <f t="shared" si="28"/>
        <v>0.54185499378838065</v>
      </c>
      <c r="R21" s="201">
        <v>0.4</v>
      </c>
      <c r="S21" s="194">
        <f t="shared" ref="S21:T23" si="29">S$15</f>
        <v>1.53692883147395</v>
      </c>
      <c r="T21" s="194">
        <f t="shared" si="29"/>
        <v>1.6723919561369769</v>
      </c>
      <c r="U21" s="23"/>
      <c r="V21" s="23"/>
      <c r="W21" s="23"/>
      <c r="X21" s="23"/>
      <c r="Y21" s="23"/>
      <c r="Z21" s="24"/>
      <c r="AA21" s="25"/>
      <c r="AB21" s="22"/>
      <c r="AC21" s="22"/>
      <c r="AD21" s="22"/>
      <c r="AE21" s="22"/>
      <c r="AF21" s="22"/>
      <c r="AG21" s="22"/>
      <c r="AH21" s="22"/>
      <c r="AI21" s="22"/>
      <c r="AJ21" s="22"/>
      <c r="AK21" s="26"/>
    </row>
    <row r="22" spans="2:37" ht="12">
      <c r="B22" s="198">
        <v>7</v>
      </c>
      <c r="C22" s="198" t="str">
        <f t="shared" si="10"/>
        <v>NORTH WEST</v>
      </c>
      <c r="D22" s="200">
        <f>R0_estimation!AB11*0.6</f>
        <v>1.837188853102945</v>
      </c>
      <c r="E22" s="203">
        <f>R0_estimation!AN11*1.4</f>
        <v>0.10328687028005483</v>
      </c>
      <c r="F22" s="30">
        <f t="shared" si="20"/>
        <v>0.10328687028005483</v>
      </c>
      <c r="G22" s="30">
        <f t="shared" si="11"/>
        <v>7.2300809196038374E-2</v>
      </c>
      <c r="H22" s="30">
        <f t="shared" si="12"/>
        <v>7.2300809196038374E-2</v>
      </c>
      <c r="I22" s="200">
        <f t="shared" si="13"/>
        <v>8.6760971035246048E-2</v>
      </c>
      <c r="J22" s="199">
        <f t="shared" si="14"/>
        <v>0.35076625181241305</v>
      </c>
      <c r="K22" s="200">
        <f t="shared" si="15"/>
        <v>0.61477153258958006</v>
      </c>
      <c r="L22" s="199">
        <f t="shared" ref="L22:M22" si="30">K22+($N22-$K22)/COUNTA($L$15:$N$15)</f>
        <v>0.63283328254465032</v>
      </c>
      <c r="M22" s="199">
        <f t="shared" si="30"/>
        <v>0.65089503249972058</v>
      </c>
      <c r="N22" s="200">
        <f t="shared" si="17"/>
        <v>0.66895678245479084</v>
      </c>
      <c r="O22" s="199">
        <f t="shared" si="18"/>
        <v>0.66895678245479084</v>
      </c>
      <c r="P22" s="199">
        <f t="shared" ref="P22:Q22" si="31">O22*0.9</f>
        <v>0.6020611042093118</v>
      </c>
      <c r="Q22" s="199">
        <f t="shared" si="31"/>
        <v>0.54185499378838065</v>
      </c>
      <c r="R22" s="201">
        <v>0.4</v>
      </c>
      <c r="S22" s="194">
        <f t="shared" si="29"/>
        <v>1.53692883147395</v>
      </c>
      <c r="T22" s="194">
        <f t="shared" si="29"/>
        <v>1.6723919561369769</v>
      </c>
      <c r="U22" s="23"/>
      <c r="V22" s="23"/>
      <c r="W22" s="23"/>
      <c r="X22" s="23"/>
      <c r="Y22" s="23"/>
      <c r="Z22" s="24"/>
      <c r="AA22" s="25"/>
      <c r="AB22" s="22"/>
      <c r="AC22" s="22"/>
      <c r="AD22" s="22"/>
      <c r="AE22" s="22"/>
      <c r="AF22" s="22"/>
      <c r="AG22" s="22"/>
      <c r="AH22" s="22"/>
      <c r="AI22" s="22"/>
      <c r="AJ22" s="22"/>
      <c r="AK22" s="26"/>
    </row>
    <row r="23" spans="2:37" ht="12">
      <c r="B23" s="198">
        <v>8</v>
      </c>
      <c r="C23" s="198" t="str">
        <f t="shared" si="10"/>
        <v>NORTHERN CAPE</v>
      </c>
      <c r="D23" s="200">
        <f>R0_estimation!AB12</f>
        <v>2.2007901862579322</v>
      </c>
      <c r="E23" s="203">
        <f>D23*0.8</f>
        <v>1.7606321490063459</v>
      </c>
      <c r="F23" s="30">
        <f>E23*0.7</f>
        <v>1.232442504304442</v>
      </c>
      <c r="G23" s="30">
        <f t="shared" si="11"/>
        <v>0.86270975301310937</v>
      </c>
      <c r="H23" s="30">
        <f t="shared" si="12"/>
        <v>0.86270975301310937</v>
      </c>
      <c r="I23" s="200">
        <f t="shared" si="13"/>
        <v>1.0352517036157312</v>
      </c>
      <c r="J23" s="199">
        <f t="shared" si="14"/>
        <v>0.82501161810265566</v>
      </c>
      <c r="K23" s="200">
        <f t="shared" si="15"/>
        <v>0.61477153258958006</v>
      </c>
      <c r="L23" s="199">
        <f t="shared" ref="L23:M23" si="32">K23+($N23-$K23)/COUNTA($L$15:$N$15)</f>
        <v>0.63283328254465032</v>
      </c>
      <c r="M23" s="199">
        <f t="shared" si="32"/>
        <v>0.65089503249972058</v>
      </c>
      <c r="N23" s="200">
        <f t="shared" si="17"/>
        <v>0.66895678245479084</v>
      </c>
      <c r="O23" s="199">
        <f t="shared" si="18"/>
        <v>0.66895678245479084</v>
      </c>
      <c r="P23" s="199">
        <f t="shared" ref="P23:Q23" si="33">O23*0.9</f>
        <v>0.6020611042093118</v>
      </c>
      <c r="Q23" s="199">
        <f t="shared" si="33"/>
        <v>0.54185499378838065</v>
      </c>
      <c r="R23" s="201">
        <v>0.4</v>
      </c>
      <c r="S23" s="194">
        <f t="shared" si="29"/>
        <v>1.53692883147395</v>
      </c>
      <c r="T23" s="194">
        <f t="shared" si="29"/>
        <v>1.6723919561369769</v>
      </c>
      <c r="U23" s="23"/>
      <c r="V23" s="23"/>
      <c r="W23" s="23"/>
      <c r="X23" s="23"/>
      <c r="Y23" s="23"/>
      <c r="Z23" s="24"/>
      <c r="AA23" s="25"/>
      <c r="AB23" s="22"/>
      <c r="AC23" s="22"/>
      <c r="AD23" s="22"/>
      <c r="AE23" s="22"/>
      <c r="AF23" s="22"/>
      <c r="AG23" s="22"/>
      <c r="AH23" s="22"/>
      <c r="AI23" s="22"/>
      <c r="AJ23" s="22"/>
      <c r="AK23" s="26"/>
    </row>
    <row r="24" spans="2:37" ht="12">
      <c r="B24" s="198">
        <v>9</v>
      </c>
      <c r="C24" s="198" t="str">
        <f t="shared" si="10"/>
        <v>WESTERN CAPE</v>
      </c>
      <c r="D24" s="200">
        <f>R0_estimation!AB13*0.6</f>
        <v>2.2264397413898798</v>
      </c>
      <c r="E24" s="203">
        <f>R0_estimation!AN13*1.4</f>
        <v>1.0285699186505888</v>
      </c>
      <c r="F24" s="30">
        <f t="shared" si="20"/>
        <v>1.0285699186505888</v>
      </c>
      <c r="G24" s="30">
        <f t="shared" si="11"/>
        <v>0.71999894305541212</v>
      </c>
      <c r="H24" s="30">
        <f t="shared" si="12"/>
        <v>0.71999894305541212</v>
      </c>
      <c r="I24" s="200">
        <f t="shared" si="13"/>
        <v>0.86399873166649455</v>
      </c>
      <c r="J24" s="199">
        <f t="shared" si="14"/>
        <v>1.0543357232964226</v>
      </c>
      <c r="K24" s="200">
        <f t="shared" si="15"/>
        <v>1.2446727149263506</v>
      </c>
      <c r="L24" s="199">
        <f t="shared" ref="L24:M24" si="34">K24+($N24-$K24)/COUNTA($L$15:$N$15)</f>
        <v>1.0574178274101276</v>
      </c>
      <c r="M24" s="199">
        <f t="shared" si="34"/>
        <v>0.87016293989390459</v>
      </c>
      <c r="N24" s="200">
        <f t="shared" si="17"/>
        <v>0.68290805237768171</v>
      </c>
      <c r="O24" s="199">
        <f t="shared" si="18"/>
        <v>0.68290805237768171</v>
      </c>
      <c r="P24" s="199">
        <f t="shared" ref="P24" si="35">O24*0.9</f>
        <v>0.6146172471399135</v>
      </c>
      <c r="Q24" s="212">
        <f>P24</f>
        <v>0.6146172471399135</v>
      </c>
      <c r="R24" s="207">
        <v>0.7</v>
      </c>
      <c r="S24" s="211">
        <f>S16*0.8</f>
        <v>1.7781038784662151</v>
      </c>
      <c r="T24" s="194">
        <f>R0_estimation!AB14</f>
        <v>0.97558293196811685</v>
      </c>
      <c r="U24" s="23"/>
      <c r="V24" s="23"/>
      <c r="W24" s="23"/>
      <c r="X24" s="23"/>
      <c r="Y24" s="23"/>
      <c r="Z24" s="24"/>
      <c r="AA24" s="25"/>
      <c r="AB24" s="22"/>
      <c r="AC24" s="22"/>
      <c r="AD24" s="22"/>
      <c r="AE24" s="22"/>
      <c r="AF24" s="22"/>
      <c r="AG24" s="22"/>
      <c r="AH24" s="22"/>
      <c r="AI24" s="22"/>
      <c r="AJ24" s="22"/>
      <c r="AK24" s="26"/>
    </row>
    <row r="25" spans="2:37" ht="15">
      <c r="D25" s="21"/>
      <c r="E25" s="21"/>
      <c r="F25" s="21"/>
      <c r="G25" s="21"/>
      <c r="H25" s="21"/>
      <c r="I25" s="21"/>
      <c r="J25" s="92"/>
      <c r="Q25" s="84"/>
      <c r="R25" s="84"/>
      <c r="U25" s="23"/>
      <c r="V25" s="23"/>
      <c r="W25" s="23"/>
      <c r="X25" s="23"/>
      <c r="Y25" s="23"/>
      <c r="Z25" s="24"/>
      <c r="AA25" s="25"/>
      <c r="AB25" s="22"/>
      <c r="AC25" s="22"/>
      <c r="AD25" s="22"/>
      <c r="AE25" s="22"/>
      <c r="AF25" s="22"/>
      <c r="AG25" s="22"/>
      <c r="AH25" s="22"/>
      <c r="AI25" s="22"/>
      <c r="AJ25" s="22"/>
      <c r="AK25" s="26"/>
    </row>
    <row r="26" spans="2:37" ht="15">
      <c r="C26" s="27" t="s">
        <v>64</v>
      </c>
      <c r="D26" s="27" t="s">
        <v>2461</v>
      </c>
      <c r="E26" s="27" t="s">
        <v>2462</v>
      </c>
      <c r="F26" s="27" t="s">
        <v>2463</v>
      </c>
      <c r="G26" s="27" t="s">
        <v>2464</v>
      </c>
      <c r="H26" s="27" t="s">
        <v>2465</v>
      </c>
      <c r="I26" s="27" t="s">
        <v>2466</v>
      </c>
      <c r="J26" s="27" t="s">
        <v>2467</v>
      </c>
      <c r="K26" s="27" t="s">
        <v>2468</v>
      </c>
      <c r="L26" s="27" t="s">
        <v>2469</v>
      </c>
      <c r="M26" s="27" t="s">
        <v>2470</v>
      </c>
      <c r="N26" s="27" t="s">
        <v>2471</v>
      </c>
      <c r="O26" s="27" t="s">
        <v>2472</v>
      </c>
      <c r="P26" s="27" t="s">
        <v>2473</v>
      </c>
      <c r="Q26" s="27" t="s">
        <v>2474</v>
      </c>
      <c r="R26" s="84"/>
      <c r="S26" s="88"/>
      <c r="U26" s="23"/>
      <c r="V26" s="23"/>
      <c r="W26" s="23"/>
      <c r="X26" s="23"/>
      <c r="Y26" s="23"/>
      <c r="Z26" s="24"/>
      <c r="AA26" s="25"/>
      <c r="AB26" s="22"/>
      <c r="AC26" s="22"/>
      <c r="AD26" s="22"/>
      <c r="AE26" s="22"/>
      <c r="AF26" s="22"/>
      <c r="AG26" s="22"/>
      <c r="AH26" s="22"/>
      <c r="AI26" s="22"/>
      <c r="AJ26" s="22"/>
      <c r="AK26" s="26"/>
    </row>
    <row r="27" spans="2:37" ht="10.5" customHeight="1">
      <c r="C27" s="198">
        <v>0</v>
      </c>
      <c r="D27" s="202">
        <f>D16/14</f>
        <v>0.14932071036937294</v>
      </c>
      <c r="E27" s="202">
        <f t="shared" ref="E27:Q27" si="36">E16/14</f>
        <v>1.3031089598103857E-2</v>
      </c>
      <c r="F27" s="202">
        <f t="shared" si="36"/>
        <v>1.3031089598103857E-2</v>
      </c>
      <c r="G27" s="202">
        <f t="shared" si="36"/>
        <v>9.1217627186726997E-3</v>
      </c>
      <c r="H27" s="202">
        <f t="shared" si="36"/>
        <v>9.1217627186726997E-3</v>
      </c>
      <c r="I27" s="202">
        <f t="shared" si="36"/>
        <v>1.0946115262407239E-2</v>
      </c>
      <c r="J27" s="202">
        <f t="shared" si="36"/>
        <v>6.1038803833272849E-2</v>
      </c>
      <c r="K27" s="202">
        <f t="shared" si="36"/>
        <v>0.11113149240413844</v>
      </c>
      <c r="L27" s="202">
        <f t="shared" si="36"/>
        <v>0.10460678881416273</v>
      </c>
      <c r="M27" s="202">
        <f t="shared" si="36"/>
        <v>9.8082085224187016E-2</v>
      </c>
      <c r="N27" s="202">
        <f t="shared" si="36"/>
        <v>9.1557381634211316E-2</v>
      </c>
      <c r="O27" s="202">
        <f t="shared" si="36"/>
        <v>9.1557381634211316E-2</v>
      </c>
      <c r="P27" s="202">
        <f t="shared" si="36"/>
        <v>8.2401643470790181E-2</v>
      </c>
      <c r="Q27" s="202">
        <f t="shared" si="36"/>
        <v>7.4161479123711169E-2</v>
      </c>
      <c r="R27" s="84"/>
      <c r="S27" s="84"/>
      <c r="T27" s="23"/>
      <c r="U27" s="23"/>
      <c r="V27" s="23"/>
      <c r="W27" s="23"/>
      <c r="X27" s="23"/>
      <c r="Y27" s="23"/>
      <c r="Z27" s="24"/>
      <c r="AA27" s="25"/>
      <c r="AB27" s="22"/>
      <c r="AC27" s="22"/>
      <c r="AD27" s="22"/>
      <c r="AE27" s="22"/>
      <c r="AF27" s="22"/>
      <c r="AG27" s="22"/>
      <c r="AH27" s="22"/>
      <c r="AI27" s="22"/>
      <c r="AJ27" s="22"/>
      <c r="AK27" s="26"/>
    </row>
    <row r="28" spans="2:37" ht="10.5" customHeight="1">
      <c r="C28" s="198">
        <f t="shared" ref="C28:C35" si="37">B16</f>
        <v>1</v>
      </c>
      <c r="D28" s="202">
        <f t="shared" ref="D28:Q28" si="38">D17/14</f>
        <v>0.1569555113729337</v>
      </c>
      <c r="E28" s="202">
        <f t="shared" si="38"/>
        <v>0.12556440909834696</v>
      </c>
      <c r="F28" s="202">
        <f>F17/14</f>
        <v>0.10045152727867758</v>
      </c>
      <c r="G28" s="202">
        <f t="shared" si="38"/>
        <v>7.0316069095074304E-2</v>
      </c>
      <c r="H28" s="202">
        <f t="shared" si="38"/>
        <v>7.0316069095074304E-2</v>
      </c>
      <c r="I28" s="202">
        <f t="shared" si="38"/>
        <v>8.4379282914089151E-2</v>
      </c>
      <c r="J28" s="202">
        <f t="shared" si="38"/>
        <v>6.4145767620958152E-2</v>
      </c>
      <c r="K28" s="202">
        <f t="shared" si="38"/>
        <v>4.3912252327827146E-2</v>
      </c>
      <c r="L28" s="202">
        <f t="shared" si="38"/>
        <v>4.5202377324617883E-2</v>
      </c>
      <c r="M28" s="202">
        <f t="shared" si="38"/>
        <v>4.6492502321408613E-2</v>
      </c>
      <c r="N28" s="202">
        <f t="shared" si="38"/>
        <v>4.7782627318199343E-2</v>
      </c>
      <c r="O28" s="202">
        <f t="shared" si="38"/>
        <v>4.7782627318199343E-2</v>
      </c>
      <c r="P28" s="202">
        <f t="shared" si="38"/>
        <v>4.3004364586379414E-2</v>
      </c>
      <c r="Q28" s="202">
        <f t="shared" si="38"/>
        <v>3.8703928127741476E-2</v>
      </c>
      <c r="R28" s="84"/>
      <c r="S28" s="84"/>
      <c r="T28" s="23"/>
      <c r="U28" s="23"/>
      <c r="V28" s="23"/>
      <c r="W28" s="23"/>
      <c r="X28" s="23"/>
      <c r="Y28" s="23"/>
      <c r="Z28" s="24"/>
      <c r="AA28" s="25"/>
      <c r="AB28" s="22"/>
      <c r="AC28" s="22"/>
      <c r="AD28" s="22"/>
      <c r="AE28" s="22"/>
      <c r="AF28" s="22"/>
      <c r="AG28" s="22"/>
      <c r="AH28" s="22"/>
      <c r="AI28" s="22"/>
      <c r="AJ28" s="22"/>
      <c r="AK28" s="26"/>
    </row>
    <row r="29" spans="2:37" ht="10.5" customHeight="1">
      <c r="C29" s="198">
        <f t="shared" si="37"/>
        <v>2</v>
      </c>
      <c r="D29" s="202">
        <f t="shared" ref="D29:Q29" si="39">D18/14</f>
        <v>0.14993975184079328</v>
      </c>
      <c r="E29" s="202">
        <f t="shared" si="39"/>
        <v>2.2621006387180405E-2</v>
      </c>
      <c r="F29" s="202">
        <f t="shared" si="39"/>
        <v>2.2621006387180405E-2</v>
      </c>
      <c r="G29" s="202">
        <f t="shared" si="39"/>
        <v>1.5834704471026282E-2</v>
      </c>
      <c r="H29" s="202">
        <f t="shared" si="39"/>
        <v>1.5834704471026282E-2</v>
      </c>
      <c r="I29" s="202">
        <f t="shared" si="39"/>
        <v>1.900164536523154E-2</v>
      </c>
      <c r="J29" s="202">
        <f t="shared" si="39"/>
        <v>4.6123775336300299E-2</v>
      </c>
      <c r="K29" s="202">
        <f t="shared" si="39"/>
        <v>7.3245905307369061E-2</v>
      </c>
      <c r="L29" s="202">
        <f t="shared" si="39"/>
        <v>8.7374378321302792E-2</v>
      </c>
      <c r="M29" s="202">
        <f t="shared" si="39"/>
        <v>0.10150285133523652</v>
      </c>
      <c r="N29" s="202">
        <f t="shared" si="39"/>
        <v>0.11563132434917026</v>
      </c>
      <c r="O29" s="202">
        <f t="shared" si="39"/>
        <v>0.11563132434917026</v>
      </c>
      <c r="P29" s="202">
        <f t="shared" si="39"/>
        <v>0.10406819191425323</v>
      </c>
      <c r="Q29" s="202">
        <f t="shared" si="39"/>
        <v>9.3661372722827915E-2</v>
      </c>
      <c r="R29" s="84"/>
      <c r="S29" s="84"/>
      <c r="T29" s="23"/>
      <c r="U29" s="23"/>
      <c r="V29" s="23"/>
      <c r="W29" s="23"/>
      <c r="X29" s="23"/>
      <c r="Y29" s="23"/>
      <c r="Z29" s="24"/>
      <c r="AA29" s="25"/>
      <c r="AB29" s="22"/>
      <c r="AC29" s="22"/>
      <c r="AD29" s="22"/>
      <c r="AE29" s="22"/>
      <c r="AF29" s="22"/>
      <c r="AG29" s="22"/>
      <c r="AH29" s="22"/>
      <c r="AI29" s="22"/>
      <c r="AJ29" s="22"/>
      <c r="AK29" s="26"/>
    </row>
    <row r="30" spans="2:37" ht="10.5" customHeight="1">
      <c r="C30" s="198">
        <f t="shared" si="37"/>
        <v>3</v>
      </c>
      <c r="D30" s="202">
        <f t="shared" ref="D30:Q30" si="40">D19/14</f>
        <v>0.24778140931965059</v>
      </c>
      <c r="E30" s="202">
        <f t="shared" si="40"/>
        <v>0.14866884559179036</v>
      </c>
      <c r="F30" s="202">
        <f t="shared" si="40"/>
        <v>5.9467538236716147E-2</v>
      </c>
      <c r="G30" s="202">
        <f t="shared" si="40"/>
        <v>4.1627276765701306E-2</v>
      </c>
      <c r="H30" s="202">
        <f t="shared" si="40"/>
        <v>4.1627276765701306E-2</v>
      </c>
      <c r="I30" s="202">
        <f t="shared" si="40"/>
        <v>4.9952732118841561E-2</v>
      </c>
      <c r="J30" s="202">
        <f t="shared" si="40"/>
        <v>6.2223872983559962E-2</v>
      </c>
      <c r="K30" s="202">
        <f t="shared" si="40"/>
        <v>7.4495013848278363E-2</v>
      </c>
      <c r="L30" s="202">
        <f t="shared" si="40"/>
        <v>0.11486054529103051</v>
      </c>
      <c r="M30" s="202">
        <f t="shared" si="40"/>
        <v>0.15522607673378269</v>
      </c>
      <c r="N30" s="202">
        <f t="shared" si="40"/>
        <v>0.19559160817653484</v>
      </c>
      <c r="O30" s="202">
        <f t="shared" si="40"/>
        <v>0.19559160817653484</v>
      </c>
      <c r="P30" s="202">
        <f t="shared" si="40"/>
        <v>0.17603244735888138</v>
      </c>
      <c r="Q30" s="202">
        <f t="shared" si="40"/>
        <v>0.15842920262299323</v>
      </c>
      <c r="R30" s="84"/>
      <c r="S30" s="84"/>
      <c r="T30" s="23"/>
      <c r="U30" s="23"/>
      <c r="V30" s="23"/>
      <c r="W30" s="23"/>
      <c r="X30" s="23"/>
      <c r="Y30" s="23"/>
      <c r="Z30" s="24"/>
      <c r="AA30" s="25"/>
      <c r="AB30" s="22"/>
      <c r="AC30" s="22"/>
      <c r="AD30" s="22"/>
      <c r="AE30" s="22"/>
      <c r="AF30" s="22"/>
      <c r="AG30" s="22"/>
      <c r="AH30" s="22"/>
      <c r="AI30" s="22"/>
      <c r="AJ30" s="22"/>
      <c r="AK30" s="26"/>
    </row>
    <row r="31" spans="2:37" ht="10.5" customHeight="1">
      <c r="C31" s="198">
        <f t="shared" si="37"/>
        <v>4</v>
      </c>
      <c r="D31" s="202">
        <f t="shared" ref="D31:Q31" si="41">D20/14</f>
        <v>0.19559160817653484</v>
      </c>
      <c r="E31" s="202">
        <f t="shared" si="41"/>
        <v>1.0057482572509002E-2</v>
      </c>
      <c r="F31" s="202">
        <f t="shared" si="41"/>
        <v>1.0057482572509002E-2</v>
      </c>
      <c r="G31" s="202">
        <f t="shared" si="41"/>
        <v>7.0402378007563002E-3</v>
      </c>
      <c r="H31" s="202">
        <f t="shared" si="41"/>
        <v>7.0402378007563002E-3</v>
      </c>
      <c r="I31" s="202">
        <f t="shared" si="41"/>
        <v>8.4482853609075589E-3</v>
      </c>
      <c r="J31" s="202">
        <f t="shared" si="41"/>
        <v>2.6180268844367353E-2</v>
      </c>
      <c r="K31" s="202">
        <f t="shared" si="41"/>
        <v>4.3912252327827146E-2</v>
      </c>
      <c r="L31" s="202">
        <f t="shared" si="41"/>
        <v>4.5202377324617883E-2</v>
      </c>
      <c r="M31" s="202">
        <f t="shared" si="41"/>
        <v>4.6492502321408613E-2</v>
      </c>
      <c r="N31" s="202">
        <f t="shared" si="41"/>
        <v>4.7782627318199343E-2</v>
      </c>
      <c r="O31" s="202">
        <f t="shared" si="41"/>
        <v>4.7782627318199343E-2</v>
      </c>
      <c r="P31" s="202">
        <f t="shared" si="41"/>
        <v>4.3004364586379414E-2</v>
      </c>
      <c r="Q31" s="202">
        <f t="shared" si="41"/>
        <v>3.8703928127741476E-2</v>
      </c>
      <c r="R31" s="84"/>
      <c r="S31" s="84"/>
      <c r="T31" s="23"/>
      <c r="U31" s="23"/>
      <c r="V31" s="23"/>
      <c r="W31" s="23"/>
      <c r="X31" s="23"/>
      <c r="Y31" s="23"/>
      <c r="Z31" s="24"/>
      <c r="AA31" s="25"/>
      <c r="AB31" s="22"/>
      <c r="AC31" s="22"/>
      <c r="AD31" s="22"/>
      <c r="AE31" s="22"/>
      <c r="AF31" s="22"/>
      <c r="AG31" s="22"/>
      <c r="AH31" s="22"/>
      <c r="AI31" s="22"/>
      <c r="AJ31" s="22"/>
      <c r="AK31" s="26"/>
    </row>
    <row r="32" spans="2:37" ht="10.5" customHeight="1">
      <c r="C32" s="198">
        <f t="shared" si="37"/>
        <v>5</v>
      </c>
      <c r="D32" s="202">
        <f t="shared" ref="D32:Q32" si="42">D21/14</f>
        <v>0.15613281549732691</v>
      </c>
      <c r="E32" s="202">
        <f t="shared" si="42"/>
        <v>2.7204729164491237E-2</v>
      </c>
      <c r="F32" s="202">
        <f t="shared" si="42"/>
        <v>2.7204729164491237E-2</v>
      </c>
      <c r="G32" s="202">
        <f t="shared" si="42"/>
        <v>1.9043310415143865E-2</v>
      </c>
      <c r="H32" s="202">
        <f t="shared" si="42"/>
        <v>1.9043310415143865E-2</v>
      </c>
      <c r="I32" s="202">
        <f t="shared" si="42"/>
        <v>2.2851972498172637E-2</v>
      </c>
      <c r="J32" s="202">
        <f t="shared" si="42"/>
        <v>3.338211241299989E-2</v>
      </c>
      <c r="K32" s="202">
        <f t="shared" si="42"/>
        <v>4.3912252327827146E-2</v>
      </c>
      <c r="L32" s="202">
        <f t="shared" si="42"/>
        <v>4.5202377324617883E-2</v>
      </c>
      <c r="M32" s="202">
        <f t="shared" si="42"/>
        <v>4.6492502321408613E-2</v>
      </c>
      <c r="N32" s="202">
        <f t="shared" si="42"/>
        <v>4.7782627318199343E-2</v>
      </c>
      <c r="O32" s="202">
        <f t="shared" si="42"/>
        <v>4.7782627318199343E-2</v>
      </c>
      <c r="P32" s="202">
        <f t="shared" si="42"/>
        <v>4.3004364586379414E-2</v>
      </c>
      <c r="Q32" s="202">
        <f t="shared" si="42"/>
        <v>3.8703928127741476E-2</v>
      </c>
      <c r="R32" s="23"/>
      <c r="S32" s="23"/>
      <c r="T32" s="23"/>
      <c r="U32" s="23"/>
      <c r="V32" s="23"/>
      <c r="W32" s="23"/>
      <c r="X32" s="23"/>
      <c r="Y32" s="23"/>
      <c r="Z32" s="24"/>
      <c r="AA32" s="25"/>
      <c r="AB32" s="22"/>
      <c r="AC32" s="22"/>
      <c r="AD32" s="22"/>
      <c r="AE32" s="22"/>
      <c r="AF32" s="22"/>
      <c r="AG32" s="22"/>
      <c r="AH32" s="22"/>
      <c r="AI32" s="22"/>
      <c r="AJ32" s="22"/>
      <c r="AK32" s="26"/>
    </row>
    <row r="33" spans="3:37" ht="10.5" customHeight="1">
      <c r="C33" s="198">
        <f t="shared" si="37"/>
        <v>6</v>
      </c>
      <c r="D33" s="202">
        <f t="shared" ref="D33:Q33" si="43">D22/14</f>
        <v>0.13122777522163892</v>
      </c>
      <c r="E33" s="202">
        <f t="shared" si="43"/>
        <v>7.3776335914324878E-3</v>
      </c>
      <c r="F33" s="202">
        <f t="shared" si="43"/>
        <v>7.3776335914324878E-3</v>
      </c>
      <c r="G33" s="202">
        <f t="shared" si="43"/>
        <v>5.1643435140027406E-3</v>
      </c>
      <c r="H33" s="202">
        <f t="shared" si="43"/>
        <v>5.1643435140027406E-3</v>
      </c>
      <c r="I33" s="202">
        <f t="shared" si="43"/>
        <v>6.1972122168032894E-3</v>
      </c>
      <c r="J33" s="202">
        <f t="shared" si="43"/>
        <v>2.5054732272315219E-2</v>
      </c>
      <c r="K33" s="202">
        <f t="shared" si="43"/>
        <v>4.3912252327827146E-2</v>
      </c>
      <c r="L33" s="202">
        <f t="shared" si="43"/>
        <v>4.5202377324617883E-2</v>
      </c>
      <c r="M33" s="202">
        <f t="shared" si="43"/>
        <v>4.6492502321408613E-2</v>
      </c>
      <c r="N33" s="202">
        <f t="shared" si="43"/>
        <v>4.7782627318199343E-2</v>
      </c>
      <c r="O33" s="202">
        <f t="shared" si="43"/>
        <v>4.7782627318199343E-2</v>
      </c>
      <c r="P33" s="202">
        <f t="shared" si="43"/>
        <v>4.3004364586379414E-2</v>
      </c>
      <c r="Q33" s="202">
        <f t="shared" si="43"/>
        <v>3.8703928127741476E-2</v>
      </c>
      <c r="R33" s="23"/>
      <c r="S33" s="23"/>
      <c r="T33" s="23"/>
      <c r="U33" s="23"/>
      <c r="V33" s="23"/>
      <c r="W33" s="23"/>
      <c r="X33" s="23"/>
      <c r="Y33" s="23"/>
      <c r="Z33" s="24"/>
      <c r="AA33" s="25"/>
      <c r="AB33" s="22"/>
      <c r="AC33" s="22"/>
      <c r="AD33" s="22"/>
      <c r="AE33" s="22"/>
      <c r="AF33" s="22"/>
      <c r="AG33" s="22"/>
      <c r="AH33" s="22"/>
      <c r="AI33" s="22"/>
      <c r="AJ33" s="22"/>
      <c r="AK33" s="26"/>
    </row>
    <row r="34" spans="3:37" ht="10.5" customHeight="1">
      <c r="C34" s="198">
        <f t="shared" si="37"/>
        <v>7</v>
      </c>
      <c r="D34" s="202">
        <f t="shared" ref="D34:Q34" si="44">D23/14</f>
        <v>0.15719929901842372</v>
      </c>
      <c r="E34" s="202">
        <f t="shared" si="44"/>
        <v>0.125759439214739</v>
      </c>
      <c r="F34" s="202">
        <f t="shared" si="44"/>
        <v>8.8031607450317281E-2</v>
      </c>
      <c r="G34" s="202">
        <f t="shared" si="44"/>
        <v>6.1622125215222097E-2</v>
      </c>
      <c r="H34" s="202">
        <f t="shared" si="44"/>
        <v>6.1622125215222097E-2</v>
      </c>
      <c r="I34" s="202">
        <f t="shared" si="44"/>
        <v>7.3946550258266505E-2</v>
      </c>
      <c r="J34" s="202">
        <f t="shared" si="44"/>
        <v>5.8929401293046836E-2</v>
      </c>
      <c r="K34" s="202">
        <f t="shared" si="44"/>
        <v>4.3912252327827146E-2</v>
      </c>
      <c r="L34" s="202">
        <f t="shared" si="44"/>
        <v>4.5202377324617883E-2</v>
      </c>
      <c r="M34" s="202">
        <f t="shared" si="44"/>
        <v>4.6492502321408613E-2</v>
      </c>
      <c r="N34" s="202">
        <f t="shared" si="44"/>
        <v>4.7782627318199343E-2</v>
      </c>
      <c r="O34" s="202">
        <f t="shared" si="44"/>
        <v>4.7782627318199343E-2</v>
      </c>
      <c r="P34" s="202">
        <f t="shared" si="44"/>
        <v>4.3004364586379414E-2</v>
      </c>
      <c r="Q34" s="202">
        <f t="shared" si="44"/>
        <v>3.8703928127741476E-2</v>
      </c>
      <c r="R34" s="23"/>
      <c r="S34" s="23"/>
      <c r="T34" s="23"/>
      <c r="U34" s="23"/>
      <c r="V34" s="23"/>
      <c r="W34" s="23"/>
      <c r="X34" s="23"/>
      <c r="Y34" s="23"/>
      <c r="Z34" s="24"/>
      <c r="AA34" s="25"/>
      <c r="AB34" s="22"/>
      <c r="AC34" s="22"/>
      <c r="AD34" s="22"/>
      <c r="AE34" s="22"/>
      <c r="AF34" s="22"/>
      <c r="AG34" s="22"/>
      <c r="AH34" s="22"/>
      <c r="AI34" s="22"/>
      <c r="AJ34" s="22"/>
      <c r="AK34" s="26"/>
    </row>
    <row r="35" spans="3:37" ht="10.5" customHeight="1">
      <c r="C35" s="198">
        <f t="shared" si="37"/>
        <v>8</v>
      </c>
      <c r="D35" s="202">
        <f t="shared" ref="D35:Q35" si="45">D24/14</f>
        <v>0.15903141009927713</v>
      </c>
      <c r="E35" s="202">
        <f t="shared" si="45"/>
        <v>7.3469279903613488E-2</v>
      </c>
      <c r="F35" s="202">
        <f t="shared" si="45"/>
        <v>7.3469279903613488E-2</v>
      </c>
      <c r="G35" s="202">
        <f t="shared" si="45"/>
        <v>5.142849593252944E-2</v>
      </c>
      <c r="H35" s="202">
        <f t="shared" si="45"/>
        <v>5.142849593252944E-2</v>
      </c>
      <c r="I35" s="202">
        <f t="shared" si="45"/>
        <v>6.1714195119035323E-2</v>
      </c>
      <c r="J35" s="202">
        <f t="shared" si="45"/>
        <v>7.5309694521173046E-2</v>
      </c>
      <c r="K35" s="202">
        <f t="shared" si="45"/>
        <v>8.8905193923310755E-2</v>
      </c>
      <c r="L35" s="202">
        <f t="shared" si="45"/>
        <v>7.5529844815009115E-2</v>
      </c>
      <c r="M35" s="202">
        <f t="shared" si="45"/>
        <v>6.2154495706707467E-2</v>
      </c>
      <c r="N35" s="202">
        <f t="shared" si="45"/>
        <v>4.8779146598405834E-2</v>
      </c>
      <c r="O35" s="202">
        <f t="shared" si="45"/>
        <v>4.8779146598405834E-2</v>
      </c>
      <c r="P35" s="202">
        <f t="shared" si="45"/>
        <v>4.3901231938565252E-2</v>
      </c>
      <c r="Q35" s="202">
        <f t="shared" si="45"/>
        <v>4.3901231938565252E-2</v>
      </c>
      <c r="R35" s="23"/>
      <c r="S35" s="23"/>
      <c r="T35" s="23"/>
      <c r="U35" s="23"/>
      <c r="V35" s="23"/>
      <c r="W35" s="23"/>
      <c r="X35" s="23"/>
      <c r="Y35" s="23"/>
      <c r="Z35" s="24"/>
      <c r="AA35" s="25"/>
      <c r="AB35" s="22"/>
      <c r="AC35" s="22"/>
      <c r="AD35" s="22"/>
      <c r="AE35" s="22"/>
      <c r="AF35" s="22"/>
      <c r="AG35" s="22"/>
      <c r="AH35" s="22"/>
      <c r="AI35" s="22"/>
      <c r="AJ35" s="22"/>
      <c r="AK35" s="26"/>
    </row>
    <row r="36" spans="3:37"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3"/>
      <c r="R36" s="23"/>
      <c r="S36" s="23"/>
      <c r="T36" s="23"/>
      <c r="U36" s="23"/>
      <c r="V36" s="23"/>
      <c r="W36" s="23"/>
      <c r="X36" s="23"/>
      <c r="Y36" s="23"/>
      <c r="Z36" s="24"/>
      <c r="AA36" s="25"/>
      <c r="AB36" s="22"/>
      <c r="AC36" s="22"/>
      <c r="AD36" s="22"/>
      <c r="AE36" s="22"/>
      <c r="AF36" s="22"/>
      <c r="AG36" s="22"/>
      <c r="AH36" s="22"/>
      <c r="AI36" s="22"/>
      <c r="AJ36" s="22"/>
      <c r="AK36" s="26"/>
    </row>
    <row r="37" spans="3:37" ht="12">
      <c r="C37" s="206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23"/>
      <c r="S37" s="23"/>
      <c r="T37" s="23"/>
      <c r="U37" s="23"/>
      <c r="V37" s="23"/>
      <c r="W37" s="23"/>
      <c r="X37" s="23"/>
      <c r="Y37" s="23"/>
      <c r="Z37" s="24"/>
      <c r="AA37" s="25"/>
      <c r="AB37" s="22"/>
      <c r="AC37" s="22"/>
      <c r="AD37" s="22"/>
      <c r="AE37" s="22"/>
      <c r="AF37" s="22"/>
      <c r="AG37" s="22"/>
      <c r="AH37" s="22"/>
      <c r="AI37" s="22"/>
      <c r="AJ37" s="22"/>
      <c r="AK37" s="26"/>
    </row>
    <row r="38" spans="3:37" ht="12">
      <c r="C38" s="206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23"/>
      <c r="S38" s="23"/>
      <c r="T38" s="23"/>
      <c r="U38" s="23"/>
      <c r="V38" s="23"/>
      <c r="W38" s="23"/>
      <c r="X38" s="23"/>
      <c r="Y38" s="23"/>
      <c r="Z38" s="24"/>
      <c r="AA38" s="25"/>
      <c r="AB38" s="22"/>
      <c r="AC38" s="22"/>
      <c r="AD38" s="22"/>
      <c r="AE38" s="22"/>
      <c r="AF38" s="22"/>
      <c r="AG38" s="22"/>
      <c r="AH38" s="22"/>
      <c r="AI38" s="22"/>
      <c r="AJ38" s="22"/>
      <c r="AK38" s="26"/>
    </row>
    <row r="39" spans="3:37" ht="12">
      <c r="C39" s="206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23"/>
      <c r="S39" s="23"/>
      <c r="T39" s="23"/>
      <c r="U39" s="23"/>
      <c r="V39" s="23"/>
      <c r="W39" s="23"/>
      <c r="X39" s="23"/>
      <c r="Y39" s="23"/>
      <c r="Z39" s="24"/>
      <c r="AA39" s="25"/>
      <c r="AB39" s="22"/>
      <c r="AC39" s="22"/>
      <c r="AD39" s="22"/>
      <c r="AE39" s="22"/>
      <c r="AF39" s="22"/>
      <c r="AG39" s="22"/>
      <c r="AH39" s="22"/>
      <c r="AI39" s="22"/>
      <c r="AJ39" s="22"/>
      <c r="AK39" s="26"/>
    </row>
    <row r="40" spans="3:37" ht="12">
      <c r="C40" s="206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23"/>
      <c r="S40" s="23"/>
      <c r="T40" s="23"/>
      <c r="U40" s="23"/>
      <c r="V40" s="23"/>
      <c r="W40" s="23"/>
      <c r="X40" s="23"/>
      <c r="Y40" s="23"/>
      <c r="Z40" s="24"/>
      <c r="AA40" s="25"/>
      <c r="AB40" s="22"/>
      <c r="AC40" s="22"/>
      <c r="AD40" s="22"/>
      <c r="AE40" s="22"/>
      <c r="AF40" s="22"/>
      <c r="AG40" s="22"/>
      <c r="AH40" s="22"/>
      <c r="AI40" s="22"/>
      <c r="AJ40" s="22"/>
      <c r="AK40" s="26"/>
    </row>
    <row r="41" spans="3:37" ht="12">
      <c r="C41" s="206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23"/>
      <c r="S41" s="23"/>
      <c r="T41" s="23"/>
      <c r="U41" s="23"/>
      <c r="V41" s="23"/>
      <c r="W41" s="23"/>
      <c r="X41" s="23"/>
      <c r="Y41" s="23"/>
      <c r="Z41" s="24"/>
      <c r="AA41" s="25"/>
      <c r="AB41" s="22"/>
      <c r="AC41" s="22"/>
      <c r="AD41" s="22"/>
      <c r="AE41" s="22"/>
      <c r="AF41" s="22"/>
      <c r="AG41" s="22"/>
      <c r="AH41" s="22"/>
      <c r="AI41" s="22"/>
      <c r="AJ41" s="22"/>
      <c r="AK41" s="26"/>
    </row>
    <row r="42" spans="3:37" ht="12">
      <c r="C42" s="206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23"/>
      <c r="S42" s="23"/>
      <c r="T42" s="23"/>
      <c r="U42" s="23"/>
      <c r="V42" s="23"/>
      <c r="W42" s="23"/>
      <c r="X42" s="23"/>
      <c r="Y42" s="23"/>
      <c r="Z42" s="24"/>
      <c r="AA42" s="25"/>
      <c r="AB42" s="22"/>
      <c r="AC42" s="22"/>
      <c r="AD42" s="22"/>
      <c r="AE42" s="22"/>
      <c r="AF42" s="22"/>
      <c r="AG42" s="22"/>
      <c r="AH42" s="22"/>
      <c r="AI42" s="22"/>
      <c r="AJ42" s="22"/>
      <c r="AK42" s="26"/>
    </row>
    <row r="43" spans="3:37" ht="12">
      <c r="C43" s="206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23"/>
      <c r="S43" s="23"/>
      <c r="T43" s="23"/>
      <c r="U43" s="23"/>
      <c r="V43" s="23"/>
      <c r="W43" s="23"/>
      <c r="X43" s="23"/>
      <c r="Y43" s="23"/>
      <c r="Z43" s="24"/>
      <c r="AA43" s="25"/>
      <c r="AB43" s="22"/>
      <c r="AC43" s="22"/>
      <c r="AD43" s="22"/>
      <c r="AE43" s="22"/>
      <c r="AF43" s="22"/>
      <c r="AG43" s="22"/>
      <c r="AH43" s="22"/>
      <c r="AI43" s="22"/>
      <c r="AJ43" s="22"/>
      <c r="AK43" s="26"/>
    </row>
    <row r="44" spans="3:37" ht="12">
      <c r="C44" s="206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23"/>
      <c r="S44" s="23"/>
      <c r="T44" s="23"/>
      <c r="U44" s="23"/>
      <c r="V44" s="23"/>
      <c r="W44" s="23"/>
      <c r="X44" s="23"/>
      <c r="Y44" s="23"/>
      <c r="Z44" s="24"/>
      <c r="AA44" s="25"/>
      <c r="AB44" s="22"/>
      <c r="AC44" s="22"/>
      <c r="AD44" s="22"/>
      <c r="AE44" s="22"/>
      <c r="AF44" s="22"/>
      <c r="AG44" s="22"/>
      <c r="AH44" s="22"/>
      <c r="AI44" s="22"/>
      <c r="AJ44" s="22"/>
      <c r="AK44" s="26"/>
    </row>
    <row r="45" spans="3:37" ht="12">
      <c r="C45" s="206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23"/>
      <c r="S45" s="23"/>
      <c r="T45" s="23"/>
      <c r="U45" s="23"/>
      <c r="V45" s="23"/>
      <c r="W45" s="23"/>
      <c r="X45" s="23"/>
      <c r="Y45" s="23"/>
      <c r="Z45" s="24"/>
      <c r="AA45" s="25"/>
      <c r="AB45" s="22"/>
      <c r="AC45" s="22"/>
      <c r="AD45" s="22"/>
      <c r="AE45" s="22"/>
      <c r="AF45" s="22"/>
      <c r="AG45" s="22"/>
      <c r="AH45" s="22"/>
      <c r="AI45" s="22"/>
      <c r="AJ45" s="22"/>
      <c r="AK45" s="26"/>
    </row>
    <row r="46" spans="3:37">
      <c r="D46" s="24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3"/>
      <c r="R46" s="23"/>
      <c r="S46" s="23"/>
      <c r="T46" s="23"/>
      <c r="U46" s="23"/>
      <c r="V46" s="23"/>
      <c r="W46" s="23"/>
      <c r="X46" s="23"/>
      <c r="Y46" s="23"/>
      <c r="Z46" s="24"/>
      <c r="AA46" s="25"/>
      <c r="AB46" s="22"/>
      <c r="AC46" s="22"/>
      <c r="AD46" s="22"/>
      <c r="AE46" s="22"/>
      <c r="AF46" s="22"/>
      <c r="AG46" s="22"/>
      <c r="AH46" s="22"/>
      <c r="AI46" s="22"/>
      <c r="AJ46" s="22"/>
      <c r="AK46" s="26"/>
    </row>
    <row r="47" spans="3:37">
      <c r="D47" s="24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3"/>
      <c r="R47" s="23"/>
      <c r="S47" s="23"/>
      <c r="T47" s="23"/>
      <c r="U47" s="23"/>
      <c r="V47" s="23"/>
      <c r="W47" s="23"/>
      <c r="X47" s="23"/>
      <c r="Y47" s="23"/>
      <c r="Z47" s="24"/>
      <c r="AA47" s="25"/>
      <c r="AB47" s="22"/>
      <c r="AC47" s="22"/>
      <c r="AD47" s="22"/>
      <c r="AE47" s="22"/>
      <c r="AF47" s="22"/>
      <c r="AG47" s="22"/>
      <c r="AH47" s="22"/>
      <c r="AI47" s="22"/>
      <c r="AJ47" s="22"/>
      <c r="AK47" s="26"/>
    </row>
    <row r="48" spans="3:37"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3"/>
      <c r="R48" s="23"/>
      <c r="S48" s="23"/>
      <c r="T48" s="23"/>
      <c r="U48" s="23"/>
      <c r="V48" s="23"/>
      <c r="W48" s="23"/>
      <c r="X48" s="23"/>
      <c r="Y48" s="23"/>
      <c r="Z48" s="24"/>
      <c r="AA48" s="25"/>
      <c r="AB48" s="22"/>
      <c r="AC48" s="22"/>
      <c r="AD48" s="22"/>
      <c r="AE48" s="22"/>
      <c r="AF48" s="22"/>
      <c r="AG48" s="22"/>
      <c r="AH48" s="22"/>
      <c r="AI48" s="22"/>
      <c r="AJ48" s="22"/>
      <c r="AK48" s="26"/>
    </row>
    <row r="49" spans="4:37"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3"/>
      <c r="R49" s="23"/>
      <c r="S49" s="23"/>
      <c r="T49" s="23"/>
      <c r="U49" s="23"/>
      <c r="V49" s="23"/>
      <c r="W49" s="23"/>
      <c r="X49" s="23"/>
      <c r="Y49" s="23"/>
      <c r="Z49" s="24"/>
      <c r="AA49" s="25"/>
      <c r="AB49" s="22"/>
      <c r="AC49" s="22"/>
      <c r="AD49" s="22"/>
      <c r="AE49" s="22"/>
      <c r="AF49" s="22"/>
      <c r="AG49" s="22"/>
      <c r="AH49" s="22"/>
      <c r="AI49" s="22"/>
      <c r="AJ49" s="22"/>
      <c r="AK49" s="26"/>
    </row>
    <row r="50" spans="4:37"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3"/>
      <c r="R50" s="23"/>
      <c r="S50" s="23"/>
      <c r="T50" s="23"/>
      <c r="U50" s="23"/>
      <c r="V50" s="23"/>
      <c r="W50" s="23"/>
      <c r="X50" s="23"/>
      <c r="Y50" s="23"/>
      <c r="Z50" s="24"/>
      <c r="AA50" s="25"/>
      <c r="AB50" s="22"/>
      <c r="AC50" s="22"/>
      <c r="AD50" s="22"/>
      <c r="AE50" s="22"/>
      <c r="AF50" s="22"/>
      <c r="AG50" s="22"/>
      <c r="AH50" s="22"/>
      <c r="AI50" s="22"/>
      <c r="AJ50" s="22"/>
      <c r="AK50" s="26"/>
    </row>
    <row r="51" spans="4:37"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3"/>
      <c r="R51" s="23"/>
      <c r="S51" s="23"/>
      <c r="T51" s="23"/>
      <c r="U51" s="23"/>
      <c r="V51" s="23"/>
      <c r="W51" s="23"/>
      <c r="X51" s="23"/>
      <c r="Y51" s="23"/>
      <c r="Z51" s="24"/>
      <c r="AA51" s="25"/>
      <c r="AB51" s="22"/>
      <c r="AC51" s="22"/>
      <c r="AD51" s="22"/>
      <c r="AE51" s="22"/>
      <c r="AF51" s="22"/>
      <c r="AG51" s="22"/>
      <c r="AH51" s="22"/>
      <c r="AI51" s="22"/>
      <c r="AJ51" s="22"/>
      <c r="AK51" s="26"/>
    </row>
    <row r="52" spans="4:37"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3"/>
      <c r="R52" s="23"/>
      <c r="S52" s="23"/>
      <c r="T52" s="23"/>
      <c r="U52" s="23"/>
      <c r="V52" s="23"/>
      <c r="W52" s="23"/>
      <c r="X52" s="23"/>
      <c r="Y52" s="23"/>
      <c r="Z52" s="24"/>
      <c r="AA52" s="25"/>
      <c r="AB52" s="22"/>
      <c r="AC52" s="22"/>
      <c r="AD52" s="22"/>
      <c r="AE52" s="22"/>
      <c r="AF52" s="22"/>
      <c r="AG52" s="22"/>
      <c r="AH52" s="22"/>
      <c r="AI52" s="22"/>
      <c r="AJ52" s="22"/>
      <c r="AK52" s="26"/>
    </row>
    <row r="53" spans="4:37"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3"/>
      <c r="R53" s="23"/>
      <c r="S53" s="23"/>
      <c r="T53" s="23"/>
      <c r="U53" s="23"/>
      <c r="V53" s="23"/>
      <c r="W53" s="23"/>
      <c r="X53" s="23"/>
      <c r="Y53" s="23"/>
      <c r="Z53" s="24"/>
      <c r="AA53" s="25"/>
      <c r="AB53" s="22"/>
      <c r="AC53" s="22"/>
      <c r="AD53" s="22"/>
      <c r="AE53" s="22"/>
      <c r="AF53" s="22"/>
      <c r="AG53" s="22"/>
      <c r="AH53" s="22"/>
      <c r="AI53" s="22"/>
      <c r="AJ53" s="22"/>
      <c r="AK53" s="26"/>
    </row>
    <row r="54" spans="4:37"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3"/>
      <c r="R54" s="23"/>
      <c r="S54" s="23"/>
      <c r="T54" s="23"/>
      <c r="U54" s="23"/>
      <c r="V54" s="23"/>
      <c r="W54" s="23"/>
      <c r="X54" s="23"/>
      <c r="Y54" s="23"/>
      <c r="Z54" s="24"/>
      <c r="AA54" s="25"/>
      <c r="AB54" s="22"/>
      <c r="AC54" s="22"/>
      <c r="AD54" s="22"/>
      <c r="AE54" s="22"/>
      <c r="AF54" s="22"/>
      <c r="AG54" s="22"/>
      <c r="AH54" s="22"/>
      <c r="AI54" s="22"/>
      <c r="AJ54" s="22"/>
      <c r="AK54" s="26"/>
    </row>
    <row r="55" spans="4:37"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3"/>
      <c r="R55" s="23"/>
      <c r="S55" s="23"/>
      <c r="T55" s="23"/>
      <c r="U55" s="23"/>
      <c r="V55" s="23"/>
      <c r="W55" s="23"/>
      <c r="X55" s="23"/>
      <c r="Y55" s="23"/>
      <c r="Z55" s="24"/>
      <c r="AA55" s="25"/>
      <c r="AB55" s="22"/>
      <c r="AC55" s="22"/>
      <c r="AD55" s="22"/>
      <c r="AE55" s="22"/>
      <c r="AF55" s="22"/>
      <c r="AG55" s="22"/>
      <c r="AH55" s="22"/>
      <c r="AI55" s="22"/>
      <c r="AJ55" s="22"/>
      <c r="AK55" s="26"/>
    </row>
    <row r="56" spans="4:37"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3"/>
      <c r="R56" s="23"/>
      <c r="S56" s="23"/>
      <c r="T56" s="23"/>
      <c r="U56" s="23"/>
      <c r="V56" s="23"/>
      <c r="W56" s="23"/>
      <c r="X56" s="23"/>
      <c r="Y56" s="23"/>
      <c r="Z56" s="24"/>
      <c r="AA56" s="25"/>
      <c r="AB56" s="22"/>
      <c r="AC56" s="22"/>
      <c r="AD56" s="22"/>
      <c r="AE56" s="22"/>
      <c r="AF56" s="22"/>
      <c r="AG56" s="22"/>
      <c r="AH56" s="22"/>
      <c r="AI56" s="22"/>
      <c r="AJ56" s="22"/>
      <c r="AK56" s="26"/>
    </row>
    <row r="57" spans="4:37"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3"/>
      <c r="R57" s="23"/>
      <c r="S57" s="23"/>
      <c r="T57" s="23"/>
      <c r="U57" s="23"/>
      <c r="V57" s="23"/>
      <c r="W57" s="23"/>
      <c r="X57" s="23"/>
      <c r="Y57" s="23"/>
      <c r="Z57" s="24"/>
      <c r="AA57" s="25"/>
      <c r="AB57" s="22"/>
      <c r="AC57" s="22"/>
      <c r="AD57" s="22"/>
      <c r="AE57" s="22"/>
      <c r="AF57" s="22"/>
      <c r="AG57" s="22"/>
      <c r="AH57" s="22"/>
      <c r="AI57" s="22"/>
      <c r="AJ57" s="22"/>
      <c r="AK57" s="26"/>
    </row>
    <row r="58" spans="4:37"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3"/>
      <c r="R58" s="23"/>
      <c r="S58" s="23"/>
      <c r="T58" s="23"/>
      <c r="U58" s="23"/>
      <c r="V58" s="23"/>
      <c r="W58" s="23"/>
      <c r="X58" s="23"/>
      <c r="Y58" s="23"/>
      <c r="Z58" s="24"/>
      <c r="AA58" s="25"/>
      <c r="AB58" s="22"/>
      <c r="AC58" s="22"/>
      <c r="AD58" s="22"/>
      <c r="AE58" s="22"/>
      <c r="AF58" s="22"/>
      <c r="AG58" s="22"/>
      <c r="AH58" s="22"/>
      <c r="AI58" s="22"/>
      <c r="AJ58" s="22"/>
      <c r="AK58" s="26"/>
    </row>
    <row r="59" spans="4:37"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3"/>
      <c r="R59" s="23"/>
      <c r="S59" s="23"/>
      <c r="T59" s="23"/>
      <c r="U59" s="23"/>
      <c r="V59" s="23"/>
      <c r="W59" s="23"/>
      <c r="X59" s="23"/>
      <c r="Y59" s="23"/>
      <c r="Z59" s="24"/>
      <c r="AA59" s="25"/>
      <c r="AB59" s="22"/>
      <c r="AC59" s="22"/>
      <c r="AD59" s="22"/>
      <c r="AE59" s="22"/>
      <c r="AF59" s="22"/>
      <c r="AG59" s="22"/>
      <c r="AH59" s="22"/>
      <c r="AI59" s="22"/>
      <c r="AJ59" s="22"/>
      <c r="AK59" s="26"/>
    </row>
    <row r="60" spans="4:37"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3"/>
      <c r="R60" s="23"/>
      <c r="S60" s="23"/>
      <c r="T60" s="23"/>
      <c r="U60" s="23"/>
      <c r="V60" s="23"/>
      <c r="W60" s="23"/>
      <c r="X60" s="23"/>
      <c r="Y60" s="23"/>
      <c r="Z60" s="24"/>
      <c r="AA60" s="25"/>
      <c r="AB60" s="22"/>
      <c r="AC60" s="22"/>
      <c r="AD60" s="22"/>
      <c r="AE60" s="22"/>
      <c r="AF60" s="22"/>
      <c r="AG60" s="22"/>
      <c r="AH60" s="22"/>
      <c r="AI60" s="22"/>
      <c r="AJ60" s="22"/>
      <c r="AK60" s="26"/>
    </row>
    <row r="61" spans="4:37"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3"/>
      <c r="R61" s="23"/>
      <c r="S61" s="23"/>
      <c r="T61" s="23"/>
      <c r="U61" s="23"/>
      <c r="V61" s="23"/>
      <c r="W61" s="23"/>
      <c r="X61" s="23"/>
      <c r="Y61" s="23"/>
      <c r="Z61" s="24"/>
      <c r="AA61" s="25"/>
      <c r="AB61" s="22"/>
      <c r="AC61" s="22"/>
      <c r="AD61" s="22"/>
      <c r="AE61" s="22"/>
      <c r="AF61" s="22"/>
      <c r="AG61" s="22"/>
      <c r="AH61" s="22"/>
      <c r="AI61" s="22"/>
      <c r="AJ61" s="22"/>
      <c r="AK61" s="26"/>
    </row>
    <row r="62" spans="4:37"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3"/>
      <c r="R62" s="23"/>
      <c r="S62" s="23"/>
      <c r="T62" s="23"/>
      <c r="U62" s="23"/>
      <c r="V62" s="23"/>
      <c r="W62" s="23"/>
      <c r="X62" s="23"/>
      <c r="Y62" s="23"/>
      <c r="Z62" s="24"/>
      <c r="AA62" s="25"/>
      <c r="AB62" s="22"/>
      <c r="AC62" s="22"/>
      <c r="AD62" s="22"/>
      <c r="AE62" s="22"/>
      <c r="AF62" s="22"/>
      <c r="AG62" s="22"/>
      <c r="AH62" s="22"/>
      <c r="AI62" s="22"/>
      <c r="AJ62" s="22"/>
      <c r="AK62" s="26"/>
    </row>
    <row r="63" spans="4:37"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3"/>
      <c r="R63" s="23"/>
      <c r="S63" s="23"/>
      <c r="T63" s="23"/>
      <c r="U63" s="23"/>
      <c r="V63" s="23"/>
      <c r="W63" s="23"/>
      <c r="X63" s="23"/>
      <c r="Y63" s="23"/>
      <c r="Z63" s="24"/>
      <c r="AA63" s="25"/>
      <c r="AB63" s="22"/>
      <c r="AC63" s="22"/>
      <c r="AD63" s="22"/>
      <c r="AE63" s="22"/>
      <c r="AF63" s="22"/>
      <c r="AG63" s="22"/>
      <c r="AH63" s="22"/>
      <c r="AI63" s="22"/>
      <c r="AJ63" s="22"/>
      <c r="AK63" s="26"/>
    </row>
    <row r="64" spans="4:37"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3"/>
      <c r="R64" s="23"/>
      <c r="S64" s="23"/>
      <c r="T64" s="23"/>
      <c r="U64" s="23"/>
      <c r="V64" s="23"/>
      <c r="W64" s="23"/>
      <c r="X64" s="23"/>
      <c r="Y64" s="23"/>
      <c r="Z64" s="24"/>
      <c r="AA64" s="25"/>
      <c r="AB64" s="22"/>
      <c r="AC64" s="22"/>
      <c r="AD64" s="22"/>
      <c r="AE64" s="22"/>
      <c r="AF64" s="22"/>
      <c r="AG64" s="22"/>
      <c r="AH64" s="22"/>
      <c r="AI64" s="22"/>
      <c r="AJ64" s="22"/>
      <c r="AK64" s="26"/>
    </row>
    <row r="65" spans="4:37"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3"/>
      <c r="R65" s="23"/>
      <c r="S65" s="23"/>
      <c r="T65" s="23"/>
      <c r="U65" s="23"/>
      <c r="V65" s="23"/>
      <c r="W65" s="23"/>
      <c r="X65" s="23"/>
      <c r="Y65" s="23"/>
      <c r="Z65" s="24"/>
      <c r="AA65" s="25"/>
      <c r="AB65" s="22"/>
      <c r="AC65" s="22"/>
      <c r="AD65" s="22"/>
      <c r="AE65" s="22"/>
      <c r="AF65" s="22"/>
      <c r="AG65" s="22"/>
      <c r="AH65" s="22"/>
      <c r="AI65" s="22"/>
      <c r="AJ65" s="22"/>
      <c r="AK65" s="26"/>
    </row>
    <row r="66" spans="4:37"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3"/>
      <c r="R66" s="23"/>
      <c r="S66" s="23"/>
      <c r="T66" s="23"/>
      <c r="U66" s="23"/>
      <c r="V66" s="23"/>
      <c r="W66" s="23"/>
      <c r="X66" s="23"/>
      <c r="Y66" s="23"/>
      <c r="Z66" s="24"/>
      <c r="AA66" s="25"/>
      <c r="AB66" s="22"/>
      <c r="AC66" s="22"/>
      <c r="AD66" s="22"/>
      <c r="AE66" s="22"/>
      <c r="AF66" s="22"/>
      <c r="AG66" s="22"/>
      <c r="AH66" s="22"/>
      <c r="AI66" s="22"/>
      <c r="AJ66" s="22"/>
      <c r="AK66" s="26"/>
    </row>
    <row r="67" spans="4:37"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3"/>
      <c r="R67" s="23"/>
      <c r="S67" s="23"/>
      <c r="T67" s="23"/>
      <c r="U67" s="23"/>
      <c r="V67" s="23"/>
      <c r="W67" s="23"/>
      <c r="X67" s="23"/>
      <c r="Y67" s="23"/>
      <c r="Z67" s="24"/>
      <c r="AA67" s="25"/>
      <c r="AB67" s="22"/>
      <c r="AC67" s="22"/>
      <c r="AD67" s="22"/>
      <c r="AE67" s="22"/>
      <c r="AF67" s="22"/>
      <c r="AG67" s="22"/>
      <c r="AH67" s="22"/>
      <c r="AI67" s="22"/>
      <c r="AJ67" s="22"/>
      <c r="AK67" s="26"/>
    </row>
    <row r="68" spans="4:37"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3"/>
      <c r="R68" s="23"/>
      <c r="S68" s="23"/>
      <c r="T68" s="23"/>
      <c r="U68" s="23"/>
      <c r="V68" s="23"/>
      <c r="W68" s="23"/>
      <c r="X68" s="23"/>
      <c r="Y68" s="23"/>
      <c r="Z68" s="24"/>
      <c r="AA68" s="25"/>
      <c r="AB68" s="22"/>
      <c r="AC68" s="22"/>
      <c r="AD68" s="22"/>
      <c r="AE68" s="22"/>
      <c r="AF68" s="22"/>
      <c r="AG68" s="22"/>
      <c r="AH68" s="22"/>
      <c r="AI68" s="22"/>
      <c r="AJ68" s="22"/>
      <c r="AK68" s="26"/>
    </row>
    <row r="69" spans="4:37"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3"/>
      <c r="R69" s="23"/>
      <c r="S69" s="23"/>
      <c r="T69" s="23"/>
      <c r="U69" s="23"/>
      <c r="V69" s="23"/>
      <c r="W69" s="23"/>
      <c r="X69" s="23"/>
      <c r="Y69" s="23"/>
      <c r="Z69" s="24"/>
      <c r="AA69" s="25"/>
      <c r="AB69" s="22"/>
      <c r="AC69" s="22"/>
      <c r="AD69" s="22"/>
      <c r="AE69" s="22"/>
      <c r="AF69" s="22"/>
      <c r="AG69" s="22"/>
      <c r="AH69" s="22"/>
      <c r="AI69" s="22"/>
      <c r="AJ69" s="22"/>
      <c r="AK69" s="26"/>
    </row>
    <row r="70" spans="4:37"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3"/>
      <c r="R70" s="23"/>
      <c r="S70" s="23"/>
      <c r="T70" s="23"/>
      <c r="U70" s="23"/>
      <c r="V70" s="23"/>
      <c r="W70" s="23"/>
      <c r="X70" s="23"/>
      <c r="Y70" s="23"/>
      <c r="Z70" s="24"/>
      <c r="AA70" s="25"/>
      <c r="AB70" s="22"/>
      <c r="AC70" s="22"/>
      <c r="AD70" s="22"/>
      <c r="AE70" s="22"/>
      <c r="AF70" s="22"/>
      <c r="AG70" s="22"/>
      <c r="AH70" s="22"/>
      <c r="AI70" s="22"/>
      <c r="AJ70" s="22"/>
      <c r="AK70" s="26"/>
    </row>
    <row r="71" spans="4:37"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3"/>
      <c r="R71" s="23"/>
      <c r="S71" s="23"/>
      <c r="T71" s="23"/>
      <c r="U71" s="23"/>
      <c r="V71" s="23"/>
      <c r="W71" s="23"/>
      <c r="X71" s="23"/>
      <c r="Y71" s="23"/>
      <c r="Z71" s="24"/>
      <c r="AA71" s="25"/>
      <c r="AB71" s="22"/>
      <c r="AC71" s="22"/>
      <c r="AD71" s="22"/>
      <c r="AE71" s="22"/>
      <c r="AF71" s="22"/>
      <c r="AG71" s="22"/>
      <c r="AH71" s="22"/>
      <c r="AI71" s="22"/>
      <c r="AJ71" s="22"/>
      <c r="AK71" s="26"/>
    </row>
    <row r="72" spans="4:37"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3"/>
      <c r="R72" s="23"/>
      <c r="S72" s="23"/>
      <c r="T72" s="23"/>
      <c r="U72" s="23"/>
      <c r="V72" s="23"/>
      <c r="W72" s="23"/>
      <c r="X72" s="23"/>
      <c r="Y72" s="23"/>
      <c r="Z72" s="24"/>
      <c r="AA72" s="25"/>
      <c r="AB72" s="22"/>
      <c r="AC72" s="22"/>
      <c r="AD72" s="22"/>
      <c r="AE72" s="22"/>
      <c r="AF72" s="22"/>
      <c r="AG72" s="22"/>
      <c r="AH72" s="22"/>
      <c r="AI72" s="22"/>
      <c r="AJ72" s="22"/>
      <c r="AK72" s="26"/>
    </row>
    <row r="73" spans="4:37"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3"/>
      <c r="R73" s="23"/>
      <c r="S73" s="23"/>
      <c r="T73" s="23"/>
      <c r="U73" s="23"/>
      <c r="V73" s="23"/>
      <c r="W73" s="23"/>
      <c r="X73" s="23"/>
      <c r="Y73" s="23"/>
      <c r="Z73" s="24"/>
      <c r="AA73" s="25"/>
      <c r="AB73" s="22"/>
      <c r="AC73" s="22"/>
      <c r="AD73" s="22"/>
      <c r="AE73" s="22"/>
      <c r="AF73" s="22"/>
      <c r="AG73" s="22"/>
      <c r="AH73" s="22"/>
      <c r="AI73" s="22"/>
      <c r="AJ73" s="22"/>
      <c r="AK73" s="26"/>
    </row>
    <row r="74" spans="4:37"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3"/>
      <c r="R74" s="23"/>
      <c r="S74" s="23"/>
      <c r="T74" s="23"/>
      <c r="U74" s="23"/>
      <c r="V74" s="23"/>
      <c r="W74" s="23"/>
      <c r="X74" s="23"/>
      <c r="Y74" s="23"/>
      <c r="Z74" s="24"/>
      <c r="AA74" s="25"/>
      <c r="AB74" s="22"/>
      <c r="AC74" s="22"/>
      <c r="AD74" s="22"/>
      <c r="AE74" s="22"/>
      <c r="AF74" s="22"/>
      <c r="AG74" s="22"/>
      <c r="AH74" s="22"/>
      <c r="AI74" s="22"/>
      <c r="AJ74" s="22"/>
      <c r="AK74" s="26"/>
    </row>
    <row r="75" spans="4:37"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3"/>
      <c r="R75" s="23"/>
      <c r="S75" s="23"/>
      <c r="T75" s="23"/>
      <c r="U75" s="23"/>
      <c r="V75" s="23"/>
      <c r="W75" s="23"/>
      <c r="X75" s="23"/>
      <c r="Y75" s="23"/>
      <c r="Z75" s="24"/>
      <c r="AA75" s="25"/>
      <c r="AB75" s="22"/>
      <c r="AC75" s="22"/>
      <c r="AD75" s="22"/>
      <c r="AE75" s="22"/>
      <c r="AF75" s="22"/>
      <c r="AG75" s="22"/>
      <c r="AH75" s="22"/>
      <c r="AI75" s="22"/>
      <c r="AJ75" s="22"/>
      <c r="AK75" s="26"/>
    </row>
    <row r="76" spans="4:37"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3"/>
      <c r="R76" s="23"/>
      <c r="S76" s="23"/>
      <c r="T76" s="23"/>
      <c r="U76" s="23"/>
      <c r="V76" s="23"/>
      <c r="W76" s="23"/>
      <c r="X76" s="23"/>
      <c r="Y76" s="23"/>
      <c r="Z76" s="24"/>
      <c r="AA76" s="25"/>
      <c r="AB76" s="22"/>
      <c r="AC76" s="22"/>
      <c r="AD76" s="22"/>
      <c r="AE76" s="22"/>
      <c r="AF76" s="22"/>
      <c r="AG76" s="22"/>
      <c r="AH76" s="22"/>
      <c r="AI76" s="22"/>
      <c r="AJ76" s="22"/>
      <c r="AK76" s="26"/>
    </row>
    <row r="77" spans="4:37"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3"/>
      <c r="R77" s="23"/>
      <c r="S77" s="23"/>
      <c r="T77" s="23"/>
      <c r="U77" s="23"/>
      <c r="V77" s="23"/>
      <c r="W77" s="23"/>
      <c r="X77" s="23"/>
      <c r="Y77" s="23"/>
      <c r="Z77" s="24"/>
      <c r="AA77" s="25"/>
      <c r="AB77" s="22"/>
      <c r="AC77" s="22"/>
      <c r="AD77" s="22"/>
      <c r="AE77" s="22"/>
      <c r="AF77" s="22"/>
      <c r="AG77" s="22"/>
      <c r="AH77" s="22"/>
      <c r="AI77" s="22"/>
      <c r="AJ77" s="22"/>
      <c r="AK77" s="26"/>
    </row>
    <row r="78" spans="4:37"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3"/>
      <c r="R78" s="23"/>
      <c r="S78" s="23"/>
      <c r="T78" s="23"/>
      <c r="U78" s="23"/>
      <c r="V78" s="23"/>
      <c r="W78" s="23"/>
      <c r="X78" s="23"/>
      <c r="Y78" s="23"/>
      <c r="Z78" s="24"/>
      <c r="AA78" s="25"/>
      <c r="AB78" s="22"/>
      <c r="AC78" s="22"/>
      <c r="AD78" s="22"/>
      <c r="AE78" s="22"/>
      <c r="AF78" s="22"/>
      <c r="AG78" s="22"/>
      <c r="AH78" s="22"/>
      <c r="AI78" s="22"/>
      <c r="AJ78" s="22"/>
      <c r="AK78" s="26"/>
    </row>
    <row r="79" spans="4:37"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3"/>
      <c r="R79" s="23"/>
      <c r="S79" s="23"/>
      <c r="T79" s="23"/>
      <c r="U79" s="23"/>
      <c r="V79" s="23"/>
      <c r="W79" s="23"/>
      <c r="X79" s="23"/>
      <c r="Y79" s="23"/>
      <c r="Z79" s="24"/>
      <c r="AA79" s="25"/>
      <c r="AB79" s="22"/>
      <c r="AC79" s="22"/>
      <c r="AD79" s="22"/>
      <c r="AE79" s="22"/>
      <c r="AF79" s="22"/>
      <c r="AG79" s="22"/>
      <c r="AH79" s="22"/>
      <c r="AI79" s="22"/>
      <c r="AJ79" s="22"/>
      <c r="AK79" s="26"/>
    </row>
    <row r="80" spans="4:37"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3"/>
      <c r="R80" s="23"/>
      <c r="S80" s="23"/>
      <c r="T80" s="23"/>
      <c r="U80" s="23"/>
      <c r="V80" s="23"/>
      <c r="W80" s="23"/>
      <c r="X80" s="23"/>
      <c r="Y80" s="23"/>
      <c r="Z80" s="24"/>
      <c r="AA80" s="25"/>
      <c r="AB80" s="22"/>
      <c r="AC80" s="22"/>
      <c r="AD80" s="22"/>
      <c r="AE80" s="22"/>
      <c r="AF80" s="22"/>
      <c r="AG80" s="22"/>
      <c r="AH80" s="22"/>
      <c r="AI80" s="22"/>
      <c r="AJ80" s="22"/>
      <c r="AK80" s="26"/>
    </row>
    <row r="81" spans="4:37"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3"/>
      <c r="R81" s="23"/>
      <c r="S81" s="23"/>
      <c r="T81" s="23"/>
      <c r="U81" s="23"/>
      <c r="V81" s="23"/>
      <c r="W81" s="23"/>
      <c r="X81" s="23"/>
      <c r="Y81" s="23"/>
      <c r="Z81" s="24"/>
      <c r="AA81" s="25"/>
      <c r="AB81" s="22"/>
      <c r="AC81" s="22"/>
      <c r="AD81" s="22"/>
      <c r="AE81" s="22"/>
      <c r="AF81" s="22"/>
      <c r="AG81" s="22"/>
      <c r="AH81" s="22"/>
      <c r="AI81" s="22"/>
      <c r="AJ81" s="22"/>
      <c r="AK81" s="26"/>
    </row>
    <row r="82" spans="4:37"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3"/>
      <c r="R82" s="23"/>
      <c r="S82" s="23"/>
      <c r="T82" s="23"/>
      <c r="U82" s="23"/>
      <c r="V82" s="23"/>
      <c r="W82" s="23"/>
      <c r="X82" s="23"/>
      <c r="Y82" s="23"/>
      <c r="Z82" s="24"/>
      <c r="AA82" s="25"/>
      <c r="AB82" s="22"/>
      <c r="AC82" s="22"/>
      <c r="AD82" s="22"/>
      <c r="AE82" s="22"/>
      <c r="AF82" s="22"/>
      <c r="AG82" s="22"/>
      <c r="AH82" s="22"/>
      <c r="AI82" s="22"/>
      <c r="AJ82" s="22"/>
      <c r="AK82" s="26"/>
    </row>
    <row r="83" spans="4:37"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3"/>
      <c r="R83" s="23"/>
      <c r="S83" s="23"/>
      <c r="T83" s="23"/>
      <c r="U83" s="23"/>
      <c r="V83" s="23"/>
      <c r="W83" s="23"/>
      <c r="X83" s="23"/>
      <c r="Y83" s="23"/>
      <c r="Z83" s="24"/>
      <c r="AA83" s="25"/>
      <c r="AB83" s="22"/>
      <c r="AC83" s="22"/>
      <c r="AD83" s="22"/>
      <c r="AE83" s="22"/>
      <c r="AF83" s="22"/>
      <c r="AG83" s="22"/>
      <c r="AH83" s="22"/>
      <c r="AI83" s="22"/>
      <c r="AJ83" s="22"/>
      <c r="AK83" s="26"/>
    </row>
    <row r="84" spans="4:37"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3"/>
      <c r="R84" s="23"/>
      <c r="S84" s="23"/>
      <c r="T84" s="23"/>
      <c r="U84" s="23"/>
      <c r="V84" s="23"/>
      <c r="W84" s="23"/>
      <c r="X84" s="23"/>
      <c r="Y84" s="23"/>
      <c r="Z84" s="24"/>
      <c r="AA84" s="25"/>
      <c r="AB84" s="22"/>
      <c r="AC84" s="22"/>
      <c r="AD84" s="22"/>
      <c r="AE84" s="22"/>
      <c r="AF84" s="22"/>
      <c r="AG84" s="22"/>
      <c r="AH84" s="22"/>
      <c r="AI84" s="22"/>
      <c r="AJ84" s="22"/>
      <c r="AK84" s="26"/>
    </row>
    <row r="85" spans="4:37"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3"/>
      <c r="R85" s="23"/>
      <c r="S85" s="23"/>
      <c r="T85" s="23"/>
      <c r="U85" s="23"/>
      <c r="V85" s="23"/>
      <c r="W85" s="23"/>
      <c r="X85" s="23"/>
      <c r="Y85" s="23"/>
      <c r="Z85" s="24"/>
      <c r="AA85" s="25"/>
      <c r="AB85" s="22"/>
      <c r="AC85" s="22"/>
      <c r="AD85" s="22"/>
      <c r="AE85" s="22"/>
      <c r="AF85" s="22"/>
      <c r="AG85" s="22"/>
      <c r="AH85" s="22"/>
      <c r="AI85" s="22"/>
      <c r="AJ85" s="22"/>
      <c r="AK85" s="26"/>
    </row>
    <row r="86" spans="4:37"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3"/>
      <c r="R86" s="23"/>
      <c r="S86" s="23"/>
      <c r="T86" s="23"/>
      <c r="U86" s="23"/>
      <c r="V86" s="23"/>
      <c r="W86" s="23"/>
      <c r="X86" s="23"/>
      <c r="Y86" s="23"/>
      <c r="Z86" s="24"/>
      <c r="AA86" s="25"/>
      <c r="AB86" s="22"/>
      <c r="AC86" s="22"/>
      <c r="AD86" s="22"/>
      <c r="AE86" s="22"/>
      <c r="AF86" s="22"/>
      <c r="AG86" s="22"/>
      <c r="AH86" s="22"/>
      <c r="AI86" s="22"/>
      <c r="AJ86" s="22"/>
      <c r="AK86" s="26"/>
    </row>
    <row r="87" spans="4:37"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3"/>
      <c r="R87" s="23"/>
      <c r="S87" s="23"/>
      <c r="T87" s="23"/>
      <c r="U87" s="23"/>
      <c r="V87" s="23"/>
      <c r="W87" s="23"/>
      <c r="X87" s="23"/>
      <c r="Y87" s="23"/>
      <c r="Z87" s="24"/>
      <c r="AA87" s="25"/>
      <c r="AB87" s="22"/>
      <c r="AC87" s="22"/>
      <c r="AD87" s="22"/>
      <c r="AE87" s="22"/>
      <c r="AF87" s="22"/>
      <c r="AG87" s="22"/>
      <c r="AH87" s="22"/>
      <c r="AI87" s="22"/>
      <c r="AJ87" s="22"/>
      <c r="AK87" s="26"/>
    </row>
    <row r="88" spans="4:37"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3"/>
      <c r="R88" s="23"/>
      <c r="S88" s="23"/>
      <c r="T88" s="23"/>
      <c r="U88" s="23"/>
      <c r="V88" s="23"/>
      <c r="W88" s="23"/>
      <c r="X88" s="23"/>
      <c r="Y88" s="23"/>
      <c r="Z88" s="24"/>
      <c r="AA88" s="25"/>
      <c r="AB88" s="22"/>
      <c r="AC88" s="22"/>
      <c r="AD88" s="22"/>
      <c r="AE88" s="22"/>
      <c r="AF88" s="22"/>
      <c r="AG88" s="22"/>
      <c r="AH88" s="22"/>
      <c r="AI88" s="22"/>
      <c r="AJ88" s="22"/>
      <c r="AK88" s="26"/>
    </row>
    <row r="89" spans="4:37"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3"/>
      <c r="R89" s="23"/>
      <c r="S89" s="23"/>
      <c r="T89" s="23"/>
      <c r="U89" s="23"/>
      <c r="V89" s="23"/>
      <c r="W89" s="23"/>
      <c r="X89" s="23"/>
      <c r="Y89" s="23"/>
      <c r="Z89" s="24"/>
      <c r="AA89" s="25"/>
      <c r="AB89" s="22"/>
      <c r="AC89" s="22"/>
      <c r="AD89" s="22"/>
      <c r="AE89" s="22"/>
      <c r="AF89" s="22"/>
      <c r="AG89" s="22"/>
      <c r="AH89" s="22"/>
      <c r="AI89" s="22"/>
      <c r="AJ89" s="22"/>
      <c r="AK89" s="26"/>
    </row>
    <row r="90" spans="4:37"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3"/>
      <c r="R90" s="23"/>
      <c r="S90" s="23"/>
      <c r="T90" s="23"/>
      <c r="U90" s="23"/>
      <c r="V90" s="23"/>
      <c r="W90" s="23"/>
      <c r="X90" s="23"/>
      <c r="Y90" s="23"/>
      <c r="Z90" s="24"/>
      <c r="AA90" s="25"/>
      <c r="AB90" s="22"/>
      <c r="AC90" s="22"/>
      <c r="AD90" s="22"/>
      <c r="AE90" s="22"/>
      <c r="AF90" s="22"/>
      <c r="AG90" s="22"/>
      <c r="AH90" s="22"/>
      <c r="AI90" s="22"/>
      <c r="AJ90" s="22"/>
      <c r="AK90" s="26"/>
    </row>
    <row r="91" spans="4:37"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3"/>
      <c r="R91" s="23"/>
      <c r="S91" s="23"/>
      <c r="T91" s="23"/>
      <c r="U91" s="23"/>
      <c r="V91" s="23"/>
      <c r="W91" s="23"/>
      <c r="X91" s="23"/>
      <c r="Y91" s="23"/>
      <c r="Z91" s="24"/>
      <c r="AA91" s="25"/>
      <c r="AB91" s="22"/>
      <c r="AC91" s="22"/>
      <c r="AD91" s="22"/>
      <c r="AE91" s="22"/>
      <c r="AF91" s="22"/>
      <c r="AG91" s="22"/>
      <c r="AH91" s="22"/>
      <c r="AI91" s="22"/>
      <c r="AJ91" s="22"/>
      <c r="AK91" s="26"/>
    </row>
    <row r="92" spans="4:37"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3"/>
      <c r="R92" s="23"/>
      <c r="S92" s="23"/>
      <c r="T92" s="23"/>
      <c r="U92" s="23"/>
      <c r="V92" s="23"/>
      <c r="W92" s="23"/>
      <c r="X92" s="23"/>
      <c r="Y92" s="23"/>
      <c r="Z92" s="24"/>
      <c r="AA92" s="25"/>
      <c r="AB92" s="22"/>
      <c r="AC92" s="22"/>
      <c r="AD92" s="22"/>
      <c r="AE92" s="22"/>
      <c r="AF92" s="22"/>
      <c r="AG92" s="22"/>
      <c r="AH92" s="22"/>
      <c r="AI92" s="22"/>
      <c r="AJ92" s="22"/>
      <c r="AK92" s="26"/>
    </row>
    <row r="93" spans="4:37"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3"/>
      <c r="R93" s="23"/>
      <c r="S93" s="23"/>
      <c r="T93" s="23"/>
      <c r="U93" s="23"/>
      <c r="V93" s="23"/>
      <c r="W93" s="23"/>
      <c r="X93" s="23"/>
      <c r="Y93" s="23"/>
      <c r="Z93" s="24"/>
      <c r="AA93" s="25"/>
      <c r="AB93" s="22"/>
      <c r="AC93" s="22"/>
      <c r="AD93" s="22"/>
      <c r="AE93" s="22"/>
      <c r="AF93" s="22"/>
      <c r="AG93" s="22"/>
      <c r="AH93" s="22"/>
      <c r="AI93" s="22"/>
      <c r="AJ93" s="22"/>
      <c r="AK93" s="26"/>
    </row>
    <row r="94" spans="4:37"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3"/>
      <c r="R94" s="23"/>
      <c r="S94" s="23"/>
      <c r="T94" s="23"/>
      <c r="U94" s="23"/>
      <c r="V94" s="23"/>
      <c r="W94" s="23"/>
      <c r="X94" s="23"/>
      <c r="Y94" s="23"/>
      <c r="Z94" s="24"/>
      <c r="AA94" s="25"/>
      <c r="AB94" s="22"/>
      <c r="AC94" s="22"/>
      <c r="AD94" s="22"/>
      <c r="AE94" s="22"/>
      <c r="AF94" s="22"/>
      <c r="AG94" s="22"/>
      <c r="AH94" s="22"/>
      <c r="AI94" s="22"/>
      <c r="AJ94" s="22"/>
      <c r="AK94" s="26"/>
    </row>
    <row r="95" spans="4:37"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3"/>
      <c r="R95" s="23"/>
      <c r="S95" s="23"/>
      <c r="T95" s="23"/>
      <c r="U95" s="23"/>
      <c r="V95" s="23"/>
      <c r="W95" s="23"/>
      <c r="X95" s="23"/>
      <c r="Y95" s="23"/>
      <c r="Z95" s="24"/>
      <c r="AA95" s="25"/>
      <c r="AB95" s="22"/>
      <c r="AC95" s="22"/>
      <c r="AD95" s="22"/>
      <c r="AE95" s="22"/>
      <c r="AF95" s="22"/>
      <c r="AG95" s="22"/>
      <c r="AH95" s="22"/>
      <c r="AI95" s="22"/>
      <c r="AJ95" s="22"/>
      <c r="AK95" s="26"/>
    </row>
    <row r="96" spans="4:37"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3"/>
      <c r="R96" s="23"/>
      <c r="S96" s="23"/>
      <c r="T96" s="23"/>
      <c r="U96" s="23"/>
      <c r="V96" s="23"/>
      <c r="W96" s="23"/>
      <c r="X96" s="23"/>
      <c r="Y96" s="23"/>
      <c r="Z96" s="24"/>
      <c r="AA96" s="25"/>
      <c r="AB96" s="22"/>
      <c r="AC96" s="22"/>
      <c r="AD96" s="22"/>
      <c r="AE96" s="22"/>
      <c r="AF96" s="22"/>
      <c r="AG96" s="22"/>
      <c r="AH96" s="22"/>
      <c r="AI96" s="22"/>
      <c r="AJ96" s="22"/>
      <c r="AK96" s="26"/>
    </row>
    <row r="97" spans="4:37"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3"/>
      <c r="R97" s="23"/>
      <c r="S97" s="23"/>
      <c r="T97" s="23"/>
      <c r="U97" s="23"/>
      <c r="V97" s="23"/>
      <c r="W97" s="23"/>
      <c r="X97" s="23"/>
      <c r="Y97" s="23"/>
      <c r="Z97" s="24"/>
      <c r="AA97" s="25"/>
      <c r="AB97" s="22"/>
      <c r="AC97" s="22"/>
      <c r="AD97" s="22"/>
      <c r="AE97" s="22"/>
      <c r="AF97" s="22"/>
      <c r="AG97" s="22"/>
      <c r="AH97" s="22"/>
      <c r="AI97" s="22"/>
      <c r="AJ97" s="22"/>
      <c r="AK97" s="26"/>
    </row>
    <row r="98" spans="4:37"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3"/>
      <c r="R98" s="23"/>
      <c r="S98" s="23"/>
      <c r="T98" s="23"/>
      <c r="U98" s="23"/>
      <c r="V98" s="23"/>
      <c r="W98" s="23"/>
      <c r="X98" s="23"/>
      <c r="Y98" s="23"/>
      <c r="Z98" s="24"/>
      <c r="AA98" s="25"/>
      <c r="AB98" s="22"/>
      <c r="AC98" s="22"/>
      <c r="AD98" s="22"/>
      <c r="AE98" s="22"/>
      <c r="AF98" s="22"/>
      <c r="AG98" s="22"/>
      <c r="AH98" s="22"/>
      <c r="AI98" s="22"/>
      <c r="AJ98" s="22"/>
      <c r="AK98" s="26"/>
    </row>
    <row r="99" spans="4:37"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3"/>
      <c r="R99" s="23"/>
      <c r="S99" s="23"/>
      <c r="T99" s="23"/>
      <c r="U99" s="23"/>
      <c r="V99" s="23"/>
      <c r="W99" s="23"/>
      <c r="X99" s="23"/>
      <c r="Y99" s="23"/>
      <c r="Z99" s="24"/>
      <c r="AA99" s="25"/>
      <c r="AB99" s="22"/>
      <c r="AC99" s="22"/>
      <c r="AD99" s="22"/>
      <c r="AE99" s="22"/>
      <c r="AF99" s="22"/>
      <c r="AG99" s="22"/>
      <c r="AH99" s="22"/>
      <c r="AI99" s="22"/>
      <c r="AJ99" s="22"/>
      <c r="AK99" s="26"/>
    </row>
    <row r="100" spans="4:37"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3"/>
      <c r="R100" s="23"/>
      <c r="S100" s="23"/>
      <c r="T100" s="23"/>
      <c r="U100" s="23"/>
      <c r="V100" s="23"/>
      <c r="W100" s="23"/>
      <c r="X100" s="23"/>
      <c r="Y100" s="23"/>
      <c r="Z100" s="24"/>
      <c r="AA100" s="25"/>
      <c r="AB100" s="22"/>
      <c r="AC100" s="22"/>
      <c r="AD100" s="22"/>
      <c r="AE100" s="22"/>
      <c r="AF100" s="22"/>
      <c r="AG100" s="22"/>
      <c r="AH100" s="22"/>
      <c r="AI100" s="22"/>
      <c r="AJ100" s="22"/>
      <c r="AK100" s="26"/>
    </row>
    <row r="101" spans="4:37"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3"/>
      <c r="R101" s="23"/>
      <c r="S101" s="23"/>
      <c r="T101" s="23"/>
      <c r="U101" s="23"/>
      <c r="V101" s="23"/>
      <c r="W101" s="23"/>
      <c r="X101" s="23"/>
      <c r="Y101" s="23"/>
      <c r="Z101" s="24"/>
      <c r="AA101" s="25"/>
      <c r="AB101" s="22"/>
      <c r="AC101" s="22"/>
      <c r="AD101" s="22"/>
      <c r="AE101" s="22"/>
      <c r="AF101" s="22"/>
      <c r="AG101" s="22"/>
      <c r="AH101" s="22"/>
      <c r="AI101" s="22"/>
      <c r="AJ101" s="22"/>
      <c r="AK101" s="26"/>
    </row>
    <row r="102" spans="4:37"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3"/>
      <c r="R102" s="23"/>
      <c r="S102" s="23"/>
      <c r="T102" s="23"/>
      <c r="U102" s="23"/>
      <c r="V102" s="23"/>
      <c r="W102" s="23"/>
      <c r="X102" s="23"/>
      <c r="Y102" s="23"/>
      <c r="Z102" s="24"/>
      <c r="AA102" s="25"/>
      <c r="AB102" s="22"/>
      <c r="AC102" s="22"/>
      <c r="AD102" s="22"/>
      <c r="AE102" s="22"/>
      <c r="AF102" s="22"/>
      <c r="AG102" s="22"/>
      <c r="AH102" s="22"/>
      <c r="AI102" s="22"/>
      <c r="AJ102" s="22"/>
      <c r="AK102" s="26"/>
    </row>
    <row r="103" spans="4:37"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3"/>
      <c r="R103" s="23"/>
      <c r="S103" s="23"/>
      <c r="T103" s="23"/>
      <c r="U103" s="23"/>
      <c r="V103" s="23"/>
      <c r="W103" s="23"/>
      <c r="X103" s="23"/>
      <c r="Y103" s="23"/>
      <c r="Z103" s="24"/>
      <c r="AA103" s="25"/>
      <c r="AB103" s="22"/>
      <c r="AC103" s="22"/>
      <c r="AD103" s="22"/>
      <c r="AE103" s="22"/>
      <c r="AF103" s="22"/>
      <c r="AG103" s="22"/>
      <c r="AH103" s="22"/>
      <c r="AI103" s="22"/>
      <c r="AJ103" s="22"/>
      <c r="AK103" s="26"/>
    </row>
    <row r="104" spans="4:37"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3"/>
      <c r="R104" s="23"/>
      <c r="S104" s="23"/>
      <c r="T104" s="23"/>
      <c r="U104" s="23"/>
      <c r="V104" s="23"/>
      <c r="W104" s="23"/>
      <c r="X104" s="23"/>
      <c r="Y104" s="23"/>
      <c r="Z104" s="24"/>
      <c r="AA104" s="25"/>
      <c r="AB104" s="22"/>
      <c r="AC104" s="22"/>
      <c r="AD104" s="22"/>
      <c r="AE104" s="22"/>
      <c r="AF104" s="22"/>
      <c r="AG104" s="22"/>
      <c r="AH104" s="22"/>
      <c r="AI104" s="22"/>
      <c r="AJ104" s="22"/>
      <c r="AK104" s="26"/>
    </row>
    <row r="105" spans="4:37"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3"/>
      <c r="R105" s="23"/>
      <c r="S105" s="23"/>
      <c r="T105" s="23"/>
      <c r="U105" s="23"/>
      <c r="V105" s="23"/>
      <c r="W105" s="23"/>
      <c r="X105" s="23"/>
      <c r="Y105" s="23"/>
      <c r="Z105" s="24"/>
      <c r="AA105" s="25"/>
      <c r="AB105" s="22"/>
      <c r="AC105" s="22"/>
      <c r="AD105" s="22"/>
      <c r="AE105" s="22"/>
      <c r="AF105" s="22"/>
      <c r="AG105" s="22"/>
      <c r="AH105" s="22"/>
      <c r="AI105" s="22"/>
      <c r="AJ105" s="22"/>
      <c r="AK105" s="26"/>
    </row>
    <row r="106" spans="4:37"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3"/>
      <c r="R106" s="23"/>
      <c r="S106" s="23"/>
      <c r="T106" s="23"/>
      <c r="U106" s="23"/>
      <c r="V106" s="23"/>
      <c r="W106" s="23"/>
      <c r="X106" s="23"/>
      <c r="Y106" s="23"/>
      <c r="Z106" s="24"/>
      <c r="AA106" s="25"/>
      <c r="AB106" s="22"/>
      <c r="AC106" s="22"/>
      <c r="AD106" s="22"/>
      <c r="AE106" s="22"/>
      <c r="AF106" s="22"/>
      <c r="AG106" s="22"/>
      <c r="AH106" s="22"/>
      <c r="AI106" s="22"/>
      <c r="AJ106" s="22"/>
      <c r="AK106" s="26"/>
    </row>
    <row r="107" spans="4:37"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3"/>
      <c r="R107" s="23"/>
      <c r="S107" s="23"/>
      <c r="T107" s="23"/>
      <c r="U107" s="23"/>
      <c r="V107" s="23"/>
      <c r="W107" s="23"/>
      <c r="X107" s="23"/>
      <c r="Y107" s="23"/>
      <c r="Z107" s="24"/>
      <c r="AA107" s="25"/>
      <c r="AB107" s="22"/>
      <c r="AC107" s="22"/>
      <c r="AD107" s="22"/>
      <c r="AE107" s="22"/>
      <c r="AF107" s="22"/>
      <c r="AG107" s="22"/>
      <c r="AH107" s="22"/>
      <c r="AI107" s="22"/>
      <c r="AJ107" s="22"/>
      <c r="AK107" s="26"/>
    </row>
    <row r="108" spans="4:37"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3"/>
      <c r="R108" s="23"/>
      <c r="S108" s="23"/>
      <c r="T108" s="23"/>
      <c r="U108" s="23"/>
      <c r="V108" s="23"/>
      <c r="W108" s="23"/>
      <c r="X108" s="23"/>
      <c r="Y108" s="23"/>
      <c r="Z108" s="24"/>
      <c r="AA108" s="25"/>
      <c r="AB108" s="22"/>
      <c r="AC108" s="22"/>
      <c r="AD108" s="22"/>
      <c r="AE108" s="22"/>
      <c r="AF108" s="22"/>
      <c r="AG108" s="22"/>
      <c r="AH108" s="22"/>
      <c r="AI108" s="22"/>
      <c r="AJ108" s="22"/>
      <c r="AK108" s="26"/>
    </row>
    <row r="109" spans="4:37"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3"/>
      <c r="R109" s="23"/>
      <c r="S109" s="23"/>
      <c r="T109" s="23"/>
      <c r="U109" s="23"/>
      <c r="V109" s="23"/>
      <c r="W109" s="23"/>
      <c r="X109" s="23"/>
      <c r="Y109" s="23"/>
      <c r="Z109" s="24"/>
      <c r="AA109" s="25"/>
      <c r="AB109" s="22"/>
      <c r="AC109" s="22"/>
      <c r="AD109" s="22"/>
      <c r="AE109" s="22"/>
      <c r="AF109" s="22"/>
      <c r="AG109" s="22"/>
      <c r="AH109" s="22"/>
      <c r="AI109" s="22"/>
      <c r="AJ109" s="22"/>
      <c r="AK109" s="26"/>
    </row>
    <row r="110" spans="4:37"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3"/>
      <c r="R110" s="23"/>
      <c r="S110" s="23"/>
      <c r="T110" s="23"/>
      <c r="U110" s="23"/>
      <c r="V110" s="23"/>
      <c r="W110" s="23"/>
      <c r="X110" s="23"/>
      <c r="Y110" s="23"/>
      <c r="Z110" s="24"/>
      <c r="AA110" s="25"/>
      <c r="AB110" s="22"/>
      <c r="AC110" s="22"/>
      <c r="AD110" s="22"/>
      <c r="AE110" s="22"/>
      <c r="AF110" s="22"/>
      <c r="AG110" s="22"/>
      <c r="AH110" s="22"/>
      <c r="AI110" s="22"/>
      <c r="AJ110" s="22"/>
      <c r="AK110" s="26"/>
    </row>
    <row r="111" spans="4:37"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3"/>
      <c r="R111" s="23"/>
      <c r="S111" s="23"/>
      <c r="T111" s="23"/>
      <c r="U111" s="23"/>
      <c r="V111" s="23"/>
      <c r="W111" s="23"/>
      <c r="X111" s="23"/>
      <c r="Y111" s="23"/>
      <c r="Z111" s="24"/>
      <c r="AA111" s="25"/>
      <c r="AB111" s="22"/>
      <c r="AC111" s="22"/>
      <c r="AD111" s="22"/>
      <c r="AE111" s="22"/>
      <c r="AF111" s="22"/>
      <c r="AG111" s="22"/>
      <c r="AH111" s="22"/>
      <c r="AI111" s="22"/>
      <c r="AJ111" s="22"/>
      <c r="AK111" s="26"/>
    </row>
    <row r="112" spans="4:37"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3"/>
      <c r="R112" s="23"/>
      <c r="S112" s="23"/>
      <c r="T112" s="23"/>
      <c r="U112" s="23"/>
      <c r="V112" s="23"/>
      <c r="W112" s="23"/>
      <c r="X112" s="23"/>
      <c r="Y112" s="23"/>
      <c r="Z112" s="24"/>
      <c r="AA112" s="25"/>
      <c r="AB112" s="22"/>
      <c r="AC112" s="22"/>
      <c r="AD112" s="22"/>
      <c r="AE112" s="22"/>
      <c r="AF112" s="22"/>
      <c r="AG112" s="22"/>
      <c r="AH112" s="22"/>
      <c r="AI112" s="22"/>
      <c r="AJ112" s="22"/>
      <c r="AK112" s="26"/>
    </row>
    <row r="113" spans="4:37"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3"/>
      <c r="R113" s="23"/>
      <c r="S113" s="23"/>
      <c r="T113" s="23"/>
      <c r="U113" s="23"/>
      <c r="V113" s="23"/>
      <c r="W113" s="23"/>
      <c r="X113" s="23"/>
      <c r="Y113" s="23"/>
      <c r="Z113" s="24"/>
      <c r="AA113" s="25"/>
      <c r="AB113" s="22"/>
      <c r="AC113" s="22"/>
      <c r="AD113" s="22"/>
      <c r="AE113" s="22"/>
      <c r="AF113" s="22"/>
      <c r="AG113" s="22"/>
      <c r="AH113" s="22"/>
      <c r="AI113" s="22"/>
      <c r="AJ113" s="22"/>
      <c r="AK113" s="26"/>
    </row>
    <row r="114" spans="4:37"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3"/>
      <c r="R114" s="23"/>
      <c r="S114" s="23"/>
      <c r="T114" s="23"/>
      <c r="U114" s="23"/>
      <c r="V114" s="23"/>
      <c r="W114" s="23"/>
      <c r="X114" s="23"/>
      <c r="Y114" s="23"/>
      <c r="Z114" s="24"/>
      <c r="AA114" s="25"/>
      <c r="AB114" s="22"/>
      <c r="AC114" s="22"/>
      <c r="AD114" s="22"/>
      <c r="AE114" s="22"/>
      <c r="AF114" s="22"/>
      <c r="AG114" s="22"/>
      <c r="AH114" s="22"/>
      <c r="AI114" s="22"/>
      <c r="AJ114" s="22"/>
      <c r="AK114" s="26"/>
    </row>
    <row r="115" spans="4:37"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3"/>
      <c r="R115" s="23"/>
      <c r="S115" s="23"/>
      <c r="T115" s="23"/>
      <c r="U115" s="23"/>
      <c r="V115" s="23"/>
      <c r="W115" s="23"/>
      <c r="X115" s="23"/>
      <c r="Y115" s="23"/>
      <c r="Z115" s="24"/>
      <c r="AA115" s="25"/>
      <c r="AB115" s="22"/>
      <c r="AC115" s="22"/>
      <c r="AD115" s="22"/>
      <c r="AE115" s="22"/>
      <c r="AF115" s="22"/>
      <c r="AG115" s="22"/>
      <c r="AH115" s="22"/>
      <c r="AI115" s="22"/>
      <c r="AJ115" s="22"/>
      <c r="AK115" s="26"/>
    </row>
    <row r="116" spans="4:37"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3"/>
      <c r="R116" s="23"/>
      <c r="S116" s="23"/>
      <c r="T116" s="23"/>
      <c r="U116" s="23"/>
      <c r="V116" s="23"/>
      <c r="W116" s="23"/>
      <c r="X116" s="23"/>
      <c r="Y116" s="23"/>
      <c r="Z116" s="24"/>
      <c r="AA116" s="25"/>
      <c r="AB116" s="22"/>
      <c r="AC116" s="22"/>
      <c r="AD116" s="22"/>
      <c r="AE116" s="22"/>
      <c r="AF116" s="22"/>
      <c r="AG116" s="22"/>
      <c r="AH116" s="22"/>
      <c r="AI116" s="22"/>
      <c r="AJ116" s="22"/>
      <c r="AK116" s="26"/>
    </row>
    <row r="117" spans="4:37"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3"/>
      <c r="R117" s="23"/>
      <c r="S117" s="23"/>
      <c r="T117" s="23"/>
      <c r="U117" s="23"/>
      <c r="V117" s="23"/>
      <c r="W117" s="23"/>
      <c r="X117" s="23"/>
      <c r="Y117" s="23"/>
      <c r="Z117" s="24"/>
      <c r="AA117" s="25"/>
      <c r="AB117" s="22"/>
      <c r="AC117" s="22"/>
      <c r="AD117" s="22"/>
      <c r="AE117" s="22"/>
      <c r="AF117" s="22"/>
      <c r="AG117" s="22"/>
      <c r="AH117" s="22"/>
      <c r="AI117" s="22"/>
      <c r="AJ117" s="22"/>
      <c r="AK117" s="26"/>
    </row>
    <row r="118" spans="4:37"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3"/>
      <c r="R118" s="23"/>
      <c r="S118" s="23"/>
      <c r="T118" s="23"/>
      <c r="U118" s="23"/>
      <c r="V118" s="23"/>
      <c r="W118" s="23"/>
      <c r="X118" s="23"/>
      <c r="Y118" s="23"/>
      <c r="Z118" s="24"/>
      <c r="AA118" s="25"/>
      <c r="AB118" s="22"/>
      <c r="AC118" s="22"/>
      <c r="AD118" s="22"/>
      <c r="AE118" s="22"/>
      <c r="AF118" s="22"/>
      <c r="AG118" s="22"/>
      <c r="AH118" s="22"/>
      <c r="AI118" s="22"/>
      <c r="AJ118" s="22"/>
      <c r="AK118" s="26"/>
    </row>
    <row r="119" spans="4:37"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3"/>
      <c r="R119" s="23"/>
      <c r="S119" s="23"/>
      <c r="T119" s="23"/>
      <c r="U119" s="23"/>
      <c r="V119" s="23"/>
      <c r="W119" s="23"/>
      <c r="X119" s="23"/>
      <c r="Y119" s="23"/>
      <c r="Z119" s="24"/>
      <c r="AA119" s="25"/>
      <c r="AB119" s="22"/>
      <c r="AC119" s="22"/>
      <c r="AD119" s="22"/>
      <c r="AE119" s="22"/>
      <c r="AF119" s="22"/>
      <c r="AG119" s="22"/>
      <c r="AH119" s="22"/>
      <c r="AI119" s="22"/>
      <c r="AJ119" s="22"/>
      <c r="AK119" s="26"/>
    </row>
    <row r="120" spans="4:37"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3"/>
      <c r="R120" s="23"/>
      <c r="S120" s="23"/>
      <c r="T120" s="23"/>
      <c r="U120" s="23"/>
      <c r="V120" s="23"/>
      <c r="W120" s="23"/>
      <c r="X120" s="23"/>
      <c r="Y120" s="23"/>
      <c r="Z120" s="24"/>
      <c r="AA120" s="25"/>
      <c r="AB120" s="22"/>
      <c r="AC120" s="22"/>
      <c r="AD120" s="22"/>
      <c r="AE120" s="22"/>
      <c r="AF120" s="22"/>
      <c r="AG120" s="22"/>
      <c r="AH120" s="22"/>
      <c r="AI120" s="22"/>
      <c r="AJ120" s="22"/>
      <c r="AK120" s="26"/>
    </row>
    <row r="121" spans="4:37"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3"/>
      <c r="R121" s="23"/>
      <c r="S121" s="23"/>
      <c r="T121" s="23"/>
      <c r="U121" s="23"/>
      <c r="V121" s="23"/>
      <c r="W121" s="23"/>
      <c r="X121" s="23"/>
      <c r="Y121" s="23"/>
      <c r="Z121" s="24"/>
      <c r="AA121" s="25"/>
      <c r="AB121" s="22"/>
      <c r="AC121" s="22"/>
      <c r="AD121" s="22"/>
      <c r="AE121" s="22"/>
      <c r="AF121" s="22"/>
      <c r="AG121" s="22"/>
      <c r="AH121" s="22"/>
      <c r="AI121" s="22"/>
      <c r="AJ121" s="22"/>
      <c r="AK121" s="26"/>
    </row>
    <row r="122" spans="4:37"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3"/>
      <c r="R122" s="23"/>
      <c r="S122" s="23"/>
      <c r="T122" s="23"/>
      <c r="U122" s="23"/>
      <c r="V122" s="23"/>
      <c r="W122" s="23"/>
      <c r="X122" s="23"/>
      <c r="Y122" s="23"/>
      <c r="Z122" s="24"/>
      <c r="AA122" s="25"/>
      <c r="AB122" s="22"/>
      <c r="AC122" s="22"/>
      <c r="AD122" s="22"/>
      <c r="AE122" s="22"/>
      <c r="AF122" s="22"/>
      <c r="AG122" s="22"/>
      <c r="AH122" s="22"/>
      <c r="AI122" s="22"/>
      <c r="AJ122" s="22"/>
      <c r="AK122" s="26"/>
    </row>
    <row r="123" spans="4:37"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3"/>
      <c r="R123" s="23"/>
      <c r="S123" s="23"/>
      <c r="T123" s="23"/>
      <c r="U123" s="23"/>
      <c r="V123" s="23"/>
      <c r="W123" s="23"/>
      <c r="X123" s="23"/>
      <c r="Y123" s="23"/>
      <c r="Z123" s="24"/>
      <c r="AA123" s="25"/>
      <c r="AB123" s="22"/>
      <c r="AC123" s="22"/>
      <c r="AD123" s="22"/>
      <c r="AE123" s="22"/>
      <c r="AF123" s="22"/>
      <c r="AG123" s="22"/>
      <c r="AH123" s="22"/>
      <c r="AI123" s="22"/>
      <c r="AJ123" s="22"/>
      <c r="AK123" s="26"/>
    </row>
    <row r="124" spans="4:37"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3"/>
      <c r="R124" s="23"/>
      <c r="S124" s="23"/>
      <c r="T124" s="23"/>
      <c r="U124" s="23"/>
      <c r="V124" s="23"/>
      <c r="W124" s="23"/>
      <c r="X124" s="23"/>
      <c r="Y124" s="23"/>
      <c r="Z124" s="24"/>
      <c r="AA124" s="25"/>
      <c r="AB124" s="22"/>
      <c r="AC124" s="22"/>
      <c r="AD124" s="22"/>
      <c r="AE124" s="22"/>
      <c r="AF124" s="22"/>
      <c r="AG124" s="22"/>
      <c r="AH124" s="22"/>
      <c r="AI124" s="22"/>
      <c r="AJ124" s="22"/>
      <c r="AK124" s="26"/>
    </row>
    <row r="125" spans="4:37"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3"/>
      <c r="R125" s="23"/>
      <c r="S125" s="23"/>
      <c r="T125" s="23"/>
      <c r="U125" s="23"/>
      <c r="V125" s="23"/>
      <c r="W125" s="23"/>
      <c r="X125" s="23"/>
      <c r="Y125" s="23"/>
      <c r="Z125" s="24"/>
      <c r="AA125" s="25"/>
      <c r="AB125" s="22"/>
      <c r="AC125" s="22"/>
      <c r="AD125" s="22"/>
      <c r="AE125" s="22"/>
      <c r="AF125" s="22"/>
      <c r="AG125" s="22"/>
      <c r="AH125" s="22"/>
      <c r="AI125" s="22"/>
      <c r="AJ125" s="22"/>
      <c r="AK125" s="26"/>
    </row>
    <row r="126" spans="4:37"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3"/>
      <c r="R126" s="23"/>
      <c r="S126" s="23"/>
      <c r="T126" s="23"/>
      <c r="U126" s="23"/>
      <c r="V126" s="23"/>
      <c r="W126" s="23"/>
      <c r="X126" s="23"/>
      <c r="Y126" s="23"/>
      <c r="Z126" s="24"/>
      <c r="AA126" s="25"/>
      <c r="AB126" s="22"/>
      <c r="AC126" s="22"/>
      <c r="AD126" s="22"/>
      <c r="AE126" s="22"/>
      <c r="AF126" s="22"/>
      <c r="AG126" s="22"/>
      <c r="AH126" s="22"/>
      <c r="AI126" s="22"/>
      <c r="AJ126" s="22"/>
      <c r="AK126" s="26"/>
    </row>
    <row r="127" spans="4:37"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3"/>
      <c r="R127" s="23"/>
      <c r="S127" s="23"/>
      <c r="T127" s="23"/>
      <c r="U127" s="23"/>
      <c r="V127" s="23"/>
      <c r="W127" s="23"/>
      <c r="X127" s="23"/>
      <c r="Y127" s="23"/>
      <c r="Z127" s="24"/>
      <c r="AA127" s="25"/>
      <c r="AB127" s="22"/>
      <c r="AC127" s="22"/>
      <c r="AD127" s="22"/>
      <c r="AE127" s="22"/>
      <c r="AF127" s="22"/>
      <c r="AG127" s="22"/>
      <c r="AH127" s="22"/>
      <c r="AI127" s="22"/>
      <c r="AJ127" s="22"/>
      <c r="AK127" s="26"/>
    </row>
    <row r="128" spans="4:37"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3"/>
      <c r="R128" s="23"/>
      <c r="S128" s="23"/>
      <c r="T128" s="23"/>
      <c r="U128" s="23"/>
      <c r="V128" s="23"/>
      <c r="W128" s="23"/>
      <c r="X128" s="23"/>
      <c r="Y128" s="23"/>
      <c r="Z128" s="24"/>
      <c r="AA128" s="25"/>
      <c r="AB128" s="22"/>
      <c r="AC128" s="22"/>
      <c r="AD128" s="22"/>
      <c r="AE128" s="22"/>
      <c r="AF128" s="22"/>
      <c r="AG128" s="22"/>
      <c r="AH128" s="22"/>
      <c r="AI128" s="22"/>
      <c r="AJ128" s="22"/>
      <c r="AK128" s="26"/>
    </row>
    <row r="129" spans="4:37"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3"/>
      <c r="R129" s="23"/>
      <c r="S129" s="23"/>
      <c r="T129" s="23"/>
      <c r="U129" s="23"/>
      <c r="V129" s="23"/>
      <c r="W129" s="23"/>
      <c r="X129" s="23"/>
      <c r="Y129" s="23"/>
      <c r="Z129" s="24"/>
      <c r="AA129" s="25"/>
      <c r="AB129" s="22"/>
      <c r="AC129" s="22"/>
      <c r="AD129" s="22"/>
      <c r="AE129" s="22"/>
      <c r="AF129" s="22"/>
      <c r="AG129" s="22"/>
      <c r="AH129" s="22"/>
      <c r="AI129" s="22"/>
      <c r="AJ129" s="22"/>
      <c r="AK129" s="26"/>
    </row>
    <row r="130" spans="4:37"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3"/>
      <c r="R130" s="23"/>
      <c r="S130" s="23"/>
      <c r="T130" s="23"/>
      <c r="U130" s="23"/>
      <c r="V130" s="23"/>
      <c r="W130" s="23"/>
      <c r="X130" s="23"/>
      <c r="Y130" s="23"/>
      <c r="Z130" s="24"/>
      <c r="AA130" s="25"/>
      <c r="AB130" s="22"/>
      <c r="AC130" s="22"/>
      <c r="AD130" s="22"/>
      <c r="AE130" s="22"/>
      <c r="AF130" s="22"/>
      <c r="AG130" s="22"/>
      <c r="AH130" s="22"/>
      <c r="AI130" s="22"/>
      <c r="AJ130" s="22"/>
      <c r="AK130" s="26"/>
    </row>
    <row r="131" spans="4:37"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3"/>
      <c r="R131" s="23"/>
      <c r="S131" s="23"/>
      <c r="T131" s="23"/>
      <c r="U131" s="23"/>
      <c r="V131" s="23"/>
      <c r="W131" s="23"/>
      <c r="X131" s="23"/>
      <c r="Y131" s="23"/>
      <c r="Z131" s="24"/>
      <c r="AA131" s="25"/>
      <c r="AB131" s="22"/>
      <c r="AC131" s="22"/>
      <c r="AD131" s="22"/>
      <c r="AE131" s="22"/>
      <c r="AF131" s="22"/>
      <c r="AG131" s="22"/>
      <c r="AH131" s="22"/>
      <c r="AI131" s="22"/>
      <c r="AJ131" s="22"/>
      <c r="AK131" s="26"/>
    </row>
    <row r="132" spans="4:37"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3"/>
      <c r="R132" s="23"/>
      <c r="S132" s="23"/>
      <c r="T132" s="23"/>
      <c r="U132" s="23"/>
      <c r="V132" s="23"/>
      <c r="W132" s="23"/>
      <c r="X132" s="23"/>
      <c r="Y132" s="23"/>
      <c r="Z132" s="24"/>
      <c r="AA132" s="25"/>
      <c r="AB132" s="22"/>
      <c r="AC132" s="22"/>
      <c r="AD132" s="22"/>
      <c r="AE132" s="22"/>
      <c r="AF132" s="22"/>
      <c r="AG132" s="22"/>
      <c r="AH132" s="22"/>
      <c r="AI132" s="22"/>
      <c r="AJ132" s="22"/>
      <c r="AK132" s="26"/>
    </row>
    <row r="133" spans="4:37"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3"/>
      <c r="R133" s="23"/>
      <c r="S133" s="23"/>
      <c r="T133" s="23"/>
      <c r="U133" s="23"/>
      <c r="V133" s="23"/>
      <c r="W133" s="23"/>
      <c r="X133" s="23"/>
      <c r="Y133" s="23"/>
      <c r="Z133" s="24"/>
      <c r="AA133" s="25"/>
      <c r="AB133" s="22"/>
      <c r="AC133" s="22"/>
      <c r="AD133" s="22"/>
      <c r="AE133" s="22"/>
      <c r="AF133" s="22"/>
      <c r="AG133" s="22"/>
      <c r="AH133" s="22"/>
      <c r="AI133" s="22"/>
      <c r="AJ133" s="22"/>
      <c r="AK133" s="26"/>
    </row>
    <row r="134" spans="4:37"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3"/>
      <c r="R134" s="23"/>
      <c r="S134" s="23"/>
      <c r="T134" s="23"/>
      <c r="U134" s="23"/>
      <c r="V134" s="23"/>
      <c r="W134" s="23"/>
      <c r="X134" s="23"/>
      <c r="Y134" s="23"/>
      <c r="Z134" s="24"/>
      <c r="AA134" s="25"/>
      <c r="AB134" s="22"/>
      <c r="AC134" s="22"/>
      <c r="AD134" s="22"/>
      <c r="AE134" s="22"/>
      <c r="AF134" s="22"/>
      <c r="AG134" s="22"/>
      <c r="AH134" s="22"/>
      <c r="AI134" s="22"/>
      <c r="AJ134" s="22"/>
      <c r="AK134" s="26"/>
    </row>
    <row r="135" spans="4:37"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3"/>
      <c r="R135" s="23"/>
      <c r="S135" s="23"/>
      <c r="T135" s="23"/>
      <c r="U135" s="23"/>
      <c r="V135" s="23"/>
      <c r="W135" s="23"/>
      <c r="X135" s="23"/>
      <c r="Y135" s="23"/>
      <c r="Z135" s="24"/>
      <c r="AA135" s="25"/>
      <c r="AB135" s="22"/>
      <c r="AC135" s="22"/>
      <c r="AD135" s="22"/>
      <c r="AE135" s="22"/>
      <c r="AF135" s="22"/>
      <c r="AG135" s="22"/>
      <c r="AH135" s="22"/>
      <c r="AI135" s="22"/>
      <c r="AJ135" s="22"/>
      <c r="AK135" s="26"/>
    </row>
    <row r="136" spans="4:37"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3"/>
      <c r="R136" s="23"/>
      <c r="S136" s="23"/>
      <c r="T136" s="23"/>
      <c r="U136" s="23"/>
      <c r="V136" s="23"/>
      <c r="W136" s="23"/>
      <c r="X136" s="23"/>
      <c r="Y136" s="23"/>
      <c r="Z136" s="24"/>
      <c r="AA136" s="25"/>
      <c r="AB136" s="22"/>
      <c r="AC136" s="22"/>
      <c r="AD136" s="22"/>
      <c r="AE136" s="22"/>
      <c r="AF136" s="22"/>
      <c r="AG136" s="22"/>
      <c r="AH136" s="22"/>
      <c r="AI136" s="22"/>
      <c r="AJ136" s="22"/>
      <c r="AK136" s="26"/>
    </row>
    <row r="137" spans="4:37"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3"/>
      <c r="R137" s="23"/>
      <c r="S137" s="23"/>
      <c r="T137" s="23"/>
      <c r="U137" s="23"/>
      <c r="V137" s="23"/>
      <c r="W137" s="23"/>
      <c r="X137" s="23"/>
      <c r="Y137" s="23"/>
      <c r="Z137" s="24"/>
      <c r="AA137" s="25"/>
      <c r="AB137" s="22"/>
      <c r="AC137" s="22"/>
      <c r="AD137" s="22"/>
      <c r="AE137" s="22"/>
      <c r="AF137" s="22"/>
      <c r="AG137" s="22"/>
      <c r="AH137" s="22"/>
      <c r="AI137" s="22"/>
      <c r="AJ137" s="22"/>
      <c r="AK137" s="26"/>
    </row>
    <row r="138" spans="4:37"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3"/>
      <c r="R138" s="23"/>
      <c r="S138" s="23"/>
      <c r="T138" s="23"/>
      <c r="U138" s="23"/>
      <c r="V138" s="23"/>
      <c r="W138" s="23"/>
      <c r="X138" s="23"/>
      <c r="Y138" s="23"/>
      <c r="Z138" s="24"/>
      <c r="AA138" s="25"/>
      <c r="AB138" s="22"/>
      <c r="AC138" s="22"/>
      <c r="AD138" s="22"/>
      <c r="AE138" s="22"/>
      <c r="AF138" s="22"/>
      <c r="AG138" s="22"/>
      <c r="AH138" s="22"/>
      <c r="AI138" s="22"/>
      <c r="AJ138" s="22"/>
      <c r="AK138" s="26"/>
    </row>
    <row r="139" spans="4:37"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3"/>
      <c r="R139" s="23"/>
      <c r="S139" s="23"/>
      <c r="T139" s="23"/>
      <c r="U139" s="23"/>
      <c r="V139" s="23"/>
      <c r="W139" s="23"/>
      <c r="X139" s="23"/>
      <c r="Y139" s="23"/>
      <c r="Z139" s="24"/>
      <c r="AA139" s="25"/>
      <c r="AB139" s="22"/>
      <c r="AC139" s="22"/>
      <c r="AD139" s="22"/>
      <c r="AE139" s="22"/>
      <c r="AF139" s="22"/>
      <c r="AG139" s="22"/>
      <c r="AH139" s="22"/>
      <c r="AI139" s="22"/>
      <c r="AJ139" s="22"/>
      <c r="AK139" s="26"/>
    </row>
    <row r="140" spans="4:37"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3"/>
      <c r="R140" s="23"/>
      <c r="S140" s="23"/>
      <c r="T140" s="23"/>
      <c r="U140" s="23"/>
      <c r="V140" s="23"/>
      <c r="W140" s="23"/>
      <c r="X140" s="23"/>
      <c r="Y140" s="23"/>
      <c r="Z140" s="24"/>
      <c r="AA140" s="25"/>
      <c r="AB140" s="22"/>
      <c r="AC140" s="22"/>
      <c r="AD140" s="22"/>
      <c r="AE140" s="22"/>
      <c r="AF140" s="22"/>
      <c r="AG140" s="22"/>
      <c r="AH140" s="22"/>
      <c r="AI140" s="22"/>
      <c r="AJ140" s="22"/>
      <c r="AK140" s="26"/>
    </row>
    <row r="141" spans="4:37"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3"/>
      <c r="R141" s="23"/>
      <c r="S141" s="23"/>
      <c r="T141" s="23"/>
      <c r="U141" s="23"/>
      <c r="V141" s="23"/>
      <c r="W141" s="23"/>
      <c r="X141" s="23"/>
      <c r="Y141" s="23"/>
      <c r="Z141" s="24"/>
      <c r="AA141" s="25"/>
      <c r="AB141" s="22"/>
      <c r="AC141" s="22"/>
      <c r="AD141" s="22"/>
      <c r="AE141" s="22"/>
      <c r="AF141" s="22"/>
      <c r="AG141" s="22"/>
      <c r="AH141" s="22"/>
      <c r="AI141" s="22"/>
      <c r="AJ141" s="22"/>
      <c r="AK141" s="26"/>
    </row>
    <row r="142" spans="4:37"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3"/>
      <c r="R142" s="23"/>
      <c r="S142" s="23"/>
      <c r="T142" s="23"/>
      <c r="U142" s="23"/>
      <c r="V142" s="23"/>
      <c r="W142" s="23"/>
      <c r="X142" s="23"/>
      <c r="Y142" s="23"/>
      <c r="Z142" s="24"/>
      <c r="AA142" s="25"/>
      <c r="AB142" s="22"/>
      <c r="AC142" s="22"/>
      <c r="AD142" s="22"/>
      <c r="AE142" s="22"/>
      <c r="AF142" s="22"/>
      <c r="AG142" s="22"/>
      <c r="AH142" s="22"/>
      <c r="AI142" s="22"/>
      <c r="AJ142" s="22"/>
      <c r="AK142" s="26"/>
    </row>
    <row r="143" spans="4:37"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3"/>
      <c r="R143" s="23"/>
      <c r="S143" s="23"/>
      <c r="T143" s="23"/>
      <c r="U143" s="23"/>
      <c r="V143" s="23"/>
      <c r="W143" s="23"/>
      <c r="X143" s="23"/>
      <c r="Y143" s="23"/>
      <c r="Z143" s="24"/>
      <c r="AA143" s="25"/>
      <c r="AB143" s="22"/>
      <c r="AC143" s="22"/>
      <c r="AD143" s="22"/>
      <c r="AE143" s="22"/>
      <c r="AF143" s="22"/>
      <c r="AG143" s="22"/>
      <c r="AH143" s="22"/>
      <c r="AI143" s="22"/>
      <c r="AJ143" s="22"/>
      <c r="AK143" s="26"/>
    </row>
    <row r="144" spans="4:37"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3"/>
      <c r="R144" s="23"/>
      <c r="S144" s="23"/>
      <c r="T144" s="23"/>
      <c r="U144" s="23"/>
      <c r="V144" s="23"/>
      <c r="W144" s="23"/>
      <c r="X144" s="23"/>
      <c r="Y144" s="23"/>
      <c r="Z144" s="24"/>
      <c r="AA144" s="25"/>
      <c r="AB144" s="22"/>
      <c r="AC144" s="22"/>
      <c r="AD144" s="22"/>
      <c r="AE144" s="22"/>
      <c r="AF144" s="22"/>
      <c r="AG144" s="22"/>
      <c r="AH144" s="22"/>
      <c r="AI144" s="22"/>
      <c r="AJ144" s="22"/>
      <c r="AK144" s="26"/>
    </row>
    <row r="145" spans="4:37"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3"/>
      <c r="R145" s="23"/>
      <c r="S145" s="23"/>
      <c r="T145" s="23"/>
      <c r="U145" s="23"/>
      <c r="V145" s="23"/>
      <c r="W145" s="23"/>
      <c r="X145" s="23"/>
      <c r="Y145" s="23"/>
      <c r="Z145" s="24"/>
      <c r="AA145" s="25"/>
      <c r="AB145" s="22"/>
      <c r="AC145" s="22"/>
      <c r="AD145" s="22"/>
      <c r="AE145" s="22"/>
      <c r="AF145" s="22"/>
      <c r="AG145" s="22"/>
      <c r="AH145" s="22"/>
      <c r="AI145" s="22"/>
      <c r="AJ145" s="22"/>
      <c r="AK145" s="26"/>
    </row>
    <row r="146" spans="4:37"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3"/>
      <c r="R146" s="23"/>
      <c r="S146" s="23"/>
      <c r="T146" s="23"/>
      <c r="U146" s="23"/>
      <c r="V146" s="23"/>
      <c r="W146" s="23"/>
      <c r="X146" s="23"/>
      <c r="Y146" s="23"/>
      <c r="Z146" s="24"/>
      <c r="AA146" s="25"/>
      <c r="AB146" s="22"/>
      <c r="AC146" s="22"/>
      <c r="AD146" s="22"/>
      <c r="AE146" s="22"/>
      <c r="AF146" s="22"/>
      <c r="AG146" s="22"/>
      <c r="AH146" s="22"/>
      <c r="AI146" s="22"/>
      <c r="AJ146" s="22"/>
      <c r="AK146" s="26"/>
    </row>
    <row r="147" spans="4:37"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3"/>
      <c r="R147" s="23"/>
      <c r="S147" s="23"/>
      <c r="T147" s="23"/>
      <c r="U147" s="23"/>
      <c r="V147" s="23"/>
      <c r="W147" s="23"/>
      <c r="X147" s="23"/>
      <c r="Y147" s="23"/>
      <c r="Z147" s="24"/>
      <c r="AA147" s="25"/>
      <c r="AB147" s="22"/>
      <c r="AC147" s="22"/>
      <c r="AD147" s="22"/>
      <c r="AE147" s="22"/>
      <c r="AF147" s="22"/>
      <c r="AG147" s="22"/>
      <c r="AH147" s="22"/>
      <c r="AI147" s="22"/>
      <c r="AJ147" s="22"/>
      <c r="AK147" s="26"/>
    </row>
    <row r="148" spans="4:37"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3"/>
      <c r="R148" s="23"/>
      <c r="S148" s="23"/>
      <c r="T148" s="23"/>
      <c r="U148" s="23"/>
      <c r="V148" s="23"/>
      <c r="W148" s="23"/>
      <c r="X148" s="23"/>
      <c r="Y148" s="23"/>
      <c r="Z148" s="24"/>
      <c r="AA148" s="25"/>
      <c r="AB148" s="22"/>
      <c r="AC148" s="22"/>
      <c r="AD148" s="22"/>
      <c r="AE148" s="22"/>
      <c r="AF148" s="22"/>
      <c r="AG148" s="22"/>
      <c r="AH148" s="22"/>
      <c r="AI148" s="22"/>
      <c r="AJ148" s="22"/>
      <c r="AK148" s="26"/>
    </row>
    <row r="149" spans="4:37"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3"/>
      <c r="R149" s="23"/>
      <c r="S149" s="23"/>
      <c r="T149" s="23"/>
      <c r="U149" s="23"/>
      <c r="V149" s="23"/>
      <c r="W149" s="23"/>
      <c r="X149" s="23"/>
      <c r="Y149" s="23"/>
      <c r="Z149" s="24"/>
      <c r="AA149" s="25"/>
      <c r="AB149" s="22"/>
      <c r="AC149" s="22"/>
      <c r="AD149" s="22"/>
      <c r="AE149" s="22"/>
      <c r="AF149" s="22"/>
      <c r="AG149" s="22"/>
      <c r="AH149" s="22"/>
      <c r="AI149" s="22"/>
      <c r="AJ149" s="22"/>
      <c r="AK149" s="26"/>
    </row>
    <row r="150" spans="4:37"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3"/>
      <c r="R150" s="23"/>
      <c r="S150" s="23"/>
      <c r="T150" s="23"/>
      <c r="U150" s="23"/>
      <c r="V150" s="23"/>
      <c r="W150" s="23"/>
      <c r="X150" s="23"/>
      <c r="Y150" s="23"/>
      <c r="Z150" s="24"/>
      <c r="AA150" s="25"/>
      <c r="AB150" s="22"/>
      <c r="AC150" s="22"/>
      <c r="AD150" s="22"/>
      <c r="AE150" s="22"/>
      <c r="AF150" s="22"/>
      <c r="AG150" s="22"/>
      <c r="AH150" s="22"/>
      <c r="AI150" s="22"/>
      <c r="AJ150" s="22"/>
      <c r="AK150" s="26"/>
    </row>
    <row r="151" spans="4:37"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3"/>
      <c r="R151" s="23"/>
      <c r="S151" s="23"/>
      <c r="T151" s="23"/>
      <c r="U151" s="23"/>
      <c r="V151" s="23"/>
      <c r="W151" s="23"/>
      <c r="X151" s="23"/>
      <c r="Y151" s="23"/>
      <c r="Z151" s="24"/>
      <c r="AA151" s="25"/>
      <c r="AB151" s="22"/>
      <c r="AC151" s="22"/>
      <c r="AD151" s="22"/>
      <c r="AE151" s="22"/>
      <c r="AF151" s="22"/>
      <c r="AG151" s="22"/>
      <c r="AH151" s="22"/>
      <c r="AI151" s="22"/>
      <c r="AJ151" s="22"/>
      <c r="AK151" s="26"/>
    </row>
    <row r="152" spans="4:37"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3"/>
      <c r="R152" s="23"/>
      <c r="S152" s="23"/>
      <c r="T152" s="23"/>
      <c r="U152" s="23"/>
      <c r="V152" s="23"/>
      <c r="W152" s="23"/>
      <c r="X152" s="23"/>
      <c r="Y152" s="23"/>
      <c r="Z152" s="24"/>
      <c r="AA152" s="25"/>
      <c r="AB152" s="22"/>
      <c r="AC152" s="22"/>
      <c r="AD152" s="22"/>
      <c r="AE152" s="22"/>
      <c r="AF152" s="22"/>
      <c r="AG152" s="22"/>
      <c r="AH152" s="22"/>
      <c r="AI152" s="22"/>
      <c r="AJ152" s="22"/>
      <c r="AK152" s="26"/>
    </row>
    <row r="153" spans="4:37"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3"/>
      <c r="R153" s="23"/>
      <c r="S153" s="23"/>
      <c r="T153" s="23"/>
      <c r="U153" s="23"/>
      <c r="V153" s="23"/>
      <c r="W153" s="23"/>
      <c r="X153" s="23"/>
      <c r="Y153" s="23"/>
      <c r="Z153" s="24"/>
      <c r="AA153" s="25"/>
      <c r="AB153" s="22"/>
      <c r="AC153" s="22"/>
      <c r="AD153" s="22"/>
      <c r="AE153" s="22"/>
      <c r="AF153" s="22"/>
      <c r="AG153" s="22"/>
      <c r="AH153" s="22"/>
      <c r="AI153" s="22"/>
      <c r="AJ153" s="22"/>
      <c r="AK153" s="26"/>
    </row>
    <row r="154" spans="4:37"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3"/>
      <c r="R154" s="23"/>
      <c r="S154" s="23"/>
      <c r="T154" s="23"/>
      <c r="U154" s="23"/>
      <c r="V154" s="23"/>
      <c r="W154" s="23"/>
      <c r="X154" s="23"/>
      <c r="Y154" s="23"/>
      <c r="Z154" s="24"/>
      <c r="AA154" s="25"/>
      <c r="AB154" s="22"/>
      <c r="AC154" s="22"/>
      <c r="AD154" s="22"/>
      <c r="AE154" s="22"/>
      <c r="AF154" s="22"/>
      <c r="AG154" s="22"/>
      <c r="AH154" s="22"/>
      <c r="AI154" s="22"/>
      <c r="AJ154" s="22"/>
      <c r="AK154" s="26"/>
    </row>
    <row r="155" spans="4:37"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3"/>
      <c r="R155" s="23"/>
      <c r="S155" s="23"/>
      <c r="T155" s="23"/>
      <c r="U155" s="23"/>
      <c r="V155" s="23"/>
      <c r="W155" s="23"/>
      <c r="X155" s="23"/>
      <c r="Y155" s="23"/>
      <c r="Z155" s="24"/>
      <c r="AA155" s="25"/>
      <c r="AB155" s="22"/>
      <c r="AC155" s="22"/>
      <c r="AD155" s="22"/>
      <c r="AE155" s="22"/>
      <c r="AF155" s="22"/>
      <c r="AG155" s="22"/>
      <c r="AH155" s="22"/>
      <c r="AI155" s="22"/>
      <c r="AJ155" s="22"/>
      <c r="AK155" s="26"/>
    </row>
    <row r="156" spans="4:37"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3"/>
      <c r="R156" s="23"/>
      <c r="S156" s="23"/>
      <c r="T156" s="23"/>
      <c r="U156" s="23"/>
      <c r="V156" s="23"/>
      <c r="W156" s="23"/>
      <c r="X156" s="23"/>
      <c r="Y156" s="23"/>
      <c r="Z156" s="24"/>
      <c r="AA156" s="25"/>
      <c r="AB156" s="22"/>
      <c r="AC156" s="22"/>
      <c r="AD156" s="22"/>
      <c r="AE156" s="22"/>
      <c r="AF156" s="22"/>
      <c r="AG156" s="22"/>
      <c r="AH156" s="22"/>
      <c r="AI156" s="22"/>
      <c r="AJ156" s="22"/>
      <c r="AK156" s="26"/>
    </row>
    <row r="157" spans="4:37"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3"/>
      <c r="R157" s="23"/>
      <c r="S157" s="23"/>
      <c r="T157" s="23"/>
      <c r="U157" s="23"/>
      <c r="V157" s="23"/>
      <c r="W157" s="23"/>
      <c r="X157" s="23"/>
      <c r="Y157" s="23"/>
      <c r="Z157" s="24"/>
      <c r="AA157" s="25"/>
      <c r="AB157" s="22"/>
      <c r="AC157" s="22"/>
      <c r="AD157" s="22"/>
      <c r="AE157" s="22"/>
      <c r="AF157" s="22"/>
      <c r="AG157" s="22"/>
      <c r="AH157" s="22"/>
      <c r="AI157" s="22"/>
      <c r="AJ157" s="22"/>
      <c r="AK157" s="26"/>
    </row>
    <row r="158" spans="4:37"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3"/>
      <c r="R158" s="23"/>
      <c r="S158" s="23"/>
      <c r="T158" s="23"/>
      <c r="U158" s="23"/>
      <c r="V158" s="23"/>
      <c r="W158" s="23"/>
      <c r="X158" s="23"/>
      <c r="Y158" s="23"/>
      <c r="Z158" s="24"/>
      <c r="AA158" s="25"/>
      <c r="AB158" s="22"/>
      <c r="AC158" s="22"/>
      <c r="AD158" s="22"/>
      <c r="AE158" s="22"/>
      <c r="AF158" s="22"/>
      <c r="AG158" s="22"/>
      <c r="AH158" s="22"/>
      <c r="AI158" s="22"/>
      <c r="AJ158" s="22"/>
      <c r="AK158" s="26"/>
    </row>
    <row r="159" spans="4:37"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3"/>
      <c r="R159" s="23"/>
      <c r="S159" s="23"/>
      <c r="T159" s="23"/>
      <c r="U159" s="23"/>
      <c r="V159" s="23"/>
      <c r="W159" s="23"/>
      <c r="X159" s="23"/>
      <c r="Y159" s="23"/>
      <c r="Z159" s="24"/>
      <c r="AA159" s="25"/>
      <c r="AB159" s="22"/>
      <c r="AC159" s="22"/>
      <c r="AD159" s="22"/>
      <c r="AE159" s="22"/>
      <c r="AF159" s="22"/>
      <c r="AG159" s="22"/>
      <c r="AH159" s="22"/>
      <c r="AI159" s="22"/>
      <c r="AJ159" s="22"/>
      <c r="AK159" s="26"/>
    </row>
    <row r="160" spans="4:37"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3"/>
      <c r="R160" s="23"/>
      <c r="S160" s="23"/>
      <c r="T160" s="23"/>
      <c r="U160" s="23"/>
      <c r="V160" s="23"/>
      <c r="W160" s="23"/>
      <c r="X160" s="23"/>
      <c r="Y160" s="23"/>
      <c r="Z160" s="24"/>
      <c r="AA160" s="25"/>
      <c r="AB160" s="22"/>
      <c r="AC160" s="22"/>
      <c r="AD160" s="22"/>
      <c r="AE160" s="22"/>
      <c r="AF160" s="22"/>
      <c r="AG160" s="22"/>
      <c r="AH160" s="22"/>
      <c r="AI160" s="22"/>
      <c r="AJ160" s="22"/>
      <c r="AK160" s="26"/>
    </row>
    <row r="161" spans="4:37"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3"/>
      <c r="R161" s="23"/>
      <c r="S161" s="23"/>
      <c r="T161" s="23"/>
      <c r="U161" s="23"/>
      <c r="V161" s="23"/>
      <c r="W161" s="23"/>
      <c r="X161" s="23"/>
      <c r="Y161" s="23"/>
      <c r="Z161" s="24"/>
      <c r="AA161" s="25"/>
      <c r="AB161" s="22"/>
      <c r="AC161" s="22"/>
      <c r="AD161" s="22"/>
      <c r="AE161" s="22"/>
      <c r="AF161" s="22"/>
      <c r="AG161" s="22"/>
      <c r="AH161" s="22"/>
      <c r="AI161" s="22"/>
      <c r="AJ161" s="22"/>
      <c r="AK161" s="26"/>
    </row>
    <row r="162" spans="4:37"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3"/>
      <c r="R162" s="23"/>
      <c r="S162" s="23"/>
      <c r="T162" s="23"/>
      <c r="U162" s="23"/>
      <c r="V162" s="23"/>
      <c r="W162" s="23"/>
      <c r="X162" s="23"/>
      <c r="Y162" s="23"/>
      <c r="Z162" s="24"/>
      <c r="AA162" s="25"/>
      <c r="AB162" s="22"/>
      <c r="AC162" s="22"/>
      <c r="AD162" s="22"/>
      <c r="AE162" s="22"/>
      <c r="AF162" s="22"/>
      <c r="AG162" s="22"/>
      <c r="AH162" s="22"/>
      <c r="AI162" s="22"/>
      <c r="AJ162" s="22"/>
      <c r="AK162" s="26"/>
    </row>
    <row r="163" spans="4:37"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3"/>
      <c r="R163" s="23"/>
      <c r="S163" s="23"/>
      <c r="T163" s="23"/>
      <c r="U163" s="23"/>
      <c r="V163" s="23"/>
      <c r="W163" s="23"/>
      <c r="X163" s="23"/>
      <c r="Y163" s="23"/>
      <c r="Z163" s="24"/>
      <c r="AA163" s="25"/>
      <c r="AB163" s="22"/>
      <c r="AC163" s="22"/>
      <c r="AD163" s="22"/>
      <c r="AE163" s="22"/>
      <c r="AF163" s="22"/>
      <c r="AG163" s="22"/>
      <c r="AH163" s="22"/>
      <c r="AI163" s="22"/>
      <c r="AJ163" s="22"/>
      <c r="AK163" s="26"/>
    </row>
    <row r="164" spans="4:37"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3"/>
      <c r="R164" s="23"/>
      <c r="S164" s="23"/>
      <c r="T164" s="23"/>
      <c r="U164" s="23"/>
      <c r="V164" s="23"/>
      <c r="W164" s="23"/>
      <c r="X164" s="23"/>
      <c r="Y164" s="23"/>
      <c r="Z164" s="24"/>
      <c r="AA164" s="25"/>
      <c r="AB164" s="22"/>
      <c r="AC164" s="22"/>
      <c r="AD164" s="22"/>
      <c r="AE164" s="22"/>
      <c r="AF164" s="22"/>
      <c r="AG164" s="22"/>
      <c r="AH164" s="22"/>
      <c r="AI164" s="22"/>
      <c r="AJ164" s="22"/>
      <c r="AK164" s="26"/>
    </row>
    <row r="165" spans="4:37"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3"/>
      <c r="R165" s="23"/>
      <c r="S165" s="23"/>
      <c r="T165" s="23"/>
      <c r="U165" s="23"/>
      <c r="V165" s="23"/>
      <c r="W165" s="23"/>
      <c r="X165" s="23"/>
      <c r="Y165" s="23"/>
      <c r="Z165" s="24"/>
      <c r="AA165" s="25"/>
      <c r="AB165" s="22"/>
      <c r="AC165" s="22"/>
      <c r="AD165" s="22"/>
      <c r="AE165" s="22"/>
      <c r="AF165" s="22"/>
      <c r="AG165" s="22"/>
      <c r="AH165" s="22"/>
      <c r="AI165" s="22"/>
      <c r="AJ165" s="22"/>
      <c r="AK165" s="26"/>
    </row>
    <row r="166" spans="4:37"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3"/>
      <c r="R166" s="23"/>
      <c r="S166" s="23"/>
      <c r="T166" s="23"/>
      <c r="U166" s="23"/>
      <c r="V166" s="23"/>
      <c r="W166" s="23"/>
      <c r="X166" s="23"/>
      <c r="Y166" s="23"/>
      <c r="Z166" s="24"/>
      <c r="AA166" s="25"/>
      <c r="AB166" s="22"/>
      <c r="AC166" s="22"/>
      <c r="AD166" s="22"/>
      <c r="AE166" s="22"/>
      <c r="AF166" s="22"/>
      <c r="AG166" s="22"/>
      <c r="AH166" s="22"/>
      <c r="AI166" s="22"/>
      <c r="AJ166" s="22"/>
      <c r="AK166" s="26"/>
    </row>
    <row r="167" spans="4:37"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3"/>
      <c r="R167" s="23"/>
      <c r="S167" s="23"/>
      <c r="T167" s="23"/>
      <c r="U167" s="23"/>
      <c r="V167" s="23"/>
      <c r="W167" s="23"/>
      <c r="X167" s="23"/>
      <c r="Y167" s="23"/>
      <c r="Z167" s="24"/>
      <c r="AA167" s="25"/>
      <c r="AB167" s="22"/>
      <c r="AC167" s="22"/>
      <c r="AD167" s="22"/>
      <c r="AE167" s="22"/>
      <c r="AF167" s="22"/>
      <c r="AG167" s="22"/>
      <c r="AH167" s="22"/>
      <c r="AI167" s="22"/>
      <c r="AJ167" s="22"/>
      <c r="AK167" s="26"/>
    </row>
    <row r="168" spans="4:37"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3"/>
      <c r="R168" s="23"/>
      <c r="S168" s="23"/>
      <c r="T168" s="23"/>
      <c r="U168" s="23"/>
      <c r="V168" s="23"/>
      <c r="W168" s="23"/>
      <c r="X168" s="23"/>
      <c r="Y168" s="23"/>
      <c r="Z168" s="24"/>
      <c r="AA168" s="25"/>
      <c r="AB168" s="22"/>
      <c r="AC168" s="22"/>
      <c r="AD168" s="22"/>
      <c r="AE168" s="22"/>
      <c r="AF168" s="22"/>
      <c r="AG168" s="22"/>
      <c r="AH168" s="22"/>
      <c r="AI168" s="22"/>
      <c r="AJ168" s="22"/>
      <c r="AK168" s="26"/>
    </row>
    <row r="169" spans="4:37"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3"/>
      <c r="R169" s="23"/>
      <c r="S169" s="23"/>
      <c r="T169" s="23"/>
      <c r="U169" s="23"/>
      <c r="V169" s="23"/>
      <c r="W169" s="23"/>
      <c r="X169" s="23"/>
      <c r="Y169" s="23"/>
      <c r="Z169" s="24"/>
      <c r="AA169" s="25"/>
      <c r="AB169" s="22"/>
      <c r="AC169" s="22"/>
      <c r="AD169" s="22"/>
      <c r="AE169" s="22"/>
      <c r="AF169" s="22"/>
      <c r="AG169" s="22"/>
      <c r="AH169" s="22"/>
      <c r="AI169" s="22"/>
      <c r="AJ169" s="22"/>
      <c r="AK169" s="26"/>
    </row>
    <row r="170" spans="4:37"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3"/>
      <c r="R170" s="23"/>
      <c r="S170" s="23"/>
      <c r="T170" s="23"/>
      <c r="U170" s="23"/>
      <c r="V170" s="23"/>
      <c r="W170" s="23"/>
      <c r="X170" s="23"/>
      <c r="Y170" s="23"/>
      <c r="Z170" s="24"/>
      <c r="AA170" s="25"/>
      <c r="AB170" s="22"/>
      <c r="AC170" s="22"/>
      <c r="AD170" s="22"/>
      <c r="AE170" s="22"/>
      <c r="AF170" s="22"/>
      <c r="AG170" s="22"/>
      <c r="AH170" s="22"/>
      <c r="AI170" s="22"/>
      <c r="AJ170" s="22"/>
      <c r="AK170" s="26"/>
    </row>
    <row r="171" spans="4:37"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3"/>
      <c r="R171" s="23"/>
      <c r="S171" s="23"/>
      <c r="T171" s="23"/>
      <c r="U171" s="23"/>
      <c r="V171" s="23"/>
      <c r="W171" s="23"/>
      <c r="X171" s="23"/>
      <c r="Y171" s="23"/>
      <c r="Z171" s="24"/>
      <c r="AA171" s="25"/>
      <c r="AB171" s="22"/>
      <c r="AC171" s="22"/>
      <c r="AD171" s="22"/>
      <c r="AE171" s="22"/>
      <c r="AF171" s="22"/>
      <c r="AG171" s="22"/>
      <c r="AH171" s="22"/>
      <c r="AI171" s="22"/>
      <c r="AJ171" s="22"/>
      <c r="AK171" s="26"/>
    </row>
    <row r="172" spans="4:37"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3"/>
      <c r="R172" s="23"/>
      <c r="S172" s="23"/>
      <c r="T172" s="23"/>
      <c r="U172" s="23"/>
      <c r="V172" s="23"/>
      <c r="W172" s="23"/>
      <c r="X172" s="23"/>
      <c r="Y172" s="23"/>
      <c r="Z172" s="24"/>
      <c r="AA172" s="25"/>
      <c r="AB172" s="22"/>
      <c r="AC172" s="22"/>
      <c r="AD172" s="22"/>
      <c r="AE172" s="22"/>
      <c r="AF172" s="22"/>
      <c r="AG172" s="22"/>
      <c r="AH172" s="22"/>
      <c r="AI172" s="22"/>
      <c r="AJ172" s="22"/>
      <c r="AK172" s="26"/>
    </row>
    <row r="173" spans="4:37"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3"/>
      <c r="R173" s="23"/>
      <c r="S173" s="23"/>
      <c r="T173" s="23"/>
      <c r="U173" s="23"/>
      <c r="V173" s="23"/>
      <c r="W173" s="23"/>
      <c r="X173" s="23"/>
      <c r="Y173" s="23"/>
      <c r="Z173" s="24"/>
      <c r="AA173" s="25"/>
      <c r="AB173" s="22"/>
      <c r="AC173" s="22"/>
      <c r="AD173" s="22"/>
      <c r="AE173" s="22"/>
      <c r="AF173" s="22"/>
      <c r="AG173" s="22"/>
      <c r="AH173" s="22"/>
      <c r="AI173" s="22"/>
      <c r="AJ173" s="22"/>
      <c r="AK173" s="26"/>
    </row>
    <row r="174" spans="4:37"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3"/>
      <c r="R174" s="23"/>
      <c r="S174" s="23"/>
      <c r="T174" s="23"/>
      <c r="U174" s="23"/>
      <c r="V174" s="23"/>
      <c r="W174" s="23"/>
      <c r="X174" s="23"/>
      <c r="Y174" s="23"/>
      <c r="Z174" s="24"/>
      <c r="AA174" s="25"/>
      <c r="AB174" s="22"/>
      <c r="AC174" s="22"/>
      <c r="AD174" s="22"/>
      <c r="AE174" s="22"/>
      <c r="AF174" s="22"/>
      <c r="AG174" s="22"/>
      <c r="AH174" s="22"/>
      <c r="AI174" s="22"/>
      <c r="AJ174" s="22"/>
      <c r="AK174" s="26"/>
    </row>
    <row r="175" spans="4:37"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3"/>
      <c r="R175" s="23"/>
      <c r="S175" s="23"/>
      <c r="T175" s="23"/>
      <c r="U175" s="23"/>
      <c r="V175" s="23"/>
      <c r="W175" s="23"/>
      <c r="X175" s="23"/>
      <c r="Y175" s="23"/>
      <c r="Z175" s="24"/>
      <c r="AA175" s="25"/>
      <c r="AB175" s="22"/>
      <c r="AC175" s="22"/>
      <c r="AD175" s="22"/>
      <c r="AE175" s="22"/>
      <c r="AF175" s="22"/>
      <c r="AG175" s="22"/>
      <c r="AH175" s="22"/>
      <c r="AI175" s="22"/>
      <c r="AJ175" s="22"/>
      <c r="AK175" s="26"/>
    </row>
    <row r="176" spans="4:37"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3"/>
      <c r="R176" s="23"/>
      <c r="S176" s="23"/>
      <c r="T176" s="23"/>
      <c r="U176" s="23"/>
      <c r="V176" s="23"/>
      <c r="W176" s="23"/>
      <c r="X176" s="23"/>
      <c r="Y176" s="23"/>
      <c r="Z176" s="24"/>
      <c r="AA176" s="25"/>
      <c r="AB176" s="22"/>
      <c r="AC176" s="22"/>
      <c r="AD176" s="22"/>
      <c r="AE176" s="22"/>
      <c r="AF176" s="22"/>
      <c r="AG176" s="22"/>
      <c r="AH176" s="22"/>
      <c r="AI176" s="22"/>
      <c r="AJ176" s="22"/>
      <c r="AK176" s="26"/>
    </row>
    <row r="177" spans="4:37"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3"/>
      <c r="R177" s="23"/>
      <c r="S177" s="23"/>
      <c r="T177" s="23"/>
      <c r="U177" s="23"/>
      <c r="V177" s="23"/>
      <c r="W177" s="23"/>
      <c r="X177" s="23"/>
      <c r="Y177" s="23"/>
      <c r="Z177" s="24"/>
      <c r="AA177" s="25"/>
      <c r="AB177" s="22"/>
      <c r="AC177" s="22"/>
      <c r="AD177" s="22"/>
      <c r="AE177" s="22"/>
      <c r="AF177" s="22"/>
      <c r="AG177" s="22"/>
      <c r="AH177" s="22"/>
      <c r="AI177" s="22"/>
      <c r="AJ177" s="22"/>
      <c r="AK177" s="26"/>
    </row>
    <row r="178" spans="4:37"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3"/>
      <c r="R178" s="23"/>
      <c r="S178" s="23"/>
      <c r="T178" s="23"/>
      <c r="U178" s="23"/>
      <c r="V178" s="23"/>
      <c r="W178" s="23"/>
      <c r="X178" s="23"/>
      <c r="Y178" s="23"/>
      <c r="Z178" s="24"/>
      <c r="AA178" s="25"/>
      <c r="AB178" s="22"/>
      <c r="AC178" s="22"/>
      <c r="AD178" s="22"/>
      <c r="AE178" s="22"/>
      <c r="AF178" s="22"/>
      <c r="AG178" s="22"/>
      <c r="AH178" s="22"/>
      <c r="AI178" s="22"/>
      <c r="AJ178" s="22"/>
      <c r="AK178" s="26"/>
    </row>
    <row r="179" spans="4:37"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3"/>
      <c r="R179" s="23"/>
      <c r="S179" s="23"/>
      <c r="T179" s="23"/>
      <c r="U179" s="23"/>
      <c r="V179" s="23"/>
      <c r="W179" s="23"/>
      <c r="X179" s="23"/>
      <c r="Y179" s="23"/>
      <c r="Z179" s="24"/>
      <c r="AA179" s="25"/>
      <c r="AB179" s="22"/>
      <c r="AC179" s="22"/>
      <c r="AD179" s="22"/>
      <c r="AE179" s="22"/>
      <c r="AF179" s="22"/>
      <c r="AG179" s="22"/>
      <c r="AH179" s="22"/>
      <c r="AI179" s="22"/>
      <c r="AJ179" s="22"/>
      <c r="AK179" s="26"/>
    </row>
    <row r="180" spans="4:37"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3"/>
      <c r="R180" s="23"/>
      <c r="S180" s="23"/>
      <c r="T180" s="23"/>
      <c r="U180" s="23"/>
      <c r="V180" s="23"/>
      <c r="W180" s="23"/>
      <c r="X180" s="23"/>
      <c r="Y180" s="23"/>
      <c r="Z180" s="24"/>
      <c r="AA180" s="25"/>
      <c r="AB180" s="22"/>
      <c r="AC180" s="22"/>
      <c r="AD180" s="22"/>
      <c r="AE180" s="22"/>
      <c r="AF180" s="22"/>
      <c r="AG180" s="22"/>
      <c r="AH180" s="22"/>
      <c r="AI180" s="22"/>
      <c r="AJ180" s="22"/>
      <c r="AK180" s="26"/>
    </row>
    <row r="181" spans="4:37"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3"/>
      <c r="R181" s="23"/>
      <c r="S181" s="23"/>
      <c r="T181" s="23"/>
      <c r="U181" s="23"/>
      <c r="V181" s="23"/>
      <c r="W181" s="23"/>
      <c r="X181" s="23"/>
      <c r="Y181" s="23"/>
      <c r="Z181" s="24"/>
      <c r="AA181" s="25"/>
      <c r="AB181" s="22"/>
      <c r="AC181" s="22"/>
      <c r="AD181" s="22"/>
      <c r="AE181" s="22"/>
      <c r="AF181" s="22"/>
      <c r="AG181" s="22"/>
      <c r="AH181" s="22"/>
      <c r="AI181" s="22"/>
      <c r="AJ181" s="22"/>
      <c r="AK181" s="26"/>
    </row>
    <row r="182" spans="4:37"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3"/>
      <c r="R182" s="23"/>
      <c r="S182" s="23"/>
      <c r="T182" s="23"/>
      <c r="U182" s="23"/>
      <c r="V182" s="23"/>
      <c r="W182" s="23"/>
      <c r="X182" s="23"/>
      <c r="Y182" s="23"/>
      <c r="Z182" s="24"/>
      <c r="AA182" s="25"/>
      <c r="AB182" s="22"/>
      <c r="AC182" s="22"/>
      <c r="AD182" s="22"/>
      <c r="AE182" s="22"/>
      <c r="AF182" s="22"/>
      <c r="AG182" s="22"/>
      <c r="AH182" s="22"/>
      <c r="AI182" s="22"/>
      <c r="AJ182" s="22"/>
      <c r="AK182" s="26"/>
    </row>
    <row r="183" spans="4:37"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3"/>
      <c r="R183" s="23"/>
      <c r="S183" s="23"/>
      <c r="T183" s="23"/>
      <c r="U183" s="23"/>
      <c r="V183" s="23"/>
      <c r="W183" s="23"/>
      <c r="X183" s="23"/>
      <c r="Y183" s="23"/>
      <c r="Z183" s="24"/>
      <c r="AA183" s="25"/>
      <c r="AB183" s="22"/>
      <c r="AC183" s="22"/>
      <c r="AD183" s="22"/>
      <c r="AE183" s="22"/>
      <c r="AF183" s="22"/>
      <c r="AG183" s="22"/>
      <c r="AH183" s="22"/>
      <c r="AI183" s="22"/>
      <c r="AJ183" s="22"/>
      <c r="AK183" s="26"/>
    </row>
    <row r="184" spans="4:37"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3"/>
      <c r="R184" s="23"/>
      <c r="S184" s="23"/>
      <c r="T184" s="23"/>
      <c r="U184" s="23"/>
      <c r="V184" s="23"/>
      <c r="W184" s="23"/>
      <c r="X184" s="23"/>
      <c r="Y184" s="23"/>
      <c r="Z184" s="24"/>
      <c r="AA184" s="25"/>
      <c r="AB184" s="22"/>
      <c r="AC184" s="22"/>
      <c r="AD184" s="22"/>
      <c r="AE184" s="22"/>
      <c r="AF184" s="22"/>
      <c r="AG184" s="22"/>
      <c r="AH184" s="22"/>
      <c r="AI184" s="22"/>
      <c r="AJ184" s="22"/>
      <c r="AK184" s="26"/>
    </row>
    <row r="185" spans="4:37"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3"/>
      <c r="R185" s="23"/>
      <c r="S185" s="23"/>
      <c r="T185" s="23"/>
      <c r="U185" s="23"/>
      <c r="V185" s="23"/>
      <c r="W185" s="23"/>
      <c r="X185" s="23"/>
      <c r="Y185" s="23"/>
      <c r="Z185" s="24"/>
      <c r="AA185" s="25"/>
      <c r="AB185" s="22"/>
      <c r="AC185" s="22"/>
      <c r="AD185" s="22"/>
      <c r="AE185" s="22"/>
      <c r="AF185" s="22"/>
      <c r="AG185" s="22"/>
      <c r="AH185" s="22"/>
      <c r="AI185" s="22"/>
      <c r="AJ185" s="22"/>
      <c r="AK185" s="26"/>
    </row>
    <row r="186" spans="4:37"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3"/>
      <c r="R186" s="23"/>
      <c r="S186" s="23"/>
      <c r="T186" s="23"/>
      <c r="U186" s="23"/>
      <c r="V186" s="23"/>
      <c r="W186" s="23"/>
      <c r="X186" s="23"/>
      <c r="Y186" s="23"/>
      <c r="Z186" s="24"/>
      <c r="AA186" s="25"/>
      <c r="AB186" s="22"/>
      <c r="AC186" s="22"/>
      <c r="AD186" s="22"/>
      <c r="AE186" s="22"/>
      <c r="AF186" s="22"/>
      <c r="AG186" s="22"/>
      <c r="AH186" s="22"/>
      <c r="AI186" s="22"/>
      <c r="AJ186" s="22"/>
      <c r="AK186" s="26"/>
    </row>
    <row r="187" spans="4:37"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3"/>
      <c r="R187" s="23"/>
      <c r="S187" s="23"/>
      <c r="T187" s="23"/>
      <c r="U187" s="23"/>
      <c r="V187" s="23"/>
      <c r="W187" s="23"/>
      <c r="X187" s="23"/>
      <c r="Y187" s="23"/>
      <c r="Z187" s="24"/>
      <c r="AA187" s="25"/>
      <c r="AB187" s="22"/>
      <c r="AC187" s="22"/>
      <c r="AD187" s="22"/>
      <c r="AE187" s="22"/>
      <c r="AF187" s="22"/>
      <c r="AG187" s="22"/>
      <c r="AH187" s="22"/>
      <c r="AI187" s="22"/>
      <c r="AJ187" s="22"/>
      <c r="AK187" s="26"/>
    </row>
    <row r="188" spans="4:37"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3"/>
      <c r="R188" s="23"/>
      <c r="S188" s="23"/>
      <c r="T188" s="23"/>
      <c r="U188" s="23"/>
      <c r="V188" s="23"/>
      <c r="W188" s="23"/>
      <c r="X188" s="23"/>
      <c r="Y188" s="23"/>
      <c r="Z188" s="24"/>
      <c r="AA188" s="25"/>
      <c r="AB188" s="22"/>
      <c r="AC188" s="22"/>
      <c r="AD188" s="22"/>
      <c r="AE188" s="22"/>
      <c r="AF188" s="22"/>
      <c r="AG188" s="22"/>
      <c r="AH188" s="22"/>
      <c r="AI188" s="22"/>
      <c r="AJ188" s="22"/>
      <c r="AK188" s="26"/>
    </row>
    <row r="189" spans="4:37"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3"/>
      <c r="R189" s="23"/>
      <c r="S189" s="23"/>
      <c r="T189" s="23"/>
      <c r="U189" s="23"/>
      <c r="V189" s="23"/>
      <c r="W189" s="23"/>
      <c r="X189" s="23"/>
      <c r="Y189" s="23"/>
      <c r="Z189" s="24"/>
      <c r="AA189" s="25"/>
      <c r="AB189" s="22"/>
      <c r="AC189" s="22"/>
      <c r="AD189" s="22"/>
      <c r="AE189" s="22"/>
      <c r="AF189" s="22"/>
      <c r="AG189" s="22"/>
      <c r="AH189" s="22"/>
      <c r="AI189" s="22"/>
      <c r="AJ189" s="22"/>
      <c r="AK189" s="26"/>
    </row>
    <row r="190" spans="4:37"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3"/>
      <c r="R190" s="23"/>
      <c r="S190" s="23"/>
      <c r="T190" s="23"/>
      <c r="U190" s="23"/>
      <c r="V190" s="23"/>
      <c r="W190" s="23"/>
      <c r="X190" s="23"/>
      <c r="Y190" s="23"/>
      <c r="Z190" s="24"/>
      <c r="AA190" s="25"/>
      <c r="AB190" s="22"/>
      <c r="AC190" s="22"/>
      <c r="AD190" s="22"/>
      <c r="AE190" s="22"/>
      <c r="AF190" s="22"/>
      <c r="AG190" s="22"/>
      <c r="AH190" s="22"/>
      <c r="AI190" s="22"/>
      <c r="AJ190" s="22"/>
      <c r="AK190" s="26"/>
    </row>
    <row r="191" spans="4:37"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3"/>
      <c r="R191" s="23"/>
      <c r="S191" s="23"/>
      <c r="T191" s="23"/>
      <c r="U191" s="23"/>
      <c r="V191" s="23"/>
      <c r="W191" s="23"/>
      <c r="X191" s="23"/>
      <c r="Y191" s="23"/>
      <c r="Z191" s="24"/>
      <c r="AA191" s="25"/>
      <c r="AB191" s="22"/>
      <c r="AC191" s="22"/>
      <c r="AD191" s="22"/>
      <c r="AE191" s="22"/>
      <c r="AF191" s="22"/>
      <c r="AG191" s="22"/>
      <c r="AH191" s="22"/>
      <c r="AI191" s="22"/>
      <c r="AJ191" s="22"/>
      <c r="AK191" s="26"/>
    </row>
    <row r="192" spans="4:37"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3"/>
      <c r="R192" s="23"/>
      <c r="S192" s="23"/>
      <c r="T192" s="23"/>
      <c r="U192" s="23"/>
      <c r="V192" s="23"/>
      <c r="W192" s="23"/>
      <c r="X192" s="23"/>
      <c r="Y192" s="23"/>
      <c r="Z192" s="24"/>
      <c r="AA192" s="25"/>
      <c r="AB192" s="22"/>
      <c r="AC192" s="22"/>
      <c r="AD192" s="22"/>
      <c r="AE192" s="22"/>
      <c r="AF192" s="22"/>
      <c r="AG192" s="22"/>
      <c r="AH192" s="22"/>
      <c r="AI192" s="22"/>
      <c r="AJ192" s="22"/>
      <c r="AK192" s="26"/>
    </row>
    <row r="193" spans="4:37"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3"/>
      <c r="R193" s="23"/>
      <c r="S193" s="23"/>
      <c r="T193" s="23"/>
      <c r="U193" s="23"/>
      <c r="V193" s="23"/>
      <c r="W193" s="23"/>
      <c r="X193" s="23"/>
      <c r="Y193" s="23"/>
      <c r="Z193" s="24"/>
      <c r="AA193" s="25"/>
      <c r="AB193" s="22"/>
      <c r="AC193" s="22"/>
      <c r="AD193" s="22"/>
      <c r="AE193" s="22"/>
      <c r="AF193" s="22"/>
      <c r="AG193" s="22"/>
      <c r="AH193" s="22"/>
      <c r="AI193" s="22"/>
      <c r="AJ193" s="22"/>
      <c r="AK193" s="26"/>
    </row>
    <row r="194" spans="4:37"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3"/>
      <c r="R194" s="23"/>
      <c r="S194" s="23"/>
      <c r="T194" s="23"/>
      <c r="U194" s="23"/>
      <c r="V194" s="23"/>
      <c r="W194" s="23"/>
      <c r="X194" s="23"/>
      <c r="Y194" s="23"/>
      <c r="Z194" s="24"/>
      <c r="AA194" s="25"/>
      <c r="AB194" s="22"/>
      <c r="AC194" s="22"/>
      <c r="AD194" s="22"/>
      <c r="AE194" s="22"/>
      <c r="AF194" s="22"/>
      <c r="AG194" s="22"/>
      <c r="AH194" s="22"/>
      <c r="AI194" s="22"/>
      <c r="AJ194" s="22"/>
      <c r="AK194" s="26"/>
    </row>
    <row r="195" spans="4:37"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3"/>
      <c r="R195" s="23"/>
      <c r="S195" s="23"/>
      <c r="T195" s="23"/>
      <c r="U195" s="23"/>
      <c r="V195" s="23"/>
      <c r="W195" s="23"/>
      <c r="X195" s="23"/>
      <c r="Y195" s="23"/>
      <c r="Z195" s="24"/>
      <c r="AA195" s="25"/>
      <c r="AB195" s="22"/>
      <c r="AC195" s="22"/>
      <c r="AD195" s="22"/>
      <c r="AE195" s="22"/>
      <c r="AF195" s="22"/>
      <c r="AG195" s="22"/>
      <c r="AH195" s="22"/>
      <c r="AI195" s="22"/>
      <c r="AJ195" s="22"/>
      <c r="AK195" s="26"/>
    </row>
    <row r="196" spans="4:37"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3"/>
      <c r="R196" s="23"/>
      <c r="S196" s="23"/>
      <c r="T196" s="23"/>
      <c r="U196" s="23"/>
      <c r="V196" s="23"/>
      <c r="W196" s="23"/>
      <c r="X196" s="23"/>
      <c r="Y196" s="23"/>
      <c r="Z196" s="24"/>
      <c r="AA196" s="25"/>
      <c r="AB196" s="22"/>
      <c r="AC196" s="22"/>
      <c r="AD196" s="22"/>
      <c r="AE196" s="22"/>
      <c r="AF196" s="22"/>
      <c r="AG196" s="22"/>
      <c r="AH196" s="22"/>
      <c r="AI196" s="22"/>
      <c r="AJ196" s="22"/>
      <c r="AK196" s="26"/>
    </row>
    <row r="197" spans="4:37"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3"/>
      <c r="R197" s="23"/>
      <c r="S197" s="23"/>
      <c r="T197" s="23"/>
      <c r="U197" s="23"/>
      <c r="V197" s="23"/>
      <c r="W197" s="23"/>
      <c r="X197" s="23"/>
      <c r="Y197" s="23"/>
      <c r="Z197" s="24"/>
      <c r="AA197" s="25"/>
      <c r="AB197" s="22"/>
      <c r="AC197" s="22"/>
      <c r="AD197" s="22"/>
      <c r="AE197" s="22"/>
      <c r="AF197" s="22"/>
      <c r="AG197" s="22"/>
      <c r="AH197" s="22"/>
      <c r="AI197" s="22"/>
      <c r="AJ197" s="22"/>
      <c r="AK197" s="26"/>
    </row>
    <row r="198" spans="4:37"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3"/>
      <c r="R198" s="23"/>
      <c r="S198" s="23"/>
      <c r="T198" s="23"/>
      <c r="U198" s="23"/>
      <c r="V198" s="23"/>
      <c r="W198" s="23"/>
      <c r="X198" s="23"/>
      <c r="Y198" s="23"/>
      <c r="Z198" s="24"/>
      <c r="AA198" s="25"/>
      <c r="AB198" s="22"/>
      <c r="AC198" s="22"/>
      <c r="AD198" s="22"/>
      <c r="AE198" s="22"/>
      <c r="AF198" s="22"/>
      <c r="AG198" s="22"/>
      <c r="AH198" s="22"/>
      <c r="AI198" s="22"/>
      <c r="AJ198" s="22"/>
      <c r="AK198" s="26"/>
    </row>
    <row r="199" spans="4:37"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3"/>
      <c r="R199" s="23"/>
      <c r="S199" s="23"/>
      <c r="T199" s="23"/>
      <c r="U199" s="23"/>
      <c r="V199" s="23"/>
      <c r="W199" s="23"/>
      <c r="X199" s="23"/>
      <c r="Y199" s="23"/>
      <c r="Z199" s="24"/>
      <c r="AA199" s="25"/>
      <c r="AB199" s="22"/>
      <c r="AC199" s="22"/>
      <c r="AD199" s="22"/>
      <c r="AE199" s="22"/>
      <c r="AF199" s="22"/>
      <c r="AG199" s="22"/>
      <c r="AH199" s="22"/>
      <c r="AI199" s="22"/>
      <c r="AJ199" s="22"/>
      <c r="AK199" s="26"/>
    </row>
    <row r="200" spans="4:37"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3"/>
      <c r="R200" s="23"/>
      <c r="S200" s="23"/>
      <c r="T200" s="23"/>
      <c r="U200" s="23"/>
      <c r="V200" s="23"/>
      <c r="W200" s="23"/>
      <c r="X200" s="23"/>
      <c r="Y200" s="23"/>
      <c r="Z200" s="24"/>
      <c r="AA200" s="25"/>
      <c r="AB200" s="22"/>
      <c r="AC200" s="22"/>
      <c r="AD200" s="22"/>
      <c r="AE200" s="22"/>
      <c r="AF200" s="22"/>
      <c r="AG200" s="22"/>
      <c r="AH200" s="22"/>
      <c r="AI200" s="22"/>
      <c r="AJ200" s="22"/>
      <c r="AK200" s="26"/>
    </row>
    <row r="201" spans="4:37"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3"/>
      <c r="R201" s="23"/>
      <c r="S201" s="23"/>
      <c r="T201" s="23"/>
      <c r="U201" s="23"/>
      <c r="V201" s="23"/>
      <c r="W201" s="23"/>
      <c r="X201" s="23"/>
      <c r="Y201" s="23"/>
      <c r="Z201" s="24"/>
      <c r="AA201" s="25"/>
      <c r="AB201" s="22"/>
      <c r="AC201" s="22"/>
      <c r="AD201" s="22"/>
      <c r="AE201" s="22"/>
      <c r="AF201" s="22"/>
      <c r="AG201" s="22"/>
      <c r="AH201" s="22"/>
      <c r="AI201" s="22"/>
      <c r="AJ201" s="22"/>
      <c r="AK201" s="26"/>
    </row>
    <row r="202" spans="4:37"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3"/>
      <c r="R202" s="23"/>
      <c r="S202" s="23"/>
      <c r="T202" s="23"/>
      <c r="U202" s="23"/>
      <c r="V202" s="23"/>
      <c r="W202" s="23"/>
      <c r="X202" s="23"/>
      <c r="Y202" s="23"/>
      <c r="Z202" s="24"/>
      <c r="AA202" s="25"/>
      <c r="AB202" s="22"/>
      <c r="AC202" s="22"/>
      <c r="AD202" s="22"/>
      <c r="AE202" s="22"/>
      <c r="AF202" s="22"/>
      <c r="AG202" s="22"/>
      <c r="AH202" s="22"/>
      <c r="AI202" s="22"/>
      <c r="AJ202" s="22"/>
      <c r="AK202" s="26"/>
    </row>
    <row r="203" spans="4:37"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3"/>
      <c r="R203" s="23"/>
      <c r="S203" s="23"/>
      <c r="T203" s="23"/>
      <c r="U203" s="23"/>
      <c r="V203" s="23"/>
      <c r="W203" s="23"/>
      <c r="X203" s="23"/>
      <c r="Y203" s="23"/>
      <c r="Z203" s="24"/>
      <c r="AA203" s="25"/>
      <c r="AB203" s="22"/>
      <c r="AC203" s="22"/>
      <c r="AD203" s="22"/>
      <c r="AE203" s="22"/>
      <c r="AF203" s="22"/>
      <c r="AG203" s="22"/>
      <c r="AH203" s="22"/>
      <c r="AI203" s="22"/>
      <c r="AJ203" s="22"/>
      <c r="AK203" s="26"/>
    </row>
    <row r="204" spans="4:37"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3"/>
      <c r="R204" s="23"/>
      <c r="S204" s="23"/>
      <c r="T204" s="23"/>
      <c r="U204" s="23"/>
      <c r="V204" s="23"/>
      <c r="W204" s="23"/>
      <c r="X204" s="23"/>
      <c r="Y204" s="23"/>
      <c r="Z204" s="24"/>
      <c r="AA204" s="25"/>
      <c r="AB204" s="22"/>
      <c r="AC204" s="22"/>
      <c r="AD204" s="22"/>
      <c r="AE204" s="22"/>
      <c r="AF204" s="22"/>
      <c r="AG204" s="22"/>
      <c r="AH204" s="22"/>
      <c r="AI204" s="22"/>
      <c r="AJ204" s="22"/>
      <c r="AK204" s="26"/>
    </row>
    <row r="205" spans="4:37"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3"/>
      <c r="R205" s="23"/>
      <c r="S205" s="23"/>
      <c r="T205" s="23"/>
      <c r="U205" s="23"/>
      <c r="V205" s="23"/>
      <c r="W205" s="23"/>
      <c r="X205" s="23"/>
      <c r="Y205" s="23"/>
      <c r="Z205" s="24"/>
      <c r="AA205" s="25"/>
      <c r="AB205" s="22"/>
      <c r="AC205" s="22"/>
      <c r="AD205" s="22"/>
      <c r="AE205" s="22"/>
      <c r="AF205" s="22"/>
      <c r="AG205" s="22"/>
      <c r="AH205" s="22"/>
      <c r="AI205" s="22"/>
      <c r="AJ205" s="22"/>
      <c r="AK205" s="26"/>
    </row>
    <row r="206" spans="4:37"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3"/>
      <c r="R206" s="23"/>
      <c r="S206" s="23"/>
      <c r="T206" s="23"/>
      <c r="U206" s="23"/>
      <c r="V206" s="23"/>
      <c r="W206" s="23"/>
      <c r="X206" s="23"/>
      <c r="Y206" s="23"/>
      <c r="Z206" s="24"/>
      <c r="AA206" s="25"/>
      <c r="AB206" s="22"/>
      <c r="AC206" s="22"/>
      <c r="AD206" s="22"/>
      <c r="AE206" s="22"/>
      <c r="AF206" s="22"/>
      <c r="AG206" s="22"/>
      <c r="AH206" s="22"/>
      <c r="AI206" s="22"/>
      <c r="AJ206" s="22"/>
      <c r="AK206" s="26"/>
    </row>
    <row r="207" spans="4:37"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3"/>
      <c r="R207" s="23"/>
      <c r="S207" s="23"/>
      <c r="T207" s="23"/>
      <c r="U207" s="23"/>
      <c r="V207" s="23"/>
      <c r="W207" s="23"/>
      <c r="X207" s="23"/>
      <c r="Y207" s="23"/>
      <c r="Z207" s="24"/>
      <c r="AA207" s="25"/>
      <c r="AB207" s="22"/>
      <c r="AC207" s="22"/>
      <c r="AD207" s="22"/>
      <c r="AE207" s="22"/>
      <c r="AF207" s="22"/>
      <c r="AG207" s="22"/>
      <c r="AH207" s="22"/>
      <c r="AI207" s="22"/>
      <c r="AJ207" s="22"/>
      <c r="AK207" s="26"/>
    </row>
    <row r="208" spans="4:37"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3"/>
      <c r="R208" s="23"/>
      <c r="S208" s="23"/>
      <c r="T208" s="23"/>
      <c r="U208" s="23"/>
      <c r="V208" s="23"/>
      <c r="W208" s="23"/>
      <c r="X208" s="23"/>
      <c r="Y208" s="23"/>
      <c r="Z208" s="24"/>
      <c r="AA208" s="25"/>
      <c r="AB208" s="22"/>
      <c r="AC208" s="22"/>
      <c r="AD208" s="22"/>
      <c r="AE208" s="22"/>
      <c r="AF208" s="22"/>
      <c r="AG208" s="22"/>
      <c r="AH208" s="22"/>
      <c r="AI208" s="22"/>
      <c r="AJ208" s="22"/>
      <c r="AK208" s="26"/>
    </row>
    <row r="209" spans="4:37"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3"/>
      <c r="R209" s="23"/>
      <c r="S209" s="23"/>
      <c r="T209" s="23"/>
      <c r="U209" s="23"/>
      <c r="V209" s="23"/>
      <c r="W209" s="23"/>
      <c r="X209" s="23"/>
      <c r="Y209" s="23"/>
      <c r="Z209" s="24"/>
      <c r="AA209" s="25"/>
      <c r="AB209" s="22"/>
      <c r="AC209" s="22"/>
      <c r="AD209" s="22"/>
      <c r="AE209" s="22"/>
      <c r="AF209" s="22"/>
      <c r="AG209" s="22"/>
      <c r="AH209" s="22"/>
      <c r="AI209" s="22"/>
      <c r="AJ209" s="22"/>
      <c r="AK209" s="26"/>
    </row>
    <row r="210" spans="4:37"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3"/>
      <c r="R210" s="23"/>
      <c r="S210" s="23"/>
      <c r="T210" s="23"/>
      <c r="U210" s="23"/>
      <c r="V210" s="23"/>
      <c r="W210" s="23"/>
      <c r="X210" s="23"/>
      <c r="Y210" s="23"/>
      <c r="Z210" s="24"/>
      <c r="AA210" s="25"/>
      <c r="AB210" s="22"/>
      <c r="AC210" s="22"/>
      <c r="AD210" s="22"/>
      <c r="AE210" s="22"/>
      <c r="AF210" s="22"/>
      <c r="AG210" s="22"/>
      <c r="AH210" s="22"/>
      <c r="AI210" s="22"/>
      <c r="AJ210" s="22"/>
      <c r="AK210" s="26"/>
    </row>
    <row r="211" spans="4:37"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3"/>
      <c r="R211" s="23"/>
      <c r="S211" s="23"/>
      <c r="T211" s="23"/>
      <c r="U211" s="23"/>
      <c r="V211" s="23"/>
      <c r="W211" s="23"/>
      <c r="X211" s="23"/>
      <c r="Y211" s="23"/>
      <c r="Z211" s="24"/>
      <c r="AA211" s="25"/>
      <c r="AB211" s="22"/>
      <c r="AC211" s="22"/>
      <c r="AD211" s="22"/>
      <c r="AE211" s="22"/>
      <c r="AF211" s="22"/>
      <c r="AG211" s="22"/>
      <c r="AH211" s="22"/>
      <c r="AI211" s="22"/>
      <c r="AJ211" s="22"/>
      <c r="AK211" s="26"/>
    </row>
    <row r="212" spans="4:37"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3"/>
      <c r="R212" s="23"/>
      <c r="S212" s="23"/>
      <c r="T212" s="23"/>
      <c r="U212" s="23"/>
      <c r="V212" s="23"/>
      <c r="W212" s="23"/>
      <c r="X212" s="23"/>
      <c r="Y212" s="23"/>
      <c r="Z212" s="24"/>
      <c r="AA212" s="25"/>
      <c r="AB212" s="22"/>
      <c r="AC212" s="22"/>
      <c r="AD212" s="22"/>
      <c r="AE212" s="22"/>
      <c r="AF212" s="22"/>
      <c r="AG212" s="22"/>
      <c r="AH212" s="22"/>
      <c r="AI212" s="22"/>
      <c r="AJ212" s="22"/>
      <c r="AK212" s="26"/>
    </row>
    <row r="213" spans="4:37"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3"/>
      <c r="R213" s="23"/>
      <c r="S213" s="23"/>
      <c r="T213" s="23"/>
      <c r="U213" s="23"/>
      <c r="V213" s="23"/>
      <c r="W213" s="23"/>
      <c r="X213" s="23"/>
      <c r="Y213" s="23"/>
      <c r="Z213" s="24"/>
      <c r="AA213" s="25"/>
      <c r="AB213" s="22"/>
      <c r="AC213" s="22"/>
      <c r="AD213" s="22"/>
      <c r="AE213" s="22"/>
      <c r="AF213" s="22"/>
      <c r="AG213" s="22"/>
      <c r="AH213" s="22"/>
      <c r="AI213" s="22"/>
      <c r="AJ213" s="22"/>
      <c r="AK213" s="26"/>
    </row>
    <row r="214" spans="4:37"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3"/>
      <c r="R214" s="23"/>
      <c r="S214" s="23"/>
      <c r="T214" s="23"/>
      <c r="U214" s="23"/>
      <c r="V214" s="23"/>
      <c r="W214" s="23"/>
      <c r="X214" s="23"/>
      <c r="Y214" s="23"/>
      <c r="Z214" s="24"/>
      <c r="AA214" s="25"/>
      <c r="AB214" s="22"/>
      <c r="AC214" s="22"/>
      <c r="AD214" s="22"/>
      <c r="AE214" s="22"/>
      <c r="AF214" s="22"/>
      <c r="AG214" s="22"/>
      <c r="AH214" s="22"/>
      <c r="AI214" s="22"/>
      <c r="AJ214" s="22"/>
      <c r="AK214" s="26"/>
    </row>
    <row r="215" spans="4:37"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3"/>
      <c r="R215" s="23"/>
      <c r="S215" s="23"/>
      <c r="T215" s="23"/>
      <c r="U215" s="23"/>
      <c r="V215" s="23"/>
      <c r="W215" s="23"/>
      <c r="X215" s="23"/>
      <c r="Y215" s="23"/>
      <c r="Z215" s="24"/>
      <c r="AA215" s="25"/>
      <c r="AB215" s="22"/>
      <c r="AC215" s="22"/>
      <c r="AD215" s="22"/>
      <c r="AE215" s="22"/>
      <c r="AF215" s="22"/>
      <c r="AG215" s="22"/>
      <c r="AH215" s="22"/>
      <c r="AI215" s="22"/>
      <c r="AJ215" s="22"/>
      <c r="AK215" s="26"/>
    </row>
    <row r="216" spans="4:37"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3"/>
      <c r="R216" s="23"/>
      <c r="S216" s="23"/>
      <c r="T216" s="23"/>
      <c r="U216" s="23"/>
      <c r="V216" s="23"/>
      <c r="W216" s="23"/>
      <c r="X216" s="23"/>
      <c r="Y216" s="23"/>
      <c r="Z216" s="24"/>
      <c r="AA216" s="25"/>
      <c r="AB216" s="22"/>
      <c r="AC216" s="22"/>
      <c r="AD216" s="22"/>
      <c r="AE216" s="22"/>
      <c r="AF216" s="22"/>
      <c r="AG216" s="22"/>
      <c r="AH216" s="22"/>
      <c r="AI216" s="22"/>
      <c r="AJ216" s="22"/>
      <c r="AK216" s="26"/>
    </row>
    <row r="217" spans="4:37"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3"/>
      <c r="R217" s="23"/>
      <c r="S217" s="23"/>
      <c r="T217" s="23"/>
      <c r="U217" s="23"/>
      <c r="V217" s="23"/>
      <c r="W217" s="23"/>
      <c r="X217" s="23"/>
      <c r="Y217" s="23"/>
      <c r="Z217" s="24"/>
      <c r="AA217" s="25"/>
      <c r="AB217" s="22"/>
      <c r="AC217" s="22"/>
      <c r="AD217" s="22"/>
      <c r="AE217" s="22"/>
      <c r="AF217" s="22"/>
      <c r="AG217" s="22"/>
      <c r="AH217" s="22"/>
      <c r="AI217" s="22"/>
      <c r="AJ217" s="22"/>
      <c r="AK217" s="26"/>
    </row>
    <row r="218" spans="4:37"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3"/>
      <c r="R218" s="23"/>
      <c r="S218" s="23"/>
      <c r="T218" s="23"/>
      <c r="U218" s="23"/>
      <c r="V218" s="23"/>
      <c r="W218" s="23"/>
      <c r="X218" s="23"/>
      <c r="Y218" s="23"/>
      <c r="Z218" s="24"/>
      <c r="AA218" s="25"/>
      <c r="AB218" s="22"/>
      <c r="AC218" s="22"/>
      <c r="AD218" s="22"/>
      <c r="AE218" s="22"/>
      <c r="AF218" s="22"/>
      <c r="AG218" s="22"/>
      <c r="AH218" s="22"/>
      <c r="AI218" s="22"/>
      <c r="AJ218" s="22"/>
      <c r="AK218" s="26"/>
    </row>
    <row r="219" spans="4:37"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3"/>
      <c r="R219" s="23"/>
      <c r="S219" s="23"/>
      <c r="T219" s="23"/>
      <c r="U219" s="23"/>
      <c r="V219" s="23"/>
      <c r="W219" s="23"/>
      <c r="X219" s="23"/>
      <c r="Y219" s="23"/>
      <c r="Z219" s="24"/>
      <c r="AA219" s="25"/>
      <c r="AB219" s="22"/>
      <c r="AC219" s="22"/>
      <c r="AD219" s="22"/>
      <c r="AE219" s="22"/>
      <c r="AF219" s="22"/>
      <c r="AG219" s="22"/>
      <c r="AH219" s="22"/>
      <c r="AI219" s="22"/>
      <c r="AJ219" s="22"/>
      <c r="AK219" s="26"/>
    </row>
    <row r="220" spans="4:37"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3"/>
      <c r="R220" s="23"/>
      <c r="S220" s="23"/>
      <c r="T220" s="23"/>
      <c r="U220" s="23"/>
      <c r="V220" s="23"/>
      <c r="W220" s="23"/>
      <c r="X220" s="23"/>
      <c r="Y220" s="23"/>
      <c r="Z220" s="24"/>
      <c r="AA220" s="25"/>
      <c r="AB220" s="22"/>
      <c r="AC220" s="22"/>
      <c r="AD220" s="22"/>
      <c r="AE220" s="22"/>
      <c r="AF220" s="22"/>
      <c r="AG220" s="22"/>
      <c r="AH220" s="22"/>
      <c r="AI220" s="22"/>
      <c r="AJ220" s="22"/>
      <c r="AK220" s="26"/>
    </row>
    <row r="221" spans="4:37"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3"/>
      <c r="R221" s="23"/>
      <c r="S221" s="23"/>
      <c r="T221" s="23"/>
      <c r="U221" s="23"/>
      <c r="V221" s="23"/>
      <c r="W221" s="23"/>
      <c r="X221" s="23"/>
      <c r="Y221" s="23"/>
      <c r="Z221" s="24"/>
      <c r="AA221" s="25"/>
      <c r="AB221" s="22"/>
      <c r="AC221" s="22"/>
      <c r="AD221" s="22"/>
      <c r="AE221" s="22"/>
      <c r="AF221" s="22"/>
      <c r="AG221" s="22"/>
      <c r="AH221" s="22"/>
      <c r="AI221" s="22"/>
      <c r="AJ221" s="22"/>
      <c r="AK221" s="26"/>
    </row>
    <row r="222" spans="4:37"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3"/>
      <c r="R222" s="23"/>
      <c r="S222" s="23"/>
      <c r="T222" s="23"/>
      <c r="U222" s="23"/>
      <c r="V222" s="23"/>
      <c r="W222" s="23"/>
      <c r="X222" s="23"/>
      <c r="Y222" s="23"/>
      <c r="Z222" s="24"/>
      <c r="AA222" s="25"/>
      <c r="AB222" s="22"/>
      <c r="AC222" s="22"/>
      <c r="AD222" s="22"/>
      <c r="AE222" s="22"/>
      <c r="AF222" s="22"/>
      <c r="AG222" s="22"/>
      <c r="AH222" s="22"/>
      <c r="AI222" s="22"/>
      <c r="AJ222" s="22"/>
      <c r="AK222" s="26"/>
    </row>
    <row r="223" spans="4:37"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3"/>
      <c r="R223" s="23"/>
      <c r="S223" s="23"/>
      <c r="T223" s="23"/>
      <c r="U223" s="23"/>
      <c r="V223" s="23"/>
      <c r="W223" s="23"/>
      <c r="X223" s="23"/>
      <c r="Y223" s="23"/>
      <c r="Z223" s="24"/>
      <c r="AA223" s="25"/>
      <c r="AB223" s="22"/>
      <c r="AC223" s="22"/>
      <c r="AD223" s="22"/>
      <c r="AE223" s="22"/>
      <c r="AF223" s="22"/>
      <c r="AG223" s="22"/>
      <c r="AH223" s="22"/>
      <c r="AI223" s="22"/>
      <c r="AJ223" s="22"/>
      <c r="AK223" s="26"/>
    </row>
    <row r="224" spans="4:37"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3"/>
      <c r="R224" s="23"/>
      <c r="S224" s="23"/>
      <c r="T224" s="23"/>
      <c r="U224" s="23"/>
      <c r="V224" s="23"/>
      <c r="W224" s="23"/>
      <c r="X224" s="23"/>
      <c r="Y224" s="23"/>
      <c r="Z224" s="24"/>
      <c r="AA224" s="25"/>
      <c r="AB224" s="22"/>
      <c r="AC224" s="22"/>
      <c r="AD224" s="22"/>
      <c r="AE224" s="22"/>
      <c r="AF224" s="22"/>
      <c r="AG224" s="22"/>
      <c r="AH224" s="22"/>
      <c r="AI224" s="22"/>
      <c r="AJ224" s="22"/>
      <c r="AK224" s="26"/>
    </row>
    <row r="225" spans="4:37"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3"/>
      <c r="R225" s="23"/>
      <c r="S225" s="23"/>
      <c r="T225" s="23"/>
      <c r="U225" s="23"/>
      <c r="V225" s="23"/>
      <c r="W225" s="23"/>
      <c r="X225" s="23"/>
      <c r="Y225" s="23"/>
      <c r="Z225" s="24"/>
      <c r="AA225" s="25"/>
      <c r="AB225" s="22"/>
      <c r="AC225" s="22"/>
      <c r="AD225" s="22"/>
      <c r="AE225" s="22"/>
      <c r="AF225" s="22"/>
      <c r="AG225" s="22"/>
      <c r="AH225" s="22"/>
      <c r="AI225" s="22"/>
      <c r="AJ225" s="22"/>
      <c r="AK225" s="26"/>
    </row>
    <row r="226" spans="4:37"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3"/>
      <c r="R226" s="23"/>
      <c r="S226" s="23"/>
      <c r="T226" s="23"/>
      <c r="U226" s="23"/>
      <c r="V226" s="23"/>
      <c r="W226" s="23"/>
      <c r="X226" s="23"/>
      <c r="Y226" s="23"/>
      <c r="Z226" s="24"/>
      <c r="AA226" s="25"/>
      <c r="AB226" s="22"/>
      <c r="AC226" s="22"/>
      <c r="AD226" s="22"/>
      <c r="AE226" s="22"/>
      <c r="AF226" s="22"/>
      <c r="AG226" s="22"/>
      <c r="AH226" s="22"/>
      <c r="AI226" s="22"/>
      <c r="AJ226" s="22"/>
      <c r="AK226" s="26"/>
    </row>
    <row r="227" spans="4:37"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3"/>
      <c r="R227" s="23"/>
      <c r="S227" s="23"/>
      <c r="T227" s="23"/>
      <c r="U227" s="23"/>
      <c r="V227" s="23"/>
      <c r="W227" s="23"/>
      <c r="X227" s="23"/>
      <c r="Y227" s="23"/>
      <c r="Z227" s="24"/>
      <c r="AA227" s="25"/>
      <c r="AB227" s="22"/>
      <c r="AC227" s="22"/>
      <c r="AD227" s="22"/>
      <c r="AE227" s="22"/>
      <c r="AF227" s="22"/>
      <c r="AG227" s="22"/>
      <c r="AH227" s="22"/>
      <c r="AI227" s="22"/>
      <c r="AJ227" s="22"/>
      <c r="AK227" s="26"/>
    </row>
    <row r="228" spans="4:37"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3"/>
      <c r="R228" s="23"/>
      <c r="S228" s="23"/>
      <c r="T228" s="23"/>
      <c r="U228" s="23"/>
      <c r="V228" s="23"/>
      <c r="W228" s="23"/>
      <c r="X228" s="23"/>
      <c r="Y228" s="23"/>
      <c r="Z228" s="24"/>
      <c r="AA228" s="25"/>
      <c r="AB228" s="22"/>
      <c r="AC228" s="22"/>
      <c r="AD228" s="22"/>
      <c r="AE228" s="22"/>
      <c r="AF228" s="22"/>
      <c r="AG228" s="22"/>
      <c r="AH228" s="22"/>
      <c r="AI228" s="22"/>
      <c r="AJ228" s="22"/>
      <c r="AK228" s="26"/>
    </row>
    <row r="229" spans="4:37"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3"/>
      <c r="R229" s="23"/>
      <c r="S229" s="23"/>
      <c r="T229" s="23"/>
      <c r="U229" s="23"/>
      <c r="V229" s="23"/>
      <c r="W229" s="23"/>
      <c r="X229" s="23"/>
      <c r="Y229" s="23"/>
      <c r="Z229" s="24"/>
      <c r="AA229" s="25"/>
      <c r="AB229" s="22"/>
      <c r="AC229" s="22"/>
      <c r="AD229" s="22"/>
      <c r="AE229" s="22"/>
      <c r="AF229" s="22"/>
      <c r="AG229" s="22"/>
      <c r="AH229" s="22"/>
      <c r="AI229" s="22"/>
      <c r="AJ229" s="22"/>
      <c r="AK229" s="26"/>
    </row>
    <row r="230" spans="4:37"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3"/>
      <c r="R230" s="23"/>
      <c r="S230" s="23"/>
      <c r="T230" s="23"/>
      <c r="U230" s="23"/>
      <c r="V230" s="23"/>
      <c r="W230" s="23"/>
      <c r="X230" s="23"/>
      <c r="Y230" s="23"/>
      <c r="Z230" s="24"/>
      <c r="AA230" s="25"/>
      <c r="AB230" s="22"/>
      <c r="AC230" s="22"/>
      <c r="AD230" s="22"/>
      <c r="AE230" s="22"/>
      <c r="AF230" s="22"/>
      <c r="AG230" s="22"/>
      <c r="AH230" s="22"/>
      <c r="AI230" s="22"/>
      <c r="AJ230" s="22"/>
      <c r="AK230" s="26"/>
    </row>
    <row r="231" spans="4:37"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3"/>
      <c r="R231" s="23"/>
      <c r="S231" s="23"/>
      <c r="T231" s="23"/>
      <c r="U231" s="23"/>
      <c r="V231" s="23"/>
      <c r="W231" s="23"/>
      <c r="X231" s="23"/>
      <c r="Y231" s="23"/>
      <c r="Z231" s="24"/>
      <c r="AA231" s="25"/>
      <c r="AB231" s="22"/>
      <c r="AC231" s="22"/>
      <c r="AD231" s="22"/>
      <c r="AE231" s="22"/>
      <c r="AF231" s="22"/>
      <c r="AG231" s="22"/>
      <c r="AH231" s="22"/>
      <c r="AI231" s="22"/>
      <c r="AJ231" s="22"/>
      <c r="AK231" s="26"/>
    </row>
    <row r="232" spans="4:37"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3"/>
      <c r="R232" s="23"/>
      <c r="S232" s="23"/>
      <c r="T232" s="23"/>
      <c r="U232" s="23"/>
      <c r="V232" s="23"/>
      <c r="W232" s="23"/>
      <c r="X232" s="23"/>
      <c r="Y232" s="23"/>
      <c r="Z232" s="24"/>
      <c r="AA232" s="25"/>
      <c r="AB232" s="22"/>
      <c r="AC232" s="22"/>
      <c r="AD232" s="22"/>
      <c r="AE232" s="22"/>
      <c r="AF232" s="22"/>
      <c r="AG232" s="22"/>
      <c r="AH232" s="22"/>
      <c r="AI232" s="22"/>
      <c r="AJ232" s="22"/>
      <c r="AK232" s="26"/>
    </row>
    <row r="233" spans="4:37"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3"/>
      <c r="R233" s="23"/>
      <c r="S233" s="23"/>
      <c r="T233" s="23"/>
      <c r="U233" s="23"/>
      <c r="V233" s="23"/>
      <c r="W233" s="23"/>
      <c r="X233" s="23"/>
      <c r="Y233" s="23"/>
      <c r="Z233" s="24"/>
      <c r="AA233" s="25"/>
      <c r="AB233" s="22"/>
      <c r="AC233" s="22"/>
      <c r="AD233" s="22"/>
      <c r="AE233" s="22"/>
      <c r="AF233" s="22"/>
      <c r="AG233" s="22"/>
      <c r="AH233" s="22"/>
      <c r="AI233" s="22"/>
      <c r="AJ233" s="22"/>
      <c r="AK233" s="26"/>
    </row>
    <row r="234" spans="4:37"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3"/>
      <c r="R234" s="23"/>
      <c r="S234" s="23"/>
      <c r="T234" s="23"/>
      <c r="U234" s="23"/>
      <c r="V234" s="23"/>
      <c r="W234" s="23"/>
      <c r="X234" s="23"/>
      <c r="Y234" s="23"/>
      <c r="Z234" s="24"/>
      <c r="AA234" s="25"/>
      <c r="AB234" s="22"/>
      <c r="AC234" s="22"/>
      <c r="AD234" s="22"/>
      <c r="AE234" s="22"/>
      <c r="AF234" s="22"/>
      <c r="AG234" s="22"/>
      <c r="AH234" s="22"/>
      <c r="AI234" s="22"/>
      <c r="AJ234" s="22"/>
      <c r="AK234" s="26"/>
    </row>
    <row r="235" spans="4:37"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3"/>
      <c r="R235" s="23"/>
      <c r="S235" s="23"/>
      <c r="T235" s="23"/>
      <c r="U235" s="23"/>
      <c r="V235" s="23"/>
      <c r="W235" s="23"/>
      <c r="X235" s="23"/>
      <c r="Y235" s="23"/>
      <c r="Z235" s="24"/>
      <c r="AA235" s="25"/>
      <c r="AB235" s="22"/>
      <c r="AC235" s="22"/>
      <c r="AD235" s="22"/>
      <c r="AE235" s="22"/>
      <c r="AF235" s="22"/>
      <c r="AG235" s="22"/>
      <c r="AH235" s="22"/>
      <c r="AI235" s="22"/>
      <c r="AJ235" s="22"/>
      <c r="AK235" s="26"/>
    </row>
    <row r="236" spans="4:37"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3"/>
      <c r="R236" s="23"/>
      <c r="S236" s="23"/>
      <c r="T236" s="23"/>
      <c r="U236" s="23"/>
      <c r="V236" s="23"/>
      <c r="W236" s="23"/>
      <c r="X236" s="23"/>
      <c r="Y236" s="23"/>
      <c r="Z236" s="24"/>
      <c r="AA236" s="25"/>
      <c r="AB236" s="22"/>
      <c r="AC236" s="22"/>
      <c r="AD236" s="22"/>
      <c r="AE236" s="22"/>
      <c r="AF236" s="22"/>
      <c r="AG236" s="22"/>
      <c r="AH236" s="22"/>
      <c r="AI236" s="22"/>
      <c r="AJ236" s="22"/>
      <c r="AK236" s="26"/>
    </row>
    <row r="237" spans="4:37"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3"/>
      <c r="R237" s="23"/>
      <c r="S237" s="23"/>
      <c r="T237" s="23"/>
      <c r="U237" s="23"/>
      <c r="V237" s="23"/>
      <c r="W237" s="23"/>
      <c r="X237" s="23"/>
      <c r="Y237" s="23"/>
      <c r="Z237" s="24"/>
      <c r="AA237" s="25"/>
      <c r="AB237" s="22"/>
      <c r="AC237" s="22"/>
      <c r="AD237" s="22"/>
      <c r="AE237" s="22"/>
      <c r="AF237" s="22"/>
      <c r="AG237" s="22"/>
      <c r="AH237" s="22"/>
      <c r="AI237" s="22"/>
      <c r="AJ237" s="22"/>
      <c r="AK237" s="26"/>
    </row>
    <row r="238" spans="4:37"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3"/>
      <c r="R238" s="23"/>
      <c r="S238" s="23"/>
      <c r="T238" s="23"/>
      <c r="U238" s="23"/>
      <c r="V238" s="23"/>
      <c r="W238" s="23"/>
      <c r="X238" s="23"/>
      <c r="Y238" s="23"/>
      <c r="Z238" s="24"/>
      <c r="AA238" s="25"/>
      <c r="AB238" s="22"/>
      <c r="AC238" s="22"/>
      <c r="AD238" s="22"/>
      <c r="AE238" s="22"/>
      <c r="AF238" s="22"/>
      <c r="AG238" s="22"/>
      <c r="AH238" s="22"/>
      <c r="AI238" s="22"/>
      <c r="AJ238" s="22"/>
      <c r="AK238" s="26"/>
    </row>
    <row r="239" spans="4:37"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3"/>
      <c r="R239" s="23"/>
      <c r="S239" s="23"/>
      <c r="T239" s="23"/>
      <c r="U239" s="23"/>
      <c r="V239" s="23"/>
      <c r="W239" s="23"/>
      <c r="X239" s="23"/>
      <c r="Y239" s="23"/>
      <c r="Z239" s="24"/>
      <c r="AA239" s="25"/>
      <c r="AB239" s="22"/>
      <c r="AC239" s="22"/>
      <c r="AD239" s="22"/>
      <c r="AE239" s="22"/>
      <c r="AF239" s="22"/>
      <c r="AG239" s="22"/>
      <c r="AH239" s="22"/>
      <c r="AI239" s="22"/>
      <c r="AJ239" s="22"/>
      <c r="AK239" s="26"/>
    </row>
    <row r="240" spans="4:37"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3"/>
      <c r="R240" s="23"/>
      <c r="S240" s="23"/>
      <c r="T240" s="23"/>
      <c r="U240" s="23"/>
      <c r="V240" s="23"/>
      <c r="W240" s="23"/>
      <c r="X240" s="23"/>
      <c r="Y240" s="23"/>
      <c r="Z240" s="24"/>
      <c r="AA240" s="25"/>
      <c r="AB240" s="22"/>
      <c r="AC240" s="22"/>
      <c r="AD240" s="22"/>
      <c r="AE240" s="22"/>
      <c r="AF240" s="22"/>
      <c r="AG240" s="22"/>
      <c r="AH240" s="22"/>
      <c r="AI240" s="22"/>
      <c r="AJ240" s="22"/>
      <c r="AK240" s="26"/>
    </row>
    <row r="241" spans="4:37"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3"/>
      <c r="R241" s="23"/>
      <c r="S241" s="23"/>
      <c r="T241" s="23"/>
      <c r="U241" s="23"/>
      <c r="V241" s="23"/>
      <c r="W241" s="23"/>
      <c r="X241" s="23"/>
      <c r="Y241" s="23"/>
      <c r="Z241" s="24"/>
      <c r="AA241" s="25"/>
      <c r="AB241" s="22"/>
      <c r="AC241" s="22"/>
      <c r="AD241" s="22"/>
      <c r="AE241" s="22"/>
      <c r="AF241" s="22"/>
      <c r="AG241" s="22"/>
      <c r="AH241" s="22"/>
      <c r="AI241" s="22"/>
      <c r="AJ241" s="22"/>
      <c r="AK241" s="26"/>
    </row>
    <row r="242" spans="4:37"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3"/>
      <c r="R242" s="23"/>
      <c r="S242" s="23"/>
      <c r="T242" s="23"/>
      <c r="U242" s="23"/>
      <c r="V242" s="23"/>
      <c r="W242" s="23"/>
      <c r="X242" s="23"/>
      <c r="Y242" s="23"/>
      <c r="Z242" s="24"/>
      <c r="AA242" s="25"/>
      <c r="AB242" s="22"/>
      <c r="AC242" s="22"/>
      <c r="AD242" s="22"/>
      <c r="AE242" s="22"/>
      <c r="AF242" s="22"/>
      <c r="AG242" s="22"/>
      <c r="AH242" s="22"/>
      <c r="AI242" s="22"/>
      <c r="AJ242" s="22"/>
      <c r="AK242" s="26"/>
    </row>
    <row r="243" spans="4:37"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3"/>
      <c r="R243" s="23"/>
      <c r="S243" s="23"/>
      <c r="T243" s="23"/>
      <c r="U243" s="23"/>
      <c r="V243" s="23"/>
      <c r="W243" s="23"/>
      <c r="X243" s="23"/>
      <c r="Y243" s="23"/>
      <c r="Z243" s="24"/>
      <c r="AA243" s="25"/>
      <c r="AB243" s="22"/>
      <c r="AC243" s="22"/>
      <c r="AD243" s="22"/>
      <c r="AE243" s="22"/>
      <c r="AF243" s="22"/>
      <c r="AG243" s="22"/>
      <c r="AH243" s="22"/>
      <c r="AI243" s="22"/>
      <c r="AJ243" s="22"/>
      <c r="AK243" s="26"/>
    </row>
    <row r="244" spans="4:37"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3"/>
      <c r="R244" s="23"/>
      <c r="S244" s="23"/>
      <c r="T244" s="23"/>
      <c r="U244" s="23"/>
      <c r="V244" s="23"/>
      <c r="W244" s="23"/>
      <c r="X244" s="23"/>
      <c r="Y244" s="23"/>
      <c r="Z244" s="24"/>
      <c r="AA244" s="25"/>
      <c r="AB244" s="22"/>
      <c r="AC244" s="22"/>
      <c r="AD244" s="22"/>
      <c r="AE244" s="22"/>
      <c r="AF244" s="22"/>
      <c r="AG244" s="22"/>
      <c r="AH244" s="22"/>
      <c r="AI244" s="22"/>
      <c r="AJ244" s="22"/>
      <c r="AK244" s="26"/>
    </row>
    <row r="245" spans="4:37"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3"/>
      <c r="R245" s="23"/>
      <c r="S245" s="23"/>
      <c r="T245" s="23"/>
      <c r="U245" s="23"/>
      <c r="V245" s="23"/>
      <c r="W245" s="23"/>
      <c r="X245" s="23"/>
      <c r="Y245" s="23"/>
      <c r="Z245" s="24"/>
      <c r="AA245" s="25"/>
      <c r="AB245" s="22"/>
      <c r="AC245" s="22"/>
      <c r="AD245" s="22"/>
      <c r="AE245" s="22"/>
      <c r="AF245" s="22"/>
      <c r="AG245" s="22"/>
      <c r="AH245" s="22"/>
      <c r="AI245" s="22"/>
      <c r="AJ245" s="22"/>
      <c r="AK245" s="26"/>
    </row>
    <row r="246" spans="4:37"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3"/>
      <c r="R246" s="23"/>
      <c r="S246" s="23"/>
      <c r="T246" s="23"/>
      <c r="U246" s="23"/>
      <c r="V246" s="23"/>
      <c r="W246" s="23"/>
      <c r="X246" s="23"/>
      <c r="Y246" s="23"/>
      <c r="Z246" s="24"/>
      <c r="AA246" s="25"/>
      <c r="AB246" s="22"/>
      <c r="AC246" s="22"/>
      <c r="AD246" s="22"/>
      <c r="AE246" s="22"/>
      <c r="AF246" s="22"/>
      <c r="AG246" s="22"/>
      <c r="AH246" s="22"/>
      <c r="AI246" s="22"/>
      <c r="AJ246" s="22"/>
      <c r="AK246" s="26"/>
    </row>
    <row r="247" spans="4:37"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3"/>
      <c r="R247" s="23"/>
      <c r="S247" s="23"/>
      <c r="T247" s="23"/>
      <c r="U247" s="23"/>
      <c r="V247" s="23"/>
      <c r="W247" s="23"/>
      <c r="X247" s="23"/>
      <c r="Y247" s="23"/>
      <c r="Z247" s="24"/>
      <c r="AA247" s="25"/>
      <c r="AB247" s="22"/>
      <c r="AC247" s="22"/>
      <c r="AD247" s="22"/>
      <c r="AE247" s="22"/>
      <c r="AF247" s="22"/>
      <c r="AG247" s="22"/>
      <c r="AH247" s="22"/>
      <c r="AI247" s="22"/>
      <c r="AJ247" s="22"/>
      <c r="AK247" s="26"/>
    </row>
    <row r="248" spans="4:37"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3"/>
      <c r="R248" s="23"/>
      <c r="S248" s="23"/>
      <c r="T248" s="23"/>
      <c r="U248" s="23"/>
      <c r="V248" s="23"/>
      <c r="W248" s="23"/>
      <c r="X248" s="23"/>
      <c r="Y248" s="23"/>
      <c r="Z248" s="24"/>
      <c r="AA248" s="25"/>
      <c r="AB248" s="22"/>
      <c r="AC248" s="22"/>
      <c r="AD248" s="22"/>
      <c r="AE248" s="22"/>
      <c r="AF248" s="22"/>
      <c r="AG248" s="22"/>
      <c r="AH248" s="22"/>
      <c r="AI248" s="22"/>
      <c r="AJ248" s="22"/>
      <c r="AK248" s="26"/>
    </row>
    <row r="249" spans="4:37"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3"/>
      <c r="R249" s="23"/>
      <c r="S249" s="23"/>
      <c r="T249" s="23"/>
      <c r="U249" s="23"/>
      <c r="V249" s="23"/>
      <c r="W249" s="23"/>
      <c r="X249" s="23"/>
      <c r="Y249" s="23"/>
      <c r="Z249" s="24"/>
      <c r="AA249" s="25"/>
      <c r="AB249" s="22"/>
      <c r="AC249" s="22"/>
      <c r="AD249" s="22"/>
      <c r="AE249" s="22"/>
      <c r="AF249" s="22"/>
      <c r="AG249" s="22"/>
      <c r="AH249" s="22"/>
      <c r="AI249" s="22"/>
      <c r="AJ249" s="22"/>
      <c r="AK249" s="26"/>
    </row>
    <row r="250" spans="4:37"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3"/>
      <c r="R250" s="23"/>
      <c r="S250" s="23"/>
      <c r="T250" s="23"/>
      <c r="U250" s="23"/>
      <c r="V250" s="23"/>
      <c r="W250" s="23"/>
      <c r="X250" s="23"/>
      <c r="Y250" s="23"/>
      <c r="Z250" s="24"/>
      <c r="AA250" s="25"/>
      <c r="AB250" s="22"/>
      <c r="AC250" s="22"/>
      <c r="AD250" s="22"/>
      <c r="AE250" s="22"/>
      <c r="AF250" s="22"/>
      <c r="AG250" s="22"/>
      <c r="AH250" s="22"/>
      <c r="AI250" s="22"/>
      <c r="AJ250" s="22"/>
      <c r="AK250" s="26"/>
    </row>
    <row r="251" spans="4:37"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3"/>
      <c r="R251" s="23"/>
      <c r="S251" s="23"/>
      <c r="T251" s="23"/>
      <c r="U251" s="23"/>
      <c r="V251" s="23"/>
      <c r="W251" s="23"/>
      <c r="X251" s="23"/>
      <c r="Y251" s="23"/>
      <c r="Z251" s="24"/>
      <c r="AA251" s="25"/>
      <c r="AB251" s="22"/>
      <c r="AC251" s="22"/>
      <c r="AD251" s="22"/>
      <c r="AE251" s="22"/>
      <c r="AF251" s="22"/>
      <c r="AG251" s="22"/>
      <c r="AH251" s="22"/>
      <c r="AI251" s="22"/>
      <c r="AJ251" s="22"/>
      <c r="AK251" s="26"/>
    </row>
    <row r="252" spans="4:37"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3"/>
      <c r="R252" s="23"/>
      <c r="S252" s="23"/>
      <c r="T252" s="23"/>
      <c r="U252" s="23"/>
      <c r="V252" s="23"/>
      <c r="W252" s="23"/>
      <c r="X252" s="23"/>
      <c r="Y252" s="23"/>
      <c r="Z252" s="24"/>
      <c r="AA252" s="25"/>
      <c r="AB252" s="22"/>
      <c r="AC252" s="22"/>
      <c r="AD252" s="22"/>
      <c r="AE252" s="22"/>
      <c r="AF252" s="22"/>
      <c r="AG252" s="22"/>
      <c r="AH252" s="22"/>
      <c r="AI252" s="22"/>
      <c r="AJ252" s="22"/>
      <c r="AK252" s="26"/>
    </row>
    <row r="253" spans="4:37"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3"/>
      <c r="R253" s="23"/>
      <c r="S253" s="23"/>
      <c r="T253" s="23"/>
      <c r="U253" s="23"/>
      <c r="V253" s="23"/>
      <c r="W253" s="23"/>
      <c r="X253" s="23"/>
      <c r="Y253" s="23"/>
      <c r="Z253" s="24"/>
      <c r="AA253" s="25"/>
      <c r="AB253" s="22"/>
      <c r="AC253" s="22"/>
      <c r="AD253" s="22"/>
      <c r="AE253" s="22"/>
      <c r="AF253" s="22"/>
      <c r="AG253" s="22"/>
      <c r="AH253" s="22"/>
      <c r="AI253" s="22"/>
      <c r="AJ253" s="22"/>
      <c r="AK253" s="26"/>
    </row>
    <row r="254" spans="4:37"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3"/>
      <c r="R254" s="23"/>
      <c r="S254" s="23"/>
      <c r="T254" s="23"/>
      <c r="U254" s="23"/>
      <c r="V254" s="23"/>
      <c r="W254" s="23"/>
      <c r="X254" s="23"/>
      <c r="Y254" s="23"/>
      <c r="Z254" s="24"/>
      <c r="AA254" s="25"/>
      <c r="AB254" s="22"/>
      <c r="AC254" s="22"/>
      <c r="AD254" s="22"/>
      <c r="AE254" s="22"/>
      <c r="AF254" s="22"/>
      <c r="AG254" s="22"/>
      <c r="AH254" s="22"/>
      <c r="AI254" s="22"/>
      <c r="AJ254" s="22"/>
      <c r="AK254" s="26"/>
    </row>
    <row r="255" spans="4:37"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3"/>
      <c r="R255" s="23"/>
      <c r="S255" s="23"/>
      <c r="T255" s="23"/>
      <c r="U255" s="23"/>
      <c r="V255" s="23"/>
      <c r="W255" s="23"/>
      <c r="X255" s="23"/>
      <c r="Y255" s="23"/>
      <c r="Z255" s="24"/>
      <c r="AA255" s="25"/>
      <c r="AB255" s="22"/>
      <c r="AC255" s="22"/>
      <c r="AD255" s="22"/>
      <c r="AE255" s="22"/>
      <c r="AF255" s="22"/>
      <c r="AG255" s="22"/>
      <c r="AH255" s="22"/>
      <c r="AI255" s="22"/>
      <c r="AJ255" s="22"/>
      <c r="AK255" s="26"/>
    </row>
    <row r="256" spans="4:37"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3"/>
      <c r="R256" s="23"/>
      <c r="S256" s="23"/>
      <c r="T256" s="23"/>
      <c r="U256" s="23"/>
      <c r="V256" s="23"/>
      <c r="W256" s="23"/>
      <c r="X256" s="23"/>
      <c r="Y256" s="23"/>
      <c r="Z256" s="24"/>
      <c r="AA256" s="25"/>
      <c r="AB256" s="22"/>
      <c r="AC256" s="22"/>
      <c r="AD256" s="22"/>
      <c r="AE256" s="22"/>
      <c r="AF256" s="22"/>
      <c r="AG256" s="22"/>
      <c r="AH256" s="22"/>
      <c r="AI256" s="22"/>
      <c r="AJ256" s="22"/>
      <c r="AK256" s="26"/>
    </row>
    <row r="257" spans="4:37"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3"/>
      <c r="R257" s="23"/>
      <c r="S257" s="23"/>
      <c r="T257" s="23"/>
      <c r="U257" s="23"/>
      <c r="V257" s="23"/>
      <c r="W257" s="23"/>
      <c r="X257" s="23"/>
      <c r="Y257" s="23"/>
      <c r="Z257" s="24"/>
      <c r="AA257" s="25"/>
      <c r="AB257" s="22"/>
      <c r="AC257" s="22"/>
      <c r="AD257" s="22"/>
      <c r="AE257" s="22"/>
      <c r="AF257" s="22"/>
      <c r="AG257" s="22"/>
      <c r="AH257" s="22"/>
      <c r="AI257" s="22"/>
      <c r="AJ257" s="22"/>
      <c r="AK257" s="26"/>
    </row>
    <row r="258" spans="4:37"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3"/>
      <c r="R258" s="23"/>
      <c r="S258" s="23"/>
      <c r="T258" s="23"/>
      <c r="U258" s="23"/>
      <c r="V258" s="23"/>
      <c r="W258" s="23"/>
      <c r="X258" s="23"/>
      <c r="Y258" s="23"/>
      <c r="Z258" s="24"/>
      <c r="AA258" s="25"/>
      <c r="AB258" s="22"/>
      <c r="AC258" s="22"/>
      <c r="AD258" s="22"/>
      <c r="AE258" s="22"/>
      <c r="AF258" s="22"/>
      <c r="AG258" s="22"/>
      <c r="AH258" s="22"/>
      <c r="AI258" s="22"/>
      <c r="AJ258" s="22"/>
      <c r="AK258" s="26"/>
    </row>
    <row r="259" spans="4:37"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3"/>
      <c r="R259" s="23"/>
      <c r="S259" s="23"/>
      <c r="T259" s="23"/>
      <c r="U259" s="23"/>
      <c r="V259" s="23"/>
      <c r="W259" s="23"/>
      <c r="X259" s="23"/>
      <c r="Y259" s="23"/>
      <c r="Z259" s="24"/>
      <c r="AA259" s="25"/>
      <c r="AB259" s="22"/>
      <c r="AC259" s="22"/>
      <c r="AD259" s="22"/>
      <c r="AE259" s="22"/>
      <c r="AF259" s="22"/>
      <c r="AG259" s="22"/>
      <c r="AH259" s="22"/>
      <c r="AI259" s="22"/>
      <c r="AJ259" s="22"/>
      <c r="AK259" s="26"/>
    </row>
    <row r="260" spans="4:37"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3"/>
      <c r="R260" s="23"/>
      <c r="S260" s="23"/>
      <c r="T260" s="23"/>
      <c r="U260" s="23"/>
      <c r="V260" s="23"/>
      <c r="W260" s="23"/>
      <c r="X260" s="23"/>
      <c r="Y260" s="23"/>
      <c r="Z260" s="24"/>
      <c r="AA260" s="25"/>
      <c r="AB260" s="22"/>
      <c r="AC260" s="22"/>
      <c r="AD260" s="22"/>
      <c r="AE260" s="22"/>
      <c r="AF260" s="22"/>
      <c r="AG260" s="22"/>
      <c r="AH260" s="22"/>
      <c r="AI260" s="22"/>
      <c r="AJ260" s="22"/>
      <c r="AK260" s="26"/>
    </row>
    <row r="261" spans="4:37"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3"/>
      <c r="R261" s="23"/>
      <c r="S261" s="23"/>
      <c r="T261" s="23"/>
      <c r="U261" s="23"/>
      <c r="V261" s="23"/>
      <c r="W261" s="23"/>
      <c r="X261" s="23"/>
      <c r="Y261" s="23"/>
      <c r="Z261" s="24"/>
      <c r="AA261" s="25"/>
      <c r="AB261" s="22"/>
      <c r="AC261" s="22"/>
      <c r="AD261" s="22"/>
      <c r="AE261" s="22"/>
      <c r="AF261" s="22"/>
      <c r="AG261" s="22"/>
      <c r="AH261" s="22"/>
      <c r="AI261" s="22"/>
      <c r="AJ261" s="22"/>
      <c r="AK261" s="26"/>
    </row>
    <row r="262" spans="4:37"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3"/>
      <c r="R262" s="23"/>
      <c r="S262" s="23"/>
      <c r="T262" s="23"/>
      <c r="U262" s="23"/>
      <c r="V262" s="23"/>
      <c r="W262" s="23"/>
      <c r="X262" s="23"/>
      <c r="Y262" s="23"/>
      <c r="Z262" s="24"/>
      <c r="AA262" s="25"/>
      <c r="AB262" s="22"/>
      <c r="AC262" s="22"/>
      <c r="AD262" s="22"/>
      <c r="AE262" s="22"/>
      <c r="AF262" s="22"/>
      <c r="AG262" s="22"/>
      <c r="AH262" s="22"/>
      <c r="AI262" s="22"/>
      <c r="AJ262" s="22"/>
      <c r="AK262" s="26"/>
    </row>
    <row r="263" spans="4:37"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3"/>
      <c r="R263" s="23"/>
      <c r="S263" s="23"/>
      <c r="T263" s="23"/>
      <c r="U263" s="23"/>
      <c r="V263" s="23"/>
      <c r="W263" s="23"/>
      <c r="X263" s="23"/>
      <c r="Y263" s="23"/>
      <c r="Z263" s="24"/>
      <c r="AA263" s="25"/>
      <c r="AB263" s="22"/>
      <c r="AC263" s="22"/>
      <c r="AD263" s="22"/>
      <c r="AE263" s="22"/>
      <c r="AF263" s="22"/>
      <c r="AG263" s="22"/>
      <c r="AH263" s="22"/>
      <c r="AI263" s="22"/>
      <c r="AJ263" s="22"/>
      <c r="AK263" s="26"/>
    </row>
    <row r="264" spans="4:37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3"/>
      <c r="R264" s="23"/>
      <c r="S264" s="23"/>
      <c r="T264" s="23"/>
      <c r="U264" s="23"/>
      <c r="V264" s="23"/>
      <c r="W264" s="23"/>
      <c r="X264" s="23"/>
      <c r="Y264" s="23"/>
      <c r="Z264" s="24"/>
      <c r="AA264" s="25"/>
      <c r="AB264" s="22"/>
      <c r="AC264" s="22"/>
      <c r="AD264" s="22"/>
      <c r="AE264" s="22"/>
      <c r="AF264" s="22"/>
      <c r="AG264" s="22"/>
      <c r="AH264" s="22"/>
      <c r="AI264" s="22"/>
      <c r="AJ264" s="22"/>
      <c r="AK264" s="26"/>
    </row>
    <row r="265" spans="4:37"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3"/>
      <c r="R265" s="23"/>
      <c r="S265" s="23"/>
      <c r="T265" s="23"/>
      <c r="U265" s="23"/>
      <c r="V265" s="23"/>
      <c r="W265" s="23"/>
      <c r="X265" s="23"/>
      <c r="Y265" s="23"/>
      <c r="Z265" s="24"/>
      <c r="AA265" s="25"/>
      <c r="AB265" s="22"/>
      <c r="AC265" s="22"/>
      <c r="AD265" s="22"/>
      <c r="AE265" s="22"/>
      <c r="AF265" s="22"/>
      <c r="AG265" s="22"/>
      <c r="AH265" s="22"/>
      <c r="AI265" s="22"/>
      <c r="AJ265" s="22"/>
      <c r="AK265" s="26"/>
    </row>
    <row r="266" spans="4:37"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3"/>
      <c r="R266" s="23"/>
      <c r="S266" s="23"/>
      <c r="T266" s="23"/>
      <c r="U266" s="23"/>
      <c r="V266" s="23"/>
      <c r="W266" s="23"/>
      <c r="X266" s="23"/>
      <c r="Y266" s="23"/>
      <c r="Z266" s="24"/>
      <c r="AA266" s="25"/>
      <c r="AB266" s="22"/>
      <c r="AC266" s="22"/>
      <c r="AD266" s="22"/>
      <c r="AE266" s="22"/>
      <c r="AF266" s="22"/>
      <c r="AG266" s="22"/>
      <c r="AH266" s="22"/>
      <c r="AI266" s="22"/>
      <c r="AJ266" s="22"/>
      <c r="AK266" s="26"/>
    </row>
    <row r="267" spans="4:37"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3"/>
      <c r="R267" s="23"/>
      <c r="S267" s="23"/>
      <c r="T267" s="23"/>
      <c r="U267" s="23"/>
      <c r="V267" s="23"/>
      <c r="W267" s="23"/>
      <c r="X267" s="23"/>
      <c r="Y267" s="23"/>
      <c r="Z267" s="24"/>
      <c r="AA267" s="25"/>
      <c r="AB267" s="22"/>
      <c r="AC267" s="22"/>
      <c r="AD267" s="22"/>
      <c r="AE267" s="22"/>
      <c r="AF267" s="22"/>
      <c r="AG267" s="22"/>
      <c r="AH267" s="22"/>
      <c r="AI267" s="22"/>
      <c r="AJ267" s="22"/>
      <c r="AK267" s="26"/>
    </row>
    <row r="268" spans="4:37"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3"/>
      <c r="R268" s="23"/>
      <c r="S268" s="23"/>
      <c r="T268" s="23"/>
      <c r="U268" s="23"/>
      <c r="V268" s="23"/>
      <c r="W268" s="23"/>
      <c r="X268" s="23"/>
      <c r="Y268" s="23"/>
      <c r="Z268" s="24"/>
      <c r="AA268" s="25"/>
      <c r="AB268" s="22"/>
      <c r="AC268" s="22"/>
      <c r="AD268" s="22"/>
      <c r="AE268" s="22"/>
      <c r="AF268" s="22"/>
      <c r="AG268" s="22"/>
      <c r="AH268" s="22"/>
      <c r="AI268" s="22"/>
      <c r="AJ268" s="22"/>
      <c r="AK268" s="26"/>
    </row>
    <row r="269" spans="4:37"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3"/>
      <c r="R269" s="23"/>
      <c r="S269" s="23"/>
      <c r="T269" s="23"/>
      <c r="U269" s="23"/>
      <c r="V269" s="23"/>
      <c r="W269" s="23"/>
      <c r="X269" s="23"/>
      <c r="Y269" s="23"/>
      <c r="Z269" s="24"/>
      <c r="AA269" s="25"/>
      <c r="AB269" s="22"/>
      <c r="AC269" s="22"/>
      <c r="AD269" s="22"/>
      <c r="AE269" s="22"/>
      <c r="AF269" s="22"/>
      <c r="AG269" s="22"/>
      <c r="AH269" s="22"/>
      <c r="AI269" s="22"/>
      <c r="AJ269" s="22"/>
      <c r="AK269" s="26"/>
    </row>
    <row r="270" spans="4:37"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3"/>
      <c r="R270" s="23"/>
      <c r="S270" s="23"/>
      <c r="T270" s="23"/>
      <c r="U270" s="23"/>
      <c r="V270" s="23"/>
      <c r="W270" s="23"/>
      <c r="X270" s="23"/>
      <c r="Y270" s="23"/>
      <c r="Z270" s="24"/>
      <c r="AA270" s="25"/>
      <c r="AB270" s="22"/>
      <c r="AC270" s="22"/>
      <c r="AD270" s="22"/>
      <c r="AE270" s="22"/>
      <c r="AF270" s="22"/>
      <c r="AG270" s="22"/>
      <c r="AH270" s="22"/>
      <c r="AI270" s="22"/>
      <c r="AJ270" s="22"/>
      <c r="AK270" s="26"/>
    </row>
    <row r="271" spans="4:37"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3"/>
      <c r="R271" s="23"/>
      <c r="S271" s="23"/>
      <c r="T271" s="23"/>
      <c r="U271" s="23"/>
      <c r="V271" s="23"/>
      <c r="W271" s="23"/>
      <c r="X271" s="23"/>
      <c r="Y271" s="23"/>
      <c r="Z271" s="24"/>
      <c r="AA271" s="25"/>
      <c r="AB271" s="22"/>
      <c r="AC271" s="22"/>
      <c r="AD271" s="22"/>
      <c r="AE271" s="22"/>
      <c r="AF271" s="22"/>
      <c r="AG271" s="22"/>
      <c r="AH271" s="22"/>
      <c r="AI271" s="22"/>
      <c r="AJ271" s="22"/>
      <c r="AK271" s="26"/>
    </row>
    <row r="272" spans="4:37"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3"/>
      <c r="R272" s="23"/>
      <c r="S272" s="23"/>
      <c r="T272" s="23"/>
      <c r="U272" s="23"/>
      <c r="V272" s="23"/>
      <c r="W272" s="23"/>
      <c r="X272" s="23"/>
      <c r="Y272" s="23"/>
      <c r="Z272" s="24"/>
      <c r="AA272" s="25"/>
      <c r="AB272" s="22"/>
      <c r="AC272" s="22"/>
      <c r="AD272" s="22"/>
      <c r="AE272" s="22"/>
      <c r="AF272" s="22"/>
      <c r="AG272" s="22"/>
      <c r="AH272" s="22"/>
      <c r="AI272" s="22"/>
      <c r="AJ272" s="22"/>
      <c r="AK272" s="26"/>
    </row>
    <row r="273" spans="4:37"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3"/>
      <c r="R273" s="23"/>
      <c r="S273" s="23"/>
      <c r="T273" s="23"/>
      <c r="U273" s="23"/>
      <c r="V273" s="23"/>
      <c r="W273" s="23"/>
      <c r="X273" s="23"/>
      <c r="Y273" s="23"/>
      <c r="Z273" s="24"/>
      <c r="AA273" s="25"/>
      <c r="AB273" s="22"/>
      <c r="AC273" s="22"/>
      <c r="AD273" s="22"/>
      <c r="AE273" s="22"/>
      <c r="AF273" s="22"/>
      <c r="AG273" s="22"/>
      <c r="AH273" s="22"/>
      <c r="AI273" s="22"/>
      <c r="AJ273" s="22"/>
      <c r="AK273" s="26"/>
    </row>
    <row r="274" spans="4:37"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3"/>
      <c r="R274" s="23"/>
      <c r="S274" s="23"/>
      <c r="T274" s="23"/>
      <c r="U274" s="23"/>
      <c r="V274" s="23"/>
      <c r="W274" s="23"/>
      <c r="X274" s="23"/>
      <c r="Y274" s="23"/>
      <c r="Z274" s="24"/>
      <c r="AA274" s="25"/>
      <c r="AB274" s="22"/>
      <c r="AC274" s="22"/>
      <c r="AD274" s="22"/>
      <c r="AE274" s="22"/>
      <c r="AF274" s="22"/>
      <c r="AG274" s="22"/>
      <c r="AH274" s="22"/>
      <c r="AI274" s="22"/>
      <c r="AJ274" s="22"/>
      <c r="AK274" s="26"/>
    </row>
    <row r="275" spans="4:37"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3"/>
      <c r="R275" s="23"/>
      <c r="S275" s="23"/>
      <c r="T275" s="23"/>
      <c r="U275" s="23"/>
      <c r="V275" s="23"/>
      <c r="W275" s="23"/>
      <c r="X275" s="23"/>
      <c r="Y275" s="23"/>
      <c r="Z275" s="24"/>
      <c r="AA275" s="25"/>
      <c r="AB275" s="22"/>
      <c r="AC275" s="22"/>
      <c r="AD275" s="22"/>
      <c r="AE275" s="22"/>
      <c r="AF275" s="22"/>
      <c r="AG275" s="22"/>
      <c r="AH275" s="22"/>
      <c r="AI275" s="22"/>
      <c r="AJ275" s="22"/>
      <c r="AK275" s="26"/>
    </row>
    <row r="276" spans="4:37"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3"/>
      <c r="R276" s="23"/>
      <c r="S276" s="23"/>
      <c r="T276" s="23"/>
      <c r="U276" s="23"/>
      <c r="V276" s="23"/>
      <c r="W276" s="23"/>
      <c r="X276" s="23"/>
      <c r="Y276" s="23"/>
      <c r="Z276" s="24"/>
      <c r="AA276" s="25"/>
      <c r="AB276" s="22"/>
      <c r="AC276" s="22"/>
      <c r="AD276" s="22"/>
      <c r="AE276" s="22"/>
      <c r="AF276" s="22"/>
      <c r="AG276" s="22"/>
      <c r="AH276" s="22"/>
      <c r="AI276" s="22"/>
      <c r="AJ276" s="22"/>
      <c r="AK276" s="26"/>
    </row>
    <row r="277" spans="4:37"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3"/>
      <c r="R277" s="23"/>
      <c r="S277" s="23"/>
      <c r="T277" s="23"/>
      <c r="U277" s="23"/>
      <c r="V277" s="23"/>
      <c r="W277" s="23"/>
      <c r="X277" s="23"/>
      <c r="Y277" s="23"/>
      <c r="Z277" s="24"/>
      <c r="AA277" s="25"/>
      <c r="AB277" s="22"/>
      <c r="AC277" s="22"/>
      <c r="AD277" s="22"/>
      <c r="AE277" s="22"/>
      <c r="AF277" s="22"/>
      <c r="AG277" s="22"/>
      <c r="AH277" s="22"/>
      <c r="AI277" s="22"/>
      <c r="AJ277" s="22"/>
      <c r="AK277" s="26"/>
    </row>
    <row r="278" spans="4:37"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3"/>
      <c r="R278" s="23"/>
      <c r="S278" s="23"/>
      <c r="T278" s="23"/>
      <c r="U278" s="23"/>
      <c r="V278" s="23"/>
      <c r="W278" s="23"/>
      <c r="X278" s="23"/>
      <c r="Y278" s="23"/>
      <c r="Z278" s="24"/>
      <c r="AA278" s="25"/>
      <c r="AB278" s="22"/>
      <c r="AC278" s="22"/>
      <c r="AD278" s="22"/>
      <c r="AE278" s="22"/>
      <c r="AF278" s="22"/>
      <c r="AG278" s="22"/>
      <c r="AH278" s="22"/>
      <c r="AI278" s="22"/>
      <c r="AJ278" s="22"/>
      <c r="AK278" s="26"/>
    </row>
    <row r="279" spans="4:37"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3"/>
      <c r="R279" s="23"/>
      <c r="S279" s="23"/>
      <c r="T279" s="23"/>
      <c r="U279" s="23"/>
      <c r="V279" s="23"/>
      <c r="W279" s="23"/>
      <c r="X279" s="23"/>
      <c r="Y279" s="23"/>
      <c r="Z279" s="24"/>
      <c r="AA279" s="25"/>
      <c r="AB279" s="22"/>
      <c r="AC279" s="22"/>
      <c r="AD279" s="22"/>
      <c r="AE279" s="22"/>
      <c r="AF279" s="22"/>
      <c r="AG279" s="22"/>
      <c r="AH279" s="22"/>
      <c r="AI279" s="22"/>
      <c r="AJ279" s="22"/>
      <c r="AK279" s="26"/>
    </row>
    <row r="280" spans="4:37"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3"/>
      <c r="R280" s="23"/>
      <c r="S280" s="23"/>
      <c r="T280" s="23"/>
      <c r="U280" s="23"/>
      <c r="V280" s="23"/>
      <c r="W280" s="23"/>
      <c r="X280" s="23"/>
      <c r="Y280" s="23"/>
      <c r="Z280" s="24"/>
      <c r="AA280" s="25"/>
      <c r="AB280" s="22"/>
      <c r="AC280" s="22"/>
      <c r="AD280" s="22"/>
      <c r="AE280" s="22"/>
      <c r="AF280" s="22"/>
      <c r="AG280" s="22"/>
      <c r="AH280" s="22"/>
      <c r="AI280" s="22"/>
      <c r="AJ280" s="22"/>
      <c r="AK280" s="26"/>
    </row>
    <row r="281" spans="4:37"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3"/>
      <c r="R281" s="23"/>
      <c r="S281" s="23"/>
      <c r="T281" s="23"/>
      <c r="U281" s="23"/>
      <c r="V281" s="23"/>
      <c r="W281" s="23"/>
      <c r="X281" s="23"/>
      <c r="Y281" s="23"/>
      <c r="Z281" s="24"/>
      <c r="AA281" s="25"/>
      <c r="AB281" s="22"/>
      <c r="AC281" s="22"/>
      <c r="AD281" s="22"/>
      <c r="AE281" s="22"/>
      <c r="AF281" s="22"/>
      <c r="AG281" s="22"/>
      <c r="AH281" s="22"/>
      <c r="AI281" s="22"/>
      <c r="AJ281" s="22"/>
      <c r="AK281" s="26"/>
    </row>
    <row r="282" spans="4:37"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3"/>
      <c r="R282" s="23"/>
      <c r="S282" s="23"/>
      <c r="T282" s="23"/>
      <c r="U282" s="23"/>
      <c r="V282" s="23"/>
      <c r="W282" s="23"/>
      <c r="X282" s="23"/>
      <c r="Y282" s="23"/>
      <c r="Z282" s="24"/>
      <c r="AA282" s="25"/>
      <c r="AB282" s="22"/>
      <c r="AC282" s="22"/>
      <c r="AD282" s="22"/>
      <c r="AE282" s="22"/>
      <c r="AF282" s="22"/>
      <c r="AG282" s="22"/>
      <c r="AH282" s="22"/>
      <c r="AI282" s="22"/>
      <c r="AJ282" s="22"/>
      <c r="AK282" s="26"/>
    </row>
    <row r="283" spans="4:37"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3"/>
      <c r="R283" s="23"/>
      <c r="S283" s="23"/>
      <c r="T283" s="23"/>
      <c r="U283" s="23"/>
      <c r="V283" s="23"/>
      <c r="W283" s="23"/>
      <c r="X283" s="23"/>
      <c r="Y283" s="23"/>
      <c r="Z283" s="24"/>
      <c r="AA283" s="25"/>
      <c r="AB283" s="22"/>
      <c r="AC283" s="22"/>
      <c r="AD283" s="22"/>
      <c r="AE283" s="22"/>
      <c r="AF283" s="22"/>
      <c r="AG283" s="22"/>
      <c r="AH283" s="22"/>
      <c r="AI283" s="22"/>
      <c r="AJ283" s="22"/>
      <c r="AK283" s="26"/>
    </row>
    <row r="284" spans="4:37"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3"/>
      <c r="R284" s="23"/>
      <c r="S284" s="23"/>
      <c r="T284" s="23"/>
      <c r="U284" s="23"/>
      <c r="V284" s="23"/>
      <c r="W284" s="23"/>
      <c r="X284" s="23"/>
      <c r="Y284" s="23"/>
      <c r="Z284" s="24"/>
      <c r="AA284" s="25"/>
      <c r="AB284" s="22"/>
      <c r="AC284" s="22"/>
      <c r="AD284" s="22"/>
      <c r="AE284" s="22"/>
      <c r="AF284" s="22"/>
      <c r="AG284" s="22"/>
      <c r="AH284" s="22"/>
      <c r="AI284" s="22"/>
      <c r="AJ284" s="22"/>
      <c r="AK284" s="26"/>
    </row>
    <row r="285" spans="4:37"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3"/>
      <c r="R285" s="23"/>
      <c r="S285" s="23"/>
      <c r="T285" s="23"/>
      <c r="U285" s="23"/>
      <c r="V285" s="23"/>
      <c r="W285" s="23"/>
      <c r="X285" s="23"/>
      <c r="Y285" s="23"/>
      <c r="Z285" s="24"/>
      <c r="AA285" s="25"/>
      <c r="AB285" s="22"/>
      <c r="AC285" s="22"/>
      <c r="AD285" s="22"/>
      <c r="AE285" s="22"/>
      <c r="AF285" s="22"/>
      <c r="AG285" s="22"/>
      <c r="AH285" s="22"/>
      <c r="AI285" s="22"/>
      <c r="AJ285" s="22"/>
      <c r="AK285" s="26"/>
    </row>
    <row r="286" spans="4:37"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3"/>
      <c r="R286" s="23"/>
      <c r="S286" s="23"/>
      <c r="T286" s="23"/>
      <c r="U286" s="23"/>
      <c r="V286" s="23"/>
      <c r="W286" s="23"/>
      <c r="X286" s="23"/>
      <c r="Y286" s="23"/>
      <c r="Z286" s="24"/>
      <c r="AA286" s="25"/>
      <c r="AB286" s="22"/>
      <c r="AC286" s="22"/>
      <c r="AD286" s="22"/>
      <c r="AE286" s="22"/>
      <c r="AF286" s="22"/>
      <c r="AG286" s="22"/>
      <c r="AH286" s="22"/>
      <c r="AI286" s="22"/>
      <c r="AJ286" s="22"/>
      <c r="AK286" s="26"/>
    </row>
    <row r="287" spans="4:37"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3"/>
      <c r="R287" s="23"/>
      <c r="S287" s="23"/>
      <c r="T287" s="23"/>
      <c r="U287" s="23"/>
      <c r="V287" s="23"/>
      <c r="W287" s="23"/>
      <c r="X287" s="23"/>
      <c r="Y287" s="23"/>
      <c r="Z287" s="24"/>
      <c r="AA287" s="25"/>
      <c r="AB287" s="22"/>
      <c r="AC287" s="22"/>
      <c r="AD287" s="22"/>
      <c r="AE287" s="22"/>
      <c r="AF287" s="22"/>
      <c r="AG287" s="22"/>
      <c r="AH287" s="22"/>
      <c r="AI287" s="22"/>
      <c r="AJ287" s="22"/>
      <c r="AK287" s="26"/>
    </row>
    <row r="288" spans="4:37"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3"/>
      <c r="R288" s="23"/>
      <c r="S288" s="23"/>
      <c r="T288" s="23"/>
      <c r="U288" s="23"/>
      <c r="V288" s="23"/>
      <c r="W288" s="23"/>
      <c r="X288" s="23"/>
      <c r="Y288" s="23"/>
      <c r="Z288" s="24"/>
      <c r="AA288" s="25"/>
      <c r="AB288" s="22"/>
      <c r="AC288" s="22"/>
      <c r="AD288" s="22"/>
      <c r="AE288" s="22"/>
      <c r="AF288" s="22"/>
      <c r="AG288" s="22"/>
      <c r="AH288" s="22"/>
      <c r="AI288" s="22"/>
      <c r="AJ288" s="22"/>
      <c r="AK288" s="26"/>
    </row>
    <row r="289" spans="4:37"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3"/>
      <c r="R289" s="23"/>
      <c r="S289" s="23"/>
      <c r="T289" s="23"/>
      <c r="U289" s="23"/>
      <c r="V289" s="23"/>
      <c r="W289" s="23"/>
      <c r="X289" s="23"/>
      <c r="Y289" s="23"/>
      <c r="Z289" s="24"/>
      <c r="AA289" s="25"/>
      <c r="AB289" s="22"/>
      <c r="AC289" s="22"/>
      <c r="AD289" s="22"/>
      <c r="AE289" s="22"/>
      <c r="AF289" s="22"/>
      <c r="AG289" s="22"/>
      <c r="AH289" s="22"/>
      <c r="AI289" s="22"/>
      <c r="AJ289" s="22"/>
      <c r="AK289" s="26"/>
    </row>
    <row r="290" spans="4:37"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3"/>
      <c r="R290" s="23"/>
      <c r="S290" s="23"/>
      <c r="T290" s="23"/>
      <c r="U290" s="23"/>
      <c r="V290" s="23"/>
      <c r="W290" s="23"/>
      <c r="X290" s="23"/>
      <c r="Y290" s="23"/>
      <c r="Z290" s="24"/>
      <c r="AA290" s="25"/>
      <c r="AB290" s="22"/>
      <c r="AC290" s="22"/>
      <c r="AD290" s="22"/>
      <c r="AE290" s="22"/>
      <c r="AF290" s="22"/>
      <c r="AG290" s="22"/>
      <c r="AH290" s="22"/>
      <c r="AI290" s="22"/>
      <c r="AJ290" s="22"/>
      <c r="AK290" s="26"/>
    </row>
    <row r="291" spans="4:37"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3"/>
      <c r="R291" s="23"/>
      <c r="S291" s="23"/>
      <c r="T291" s="23"/>
      <c r="U291" s="23"/>
      <c r="V291" s="23"/>
      <c r="W291" s="23"/>
      <c r="X291" s="23"/>
      <c r="Y291" s="23"/>
      <c r="Z291" s="24"/>
      <c r="AA291" s="25"/>
      <c r="AB291" s="22"/>
      <c r="AC291" s="22"/>
      <c r="AD291" s="22"/>
      <c r="AE291" s="22"/>
      <c r="AF291" s="22"/>
      <c r="AG291" s="22"/>
      <c r="AH291" s="22"/>
      <c r="AI291" s="22"/>
      <c r="AJ291" s="22"/>
      <c r="AK291" s="26"/>
    </row>
    <row r="292" spans="4:37"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3"/>
      <c r="R292" s="23"/>
      <c r="S292" s="23"/>
      <c r="T292" s="23"/>
      <c r="U292" s="23"/>
      <c r="V292" s="23"/>
      <c r="W292" s="23"/>
      <c r="X292" s="23"/>
      <c r="Y292" s="23"/>
      <c r="Z292" s="24"/>
      <c r="AA292" s="25"/>
      <c r="AB292" s="22"/>
      <c r="AC292" s="22"/>
      <c r="AD292" s="22"/>
      <c r="AE292" s="22"/>
      <c r="AF292" s="22"/>
      <c r="AG292" s="22"/>
      <c r="AH292" s="22"/>
      <c r="AI292" s="22"/>
      <c r="AJ292" s="22"/>
      <c r="AK292" s="26"/>
    </row>
    <row r="293" spans="4:37"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3"/>
      <c r="R293" s="23"/>
      <c r="S293" s="23"/>
      <c r="T293" s="23"/>
      <c r="U293" s="23"/>
      <c r="V293" s="23"/>
      <c r="W293" s="23"/>
      <c r="X293" s="23"/>
      <c r="Y293" s="23"/>
      <c r="Z293" s="24"/>
      <c r="AA293" s="25"/>
      <c r="AB293" s="22"/>
      <c r="AC293" s="22"/>
      <c r="AD293" s="22"/>
      <c r="AE293" s="22"/>
      <c r="AF293" s="22"/>
      <c r="AG293" s="22"/>
      <c r="AH293" s="22"/>
      <c r="AI293" s="22"/>
      <c r="AJ293" s="22"/>
      <c r="AK293" s="26"/>
    </row>
    <row r="294" spans="4:37"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3"/>
      <c r="R294" s="23"/>
      <c r="S294" s="23"/>
      <c r="T294" s="23"/>
      <c r="U294" s="23"/>
      <c r="V294" s="23"/>
      <c r="W294" s="23"/>
      <c r="X294" s="23"/>
      <c r="Y294" s="23"/>
      <c r="Z294" s="24"/>
      <c r="AA294" s="25"/>
      <c r="AB294" s="22"/>
      <c r="AC294" s="22"/>
      <c r="AD294" s="22"/>
      <c r="AE294" s="22"/>
      <c r="AF294" s="22"/>
      <c r="AG294" s="22"/>
      <c r="AH294" s="22"/>
      <c r="AI294" s="22"/>
      <c r="AJ294" s="22"/>
      <c r="AK294" s="26"/>
    </row>
    <row r="295" spans="4:37"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3"/>
      <c r="R295" s="23"/>
      <c r="S295" s="23"/>
      <c r="T295" s="23"/>
      <c r="U295" s="23"/>
      <c r="V295" s="23"/>
      <c r="W295" s="23"/>
      <c r="X295" s="23"/>
      <c r="Y295" s="23"/>
      <c r="Z295" s="24"/>
      <c r="AA295" s="25"/>
      <c r="AB295" s="22"/>
      <c r="AC295" s="22"/>
      <c r="AD295" s="22"/>
      <c r="AE295" s="22"/>
      <c r="AF295" s="22"/>
      <c r="AG295" s="22"/>
      <c r="AH295" s="22"/>
      <c r="AI295" s="22"/>
      <c r="AJ295" s="22"/>
      <c r="AK295" s="26"/>
    </row>
    <row r="296" spans="4:37"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3"/>
      <c r="R296" s="23"/>
      <c r="S296" s="23"/>
      <c r="T296" s="23"/>
      <c r="U296" s="23"/>
      <c r="V296" s="23"/>
      <c r="W296" s="23"/>
      <c r="X296" s="23"/>
      <c r="Y296" s="23"/>
      <c r="Z296" s="24"/>
      <c r="AA296" s="25"/>
      <c r="AB296" s="22"/>
      <c r="AC296" s="22"/>
      <c r="AD296" s="22"/>
      <c r="AE296" s="22"/>
      <c r="AF296" s="22"/>
      <c r="AG296" s="22"/>
      <c r="AH296" s="22"/>
      <c r="AI296" s="22"/>
      <c r="AJ296" s="22"/>
      <c r="AK296" s="26"/>
    </row>
    <row r="297" spans="4:37"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3"/>
      <c r="R297" s="23"/>
      <c r="S297" s="23"/>
      <c r="T297" s="23"/>
      <c r="U297" s="23"/>
      <c r="V297" s="23"/>
      <c r="W297" s="23"/>
      <c r="X297" s="23"/>
      <c r="Y297" s="23"/>
      <c r="Z297" s="24"/>
      <c r="AA297" s="25"/>
      <c r="AB297" s="22"/>
      <c r="AC297" s="22"/>
      <c r="AD297" s="22"/>
      <c r="AE297" s="22"/>
      <c r="AF297" s="22"/>
      <c r="AG297" s="22"/>
      <c r="AH297" s="22"/>
      <c r="AI297" s="22"/>
      <c r="AJ297" s="22"/>
      <c r="AK297" s="26"/>
    </row>
    <row r="298" spans="4:37"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3"/>
      <c r="R298" s="23"/>
      <c r="S298" s="23"/>
      <c r="T298" s="23"/>
      <c r="U298" s="23"/>
      <c r="V298" s="23"/>
      <c r="W298" s="23"/>
      <c r="X298" s="23"/>
      <c r="Y298" s="23"/>
      <c r="Z298" s="24"/>
      <c r="AA298" s="25"/>
      <c r="AB298" s="22"/>
      <c r="AC298" s="22"/>
      <c r="AD298" s="22"/>
      <c r="AE298" s="22"/>
      <c r="AF298" s="22"/>
      <c r="AG298" s="22"/>
      <c r="AH298" s="22"/>
      <c r="AI298" s="22"/>
      <c r="AJ298" s="22"/>
      <c r="AK298" s="26"/>
    </row>
    <row r="299" spans="4:37"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3"/>
      <c r="R299" s="23"/>
      <c r="S299" s="23"/>
      <c r="T299" s="23"/>
      <c r="U299" s="23"/>
      <c r="V299" s="23"/>
      <c r="W299" s="23"/>
      <c r="X299" s="23"/>
      <c r="Y299" s="23"/>
      <c r="Z299" s="24"/>
      <c r="AA299" s="25"/>
      <c r="AB299" s="22"/>
      <c r="AC299" s="22"/>
      <c r="AD299" s="22"/>
      <c r="AE299" s="22"/>
      <c r="AF299" s="22"/>
      <c r="AG299" s="22"/>
      <c r="AH299" s="22"/>
      <c r="AI299" s="22"/>
      <c r="AJ299" s="22"/>
      <c r="AK299" s="26"/>
    </row>
    <row r="300" spans="4:37"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3"/>
      <c r="R300" s="23"/>
      <c r="S300" s="23"/>
      <c r="T300" s="23"/>
      <c r="U300" s="23"/>
      <c r="V300" s="23"/>
      <c r="W300" s="23"/>
      <c r="X300" s="23"/>
      <c r="Y300" s="23"/>
      <c r="Z300" s="24"/>
      <c r="AA300" s="25"/>
      <c r="AB300" s="22"/>
      <c r="AC300" s="22"/>
      <c r="AD300" s="22"/>
      <c r="AE300" s="22"/>
      <c r="AF300" s="22"/>
      <c r="AG300" s="22"/>
      <c r="AH300" s="22"/>
      <c r="AI300" s="22"/>
      <c r="AJ300" s="22"/>
      <c r="AK300" s="26"/>
    </row>
    <row r="301" spans="4:37"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3"/>
      <c r="R301" s="23"/>
      <c r="S301" s="23"/>
      <c r="T301" s="23"/>
      <c r="U301" s="23"/>
      <c r="V301" s="23"/>
      <c r="W301" s="23"/>
      <c r="X301" s="23"/>
      <c r="Y301" s="23"/>
      <c r="Z301" s="24"/>
      <c r="AA301" s="25"/>
      <c r="AB301" s="22"/>
      <c r="AC301" s="22"/>
      <c r="AD301" s="22"/>
      <c r="AE301" s="22"/>
      <c r="AF301" s="22"/>
      <c r="AG301" s="22"/>
      <c r="AH301" s="22"/>
      <c r="AI301" s="22"/>
      <c r="AJ301" s="22"/>
      <c r="AK301" s="26"/>
    </row>
    <row r="302" spans="4:37"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3"/>
      <c r="R302" s="23"/>
      <c r="S302" s="23"/>
      <c r="T302" s="23"/>
      <c r="U302" s="23"/>
      <c r="V302" s="23"/>
      <c r="W302" s="23"/>
      <c r="X302" s="23"/>
      <c r="Y302" s="23"/>
      <c r="Z302" s="24"/>
      <c r="AA302" s="25"/>
      <c r="AB302" s="22"/>
      <c r="AC302" s="22"/>
      <c r="AD302" s="22"/>
      <c r="AE302" s="22"/>
      <c r="AF302" s="22"/>
      <c r="AG302" s="22"/>
      <c r="AH302" s="22"/>
      <c r="AI302" s="22"/>
      <c r="AJ302" s="22"/>
      <c r="AK302" s="26"/>
    </row>
    <row r="303" spans="4:37"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3"/>
      <c r="R303" s="23"/>
      <c r="S303" s="23"/>
      <c r="T303" s="23"/>
      <c r="U303" s="23"/>
      <c r="V303" s="23"/>
      <c r="W303" s="23"/>
      <c r="X303" s="23"/>
      <c r="Y303" s="23"/>
      <c r="Z303" s="24"/>
      <c r="AA303" s="25"/>
      <c r="AB303" s="22"/>
      <c r="AC303" s="22"/>
      <c r="AD303" s="22"/>
      <c r="AE303" s="22"/>
      <c r="AF303" s="22"/>
      <c r="AG303" s="22"/>
      <c r="AH303" s="22"/>
      <c r="AI303" s="22"/>
      <c r="AJ303" s="22"/>
      <c r="AK303" s="26"/>
    </row>
    <row r="304" spans="4:37"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3"/>
      <c r="R304" s="23"/>
      <c r="S304" s="23"/>
      <c r="T304" s="23"/>
      <c r="U304" s="23"/>
      <c r="V304" s="23"/>
      <c r="W304" s="23"/>
      <c r="X304" s="23"/>
      <c r="Y304" s="23"/>
      <c r="Z304" s="24"/>
      <c r="AA304" s="25"/>
      <c r="AB304" s="22"/>
      <c r="AC304" s="22"/>
      <c r="AD304" s="22"/>
      <c r="AE304" s="22"/>
      <c r="AF304" s="22"/>
      <c r="AG304" s="22"/>
      <c r="AH304" s="22"/>
      <c r="AI304" s="22"/>
      <c r="AJ304" s="22"/>
      <c r="AK304" s="26"/>
    </row>
    <row r="305" spans="1:37"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3"/>
      <c r="R305" s="23"/>
      <c r="S305" s="23"/>
      <c r="T305" s="23"/>
      <c r="U305" s="23"/>
      <c r="V305" s="23"/>
      <c r="W305" s="23"/>
      <c r="X305" s="23"/>
      <c r="Y305" s="23"/>
      <c r="Z305" s="24"/>
      <c r="AA305" s="25"/>
      <c r="AB305" s="22"/>
      <c r="AC305" s="22"/>
      <c r="AD305" s="22"/>
      <c r="AE305" s="22"/>
      <c r="AF305" s="22"/>
      <c r="AG305" s="22"/>
      <c r="AH305" s="22"/>
      <c r="AI305" s="22"/>
      <c r="AJ305" s="22"/>
      <c r="AK305" s="26"/>
    </row>
    <row r="306" spans="1:37"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3"/>
      <c r="R306" s="23"/>
      <c r="S306" s="23"/>
      <c r="T306" s="23"/>
      <c r="U306" s="23"/>
      <c r="V306" s="23"/>
      <c r="W306" s="23"/>
      <c r="X306" s="23"/>
      <c r="Y306" s="23"/>
      <c r="Z306" s="24"/>
      <c r="AA306" s="25"/>
      <c r="AB306" s="22"/>
      <c r="AC306" s="22"/>
      <c r="AD306" s="22"/>
      <c r="AE306" s="22"/>
      <c r="AF306" s="22"/>
      <c r="AG306" s="22"/>
      <c r="AH306" s="22"/>
      <c r="AI306" s="22"/>
      <c r="AJ306" s="22"/>
      <c r="AK306" s="26"/>
    </row>
    <row r="307" spans="1:37"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3"/>
      <c r="R307" s="23"/>
      <c r="S307" s="23"/>
      <c r="T307" s="23"/>
      <c r="U307" s="23"/>
      <c r="V307" s="23"/>
      <c r="W307" s="23"/>
      <c r="X307" s="23"/>
      <c r="Y307" s="23"/>
      <c r="Z307" s="24"/>
      <c r="AA307" s="25"/>
      <c r="AB307" s="22"/>
      <c r="AC307" s="22"/>
      <c r="AD307" s="22"/>
      <c r="AE307" s="22"/>
      <c r="AF307" s="22"/>
      <c r="AG307" s="22"/>
      <c r="AH307" s="22"/>
      <c r="AI307" s="22"/>
      <c r="AJ307" s="22"/>
      <c r="AK307" s="26"/>
    </row>
    <row r="308" spans="1:37"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3"/>
      <c r="R308" s="23"/>
      <c r="S308" s="23"/>
      <c r="T308" s="23"/>
      <c r="U308" s="23"/>
      <c r="V308" s="23"/>
      <c r="W308" s="23"/>
      <c r="X308" s="23"/>
      <c r="Y308" s="23"/>
      <c r="Z308" s="24"/>
      <c r="AA308" s="25"/>
      <c r="AB308" s="22"/>
      <c r="AC308" s="22"/>
      <c r="AD308" s="22"/>
      <c r="AE308" s="22"/>
      <c r="AF308" s="22"/>
      <c r="AG308" s="22"/>
      <c r="AH308" s="22"/>
      <c r="AI308" s="22"/>
      <c r="AJ308" s="22"/>
      <c r="AK308" s="26"/>
    </row>
    <row r="309" spans="1:37"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3"/>
      <c r="R309" s="23"/>
      <c r="S309" s="23"/>
      <c r="T309" s="23"/>
      <c r="U309" s="23"/>
      <c r="V309" s="23"/>
      <c r="W309" s="23"/>
      <c r="X309" s="23"/>
      <c r="Y309" s="23"/>
      <c r="Z309" s="24"/>
      <c r="AA309" s="25"/>
      <c r="AB309" s="22"/>
      <c r="AC309" s="22"/>
      <c r="AD309" s="22"/>
      <c r="AE309" s="22"/>
      <c r="AF309" s="22"/>
      <c r="AG309" s="22"/>
      <c r="AH309" s="22"/>
      <c r="AI309" s="22"/>
      <c r="AJ309" s="22"/>
      <c r="AK309" s="26"/>
    </row>
    <row r="310" spans="1:37"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3"/>
      <c r="R310" s="23"/>
      <c r="S310" s="23"/>
      <c r="T310" s="23"/>
      <c r="U310" s="23"/>
      <c r="V310" s="23"/>
      <c r="W310" s="23"/>
      <c r="X310" s="23"/>
      <c r="Y310" s="23"/>
      <c r="Z310" s="24"/>
      <c r="AA310" s="25"/>
      <c r="AB310" s="22"/>
      <c r="AC310" s="22"/>
      <c r="AD310" s="22"/>
      <c r="AE310" s="22"/>
      <c r="AF310" s="22"/>
      <c r="AG310" s="22"/>
      <c r="AH310" s="22"/>
      <c r="AI310" s="22"/>
      <c r="AJ310" s="22"/>
      <c r="AK310" s="26"/>
    </row>
    <row r="311" spans="1:37"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3"/>
      <c r="R311" s="23"/>
      <c r="S311" s="23"/>
      <c r="T311" s="23"/>
      <c r="U311" s="23"/>
      <c r="V311" s="23"/>
      <c r="W311" s="23"/>
      <c r="X311" s="23"/>
      <c r="Y311" s="23"/>
      <c r="Z311" s="24"/>
      <c r="AA311" s="25"/>
      <c r="AB311" s="22"/>
      <c r="AC311" s="22"/>
      <c r="AD311" s="22"/>
      <c r="AE311" s="22"/>
      <c r="AF311" s="22"/>
      <c r="AG311" s="22"/>
      <c r="AH311" s="22"/>
      <c r="AI311" s="22"/>
      <c r="AJ311" s="22"/>
      <c r="AK311" s="26"/>
    </row>
    <row r="312" spans="1:37"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3"/>
      <c r="R312" s="23"/>
      <c r="S312" s="23"/>
      <c r="T312" s="23"/>
      <c r="U312" s="23"/>
      <c r="V312" s="23"/>
      <c r="W312" s="23"/>
      <c r="X312" s="23"/>
      <c r="Y312" s="23"/>
      <c r="Z312" s="24"/>
      <c r="AA312" s="25"/>
      <c r="AB312" s="22"/>
      <c r="AC312" s="22"/>
      <c r="AD312" s="22"/>
      <c r="AE312" s="22"/>
      <c r="AF312" s="22"/>
      <c r="AG312" s="22"/>
      <c r="AH312" s="22"/>
      <c r="AI312" s="22"/>
      <c r="AJ312" s="22"/>
      <c r="AK312" s="26"/>
    </row>
    <row r="313" spans="1:37"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3"/>
      <c r="R313" s="23"/>
      <c r="S313" s="23"/>
      <c r="T313" s="23"/>
      <c r="U313" s="23"/>
      <c r="V313" s="23"/>
      <c r="W313" s="23"/>
      <c r="X313" s="23"/>
      <c r="Y313" s="23"/>
      <c r="Z313" s="24"/>
      <c r="AA313" s="25"/>
      <c r="AB313" s="22"/>
      <c r="AC313" s="22"/>
      <c r="AD313" s="22"/>
      <c r="AE313" s="22"/>
      <c r="AF313" s="22"/>
      <c r="AG313" s="22"/>
      <c r="AH313" s="22"/>
      <c r="AI313" s="22"/>
      <c r="AJ313" s="22"/>
      <c r="AK313" s="26"/>
    </row>
    <row r="314" spans="1:37"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3"/>
      <c r="R314" s="23"/>
      <c r="S314" s="23"/>
      <c r="T314" s="23"/>
      <c r="U314" s="23"/>
      <c r="V314" s="23"/>
      <c r="W314" s="23"/>
      <c r="X314" s="23"/>
      <c r="Y314" s="23"/>
      <c r="Z314" s="24"/>
      <c r="AA314" s="25"/>
      <c r="AB314" s="22"/>
      <c r="AC314" s="22"/>
      <c r="AD314" s="22"/>
      <c r="AE314" s="22"/>
      <c r="AF314" s="22"/>
      <c r="AG314" s="22"/>
      <c r="AH314" s="22"/>
      <c r="AI314" s="22"/>
      <c r="AJ314" s="22"/>
      <c r="AK314" s="26"/>
    </row>
    <row r="315" spans="1:37"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3"/>
      <c r="R315" s="23"/>
      <c r="S315" s="23"/>
      <c r="T315" s="23"/>
      <c r="U315" s="23"/>
      <c r="V315" s="23"/>
      <c r="W315" s="23"/>
      <c r="X315" s="23"/>
      <c r="Y315" s="23"/>
      <c r="Z315" s="24"/>
      <c r="AA315" s="25"/>
      <c r="AB315" s="22"/>
      <c r="AC315" s="22"/>
      <c r="AD315" s="22"/>
      <c r="AE315" s="22"/>
      <c r="AF315" s="22"/>
      <c r="AG315" s="22"/>
      <c r="AH315" s="22"/>
      <c r="AI315" s="22"/>
      <c r="AJ315" s="22"/>
      <c r="AK315" s="26"/>
    </row>
    <row r="316" spans="1:37"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3"/>
      <c r="R316" s="23"/>
      <c r="S316" s="23"/>
      <c r="T316" s="23"/>
      <c r="U316" s="23"/>
      <c r="V316" s="23"/>
      <c r="W316" s="23"/>
      <c r="X316" s="23"/>
      <c r="Y316" s="23"/>
      <c r="Z316" s="24"/>
      <c r="AA316" s="25"/>
      <c r="AB316" s="22"/>
      <c r="AC316" s="22"/>
      <c r="AD316" s="22"/>
      <c r="AE316" s="22"/>
      <c r="AF316" s="22"/>
      <c r="AG316" s="22"/>
      <c r="AH316" s="22"/>
      <c r="AI316" s="22"/>
      <c r="AJ316" s="22"/>
      <c r="AK316" s="26"/>
    </row>
    <row r="317" spans="1:37"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3"/>
      <c r="R317" s="23"/>
      <c r="S317" s="23"/>
      <c r="T317" s="23"/>
      <c r="U317" s="23"/>
      <c r="V317" s="23"/>
      <c r="W317" s="23"/>
      <c r="X317" s="23"/>
      <c r="Y317" s="23"/>
      <c r="Z317" s="24"/>
      <c r="AA317" s="25"/>
      <c r="AB317" s="22"/>
      <c r="AC317" s="22"/>
      <c r="AD317" s="22"/>
      <c r="AE317" s="22"/>
      <c r="AF317" s="22"/>
      <c r="AG317" s="22"/>
      <c r="AH317" s="22"/>
      <c r="AI317" s="22"/>
      <c r="AJ317" s="22"/>
      <c r="AK317" s="26"/>
    </row>
    <row r="318" spans="1:37"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3"/>
      <c r="R318" s="23"/>
      <c r="S318" s="23"/>
      <c r="T318" s="23"/>
      <c r="U318" s="23"/>
      <c r="V318" s="23"/>
      <c r="W318" s="23"/>
      <c r="X318" s="23"/>
      <c r="Y318" s="23"/>
      <c r="Z318" s="24"/>
      <c r="AA318" s="25"/>
      <c r="AB318" s="22"/>
      <c r="AC318" s="22"/>
      <c r="AD318" s="22"/>
      <c r="AE318" s="22"/>
      <c r="AF318" s="22"/>
      <c r="AG318" s="22"/>
      <c r="AH318" s="22"/>
      <c r="AI318" s="22"/>
      <c r="AJ318" s="22"/>
      <c r="AK318" s="26"/>
    </row>
    <row r="319" spans="1:37"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3"/>
      <c r="R319" s="23"/>
      <c r="S319" s="23"/>
      <c r="T319" s="23"/>
      <c r="U319" s="23"/>
      <c r="V319" s="23"/>
      <c r="W319" s="23"/>
      <c r="X319" s="23"/>
      <c r="Y319" s="23"/>
      <c r="Z319" s="24"/>
      <c r="AA319" s="25"/>
      <c r="AB319" s="22"/>
      <c r="AC319" s="22"/>
      <c r="AD319" s="22"/>
      <c r="AE319" s="22"/>
      <c r="AF319" s="22"/>
      <c r="AG319" s="22"/>
      <c r="AH319" s="22"/>
      <c r="AI319" s="22"/>
      <c r="AJ319" s="22"/>
      <c r="AK319" s="26"/>
    </row>
    <row r="320" spans="1:37">
      <c r="A320" s="6" t="e">
        <f>IF(C320="","",MAX(A$4:A319)+1)</f>
        <v>#REF!</v>
      </c>
      <c r="B320" s="82" t="e">
        <f ca="1">IF(#REF!="","",OFFSET(Census!$C$1,MATCH(Census_SEIR_Province!#REF!,Census!$E$2:$E$2000,0),0))</f>
        <v>#REF!</v>
      </c>
      <c r="C320" s="10" t="e">
        <f>IF(#REF!="","",IF(ISERROR(MATCH(#REF!,Census!$E:$E,0)),"",VLOOKUP(#REF!,Census!$E:$CJ,2,FALSE)))</f>
        <v>#REF!</v>
      </c>
      <c r="D320" s="11" t="e">
        <f ca="1">IF(#REF!="","",IF(ISERROR(MATCH(#REF!,Census!$E:$E,0)),"",SUM(OFFSET(Census!$AJ$1,MATCH(Census_SEIR_Province!#REF!,Census!$E$2:$E$235,0),4*(COUNTA(Census_SEIR_Province!$D$2:D$2)-1),1,4))/100))</f>
        <v>#REF!</v>
      </c>
      <c r="E320" s="11" t="e">
        <f ca="1">IF(#REF!="","",IF(ISERROR(MATCH(#REF!,Census!$E:$E,0)),"",SUM(OFFSET(Census!$AJ$1,MATCH(Census_SEIR_Province!#REF!,Census!$E$2:$E$235,0),4*(COUNTA(Census_SEIR_Province!$D$2:E$2)-1),1,4))/100))</f>
        <v>#REF!</v>
      </c>
      <c r="F320" s="11" t="e">
        <f ca="1">IF(#REF!="","",IF(ISERROR(MATCH(#REF!,Census!$E:$E,0)),"",SUM(OFFSET(Census!$AJ$1,MATCH(Census_SEIR_Province!#REF!,Census!$E$2:$E$235,0),4*(COUNTA(Census_SEIR_Province!$D$2:F$2)-1),1,4))/100))</f>
        <v>#REF!</v>
      </c>
      <c r="G320" s="11" t="e">
        <f ca="1">IF(#REF!="","",IF(ISERROR(MATCH(#REF!,Census!$E:$E,0)),"",SUM(OFFSET(Census!$AJ$1,MATCH(Census_SEIR_Province!#REF!,Census!$E$2:$E$235,0),4*(COUNTA(Census_SEIR_Province!$D$2:G$2)-1),1,4))/100))</f>
        <v>#REF!</v>
      </c>
      <c r="H320" s="11" t="e">
        <f ca="1">IF(#REF!="","",IF(ISERROR(MATCH(#REF!,Census!$E:$E,0)),"",SUM(OFFSET(Census!$AJ$1,MATCH(Census_SEIR_Province!#REF!,Census!$E$2:$E$235,0),4*(COUNTA(Census_SEIR_Province!$D$2:H$2)-1),1,4))/100))</f>
        <v>#REF!</v>
      </c>
      <c r="I320" s="11" t="e">
        <f ca="1">IF(#REF!="","",IF(ISERROR(MATCH(#REF!,Census!$E:$E,0)),"",SUM(OFFSET(Census!$AJ$1,MATCH(Census_SEIR_Province!#REF!,Census!$E$2:$E$235,0),4*(COUNTA(Census_SEIR_Province!$D$2:I$2)-1),1,4))/100))</f>
        <v>#REF!</v>
      </c>
      <c r="J320" s="11" t="e">
        <f ca="1">IF(#REF!="","",IF(ISERROR(MATCH(#REF!,Census!$E:$E,0)),"",SUM(OFFSET(Census!$AJ$1,MATCH(Census_SEIR_Province!#REF!,Census!$E$2:$E$235,0),4*(COUNTA(Census_SEIR_Province!$D$2:J$2)-1),1,4))/100))</f>
        <v>#REF!</v>
      </c>
      <c r="K320" s="11" t="e">
        <f ca="1">IF(#REF!="","",IF(ISERROR(MATCH(#REF!,Census!$E:$E,0)),"",SUM(OFFSET(Census!$AJ$1,MATCH(Census_SEIR_Province!#REF!,Census!$E$2:$E$235,0),4*(COUNTA(Census_SEIR_Province!$D$2:K$2)-1),1,4))/100))</f>
        <v>#REF!</v>
      </c>
      <c r="L320" s="11" t="e">
        <f ca="1">IF(#REF!="","",IF(ISERROR(MATCH(#REF!,Census!$E:$E,0)),"",SUM(OFFSET(Census!$AJ$1,MATCH(Census_SEIR_Province!#REF!,Census!$E$2:$E$235,0),4*(COUNTA(Census_SEIR_Province!$D$2:L$2)-1),1,4))/100))</f>
        <v>#REF!</v>
      </c>
      <c r="M320" s="12" t="e">
        <f>IF(#REF!="","",IF(ROUND(SUM(D320:L320),0)&lt;&gt;1,"",SUMPRODUCT(D320:L320,$D$3:$L$3)))</f>
        <v>#REF!</v>
      </c>
      <c r="N320" s="12"/>
      <c r="O320" s="12"/>
      <c r="P320" s="12"/>
      <c r="Q320" s="13"/>
      <c r="R320" s="13" t="e">
        <f ca="1">IF(#REF!="","",IF(C320="","",OFFSET(#REF!,MATCH(B320,#REF!,0),0)*(C320/SUMIF($B$4:$B$320,B320,$C$4:$C$320))))</f>
        <v>#REF!</v>
      </c>
      <c r="S320" s="13"/>
      <c r="T320" s="13" t="e">
        <f>IF(#REF!="","",IF(C320="","",0))</f>
        <v>#REF!</v>
      </c>
      <c r="U320" s="13" t="e">
        <f>IF(C320="","",R320*AA320)</f>
        <v>#REF!</v>
      </c>
      <c r="V320" s="13" t="e">
        <f>IF(#REF!="","",IF(C320="","",0))</f>
        <v>#REF!</v>
      </c>
      <c r="W320" s="13" t="e">
        <f ca="1">IF(R320="","",C320-T320)</f>
        <v>#REF!</v>
      </c>
      <c r="X320" s="13"/>
      <c r="Y320" s="14" t="e">
        <f ca="1">IF(C320="","",OFFSET(Census!$N$1,MATCH(Census_SEIR_Province!#REF!,Census!$E$2:$E$2350,0),0))</f>
        <v>#REF!</v>
      </c>
      <c r="Z320" s="15" t="e">
        <f>IF(C320="","",AA320*14)</f>
        <v>#REF!</v>
      </c>
      <c r="AA320" s="17" t="e">
        <f>IF(C320="","",MAX($AA$2,MIN($AA$3*Y320/SUM($Y$4:$Y$320),#REF!)))</f>
        <v>#REF!</v>
      </c>
      <c r="AB320" s="22" t="e">
        <f ca="1">IF(C320="","",IF(AB$2=#REF!,1,OFFSET(#REF!,MATCH(Census_SEIR_Province!#REF!,#REF!,0),MATCH(Census_SEIR_Province!AB$2,#REF!,0))))</f>
        <v>#REF!</v>
      </c>
      <c r="AC320" s="22" t="e">
        <f ca="1">IF(D320="","",IF(AC$2=#REF!,1,OFFSET(#REF!,MATCH(Census_SEIR_Province!#REF!,#REF!,0),MATCH(Census_SEIR_Province!AC$2,#REF!,0))))</f>
        <v>#REF!</v>
      </c>
      <c r="AD320" s="22" t="e">
        <f ca="1">IF(E320="","",IF(AD$2=#REF!,1,OFFSET(#REF!,MATCH(Census_SEIR_Province!#REF!,#REF!,0),MATCH(Census_SEIR_Province!AD$2,#REF!,0))))</f>
        <v>#REF!</v>
      </c>
      <c r="AE320" s="22" t="e">
        <f ca="1">IF(F320="","",IF(AE$2=#REF!,1,OFFSET(#REF!,MATCH(Census_SEIR_Province!#REF!,#REF!,0),MATCH(Census_SEIR_Province!AE$2,#REF!,0))))</f>
        <v>#REF!</v>
      </c>
      <c r="AF320" s="22" t="e">
        <f ca="1">IF(G320="","",IF(AF$2=#REF!,1,OFFSET(#REF!,MATCH(Census_SEIR_Province!#REF!,#REF!,0),MATCH(Census_SEIR_Province!AF$2,#REF!,0))))</f>
        <v>#REF!</v>
      </c>
      <c r="AG320" s="22" t="e">
        <f ca="1">IF(H320="","",IF(AG$2=#REF!,1,OFFSET(#REF!,MATCH(Census_SEIR_Province!#REF!,#REF!,0),MATCH(Census_SEIR_Province!AG$2,#REF!,0))))</f>
        <v>#REF!</v>
      </c>
      <c r="AH320" s="22" t="e">
        <f ca="1">IF(I320="","",IF(AH$2=#REF!,1,OFFSET(#REF!,MATCH(Census_SEIR_Province!#REF!,#REF!,0),MATCH(Census_SEIR_Province!AH$2,#REF!,0))))</f>
        <v>#REF!</v>
      </c>
      <c r="AI320" s="22" t="e">
        <f ca="1">IF(J320="","",IF(AI$2=#REF!,1,OFFSET(#REF!,MATCH(Census_SEIR_Province!#REF!,#REF!,0),MATCH(Census_SEIR_Province!AI$2,#REF!,0))))</f>
        <v>#REF!</v>
      </c>
      <c r="AJ320" s="22" t="e">
        <f ca="1">IF(K320="","",IF(AJ$2=#REF!,1,OFFSET(#REF!,MATCH(Census_SEIR_Province!#REF!,#REF!,0),MATCH(Census_SEIR_Province!AJ$2,#REF!,0))))</f>
        <v>#REF!</v>
      </c>
    </row>
  </sheetData>
  <mergeCells count="14">
    <mergeCell ref="AB1:AJ1"/>
    <mergeCell ref="D1:L1"/>
    <mergeCell ref="N1:N3"/>
    <mergeCell ref="R1:R3"/>
    <mergeCell ref="T1:T3"/>
    <mergeCell ref="U1:U3"/>
    <mergeCell ref="V1:V3"/>
    <mergeCell ref="S1:S3"/>
    <mergeCell ref="Q1:Q3"/>
    <mergeCell ref="P1:P3"/>
    <mergeCell ref="M1:M3"/>
    <mergeCell ref="O1:O3"/>
    <mergeCell ref="W1:W3"/>
    <mergeCell ref="X1:X3"/>
  </mergeCells>
  <dataValidations count="1">
    <dataValidation type="list" showInputMessage="1" showErrorMessage="1" sqref="Z2" xr:uid="{00000000-0002-0000-0700-000000000000}">
      <formula1>"Actuals, Estimate"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F11"/>
  <sheetViews>
    <sheetView workbookViewId="0">
      <selection activeCell="F4" sqref="F4"/>
    </sheetView>
  </sheetViews>
  <sheetFormatPr baseColWidth="10" defaultColWidth="8.6640625" defaultRowHeight="12"/>
  <cols>
    <col min="1" max="2" width="19.6640625" style="76" bestFit="1" customWidth="1"/>
    <col min="3" max="3" width="8.6640625" style="41" customWidth="1"/>
    <col min="4" max="9" width="8.6640625" style="76" customWidth="1"/>
    <col min="10" max="16384" width="8.6640625" style="76"/>
  </cols>
  <sheetData>
    <row r="1" spans="1:6">
      <c r="C1" s="61" t="s">
        <v>2450</v>
      </c>
      <c r="D1" s="61" t="s">
        <v>1506</v>
      </c>
      <c r="E1" s="61" t="s">
        <v>101</v>
      </c>
      <c r="F1" s="61" t="s">
        <v>102</v>
      </c>
    </row>
    <row r="2" spans="1:6">
      <c r="B2" s="114"/>
      <c r="C2" s="70">
        <v>44007</v>
      </c>
      <c r="D2" s="70">
        <f>C2</f>
        <v>44007</v>
      </c>
      <c r="E2" s="70">
        <f t="shared" ref="E2:F2" si="0">D2</f>
        <v>44007</v>
      </c>
      <c r="F2" s="70">
        <f t="shared" si="0"/>
        <v>44007</v>
      </c>
    </row>
    <row r="3" spans="1:6">
      <c r="A3" s="76" t="s">
        <v>105</v>
      </c>
      <c r="B3" s="76" t="s">
        <v>105</v>
      </c>
      <c r="C3" s="117">
        <f ca="1">OFFSET('National statistics'!$A$6,MATCH(C$2,'National statistics'!$A$7:$A$1000,0),MATCH($B3 &amp; "_" &amp; C$1,'National statistics'!$B$1:$FT$1,0))</f>
        <v>20487</v>
      </c>
      <c r="D3" s="117">
        <f ca="1">OFFSET('National statistics'!$A$6,MATCH(D$2,'National statistics'!$A$7:$A$1000,0),MATCH($B3 &amp; "_" &amp; D$1,'National statistics'!$B$1:$FT$1,0))</f>
        <v>9685</v>
      </c>
      <c r="E3" s="117">
        <f ca="1">OFFSET('National statistics'!$A$6,MATCH(E$2,'National statistics'!$A$7:$A$1000,0),MATCH($B3 &amp; "_" &amp; E$1,'National statistics'!$B$1:$FT$1,0))</f>
        <v>10439</v>
      </c>
      <c r="F3" s="117">
        <f ca="1">OFFSET('National statistics'!$A$6,MATCH(F$2,'National statistics'!$A$7:$A$1000,0),MATCH($B3 &amp; "_" &amp; F$1,'National statistics'!$B$1:$FT$1,0))</f>
        <v>363</v>
      </c>
    </row>
    <row r="4" spans="1:6">
      <c r="A4" s="76" t="s">
        <v>107</v>
      </c>
      <c r="B4" s="76" t="s">
        <v>107</v>
      </c>
      <c r="C4" s="117">
        <f ca="1">OFFSET('National statistics'!$A$6,MATCH(C$2,'National statistics'!$A$7:$A$1000,0),MATCH($B4 &amp; "_" &amp; C$1,'National statistics'!$B$1:$FT$1,0))</f>
        <v>976</v>
      </c>
      <c r="D4" s="117">
        <f ca="1">OFFSET('National statistics'!$A$6,MATCH(D$2,'National statistics'!$A$7:$A$1000,0),MATCH($B4 &amp; "_" &amp; D$1,'National statistics'!$B$1:$FT$1,0))</f>
        <v>649</v>
      </c>
      <c r="E4" s="117">
        <f ca="1">OFFSET('National statistics'!$A$6,MATCH(E$2,'National statistics'!$A$7:$A$1000,0),MATCH($B4 &amp; "_" &amp; E$1,'National statistics'!$B$1:$FT$1,0))</f>
        <v>318</v>
      </c>
      <c r="F4" s="117">
        <f ca="1">OFFSET('National statistics'!$A$6,MATCH(F$2,'National statistics'!$A$7:$A$1000,0),MATCH($B4 &amp; "_" &amp; F$1,'National statistics'!$B$1:$FT$1,0))</f>
        <v>9</v>
      </c>
    </row>
    <row r="5" spans="1:6">
      <c r="A5" s="76" t="s">
        <v>111</v>
      </c>
      <c r="B5" s="76" t="s">
        <v>111</v>
      </c>
      <c r="C5" s="117">
        <f ca="1">OFFSET('National statistics'!$A$6,MATCH(C$2,'National statistics'!$A$7:$A$1000,0),MATCH($B5 &amp; "_" &amp; C$1,'National statistics'!$B$1:$FT$1,0))</f>
        <v>28746</v>
      </c>
      <c r="D5" s="117">
        <f ca="1">OFFSET('National statistics'!$A$6,MATCH(D$2,'National statistics'!$A$7:$A$1000,0),MATCH($B5 &amp; "_" &amp; D$1,'National statistics'!$B$1:$FT$1,0))</f>
        <v>22741</v>
      </c>
      <c r="E5" s="117">
        <f ca="1">OFFSET('National statistics'!$A$6,MATCH(E$2,'National statistics'!$A$7:$A$1000,0),MATCH($B5 &amp; "_" &amp; E$1,'National statistics'!$B$1:$FT$1,0))</f>
        <v>5856</v>
      </c>
      <c r="F5" s="117">
        <f ca="1">OFFSET('National statistics'!$A$6,MATCH(F$2,'National statistics'!$A$7:$A$1000,0),MATCH($B5 &amp; "_" &amp; F$1,'National statistics'!$B$1:$FT$1,0))</f>
        <v>149</v>
      </c>
    </row>
    <row r="6" spans="1:6">
      <c r="A6" s="76" t="s">
        <v>113</v>
      </c>
      <c r="B6" s="76" t="s">
        <v>113</v>
      </c>
      <c r="C6" s="117">
        <f ca="1">OFFSET('National statistics'!$A$6,MATCH(C$2,'National statistics'!$A$7:$A$1000,0),MATCH($B6 &amp; "_" &amp; C$1,'National statistics'!$B$1:$FT$1,0))</f>
        <v>6590</v>
      </c>
      <c r="D6" s="117">
        <f ca="1">OFFSET('National statistics'!$A$6,MATCH(D$2,'National statistics'!$A$7:$A$1000,0),MATCH($B6 &amp; "_" &amp; D$1,'National statistics'!$B$1:$FT$1,0))</f>
        <v>3537</v>
      </c>
      <c r="E6" s="117">
        <f ca="1">OFFSET('National statistics'!$A$6,MATCH(E$2,'National statistics'!$A$7:$A$1000,0),MATCH($B6 &amp; "_" &amp; E$1,'National statistics'!$B$1:$FT$1,0))</f>
        <v>2947</v>
      </c>
      <c r="F6" s="117">
        <f ca="1">OFFSET('National statistics'!$A$6,MATCH(F$2,'National statistics'!$A$7:$A$1000,0),MATCH($B6 &amp; "_" &amp; F$1,'National statistics'!$B$1:$FT$1,0))</f>
        <v>106</v>
      </c>
    </row>
    <row r="7" spans="1:6">
      <c r="A7" s="76" t="s">
        <v>114</v>
      </c>
      <c r="B7" s="76" t="s">
        <v>114</v>
      </c>
      <c r="C7" s="117">
        <f ca="1">OFFSET('National statistics'!$A$6,MATCH(C$2,'National statistics'!$A$7:$A$1000,0),MATCH($B7 &amp; "_" &amp; C$1,'National statistics'!$B$1:$FT$1,0))</f>
        <v>730</v>
      </c>
      <c r="D7" s="117">
        <f ca="1">OFFSET('National statistics'!$A$6,MATCH(D$2,'National statistics'!$A$7:$A$1000,0),MATCH($B7 &amp; "_" &amp; D$1,'National statistics'!$B$1:$FT$1,0))</f>
        <v>396</v>
      </c>
      <c r="E7" s="117">
        <f ca="1">OFFSET('National statistics'!$A$6,MATCH(E$2,'National statistics'!$A$7:$A$1000,0),MATCH($B7 &amp; "_" &amp; E$1,'National statistics'!$B$1:$FT$1,0))</f>
        <v>329</v>
      </c>
      <c r="F7" s="117">
        <f ca="1">OFFSET('National statistics'!$A$6,MATCH(F$2,'National statistics'!$A$7:$A$1000,0),MATCH($B7 &amp; "_" &amp; F$1,'National statistics'!$B$1:$FT$1,0))</f>
        <v>5</v>
      </c>
    </row>
    <row r="8" spans="1:6">
      <c r="A8" s="76" t="s">
        <v>115</v>
      </c>
      <c r="B8" s="76" t="s">
        <v>115</v>
      </c>
      <c r="C8" s="117">
        <f ca="1">OFFSET('National statistics'!$A$6,MATCH(C$2,'National statistics'!$A$7:$A$1000,0),MATCH($B8 &amp; "_" &amp; C$1,'National statistics'!$B$1:$FT$1,0))</f>
        <v>783</v>
      </c>
      <c r="D8" s="117">
        <f ca="1">OFFSET('National statistics'!$A$6,MATCH(D$2,'National statistics'!$A$7:$A$1000,0),MATCH($B8 &amp; "_" &amp; D$1,'National statistics'!$B$1:$FT$1,0))</f>
        <v>574</v>
      </c>
      <c r="E8" s="117">
        <f ca="1">OFFSET('National statistics'!$A$6,MATCH(E$2,'National statistics'!$A$7:$A$1000,0),MATCH($B8 &amp; "_" &amp; E$1,'National statistics'!$B$1:$FT$1,0))</f>
        <v>207</v>
      </c>
      <c r="F8" s="117">
        <f ca="1">OFFSET('National statistics'!$A$6,MATCH(F$2,'National statistics'!$A$7:$A$1000,0),MATCH($B8 &amp; "_" &amp; F$1,'National statistics'!$B$1:$FT$1,0))</f>
        <v>2</v>
      </c>
    </row>
    <row r="9" spans="1:6">
      <c r="A9" s="76" t="s">
        <v>116</v>
      </c>
      <c r="B9" s="76" t="s">
        <v>116</v>
      </c>
      <c r="C9" s="117">
        <f ca="1">OFFSET('National statistics'!$A$6,MATCH(C$2,'National statistics'!$A$7:$A$1000,0),MATCH($B9 &amp; "_" &amp; C$1,'National statistics'!$B$1:$FT$1,0))</f>
        <v>2965</v>
      </c>
      <c r="D9" s="117">
        <f ca="1">OFFSET('National statistics'!$A$6,MATCH(D$2,'National statistics'!$A$7:$A$1000,0),MATCH($B9 &amp; "_" &amp; D$1,'National statistics'!$B$1:$FT$1,0))</f>
        <v>2669</v>
      </c>
      <c r="E9" s="117">
        <f ca="1">OFFSET('National statistics'!$A$6,MATCH(E$2,'National statistics'!$A$7:$A$1000,0),MATCH($B9 &amp; "_" &amp; E$1,'National statistics'!$B$1:$FT$1,0))</f>
        <v>291</v>
      </c>
      <c r="F9" s="117">
        <f ca="1">OFFSET('National statistics'!$A$6,MATCH(F$2,'National statistics'!$A$7:$A$1000,0),MATCH($B9 &amp; "_" &amp; F$1,'National statistics'!$B$1:$FT$1,0))</f>
        <v>5</v>
      </c>
    </row>
    <row r="10" spans="1:6">
      <c r="A10" s="76" t="s">
        <v>117</v>
      </c>
      <c r="B10" s="76" t="s">
        <v>117</v>
      </c>
      <c r="C10" s="117">
        <f ca="1">OFFSET('National statistics'!$A$6,MATCH(C$2,'National statistics'!$A$7:$A$1000,0),MATCH($B10 &amp; "_" &amp; C$1,'National statistics'!$B$1:$FT$1,0))</f>
        <v>318</v>
      </c>
      <c r="D10" s="117">
        <f ca="1">OFFSET('National statistics'!$A$6,MATCH(D$2,'National statistics'!$A$7:$A$1000,0),MATCH($B10 &amp; "_" &amp; D$1,'National statistics'!$B$1:$FT$1,0))</f>
        <v>205</v>
      </c>
      <c r="E10" s="117">
        <f ca="1">OFFSET('National statistics'!$A$6,MATCH(E$2,'National statistics'!$A$7:$A$1000,0),MATCH($B10 &amp; "_" &amp; E$1,'National statistics'!$B$1:$FT$1,0))</f>
        <v>112</v>
      </c>
      <c r="F10" s="117">
        <f ca="1">OFFSET('National statistics'!$A$6,MATCH(F$2,'National statistics'!$A$7:$A$1000,0),MATCH($B10 &amp; "_" &amp; F$1,'National statistics'!$B$1:$FT$1,0))</f>
        <v>1</v>
      </c>
    </row>
    <row r="11" spans="1:6">
      <c r="A11" s="76" t="s">
        <v>119</v>
      </c>
      <c r="B11" s="76" t="s">
        <v>119</v>
      </c>
      <c r="C11" s="117">
        <f ca="1">OFFSET('National statistics'!$A$6,MATCH(C$2,'National statistics'!$A$7:$A$1000,0),MATCH($B11 &amp; "_" &amp; C$1,'National statistics'!$B$1:$FT$1,0))</f>
        <v>56780</v>
      </c>
      <c r="D11" s="117">
        <f ca="1">OFFSET('National statistics'!$A$6,MATCH(D$2,'National statistics'!$A$7:$A$1000,0),MATCH($B11 &amp; "_" &amp; D$1,'National statistics'!$B$1:$FT$1,0))</f>
        <v>15653</v>
      </c>
      <c r="E11" s="117">
        <f ca="1">OFFSET('National statistics'!$A$6,MATCH(E$2,'National statistics'!$A$7:$A$1000,0),MATCH($B11 &amp; "_" &amp; E$1,'National statistics'!$B$1:$FT$1,0))</f>
        <v>39475</v>
      </c>
      <c r="F11" s="117">
        <f ca="1">OFFSET('National statistics'!$A$6,MATCH(F$2,'National statistics'!$A$7:$A$1000,0),MATCH($B11 &amp; "_" &amp; F$1,'National statistics'!$B$1:$FT$1,0))</f>
        <v>1652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CP162"/>
  <sheetViews>
    <sheetView topLeftCell="X1" workbookViewId="0">
      <selection activeCell="AB5" sqref="AB5"/>
    </sheetView>
  </sheetViews>
  <sheetFormatPr baseColWidth="10" defaultColWidth="8.6640625" defaultRowHeight="12"/>
  <cols>
    <col min="1" max="1" width="8.6640625" style="78" customWidth="1"/>
    <col min="2" max="2" width="9.5" style="78" bestFit="1" customWidth="1"/>
    <col min="3" max="9" width="8.6640625" style="78" customWidth="1"/>
    <col min="10" max="10" width="14.5" style="78" bestFit="1" customWidth="1"/>
    <col min="11" max="12" width="9.83203125" style="78" bestFit="1" customWidth="1"/>
    <col min="13" max="13" width="8.6640625" style="78" bestFit="1" customWidth="1"/>
    <col min="14" max="14" width="9.83203125" style="78" bestFit="1" customWidth="1"/>
    <col min="15" max="15" width="10.6640625" style="78" bestFit="1" customWidth="1"/>
    <col min="16" max="16" width="7.83203125" style="78" bestFit="1" customWidth="1"/>
    <col min="17" max="18" width="8.1640625" style="78" bestFit="1" customWidth="1"/>
    <col min="19" max="19" width="7.83203125" style="78" bestFit="1" customWidth="1"/>
    <col min="20" max="26" width="8.1640625" style="78" bestFit="1" customWidth="1"/>
    <col min="27" max="27" width="7.83203125" style="78" bestFit="1" customWidth="1"/>
    <col min="28" max="28" width="8.1640625" style="78" bestFit="1" customWidth="1"/>
    <col min="29" max="42" width="7.83203125" style="78" bestFit="1" customWidth="1"/>
    <col min="43" max="71" width="7.5" style="78" bestFit="1" customWidth="1"/>
    <col min="72" max="77" width="8.6640625" style="78" customWidth="1"/>
    <col min="78" max="16384" width="8.6640625" style="78"/>
  </cols>
  <sheetData>
    <row r="1" spans="2:91">
      <c r="J1" s="79"/>
      <c r="K1" s="79"/>
      <c r="L1" s="79"/>
      <c r="M1" s="79"/>
    </row>
    <row r="2" spans="2:91">
      <c r="P2" s="68" t="str">
        <f>TEXT(P3,"dd-mmm-yy") &amp; "_" &amp;P4</f>
        <v>31-Mar-20_R0</v>
      </c>
      <c r="Q2" s="68" t="str">
        <f>TEXT(Q3,"dd-mmm-yy") &amp; "_" &amp;Q4</f>
        <v>27-May-20_Actual I</v>
      </c>
      <c r="R2" s="68" t="str">
        <f>TEXT(R3,"dd-mmm-yy") &amp; "_" &amp;R4</f>
        <v>27-May-20_I_detec</v>
      </c>
      <c r="T2" s="68" t="str">
        <f>TEXT(T3,"dd-mmm-yy") &amp; "_" &amp;T4</f>
        <v>27-May-20_R0</v>
      </c>
      <c r="U2" s="68" t="str">
        <f>TEXT(U3,"dd-mmm-yy") &amp; "_" &amp;U4</f>
        <v>10-Jun-20_Actual I</v>
      </c>
      <c r="V2" s="68" t="str">
        <f>TEXT(V3,"dd-mmm-yy") &amp; "_" &amp;V4</f>
        <v>10-Jun-20_I_detec</v>
      </c>
      <c r="X2" s="68" t="str">
        <f>TEXT(X3,"dd-mmm-yy") &amp; "_" &amp;X4</f>
        <v>10-Jun-20_R0</v>
      </c>
      <c r="Y2" s="68" t="str">
        <f>TEXT(Y3,"dd-mmm-yy") &amp; "_" &amp;Y4</f>
        <v>24-Jun-20_Actual I</v>
      </c>
      <c r="Z2" s="68" t="str">
        <f>TEXT(Z3,"dd-mmm-yy") &amp; "_" &amp;Z4</f>
        <v>24-Jun-20_I_detec</v>
      </c>
      <c r="AB2" s="68" t="str">
        <f>TEXT(AB3,"dd-mmm-yy") &amp; "_" &amp;AB4</f>
        <v>24-Jun-20_R0</v>
      </c>
      <c r="AC2" s="68" t="str">
        <f>TEXT(AC3,"dd-mmm-yy") &amp; "_" &amp;AC4</f>
        <v>08-Jul-20_Actual I</v>
      </c>
      <c r="AD2" s="68" t="str">
        <f>TEXT(AD3,"dd-mmm-yy") &amp; "_" &amp;AD4</f>
        <v>08-Jul-20_I_detec</v>
      </c>
      <c r="AF2" s="68" t="str">
        <f>TEXT(AF3,"dd-mmm-yy") &amp; "_" &amp;AF4</f>
        <v>08-Jul-20_R0</v>
      </c>
      <c r="AG2" s="68" t="str">
        <f>TEXT(AG3,"dd-mmm-yy") &amp; "_" &amp;AG4</f>
        <v>22-Jul-20_Actual I</v>
      </c>
      <c r="AH2" s="68" t="str">
        <f>TEXT(AH3,"dd-mmm-yy") &amp; "_" &amp;AH4</f>
        <v>22-Jul-20_I_detec</v>
      </c>
      <c r="AJ2" s="68" t="str">
        <f>TEXT(AJ3,"dd-mmm-yy") &amp; "_" &amp;AJ4</f>
        <v>22-Jul-20_R0</v>
      </c>
      <c r="AK2" s="68" t="str">
        <f>TEXT(AK3,"dd-mmm-yy") &amp; "_" &amp;AK4</f>
        <v>05-Aug-20_Actual I</v>
      </c>
      <c r="AL2" s="68" t="str">
        <f>TEXT(AL3,"dd-mmm-yy") &amp; "_" &amp;AL4</f>
        <v>05-Aug-20_I_detec</v>
      </c>
      <c r="AN2" s="68" t="str">
        <f>TEXT(AN3,"dd-mmm-yy") &amp; "_" &amp;AN4</f>
        <v>05-Aug-20_R0</v>
      </c>
      <c r="AO2" s="68" t="str">
        <f>TEXT(AO3,"dd-mmm-yy") &amp; "_" &amp;AO4</f>
        <v>19-Aug-20_Actual I</v>
      </c>
      <c r="AP2" s="68" t="str">
        <f>TEXT(AP3,"dd-mmm-yy") &amp; "_" &amp;AP4</f>
        <v>19-Aug-20_I_detec</v>
      </c>
    </row>
    <row r="3" spans="2:91">
      <c r="O3" s="60">
        <f>AB3</f>
        <v>44006</v>
      </c>
      <c r="P3" s="65">
        <v>43921</v>
      </c>
      <c r="Q3" s="65">
        <f>R3</f>
        <v>43978</v>
      </c>
      <c r="R3" s="65">
        <f>T3</f>
        <v>43978</v>
      </c>
      <c r="T3" s="65">
        <f>U3-14</f>
        <v>43978</v>
      </c>
      <c r="U3" s="65">
        <f>V3</f>
        <v>43992</v>
      </c>
      <c r="V3" s="65">
        <f>X3</f>
        <v>43992</v>
      </c>
      <c r="X3" s="65">
        <f>Y3-14</f>
        <v>43992</v>
      </c>
      <c r="Y3" s="65">
        <f>Z3</f>
        <v>44006</v>
      </c>
      <c r="Z3" s="65">
        <f>AB3</f>
        <v>44006</v>
      </c>
      <c r="AB3" s="65">
        <f>AC3-14</f>
        <v>44006</v>
      </c>
      <c r="AC3" s="65">
        <f>AD3</f>
        <v>44020</v>
      </c>
      <c r="AD3" s="65">
        <f>AF3</f>
        <v>44020</v>
      </c>
      <c r="AF3" s="65">
        <f>AG3-14</f>
        <v>44020</v>
      </c>
      <c r="AG3" s="65">
        <f>AH3</f>
        <v>44034</v>
      </c>
      <c r="AH3" s="65">
        <f>AJ3</f>
        <v>44034</v>
      </c>
      <c r="AJ3" s="65">
        <f>AK3-14</f>
        <v>44034</v>
      </c>
      <c r="AK3" s="65">
        <f>AL3</f>
        <v>44048</v>
      </c>
      <c r="AL3" s="65">
        <f>AN3</f>
        <v>44048</v>
      </c>
      <c r="AN3" s="65">
        <f>AO3-14</f>
        <v>44048</v>
      </c>
      <c r="AO3" s="65">
        <f>AP3</f>
        <v>44062</v>
      </c>
      <c r="AP3" s="65">
        <v>44062</v>
      </c>
    </row>
    <row r="4" spans="2:91">
      <c r="J4" s="60" t="s">
        <v>2449</v>
      </c>
      <c r="L4" s="69" t="s">
        <v>1493</v>
      </c>
      <c r="M4" s="69">
        <v>1</v>
      </c>
      <c r="O4" s="61" t="s">
        <v>1494</v>
      </c>
      <c r="P4" s="59" t="s">
        <v>73</v>
      </c>
      <c r="Q4" s="59" t="s">
        <v>1495</v>
      </c>
      <c r="R4" s="59" t="s">
        <v>1496</v>
      </c>
      <c r="S4" s="66" t="s">
        <v>1497</v>
      </c>
      <c r="T4" s="59" t="s">
        <v>73</v>
      </c>
      <c r="U4" s="59" t="s">
        <v>1495</v>
      </c>
      <c r="V4" s="59" t="s">
        <v>1496</v>
      </c>
      <c r="W4" s="66" t="s">
        <v>1497</v>
      </c>
      <c r="X4" s="59" t="s">
        <v>73</v>
      </c>
      <c r="Y4" s="59" t="s">
        <v>1495</v>
      </c>
      <c r="Z4" s="59" t="s">
        <v>1496</v>
      </c>
      <c r="AA4" s="66" t="s">
        <v>1497</v>
      </c>
      <c r="AB4" s="59" t="s">
        <v>73</v>
      </c>
      <c r="AC4" s="59" t="s">
        <v>1495</v>
      </c>
      <c r="AD4" s="59" t="s">
        <v>1496</v>
      </c>
      <c r="AE4" s="66" t="s">
        <v>1497</v>
      </c>
      <c r="AF4" s="59" t="s">
        <v>73</v>
      </c>
      <c r="AG4" s="59" t="s">
        <v>1495</v>
      </c>
      <c r="AH4" s="59" t="s">
        <v>1496</v>
      </c>
      <c r="AI4" s="66" t="s">
        <v>1497</v>
      </c>
      <c r="AJ4" s="59" t="s">
        <v>73</v>
      </c>
      <c r="AK4" s="59" t="s">
        <v>1495</v>
      </c>
      <c r="AL4" s="59" t="s">
        <v>1496</v>
      </c>
      <c r="AM4" s="66" t="s">
        <v>1497</v>
      </c>
      <c r="AN4" s="59" t="s">
        <v>73</v>
      </c>
      <c r="AO4" s="59" t="s">
        <v>1495</v>
      </c>
      <c r="AP4" s="59" t="s">
        <v>1496</v>
      </c>
      <c r="AQ4" s="66" t="s">
        <v>1497</v>
      </c>
    </row>
    <row r="5" spans="2:91">
      <c r="I5" s="78">
        <f>J5/L5</f>
        <v>14.814184001757191</v>
      </c>
      <c r="J5" s="58">
        <v>2.0789457128428661</v>
      </c>
      <c r="K5" s="42" t="s">
        <v>1498</v>
      </c>
      <c r="L5" s="205">
        <f>AN5*M5</f>
        <v>0.14033481105650308</v>
      </c>
      <c r="M5" s="75">
        <v>1</v>
      </c>
      <c r="N5" s="42" t="s">
        <v>1498</v>
      </c>
      <c r="O5" s="62">
        <f t="shared" ref="O5:O14" ca="1" si="0">OFFSET($A$16,MATCH(O$3,$A$17:$A$476,0),MATCH(N5,$B$16:$CZ$16,0)+1)</f>
        <v>2.0904899451712211</v>
      </c>
      <c r="P5" s="63">
        <v>1.9211610393424374</v>
      </c>
      <c r="Q5" s="64">
        <f t="shared" ref="Q5:Q14" ca="1" si="1">OFFSET(OFFSET($A$17,0,MATCH($N5,$B$16:$CM$16,0)),MATCH(Q$3,$A$18:$A$777,0),0)</f>
        <v>13953</v>
      </c>
      <c r="R5" s="64">
        <f t="shared" ref="R5:R14" ca="1" si="2">OFFSET(OFFSET($A$17,0,MATCH($N5,$B$16:$CM$16,0)),MATCH(R$3,$A$18:$A$777,0),5)</f>
        <v>13952.999998610274</v>
      </c>
      <c r="S5" s="67">
        <f t="shared" ref="S5:S14" ca="1" si="3">Q5-R5</f>
        <v>1.3897260942030698E-6</v>
      </c>
      <c r="T5" s="63">
        <v>2.1996789936101133</v>
      </c>
      <c r="U5" s="64">
        <f t="shared" ref="U5:U14" ca="1" si="4">OFFSET(OFFSET($A$17,0,MATCH($N5,$B$16:$CM$16,0)),MATCH(U$3,$A$18:$A$777,0),0)</f>
        <v>29337</v>
      </c>
      <c r="V5" s="64">
        <f t="shared" ref="V5:V14" ca="1" si="5">OFFSET(OFFSET($A$17,0,MATCH($N5,$B$16:$CM$16,0)),MATCH(V$3,$A$18:$A$777,0),5)</f>
        <v>29337.000002644188</v>
      </c>
      <c r="W5" s="67">
        <f t="shared" ref="W5:W14" ca="1" si="6">U5-V5</f>
        <v>-2.6441884983796626E-6</v>
      </c>
      <c r="X5" s="63">
        <v>1.9488488524741405</v>
      </c>
      <c r="Y5" s="64">
        <f t="shared" ref="Y5:Y14" ca="1" si="7">OFFSET(OFFSET($A$17,0,MATCH($N5,$B$16:$CM$16,0)),MATCH(Y$3,$A$18:$A$777,0),0)</f>
        <v>56432</v>
      </c>
      <c r="Z5" s="64">
        <f t="shared" ref="Z5:Z14" ca="1" si="8">OFFSET(OFFSET($A$17,0,MATCH($N5,$B$16:$CM$16,0)),MATCH(Z$3,$A$18:$A$777,0),5)</f>
        <v>56431.999827413085</v>
      </c>
      <c r="AA5" s="67">
        <f t="shared" ref="AA5:AA14" ca="1" si="9">Y5-Z5</f>
        <v>1.725869151414372E-4</v>
      </c>
      <c r="AB5" s="63">
        <v>2.0904899451712211</v>
      </c>
      <c r="AC5" s="64">
        <f t="shared" ref="AC5:AC14" ca="1" si="10">OFFSET(OFFSET($A$17,0,MATCH($N5,$B$16:$CM$16,0)),MATCH(AC$3,$A$18:$A$777,0),0)</f>
        <v>112869</v>
      </c>
      <c r="AD5" s="64">
        <f t="shared" ref="AD5:AD14" ca="1" si="11">OFFSET(OFFSET($A$17,0,MATCH($N5,$B$16:$CM$16,0)),MATCH(AD$3,$A$18:$A$777,0),5)</f>
        <v>112869.00000297814</v>
      </c>
      <c r="AE5" s="67">
        <f t="shared" ref="AE5:AE14" ca="1" si="12">AC5-AD5</f>
        <v>-2.9781367629766464E-6</v>
      </c>
      <c r="AF5" s="63">
        <v>1.4871713096412069</v>
      </c>
      <c r="AG5" s="64">
        <f t="shared" ref="AG5:AG14" ca="1" si="13">OFFSET(OFFSET($A$17,0,MATCH($N5,$B$16:$CM$16,0)),MATCH(AG$3,$A$18:$A$777,0),0)</f>
        <v>170233</v>
      </c>
      <c r="AH5" s="64">
        <f t="shared" ref="AH5:AH14" ca="1" si="14">OFFSET(OFFSET($A$17,0,MATCH($N5,$B$16:$CM$16,0)),MATCH(AH$3,$A$18:$A$777,0),5)</f>
        <v>170232.99938137148</v>
      </c>
      <c r="AI5" s="67">
        <f t="shared" ref="AI5:AI14" ca="1" si="15">AG5-AH5</f>
        <v>6.1862851725891232E-4</v>
      </c>
      <c r="AJ5" s="63">
        <v>0.52495785440847798</v>
      </c>
      <c r="AK5" s="64">
        <f t="shared" ref="AK5:AK14" ca="1" si="16">OFFSET(OFFSET($A$17,0,MATCH($N5,$B$16:$CM$16,0)),MATCH(AK$3,$A$18:$A$777,0),0)</f>
        <v>134929</v>
      </c>
      <c r="AL5" s="64">
        <f t="shared" ref="AL5:AL14" ca="1" si="17">OFFSET(OFFSET($A$17,0,MATCH($N5,$B$16:$CM$16,0)),MATCH(AL$3,$A$18:$A$777,0),5)</f>
        <v>134929.00001796085</v>
      </c>
      <c r="AM5" s="67">
        <f t="shared" ref="AM5:AM14" ca="1" si="18">AK5-AL5</f>
        <v>-1.7960846889764071E-5</v>
      </c>
      <c r="AN5" s="63">
        <v>0.14033481105650308</v>
      </c>
      <c r="AO5" s="64">
        <f t="shared" ref="AO5:AO14" ca="1" si="19">OFFSET(OFFSET($A$17,0,MATCH($N5,$B$16:$CM$16,0)),MATCH(AO$3,$A$18:$A$777,0),0)</f>
        <v>66183</v>
      </c>
      <c r="AP5" s="64">
        <f t="shared" ref="AP5:AP14" ca="1" si="20">OFFSET(OFFSET($A$17,0,MATCH($N5,$B$16:$CM$16,0)),MATCH(AP$3,$A$18:$A$777,0),5)</f>
        <v>66183.000016155303</v>
      </c>
      <c r="AQ5" s="67">
        <f t="shared" ref="AQ5:AQ14" ca="1" si="21">AO5-AP5</f>
        <v>-1.6155303455889225E-5</v>
      </c>
    </row>
    <row r="6" spans="2:91">
      <c r="I6" s="78">
        <f t="shared" ref="I6:I14" si="22">J6/L6</f>
        <v>-20.893945962086203</v>
      </c>
      <c r="J6" s="58">
        <v>2.9739030489754339</v>
      </c>
      <c r="K6" s="42" t="s">
        <v>105</v>
      </c>
      <c r="L6" s="205">
        <f t="shared" ref="L6:L14" si="23">AN6*M6</f>
        <v>-0.14233324113941079</v>
      </c>
      <c r="M6" s="75">
        <v>1</v>
      </c>
      <c r="N6" s="42" t="s">
        <v>105</v>
      </c>
      <c r="O6" s="62">
        <f t="shared" ca="1" si="0"/>
        <v>1.8311476326842264</v>
      </c>
      <c r="P6" s="63">
        <v>2.7782873101034609</v>
      </c>
      <c r="Q6" s="64">
        <f t="shared" ca="1" si="1"/>
        <v>1513</v>
      </c>
      <c r="R6" s="64">
        <f t="shared" ca="1" si="2"/>
        <v>1513.0000006341777</v>
      </c>
      <c r="S6" s="67">
        <f t="shared" ca="1" si="3"/>
        <v>-6.341776952467626E-7</v>
      </c>
      <c r="T6" s="63">
        <v>2.6122077663065371</v>
      </c>
      <c r="U6" s="64">
        <f t="shared" ca="1" si="4"/>
        <v>4107</v>
      </c>
      <c r="V6" s="64">
        <f t="shared" ca="1" si="5"/>
        <v>4107.0007749565675</v>
      </c>
      <c r="W6" s="67">
        <f t="shared" ca="1" si="6"/>
        <v>-7.7495656751125352E-4</v>
      </c>
      <c r="X6" s="63">
        <v>2.8414734641357478</v>
      </c>
      <c r="Y6" s="64">
        <f t="shared" ca="1" si="7"/>
        <v>12060</v>
      </c>
      <c r="Z6" s="64">
        <f t="shared" ca="1" si="8"/>
        <v>12060.000000100639</v>
      </c>
      <c r="AA6" s="67">
        <f t="shared" ca="1" si="9"/>
        <v>-1.006392267299816E-7</v>
      </c>
      <c r="AB6" s="63">
        <v>1.8311476326842264</v>
      </c>
      <c r="AC6" s="64">
        <f t="shared" ca="1" si="10"/>
        <v>23143</v>
      </c>
      <c r="AD6" s="64">
        <f t="shared" ca="1" si="11"/>
        <v>23142.999999510586</v>
      </c>
      <c r="AE6" s="67">
        <f t="shared" ca="1" si="12"/>
        <v>4.8941365093924105E-7</v>
      </c>
      <c r="AF6" s="63">
        <v>0.97213300294969573</v>
      </c>
      <c r="AG6" s="64">
        <f t="shared" ca="1" si="13"/>
        <v>25461</v>
      </c>
      <c r="AH6" s="64">
        <f t="shared" ca="1" si="14"/>
        <v>25460.999998391177</v>
      </c>
      <c r="AI6" s="67">
        <f t="shared" ca="1" si="15"/>
        <v>1.6088233678601682E-6</v>
      </c>
      <c r="AJ6" s="63">
        <v>2.1664074451369558E-2</v>
      </c>
      <c r="AK6" s="64">
        <f t="shared" ca="1" si="16"/>
        <v>12582</v>
      </c>
      <c r="AL6" s="64">
        <f t="shared" ca="1" si="17"/>
        <v>12582.000002168334</v>
      </c>
      <c r="AM6" s="67">
        <f t="shared" ca="1" si="18"/>
        <v>-2.1683335944544524E-6</v>
      </c>
      <c r="AN6" s="63">
        <v>-0.14233324113941079</v>
      </c>
      <c r="AO6" s="64">
        <f t="shared" ca="1" si="19"/>
        <v>3962</v>
      </c>
      <c r="AP6" s="64">
        <f t="shared" ca="1" si="20"/>
        <v>3962.0000761495348</v>
      </c>
      <c r="AQ6" s="67">
        <f t="shared" ca="1" si="21"/>
        <v>-7.6149534834257793E-5</v>
      </c>
    </row>
    <row r="7" spans="2:91">
      <c r="I7" s="78">
        <f t="shared" si="22"/>
        <v>8.5338802237859586</v>
      </c>
      <c r="J7" s="58">
        <v>2.0789457128428661</v>
      </c>
      <c r="K7" s="42" t="s">
        <v>107</v>
      </c>
      <c r="L7" s="205">
        <f t="shared" si="23"/>
        <v>0.24361083801578898</v>
      </c>
      <c r="M7" s="75">
        <v>1</v>
      </c>
      <c r="N7" s="42" t="s">
        <v>107</v>
      </c>
      <c r="O7" s="62">
        <f t="shared" ca="1" si="0"/>
        <v>4.198313051542212</v>
      </c>
      <c r="P7" s="63">
        <v>1.0062710569511544</v>
      </c>
      <c r="Q7" s="64">
        <f t="shared" ca="1" si="1"/>
        <v>83</v>
      </c>
      <c r="R7" s="64">
        <f t="shared" ca="1" si="2"/>
        <v>83.00001086424048</v>
      </c>
      <c r="S7" s="67">
        <f t="shared" ca="1" si="3"/>
        <v>-1.0864240479691034E-5</v>
      </c>
      <c r="T7" s="63">
        <v>2.5131690644603863</v>
      </c>
      <c r="U7" s="64">
        <f t="shared" ca="1" si="4"/>
        <v>180</v>
      </c>
      <c r="V7" s="64">
        <f t="shared" ca="1" si="5"/>
        <v>179.99995706191368</v>
      </c>
      <c r="W7" s="67">
        <f t="shared" ca="1" si="6"/>
        <v>4.2938086323829339E-5</v>
      </c>
      <c r="X7" s="63">
        <v>2.6596774835310657</v>
      </c>
      <c r="Y7" s="64">
        <f t="shared" ca="1" si="7"/>
        <v>488</v>
      </c>
      <c r="Z7" s="64">
        <f t="shared" ca="1" si="8"/>
        <v>488.00000072381988</v>
      </c>
      <c r="AA7" s="67">
        <f t="shared" ca="1" si="9"/>
        <v>-7.2381988047709456E-7</v>
      </c>
      <c r="AB7" s="63">
        <v>4.198313051542212</v>
      </c>
      <c r="AC7" s="64">
        <f t="shared" ca="1" si="10"/>
        <v>2370</v>
      </c>
      <c r="AD7" s="64">
        <f t="shared" ca="1" si="11"/>
        <v>2369.999888179042</v>
      </c>
      <c r="AE7" s="67">
        <f t="shared" ca="1" si="12"/>
        <v>1.1182095795447822E-4</v>
      </c>
      <c r="AF7" s="63">
        <v>3.2573756695954525</v>
      </c>
      <c r="AG7" s="64">
        <f t="shared" ca="1" si="13"/>
        <v>9073</v>
      </c>
      <c r="AH7" s="64">
        <f t="shared" ca="1" si="14"/>
        <v>9073.0000105037761</v>
      </c>
      <c r="AI7" s="67">
        <f t="shared" ca="1" si="15"/>
        <v>-1.0503776138648391E-5</v>
      </c>
      <c r="AJ7" s="63">
        <v>1.1769239022738553</v>
      </c>
      <c r="AK7" s="64">
        <f t="shared" ca="1" si="16"/>
        <v>12900</v>
      </c>
      <c r="AL7" s="64">
        <f t="shared" ca="1" si="17"/>
        <v>12900.000441192622</v>
      </c>
      <c r="AM7" s="67">
        <f t="shared" ca="1" si="18"/>
        <v>-4.4119262202002574E-4</v>
      </c>
      <c r="AN7" s="63">
        <v>0.24361083801578898</v>
      </c>
      <c r="AO7" s="64">
        <f t="shared" ca="1" si="19"/>
        <v>7931</v>
      </c>
      <c r="AP7" s="64">
        <f t="shared" ca="1" si="20"/>
        <v>7931.0000000523542</v>
      </c>
      <c r="AQ7" s="67">
        <f t="shared" ca="1" si="21"/>
        <v>-5.2354153012856841E-8</v>
      </c>
    </row>
    <row r="8" spans="2:91">
      <c r="I8" s="78">
        <f t="shared" si="22"/>
        <v>38.508398676113515</v>
      </c>
      <c r="J8" s="58">
        <v>3.0315065529303209</v>
      </c>
      <c r="K8" s="42" t="s">
        <v>111</v>
      </c>
      <c r="L8" s="205">
        <f t="shared" si="23"/>
        <v>7.8723256669998659E-2</v>
      </c>
      <c r="M8" s="75">
        <v>1</v>
      </c>
      <c r="N8" s="42" t="s">
        <v>111</v>
      </c>
      <c r="O8" s="62">
        <f t="shared" ca="1" si="0"/>
        <v>2.3126264869834054</v>
      </c>
      <c r="P8" s="63">
        <v>1.1513150830584011</v>
      </c>
      <c r="Q8" s="64">
        <f t="shared" ca="1" si="1"/>
        <v>1093</v>
      </c>
      <c r="R8" s="64">
        <f t="shared" ca="1" si="2"/>
        <v>1093.00000162168</v>
      </c>
      <c r="S8" s="67">
        <f t="shared" ca="1" si="3"/>
        <v>-1.6216799849644303E-6</v>
      </c>
      <c r="T8" s="63">
        <v>3.800414836322612</v>
      </c>
      <c r="U8" s="64">
        <f t="shared" ca="1" si="4"/>
        <v>4028</v>
      </c>
      <c r="V8" s="64">
        <f t="shared" ca="1" si="5"/>
        <v>4028.0000000651376</v>
      </c>
      <c r="W8" s="67">
        <f t="shared" ca="1" si="6"/>
        <v>-6.5137555793626234E-8</v>
      </c>
      <c r="X8" s="63">
        <v>3.8909509351225071</v>
      </c>
      <c r="Y8" s="64">
        <f t="shared" ca="1" si="7"/>
        <v>18961</v>
      </c>
      <c r="Z8" s="64">
        <f t="shared" ca="1" si="8"/>
        <v>18961.000019143758</v>
      </c>
      <c r="AA8" s="67">
        <f t="shared" ca="1" si="9"/>
        <v>-1.9143757526762784E-5</v>
      </c>
      <c r="AB8" s="63">
        <v>2.3126264869834054</v>
      </c>
      <c r="AC8" s="64">
        <f t="shared" ca="1" si="10"/>
        <v>48859</v>
      </c>
      <c r="AD8" s="64">
        <f t="shared" ca="1" si="11"/>
        <v>48858.999999951113</v>
      </c>
      <c r="AE8" s="67">
        <f t="shared" ca="1" si="12"/>
        <v>4.8887159209698439E-8</v>
      </c>
      <c r="AF8" s="63">
        <v>1.3382350102780447</v>
      </c>
      <c r="AG8" s="64">
        <f t="shared" ca="1" si="13"/>
        <v>69567</v>
      </c>
      <c r="AH8" s="64">
        <f t="shared" ca="1" si="14"/>
        <v>69567.000000012922</v>
      </c>
      <c r="AI8" s="67">
        <f t="shared" ca="1" si="15"/>
        <v>-1.2922100722789764E-8</v>
      </c>
      <c r="AJ8" s="63">
        <v>0.14295215870982222</v>
      </c>
      <c r="AK8" s="64">
        <f t="shared" ca="1" si="16"/>
        <v>40700</v>
      </c>
      <c r="AL8" s="64">
        <f t="shared" ca="1" si="17"/>
        <v>40700.000000016778</v>
      </c>
      <c r="AM8" s="67">
        <f t="shared" ca="1" si="18"/>
        <v>-1.677835825830698E-8</v>
      </c>
      <c r="AN8" s="63">
        <v>7.8723256669998659E-2</v>
      </c>
      <c r="AO8" s="64">
        <f t="shared" ca="1" si="19"/>
        <v>16729</v>
      </c>
      <c r="AP8" s="64">
        <f t="shared" ca="1" si="20"/>
        <v>16729.000000548127</v>
      </c>
      <c r="AQ8" s="67">
        <f t="shared" ca="1" si="21"/>
        <v>-5.4812699090689421E-7</v>
      </c>
    </row>
    <row r="9" spans="2:91">
      <c r="I9" s="78">
        <f t="shared" si="22"/>
        <v>19.369831786230652</v>
      </c>
      <c r="J9" s="58">
        <v>1.948117456224457</v>
      </c>
      <c r="K9" s="42" t="s">
        <v>113</v>
      </c>
      <c r="L9" s="205">
        <f t="shared" si="23"/>
        <v>0.10057482572509002</v>
      </c>
      <c r="M9" s="75">
        <v>1</v>
      </c>
      <c r="N9" s="42" t="s">
        <v>113</v>
      </c>
      <c r="O9" s="62">
        <f t="shared" ca="1" si="0"/>
        <v>3.9118321635306974</v>
      </c>
      <c r="P9" s="63">
        <v>1.4899002769655674</v>
      </c>
      <c r="Q9" s="64">
        <f t="shared" ca="1" si="1"/>
        <v>773</v>
      </c>
      <c r="R9" s="64">
        <f t="shared" ca="1" si="2"/>
        <v>773.00000043219734</v>
      </c>
      <c r="S9" s="67">
        <f t="shared" ca="1" si="3"/>
        <v>-4.3219733925070614E-7</v>
      </c>
      <c r="T9" s="63">
        <v>1.6016155185401029</v>
      </c>
      <c r="U9" s="64">
        <f t="shared" ca="1" si="4"/>
        <v>1161</v>
      </c>
      <c r="V9" s="64">
        <f t="shared" ca="1" si="5"/>
        <v>1160.9999799186983</v>
      </c>
      <c r="W9" s="67">
        <f t="shared" ca="1" si="6"/>
        <v>2.0081301727259415E-5</v>
      </c>
      <c r="X9" s="63">
        <v>2.5276629565043836</v>
      </c>
      <c r="Y9" s="64">
        <f t="shared" ca="1" si="7"/>
        <v>2728</v>
      </c>
      <c r="Z9" s="64">
        <f t="shared" ca="1" si="8"/>
        <v>2728.0000477014928</v>
      </c>
      <c r="AA9" s="67">
        <f t="shared" ca="1" si="9"/>
        <v>-4.7701492803753354E-5</v>
      </c>
      <c r="AB9" s="63">
        <v>3.9118321635306974</v>
      </c>
      <c r="AC9" s="64">
        <f t="shared" ca="1" si="10"/>
        <v>11887</v>
      </c>
      <c r="AD9" s="64">
        <f t="shared" ca="1" si="11"/>
        <v>11887.000000179536</v>
      </c>
      <c r="AE9" s="67">
        <f t="shared" ca="1" si="12"/>
        <v>-1.7953607311937958E-7</v>
      </c>
      <c r="AF9" s="63">
        <v>2.4526722057434021</v>
      </c>
      <c r="AG9" s="64">
        <f t="shared" ca="1" si="13"/>
        <v>32559</v>
      </c>
      <c r="AH9" s="64">
        <f t="shared" ca="1" si="14"/>
        <v>32559.000000012587</v>
      </c>
      <c r="AI9" s="67">
        <f t="shared" ca="1" si="15"/>
        <v>-1.2587406672537327E-8</v>
      </c>
      <c r="AJ9" s="63">
        <v>0.92006151916402468</v>
      </c>
      <c r="AK9" s="64">
        <f t="shared" ca="1" si="16"/>
        <v>37277</v>
      </c>
      <c r="AL9" s="64">
        <f t="shared" ca="1" si="17"/>
        <v>37277.000000009059</v>
      </c>
      <c r="AM9" s="67">
        <f t="shared" ca="1" si="18"/>
        <v>-9.0585672296583652E-9</v>
      </c>
      <c r="AN9" s="63">
        <v>0.10057482572509002</v>
      </c>
      <c r="AO9" s="64">
        <f t="shared" ca="1" si="19"/>
        <v>19473</v>
      </c>
      <c r="AP9" s="64">
        <f t="shared" ca="1" si="20"/>
        <v>19473.000000190357</v>
      </c>
      <c r="AQ9" s="67">
        <f t="shared" ca="1" si="21"/>
        <v>-1.9035724108107388E-7</v>
      </c>
    </row>
    <row r="10" spans="2:91">
      <c r="I10" s="78">
        <f t="shared" si="22"/>
        <v>7.6418541065881813</v>
      </c>
      <c r="J10" s="58">
        <v>2.0789457128428661</v>
      </c>
      <c r="K10" s="42" t="s">
        <v>114</v>
      </c>
      <c r="L10" s="205">
        <f t="shared" si="23"/>
        <v>0.27204729164491237</v>
      </c>
      <c r="M10" s="75">
        <v>1</v>
      </c>
      <c r="N10" s="42" t="s">
        <v>114</v>
      </c>
      <c r="O10" s="62">
        <f t="shared" ca="1" si="0"/>
        <v>3.1226563099465383</v>
      </c>
      <c r="P10" s="63">
        <v>1.7150884819427765</v>
      </c>
      <c r="Q10" s="64">
        <f t="shared" ca="1" si="1"/>
        <v>87</v>
      </c>
      <c r="R10" s="64">
        <f t="shared" ca="1" si="2"/>
        <v>86.999900190893015</v>
      </c>
      <c r="S10" s="67">
        <f t="shared" ca="1" si="3"/>
        <v>9.9809106984594109E-5</v>
      </c>
      <c r="T10" s="63">
        <v>1.3230125268909632</v>
      </c>
      <c r="U10" s="64">
        <f t="shared" ca="1" si="4"/>
        <v>116</v>
      </c>
      <c r="V10" s="64">
        <f t="shared" ca="1" si="5"/>
        <v>116.0008629711558</v>
      </c>
      <c r="W10" s="67">
        <f t="shared" ca="1" si="6"/>
        <v>-8.6297115579725414E-4</v>
      </c>
      <c r="X10" s="63">
        <v>3.6500336577649697</v>
      </c>
      <c r="Y10" s="64">
        <f t="shared" ca="1" si="7"/>
        <v>413</v>
      </c>
      <c r="Z10" s="64">
        <f t="shared" ca="1" si="8"/>
        <v>413.00005982138208</v>
      </c>
      <c r="AA10" s="67">
        <f t="shared" ca="1" si="9"/>
        <v>-5.9821382080826879E-5</v>
      </c>
      <c r="AB10" s="63">
        <v>3.1226563099465383</v>
      </c>
      <c r="AC10" s="64">
        <f t="shared" ca="1" si="10"/>
        <v>1461</v>
      </c>
      <c r="AD10" s="64">
        <f t="shared" ca="1" si="11"/>
        <v>1460.9999962810703</v>
      </c>
      <c r="AE10" s="67">
        <f t="shared" ca="1" si="12"/>
        <v>3.7189297472650651E-6</v>
      </c>
      <c r="AF10" s="63">
        <v>2.3100549624621229</v>
      </c>
      <c r="AG10" s="64">
        <f t="shared" ca="1" si="13"/>
        <v>3581</v>
      </c>
      <c r="AH10" s="64">
        <f t="shared" ca="1" si="14"/>
        <v>3581.0000002010252</v>
      </c>
      <c r="AI10" s="67">
        <f t="shared" ca="1" si="15"/>
        <v>-2.0102515918551944E-7</v>
      </c>
      <c r="AJ10" s="63">
        <v>0.85842762525408822</v>
      </c>
      <c r="AK10" s="64">
        <f t="shared" ca="1" si="16"/>
        <v>3913</v>
      </c>
      <c r="AL10" s="64">
        <f t="shared" ca="1" si="17"/>
        <v>3913.0000234449353</v>
      </c>
      <c r="AM10" s="67">
        <f t="shared" ca="1" si="18"/>
        <v>-2.3444935322913807E-5</v>
      </c>
      <c r="AN10" s="63">
        <v>0.27204729164491237</v>
      </c>
      <c r="AO10" s="64">
        <f t="shared" ca="1" si="19"/>
        <v>2319</v>
      </c>
      <c r="AP10" s="64">
        <f t="shared" ca="1" si="20"/>
        <v>2319.0000104220398</v>
      </c>
      <c r="AQ10" s="67">
        <f t="shared" ca="1" si="21"/>
        <v>-1.0422039849800058E-5</v>
      </c>
    </row>
    <row r="11" spans="2:91">
      <c r="I11" s="78">
        <f t="shared" si="22"/>
        <v>28.179031759683866</v>
      </c>
      <c r="J11" s="58">
        <v>2.0789457128428661</v>
      </c>
      <c r="K11" s="42" t="s">
        <v>115</v>
      </c>
      <c r="L11" s="205">
        <f t="shared" si="23"/>
        <v>7.3776335914324878E-2</v>
      </c>
      <c r="M11" s="75">
        <v>1</v>
      </c>
      <c r="N11" s="42" t="s">
        <v>115</v>
      </c>
      <c r="O11" s="62">
        <f t="shared" ca="1" si="0"/>
        <v>3.061981421838242</v>
      </c>
      <c r="P11" s="63">
        <v>1.4435626881707697</v>
      </c>
      <c r="Q11" s="64">
        <f t="shared" ca="1" si="1"/>
        <v>40</v>
      </c>
      <c r="R11" s="64">
        <f t="shared" ca="1" si="2"/>
        <v>40.000311394406964</v>
      </c>
      <c r="S11" s="67">
        <f t="shared" ca="1" si="3"/>
        <v>-3.1139440696392739E-4</v>
      </c>
      <c r="T11" s="63">
        <v>2.7378826770959304</v>
      </c>
      <c r="U11" s="64">
        <f t="shared" ca="1" si="4"/>
        <v>101</v>
      </c>
      <c r="V11" s="64">
        <f t="shared" ca="1" si="5"/>
        <v>101.00047784172428</v>
      </c>
      <c r="W11" s="67">
        <f t="shared" ca="1" si="6"/>
        <v>-4.7784172427611793E-4</v>
      </c>
      <c r="X11" s="63">
        <v>4.2706239748773784</v>
      </c>
      <c r="Y11" s="64">
        <f t="shared" ca="1" si="7"/>
        <v>506</v>
      </c>
      <c r="Z11" s="64">
        <f t="shared" ca="1" si="8"/>
        <v>505.99933288497834</v>
      </c>
      <c r="AA11" s="67">
        <f t="shared" ca="1" si="9"/>
        <v>6.6711502165617276E-4</v>
      </c>
      <c r="AB11" s="63">
        <v>3.061981421838242</v>
      </c>
      <c r="AC11" s="64">
        <f t="shared" ca="1" si="10"/>
        <v>1815</v>
      </c>
      <c r="AD11" s="64">
        <f t="shared" ca="1" si="11"/>
        <v>1815.0000302835997</v>
      </c>
      <c r="AE11" s="67">
        <f t="shared" ca="1" si="12"/>
        <v>-3.0283599699032493E-5</v>
      </c>
      <c r="AF11" s="63">
        <v>2.9472771828663058</v>
      </c>
      <c r="AG11" s="64">
        <f t="shared" ca="1" si="13"/>
        <v>5758</v>
      </c>
      <c r="AH11" s="64">
        <f t="shared" ca="1" si="14"/>
        <v>5757.9998059190111</v>
      </c>
      <c r="AI11" s="67">
        <f t="shared" ca="1" si="15"/>
        <v>1.9408098887652159E-4</v>
      </c>
      <c r="AJ11" s="63">
        <v>1.3624483146705904</v>
      </c>
      <c r="AK11" s="64">
        <f t="shared" ca="1" si="16"/>
        <v>8849</v>
      </c>
      <c r="AL11" s="64">
        <f t="shared" ca="1" si="17"/>
        <v>8849.0000000481068</v>
      </c>
      <c r="AM11" s="67">
        <f t="shared" ca="1" si="18"/>
        <v>-4.8106812755577266E-8</v>
      </c>
      <c r="AN11" s="63">
        <v>7.3776335914324878E-2</v>
      </c>
      <c r="AO11" s="64">
        <f t="shared" ca="1" si="19"/>
        <v>4932</v>
      </c>
      <c r="AP11" s="64">
        <f t="shared" ca="1" si="20"/>
        <v>4932.0000001155886</v>
      </c>
      <c r="AQ11" s="67">
        <f t="shared" ca="1" si="21"/>
        <v>-1.1558859114302322E-7</v>
      </c>
    </row>
    <row r="12" spans="2:91">
      <c r="I12" s="78">
        <f t="shared" si="22"/>
        <v>6.8867522979001734</v>
      </c>
      <c r="J12" s="58">
        <v>2.0789457128428661</v>
      </c>
      <c r="K12" s="42" t="s">
        <v>116</v>
      </c>
      <c r="L12" s="205">
        <f t="shared" si="23"/>
        <v>0.30187606914172788</v>
      </c>
      <c r="M12" s="75">
        <v>1</v>
      </c>
      <c r="N12" s="42" t="s">
        <v>116</v>
      </c>
      <c r="O12" s="62">
        <f t="shared" ca="1" si="0"/>
        <v>2.2007901862579322</v>
      </c>
      <c r="P12" s="63">
        <v>1.9865205416387972</v>
      </c>
      <c r="Q12" s="64">
        <f t="shared" ca="1" si="1"/>
        <v>76</v>
      </c>
      <c r="R12" s="64">
        <f t="shared" ca="1" si="2"/>
        <v>75.999993402996239</v>
      </c>
      <c r="S12" s="67">
        <f t="shared" ca="1" si="3"/>
        <v>6.5970037610441068E-6</v>
      </c>
      <c r="T12" s="63">
        <v>5.497453992143007</v>
      </c>
      <c r="U12" s="64">
        <f t="shared" ca="1" si="4"/>
        <v>529</v>
      </c>
      <c r="V12" s="64">
        <f t="shared" ca="1" si="5"/>
        <v>529.00001874127133</v>
      </c>
      <c r="W12" s="67">
        <f t="shared" ca="1" si="6"/>
        <v>-1.874127133305592E-5</v>
      </c>
      <c r="X12" s="63">
        <v>2.981240923684366</v>
      </c>
      <c r="Y12" s="64">
        <f t="shared" ca="1" si="7"/>
        <v>1961</v>
      </c>
      <c r="Z12" s="64">
        <f t="shared" ca="1" si="8"/>
        <v>1960.9998132665164</v>
      </c>
      <c r="AA12" s="67">
        <f t="shared" ca="1" si="9"/>
        <v>1.8673348358788644E-4</v>
      </c>
      <c r="AB12" s="63">
        <v>2.2007901862579322</v>
      </c>
      <c r="AC12" s="64">
        <f t="shared" ca="1" si="10"/>
        <v>4529</v>
      </c>
      <c r="AD12" s="64">
        <f t="shared" ca="1" si="11"/>
        <v>4529.0000014817388</v>
      </c>
      <c r="AE12" s="67">
        <f t="shared" ca="1" si="12"/>
        <v>-1.4817387636867352E-6</v>
      </c>
      <c r="AF12" s="63">
        <v>1.7549160185529205</v>
      </c>
      <c r="AG12" s="64">
        <f t="shared" ca="1" si="13"/>
        <v>7926</v>
      </c>
      <c r="AH12" s="64">
        <f t="shared" ca="1" si="14"/>
        <v>7925.9993084111575</v>
      </c>
      <c r="AI12" s="67">
        <f t="shared" ca="1" si="15"/>
        <v>6.9158884252829012E-4</v>
      </c>
      <c r="AJ12" s="63">
        <v>0.3064754691900618</v>
      </c>
      <c r="AK12" s="64">
        <f t="shared" ca="1" si="16"/>
        <v>5613</v>
      </c>
      <c r="AL12" s="64">
        <f t="shared" ca="1" si="17"/>
        <v>5613.0000152167368</v>
      </c>
      <c r="AM12" s="67">
        <f t="shared" ca="1" si="18"/>
        <v>-1.5216736755974125E-5</v>
      </c>
      <c r="AN12" s="63">
        <v>0.30187606914172788</v>
      </c>
      <c r="AO12" s="64">
        <f t="shared" ca="1" si="19"/>
        <v>2955</v>
      </c>
      <c r="AP12" s="64">
        <f t="shared" ca="1" si="20"/>
        <v>2955.0000149836796</v>
      </c>
      <c r="AQ12" s="67">
        <f t="shared" ca="1" si="21"/>
        <v>-1.4983679648139514E-5</v>
      </c>
    </row>
    <row r="13" spans="2:91">
      <c r="I13" s="78">
        <f t="shared" si="22"/>
        <v>2.829680263057289</v>
      </c>
      <c r="J13" s="58">
        <v>2.0789457128428661</v>
      </c>
      <c r="K13" s="42" t="s">
        <v>117</v>
      </c>
      <c r="L13" s="205">
        <f t="shared" si="23"/>
        <v>0.73469279903613482</v>
      </c>
      <c r="M13" s="75">
        <v>1</v>
      </c>
      <c r="N13" s="42" t="s">
        <v>117</v>
      </c>
      <c r="O13" s="62">
        <f t="shared" ca="1" si="0"/>
        <v>3.7107329023164666</v>
      </c>
      <c r="P13" s="63">
        <v>1.3799241468388452</v>
      </c>
      <c r="Q13" s="64">
        <f t="shared" ca="1" si="1"/>
        <v>18</v>
      </c>
      <c r="R13" s="64">
        <f t="shared" ca="1" si="2"/>
        <v>18.00096906071288</v>
      </c>
      <c r="S13" s="67">
        <f t="shared" ca="1" si="3"/>
        <v>-9.6906071287961026E-4</v>
      </c>
      <c r="T13" s="63">
        <v>4.1476075519699354</v>
      </c>
      <c r="U13" s="64">
        <f t="shared" ca="1" si="4"/>
        <v>77</v>
      </c>
      <c r="V13" s="64">
        <f t="shared" ca="1" si="5"/>
        <v>76.999698828229867</v>
      </c>
      <c r="W13" s="67">
        <f t="shared" ca="1" si="6"/>
        <v>3.0117177013266883E-4</v>
      </c>
      <c r="X13" s="63">
        <v>1.9678081772448333</v>
      </c>
      <c r="Y13" s="64">
        <f t="shared" ca="1" si="7"/>
        <v>174</v>
      </c>
      <c r="Z13" s="64">
        <f t="shared" ca="1" si="8"/>
        <v>174.00013485584708</v>
      </c>
      <c r="AA13" s="67">
        <f t="shared" ca="1" si="9"/>
        <v>-1.3485584707950693E-4</v>
      </c>
      <c r="AB13" s="63">
        <v>3.7107329023164666</v>
      </c>
      <c r="AC13" s="64">
        <f t="shared" ca="1" si="10"/>
        <v>675</v>
      </c>
      <c r="AD13" s="64">
        <f t="shared" ca="1" si="11"/>
        <v>675.0000255872543</v>
      </c>
      <c r="AE13" s="67">
        <f t="shared" ca="1" si="12"/>
        <v>-2.5587254299352935E-5</v>
      </c>
      <c r="AF13" s="63">
        <v>2.3513154820600626</v>
      </c>
      <c r="AG13" s="64">
        <f t="shared" ca="1" si="13"/>
        <v>1753</v>
      </c>
      <c r="AH13" s="64">
        <f t="shared" ca="1" si="14"/>
        <v>1752.9994040591876</v>
      </c>
      <c r="AI13" s="67">
        <f t="shared" ca="1" si="15"/>
        <v>5.9594081244540575E-4</v>
      </c>
      <c r="AJ13" s="63">
        <v>1.6202596710853827</v>
      </c>
      <c r="AK13" s="64">
        <f t="shared" ca="1" si="16"/>
        <v>2911</v>
      </c>
      <c r="AL13" s="64">
        <f t="shared" ca="1" si="17"/>
        <v>2911.0000179242525</v>
      </c>
      <c r="AM13" s="67">
        <f t="shared" ca="1" si="18"/>
        <v>-1.7924252460943535E-5</v>
      </c>
      <c r="AN13" s="63">
        <v>0.73469279903613482</v>
      </c>
      <c r="AO13" s="64">
        <f t="shared" ca="1" si="19"/>
        <v>2703</v>
      </c>
      <c r="AP13" s="64">
        <f t="shared" ca="1" si="20"/>
        <v>2703.0001943939646</v>
      </c>
      <c r="AQ13" s="67">
        <f t="shared" ca="1" si="21"/>
        <v>-1.9439396464804304E-4</v>
      </c>
    </row>
    <row r="14" spans="2:91">
      <c r="I14" s="78">
        <f t="shared" si="22"/>
        <v>6.9703186602766269</v>
      </c>
      <c r="J14" s="58">
        <v>1.223503507410612</v>
      </c>
      <c r="K14" s="42" t="s">
        <v>119</v>
      </c>
      <c r="L14" s="205">
        <f t="shared" si="23"/>
        <v>0.17553049825157571</v>
      </c>
      <c r="M14" s="75">
        <v>1</v>
      </c>
      <c r="N14" s="42" t="s">
        <v>119</v>
      </c>
      <c r="O14" s="62">
        <f t="shared" ca="1" si="0"/>
        <v>0.97558293196811685</v>
      </c>
      <c r="P14" s="63">
        <v>2.4331242245373454</v>
      </c>
      <c r="Q14" s="64">
        <f t="shared" ca="1" si="1"/>
        <v>10270</v>
      </c>
      <c r="R14" s="64">
        <f t="shared" ca="1" si="2"/>
        <v>10269.999479182941</v>
      </c>
      <c r="S14" s="67">
        <f t="shared" ca="1" si="3"/>
        <v>5.2081705871387385E-4</v>
      </c>
      <c r="T14" s="63">
        <v>1.8309915393973175</v>
      </c>
      <c r="U14" s="64">
        <f t="shared" ca="1" si="4"/>
        <v>19038</v>
      </c>
      <c r="V14" s="64">
        <f t="shared" ca="1" si="5"/>
        <v>19037.999967952102</v>
      </c>
      <c r="W14" s="67">
        <f t="shared" ca="1" si="6"/>
        <v>3.2047897548181936E-5</v>
      </c>
      <c r="X14" s="63">
        <v>0.81956078079765959</v>
      </c>
      <c r="Y14" s="64">
        <f t="shared" ca="1" si="7"/>
        <v>19141</v>
      </c>
      <c r="Z14" s="64">
        <f t="shared" ca="1" si="8"/>
        <v>19140.999894983994</v>
      </c>
      <c r="AA14" s="67">
        <f t="shared" ca="1" si="9"/>
        <v>1.050160062732175E-4</v>
      </c>
      <c r="AB14" s="63">
        <v>0.97558293196811685</v>
      </c>
      <c r="AC14" s="64">
        <f t="shared" ca="1" si="10"/>
        <v>18130</v>
      </c>
      <c r="AD14" s="64">
        <f t="shared" ca="1" si="11"/>
        <v>18130.00002753019</v>
      </c>
      <c r="AE14" s="67">
        <f t="shared" ca="1" si="12"/>
        <v>-2.7530189981916919E-5</v>
      </c>
      <c r="AF14" s="63">
        <v>0.67342857018631086</v>
      </c>
      <c r="AG14" s="64">
        <f t="shared" ca="1" si="13"/>
        <v>14555</v>
      </c>
      <c r="AH14" s="64">
        <f t="shared" ca="1" si="14"/>
        <v>14554.999968307702</v>
      </c>
      <c r="AI14" s="67">
        <f t="shared" ca="1" si="15"/>
        <v>3.1692297852714546E-5</v>
      </c>
      <c r="AJ14" s="63">
        <v>0.56175899989322098</v>
      </c>
      <c r="AK14" s="64">
        <f t="shared" ca="1" si="16"/>
        <v>10184</v>
      </c>
      <c r="AL14" s="64">
        <f t="shared" ca="1" si="17"/>
        <v>10183.999874221958</v>
      </c>
      <c r="AM14" s="67">
        <f t="shared" ca="1" si="18"/>
        <v>1.2577804227476008E-4</v>
      </c>
      <c r="AN14" s="63">
        <v>0.17553049825157571</v>
      </c>
      <c r="AO14" s="64">
        <f t="shared" ca="1" si="19"/>
        <v>5179</v>
      </c>
      <c r="AP14" s="64">
        <f t="shared" ca="1" si="20"/>
        <v>5179.00000034804</v>
      </c>
      <c r="AQ14" s="67">
        <f t="shared" ca="1" si="21"/>
        <v>-3.4803997550625354E-7</v>
      </c>
    </row>
    <row r="16" spans="2:91">
      <c r="B16" s="43" t="s">
        <v>1498</v>
      </c>
      <c r="C16" s="44"/>
      <c r="D16" s="44"/>
      <c r="E16" s="44"/>
      <c r="F16" s="44"/>
      <c r="G16" s="45">
        <v>1</v>
      </c>
      <c r="H16" s="45">
        <v>0</v>
      </c>
      <c r="I16" s="44"/>
      <c r="J16" s="46">
        <v>0.01</v>
      </c>
      <c r="K16" s="43" t="str">
        <f>K6</f>
        <v>Eastern Cape</v>
      </c>
      <c r="L16" s="44"/>
      <c r="M16" s="44"/>
      <c r="N16" s="44"/>
      <c r="O16" s="44"/>
      <c r="P16" s="47">
        <v>1</v>
      </c>
      <c r="Q16" s="47">
        <v>0</v>
      </c>
      <c r="R16" s="44"/>
      <c r="S16" s="46">
        <v>0.01</v>
      </c>
      <c r="T16" s="43" t="str">
        <f>K7</f>
        <v>Free State</v>
      </c>
      <c r="U16" s="44"/>
      <c r="V16" s="44"/>
      <c r="W16" s="44"/>
      <c r="X16" s="44"/>
      <c r="Y16" s="47">
        <v>1</v>
      </c>
      <c r="Z16" s="47">
        <v>0</v>
      </c>
      <c r="AA16" s="44"/>
      <c r="AB16" s="46">
        <v>0.01</v>
      </c>
      <c r="AC16" s="43" t="str">
        <f>K8</f>
        <v>Gauteng</v>
      </c>
      <c r="AD16" s="44"/>
      <c r="AE16" s="44"/>
      <c r="AF16" s="44"/>
      <c r="AG16" s="44"/>
      <c r="AH16" s="47">
        <v>1</v>
      </c>
      <c r="AI16" s="47">
        <v>0</v>
      </c>
      <c r="AJ16" s="44"/>
      <c r="AK16" s="46">
        <v>0.01</v>
      </c>
      <c r="AL16" s="43" t="str">
        <f>K9</f>
        <v>KwaZulu-Natal</v>
      </c>
      <c r="AM16" s="44"/>
      <c r="AN16" s="44"/>
      <c r="AO16" s="44"/>
      <c r="AP16" s="44"/>
      <c r="AQ16" s="47">
        <v>1</v>
      </c>
      <c r="AR16" s="47">
        <v>0</v>
      </c>
      <c r="AS16" s="44"/>
      <c r="AT16" s="46">
        <v>0.01</v>
      </c>
      <c r="AU16" s="43" t="str">
        <f>K10</f>
        <v>Limpopo</v>
      </c>
      <c r="AV16" s="44"/>
      <c r="AW16" s="44"/>
      <c r="AX16" s="44"/>
      <c r="AY16" s="44"/>
      <c r="AZ16" s="47">
        <v>1</v>
      </c>
      <c r="BA16" s="47">
        <v>0</v>
      </c>
      <c r="BB16" s="44"/>
      <c r="BC16" s="46">
        <v>0.01</v>
      </c>
      <c r="BD16" s="43" t="str">
        <f>K11</f>
        <v>Mpumalanga</v>
      </c>
      <c r="BE16" s="44"/>
      <c r="BF16" s="44"/>
      <c r="BG16" s="44"/>
      <c r="BH16" s="44"/>
      <c r="BI16" s="47">
        <v>1</v>
      </c>
      <c r="BJ16" s="47">
        <v>0</v>
      </c>
      <c r="BK16" s="44"/>
      <c r="BL16" s="46">
        <v>0.01</v>
      </c>
      <c r="BM16" s="43" t="str">
        <f>K12</f>
        <v>North West</v>
      </c>
      <c r="BN16" s="44"/>
      <c r="BO16" s="44"/>
      <c r="BP16" s="44"/>
      <c r="BQ16" s="44"/>
      <c r="BR16" s="47">
        <v>1</v>
      </c>
      <c r="BS16" s="47">
        <v>0</v>
      </c>
      <c r="BT16" s="44"/>
      <c r="BU16" s="46">
        <v>0.01</v>
      </c>
      <c r="BV16" s="43" t="str">
        <f>K13</f>
        <v>Northern Cape</v>
      </c>
      <c r="BW16" s="44"/>
      <c r="BX16" s="44"/>
      <c r="BY16" s="44"/>
      <c r="BZ16" s="44"/>
      <c r="CA16" s="47">
        <v>1</v>
      </c>
      <c r="CB16" s="47">
        <v>0</v>
      </c>
      <c r="CC16" s="44"/>
      <c r="CD16" s="46">
        <v>0.01</v>
      </c>
      <c r="CE16" s="43" t="str">
        <f>K14</f>
        <v>Western Cape</v>
      </c>
      <c r="CF16" s="44"/>
      <c r="CG16" s="44"/>
      <c r="CH16" s="44"/>
      <c r="CI16" s="44"/>
      <c r="CJ16" s="47">
        <v>1</v>
      </c>
      <c r="CK16" s="47">
        <v>0</v>
      </c>
      <c r="CL16" s="44"/>
      <c r="CM16" s="46">
        <v>0.01</v>
      </c>
    </row>
    <row r="17" spans="1:94">
      <c r="A17" s="48" t="s">
        <v>1499</v>
      </c>
      <c r="B17" s="49" t="s">
        <v>1495</v>
      </c>
      <c r="C17" s="50" t="s">
        <v>73</v>
      </c>
      <c r="D17" s="51" t="s">
        <v>1500</v>
      </c>
      <c r="E17" s="51" t="s">
        <v>1501</v>
      </c>
      <c r="F17" s="51" t="s">
        <v>69</v>
      </c>
      <c r="G17" s="51" t="s">
        <v>1496</v>
      </c>
      <c r="H17" s="51" t="s">
        <v>1502</v>
      </c>
      <c r="I17" s="51" t="s">
        <v>66</v>
      </c>
      <c r="J17" s="52" t="s">
        <v>70</v>
      </c>
      <c r="K17" s="49" t="s">
        <v>1495</v>
      </c>
      <c r="L17" s="50" t="s">
        <v>73</v>
      </c>
      <c r="M17" s="51" t="s">
        <v>1500</v>
      </c>
      <c r="N17" s="51" t="s">
        <v>1501</v>
      </c>
      <c r="O17" s="51" t="s">
        <v>69</v>
      </c>
      <c r="P17" s="51" t="s">
        <v>1496</v>
      </c>
      <c r="Q17" s="51" t="s">
        <v>1502</v>
      </c>
      <c r="R17" s="51" t="s">
        <v>66</v>
      </c>
      <c r="S17" s="52" t="s">
        <v>70</v>
      </c>
      <c r="T17" s="49" t="s">
        <v>1495</v>
      </c>
      <c r="U17" s="50" t="s">
        <v>73</v>
      </c>
      <c r="V17" s="51" t="s">
        <v>1500</v>
      </c>
      <c r="W17" s="51" t="s">
        <v>1501</v>
      </c>
      <c r="X17" s="51" t="s">
        <v>69</v>
      </c>
      <c r="Y17" s="51" t="s">
        <v>1496</v>
      </c>
      <c r="Z17" s="51" t="s">
        <v>1502</v>
      </c>
      <c r="AA17" s="51" t="s">
        <v>66</v>
      </c>
      <c r="AB17" s="52" t="s">
        <v>70</v>
      </c>
      <c r="AC17" s="49" t="s">
        <v>1495</v>
      </c>
      <c r="AD17" s="50" t="s">
        <v>73</v>
      </c>
      <c r="AE17" s="51" t="s">
        <v>1500</v>
      </c>
      <c r="AF17" s="51" t="s">
        <v>1501</v>
      </c>
      <c r="AG17" s="51" t="s">
        <v>69</v>
      </c>
      <c r="AH17" s="51" t="s">
        <v>1496</v>
      </c>
      <c r="AI17" s="51" t="s">
        <v>1502</v>
      </c>
      <c r="AJ17" s="51" t="s">
        <v>66</v>
      </c>
      <c r="AK17" s="52" t="s">
        <v>70</v>
      </c>
      <c r="AL17" s="49" t="s">
        <v>1495</v>
      </c>
      <c r="AM17" s="50" t="s">
        <v>73</v>
      </c>
      <c r="AN17" s="51" t="s">
        <v>1500</v>
      </c>
      <c r="AO17" s="51" t="s">
        <v>1501</v>
      </c>
      <c r="AP17" s="51" t="s">
        <v>69</v>
      </c>
      <c r="AQ17" s="51" t="s">
        <v>1496</v>
      </c>
      <c r="AR17" s="51" t="s">
        <v>1502</v>
      </c>
      <c r="AS17" s="51" t="s">
        <v>66</v>
      </c>
      <c r="AT17" s="52" t="s">
        <v>70</v>
      </c>
      <c r="AU17" s="49" t="s">
        <v>1495</v>
      </c>
      <c r="AV17" s="50" t="s">
        <v>73</v>
      </c>
      <c r="AW17" s="51" t="s">
        <v>1500</v>
      </c>
      <c r="AX17" s="51" t="s">
        <v>1501</v>
      </c>
      <c r="AY17" s="51" t="s">
        <v>69</v>
      </c>
      <c r="AZ17" s="51" t="s">
        <v>1496</v>
      </c>
      <c r="BA17" s="51" t="s">
        <v>1502</v>
      </c>
      <c r="BB17" s="51" t="s">
        <v>66</v>
      </c>
      <c r="BC17" s="52" t="s">
        <v>70</v>
      </c>
      <c r="BD17" s="49" t="s">
        <v>1495</v>
      </c>
      <c r="BE17" s="50" t="s">
        <v>73</v>
      </c>
      <c r="BF17" s="51" t="s">
        <v>1500</v>
      </c>
      <c r="BG17" s="51" t="s">
        <v>1501</v>
      </c>
      <c r="BH17" s="51" t="s">
        <v>69</v>
      </c>
      <c r="BI17" s="51" t="s">
        <v>1496</v>
      </c>
      <c r="BJ17" s="51" t="s">
        <v>1502</v>
      </c>
      <c r="BK17" s="51" t="s">
        <v>66</v>
      </c>
      <c r="BL17" s="52" t="s">
        <v>70</v>
      </c>
      <c r="BM17" s="49" t="s">
        <v>1495</v>
      </c>
      <c r="BN17" s="50" t="s">
        <v>73</v>
      </c>
      <c r="BO17" s="51" t="s">
        <v>1500</v>
      </c>
      <c r="BP17" s="51" t="s">
        <v>1501</v>
      </c>
      <c r="BQ17" s="51" t="s">
        <v>69</v>
      </c>
      <c r="BR17" s="51" t="s">
        <v>1496</v>
      </c>
      <c r="BS17" s="51" t="s">
        <v>1502</v>
      </c>
      <c r="BT17" s="51" t="s">
        <v>66</v>
      </c>
      <c r="BU17" s="52" t="s">
        <v>70</v>
      </c>
      <c r="BV17" s="49" t="s">
        <v>1495</v>
      </c>
      <c r="BW17" s="50" t="s">
        <v>73</v>
      </c>
      <c r="BX17" s="51" t="s">
        <v>1500</v>
      </c>
      <c r="BY17" s="51" t="s">
        <v>1501</v>
      </c>
      <c r="BZ17" s="51" t="s">
        <v>69</v>
      </c>
      <c r="CA17" s="51" t="s">
        <v>1496</v>
      </c>
      <c r="CB17" s="51" t="s">
        <v>1502</v>
      </c>
      <c r="CC17" s="51" t="s">
        <v>66</v>
      </c>
      <c r="CD17" s="52" t="s">
        <v>70</v>
      </c>
      <c r="CE17" s="49" t="s">
        <v>1495</v>
      </c>
      <c r="CF17" s="50" t="s">
        <v>73</v>
      </c>
      <c r="CG17" s="51" t="s">
        <v>1500</v>
      </c>
      <c r="CH17" s="51" t="s">
        <v>1501</v>
      </c>
      <c r="CI17" s="51" t="s">
        <v>69</v>
      </c>
      <c r="CJ17" s="51" t="s">
        <v>1496</v>
      </c>
      <c r="CK17" s="51" t="s">
        <v>1502</v>
      </c>
      <c r="CL17" s="51" t="s">
        <v>66</v>
      </c>
      <c r="CM17" s="52" t="s">
        <v>70</v>
      </c>
      <c r="CO17" s="209"/>
      <c r="CP17" s="210"/>
    </row>
    <row r="18" spans="1:94">
      <c r="A18" s="83">
        <v>43918</v>
      </c>
      <c r="B18" s="53">
        <f ca="1">OFFSET('National statistics'!$A$6,MATCH(R0_estimation!$A18,'National statistics'!$A$7:$A$5000,0),MATCH(R0_estimation!B$16 &amp; "_Running14daysNew",'National statistics'!$B$1:$HA$1,0))</f>
        <v>1032</v>
      </c>
      <c r="C18" s="97">
        <v>2.7655524361170039</v>
      </c>
      <c r="D18" s="98">
        <f>C18/2</f>
        <v>1.3827762180585019</v>
      </c>
      <c r="E18" s="77">
        <f ca="1">OFFSET('National statistics'!$A$5,0,MATCH(R0_estimation!B$16,'National statistics'!$B$4:$K$4,0))</f>
        <v>59716237.512944549</v>
      </c>
      <c r="F18" s="77">
        <f ca="1">(G18+H18)/4</f>
        <v>258</v>
      </c>
      <c r="G18" s="77">
        <f ca="1">B18</f>
        <v>1032</v>
      </c>
      <c r="H18" s="77">
        <v>0</v>
      </c>
      <c r="I18" s="77">
        <v>0</v>
      </c>
      <c r="J18" s="54">
        <v>0</v>
      </c>
      <c r="K18" s="53">
        <f ca="1">OFFSET('National statistics'!$A$6,MATCH(R0_estimation!$A18,'National statistics'!$A$7:$A$5000,0),MATCH(R0_estimation!K$16 &amp; "_Running14daysNew",'National statistics'!$B$1:$HA$1,0))</f>
        <v>10</v>
      </c>
      <c r="L18" s="97">
        <v>10.18910725806475</v>
      </c>
      <c r="M18" s="98">
        <f>L18/2</f>
        <v>5.094553629032375</v>
      </c>
      <c r="N18" s="77">
        <f ca="1">OFFSET('National statistics'!$A$5,0,MATCH(R0_estimation!K$16,'National statistics'!$B$4:$K$4,0))</f>
        <v>6870751.6833906518</v>
      </c>
      <c r="O18" s="77">
        <f ca="1">(P18+Q18)/4</f>
        <v>2.5</v>
      </c>
      <c r="P18" s="77">
        <f ca="1">K18</f>
        <v>10</v>
      </c>
      <c r="Q18" s="77">
        <v>0</v>
      </c>
      <c r="R18" s="77">
        <v>0</v>
      </c>
      <c r="S18" s="54">
        <v>0</v>
      </c>
      <c r="T18" s="53">
        <f ca="1">OFFSET('National statistics'!$A$6,MATCH(R0_estimation!$A18,'National statistics'!$A$7:$A$5000,0),MATCH(R0_estimation!T$16 &amp; "_Running14daysNew",'National statistics'!$B$1:$HA$1,0))</f>
        <v>68</v>
      </c>
      <c r="U18" s="97">
        <v>2.357152288276871</v>
      </c>
      <c r="V18" s="98">
        <f>U18/2</f>
        <v>1.1785761441384355</v>
      </c>
      <c r="W18" s="77">
        <f ca="1">OFFSET('National statistics'!$A$5,0,MATCH(R0_estimation!T$16,'National statistics'!$B$4:$K$4,0))</f>
        <v>2808924.129347607</v>
      </c>
      <c r="X18" s="77">
        <f ca="1">(Y18+Z18)/4</f>
        <v>17</v>
      </c>
      <c r="Y18" s="77">
        <f ca="1">T18</f>
        <v>68</v>
      </c>
      <c r="Z18" s="77">
        <v>0</v>
      </c>
      <c r="AA18" s="77">
        <v>0</v>
      </c>
      <c r="AB18" s="54">
        <v>0</v>
      </c>
      <c r="AC18" s="53">
        <f ca="1">OFFSET('National statistics'!$A$6,MATCH(R0_estimation!$A18,'National statistics'!$A$7:$A$5000,0),MATCH(R0_estimation!AC$16 &amp; "_Running14daysNew",'National statistics'!$B$1:$HA$1,0))</f>
        <v>516</v>
      </c>
      <c r="AD18" s="97">
        <v>3.3769142792225311</v>
      </c>
      <c r="AE18" s="98">
        <f>AD18/2</f>
        <v>1.6884571396112655</v>
      </c>
      <c r="AF18" s="77">
        <f ca="1">OFFSET('National statistics'!$A$5,0,MATCH(R0_estimation!AC$16,'National statistics'!$B$4:$K$4,0))</f>
        <v>15638791.17154902</v>
      </c>
      <c r="AG18" s="77">
        <f ca="1">(AH18+AI18)/4</f>
        <v>129</v>
      </c>
      <c r="AH18" s="77">
        <f ca="1">AC18</f>
        <v>516</v>
      </c>
      <c r="AI18" s="77">
        <v>0</v>
      </c>
      <c r="AJ18" s="77">
        <v>0</v>
      </c>
      <c r="AK18" s="54">
        <v>0</v>
      </c>
      <c r="AL18" s="53">
        <f ca="1">OFFSET('National statistics'!$A$6,MATCH(R0_estimation!$A18,'National statistics'!$A$7:$A$5000,0),MATCH(R0_estimation!AL$16 &amp; "_Running14daysNew",'National statistics'!$B$1:$HA$1,0))</f>
        <v>145</v>
      </c>
      <c r="AM18" s="97">
        <v>3.5719773944325048</v>
      </c>
      <c r="AN18" s="98">
        <f>AM18/2</f>
        <v>1.7859886972162524</v>
      </c>
      <c r="AO18" s="77">
        <f ca="1">OFFSET('National statistics'!$A$5,0,MATCH(R0_estimation!AL$16,'National statistics'!$B$4:$K$4,0))</f>
        <v>11000348.15198724</v>
      </c>
      <c r="AP18" s="77">
        <f ca="1">(AQ18+AR18)/4</f>
        <v>36.25</v>
      </c>
      <c r="AQ18" s="77">
        <f ca="1">AL18</f>
        <v>145</v>
      </c>
      <c r="AR18" s="77">
        <v>0</v>
      </c>
      <c r="AS18" s="77">
        <v>0</v>
      </c>
      <c r="AT18" s="54">
        <v>0</v>
      </c>
      <c r="AU18" s="53">
        <f ca="1">OFFSET('National statistics'!$A$6,MATCH(R0_estimation!$A18,'National statistics'!$A$7:$A$5000,0),MATCH(R0_estimation!AU$16 &amp; "_Running14daysNew",'National statistics'!$B$1:$HA$1,0))</f>
        <v>11</v>
      </c>
      <c r="AV18" s="97">
        <v>2.3048983351387071</v>
      </c>
      <c r="AW18" s="98">
        <f>AV18/2</f>
        <v>1.1524491675693536</v>
      </c>
      <c r="AX18" s="77">
        <f ca="1">OFFSET('National statistics'!$A$5,0,MATCH(R0_estimation!AU$16,'National statistics'!$B$4:$K$4,0))</f>
        <v>5853825.0671569509</v>
      </c>
      <c r="AY18" s="77">
        <f ca="1">(AZ18+BA18)/4</f>
        <v>2.75</v>
      </c>
      <c r="AZ18" s="77">
        <f ca="1">AU18</f>
        <v>11</v>
      </c>
      <c r="BA18" s="77">
        <v>0</v>
      </c>
      <c r="BB18" s="77">
        <v>0</v>
      </c>
      <c r="BC18" s="54">
        <v>0</v>
      </c>
      <c r="BD18" s="53">
        <f ca="1">OFFSET('National statistics'!$A$6,MATCH(R0_estimation!$A18,'National statistics'!$A$7:$A$5000,0),MATCH(R0_estimation!BD$16 &amp; "_Running14daysNew",'National statistics'!$B$1:$HA$1,0))</f>
        <v>9</v>
      </c>
      <c r="BE18" s="97">
        <v>3.036794730819568</v>
      </c>
      <c r="BF18" s="98">
        <f>BE18/2</f>
        <v>1.518397365409784</v>
      </c>
      <c r="BG18" s="77">
        <f ca="1">OFFSET('National statistics'!$A$5,0,MATCH(R0_estimation!BD$16,'National statistics'!$B$4:$K$4,0))</f>
        <v>4809186.3864003606</v>
      </c>
      <c r="BH18" s="77">
        <f ca="1">(BI18+BJ18)/4</f>
        <v>2.25</v>
      </c>
      <c r="BI18" s="77">
        <f ca="1">BD18</f>
        <v>9</v>
      </c>
      <c r="BJ18" s="77">
        <v>0</v>
      </c>
      <c r="BK18" s="77">
        <v>0</v>
      </c>
      <c r="BL18" s="54">
        <v>0</v>
      </c>
      <c r="BM18" s="53">
        <f ca="1">OFFSET('National statistics'!$A$6,MATCH(R0_estimation!$A18,'National statistics'!$A$7:$A$5000,0),MATCH(R0_estimation!BM$16 &amp; "_Running14daysNew",'National statistics'!$B$1:$HA$1,0))</f>
        <v>6</v>
      </c>
      <c r="BN18" s="97">
        <v>1.2</v>
      </c>
      <c r="BO18" s="98">
        <f>BN18/2</f>
        <v>0.6</v>
      </c>
      <c r="BP18" s="77">
        <f ca="1">OFFSET('National statistics'!$A$5,0,MATCH(R0_estimation!BM$16,'National statistics'!$B$4:$K$4,0))</f>
        <v>4107627.66976004</v>
      </c>
      <c r="BQ18" s="77">
        <f ca="1">(BR18+BS18)/4</f>
        <v>1.5</v>
      </c>
      <c r="BR18" s="77">
        <f ca="1">BM18</f>
        <v>6</v>
      </c>
      <c r="BS18" s="77">
        <v>0</v>
      </c>
      <c r="BT18" s="77">
        <v>0</v>
      </c>
      <c r="BU18" s="54">
        <v>0</v>
      </c>
      <c r="BV18" s="53">
        <f ca="1">OFFSET('National statistics'!$A$6,MATCH(R0_estimation!$A18,'National statistics'!$A$7:$A$5000,0),MATCH(R0_estimation!BV$16 &amp; "_Running14daysNew",'National statistics'!$B$1:$HA$1,0))</f>
        <v>5</v>
      </c>
      <c r="BW18" s="97">
        <v>2.6750392929474032</v>
      </c>
      <c r="BX18" s="98">
        <f>BW18/2</f>
        <v>1.3375196464737016</v>
      </c>
      <c r="BY18" s="77">
        <f ca="1">OFFSET('National statistics'!$A$5,0,MATCH(R0_estimation!BV$16,'National statistics'!$B$4:$K$4,0))</f>
        <v>1322227.8490723779</v>
      </c>
      <c r="BZ18" s="77">
        <f ca="1">(CA18+CB18)/4</f>
        <v>1.25</v>
      </c>
      <c r="CA18" s="77">
        <f ca="1">BV18</f>
        <v>5</v>
      </c>
      <c r="CB18" s="77">
        <v>0</v>
      </c>
      <c r="CC18" s="77">
        <v>0</v>
      </c>
      <c r="CD18" s="54">
        <v>0</v>
      </c>
      <c r="CE18" s="53">
        <f ca="1">OFFSET('National statistics'!$A$6,MATCH(R0_estimation!$A18,'National statistics'!$A$7:$A$5000,0),MATCH(R0_estimation!CE$16 &amp; "_Running14daysNew",'National statistics'!$B$1:$HA$1,0))</f>
        <v>262</v>
      </c>
      <c r="CF18" s="97">
        <v>2.5622567607656248</v>
      </c>
      <c r="CG18" s="98">
        <v>1.3</v>
      </c>
      <c r="CH18" s="77">
        <f ca="1">OFFSET('National statistics'!$A$5,0,MATCH(R0_estimation!CE$16,'National statistics'!$B$4:$K$4,0))</f>
        <v>7304555.4042803012</v>
      </c>
      <c r="CI18" s="77">
        <f ca="1">(CJ18+CK18)/4</f>
        <v>65.5</v>
      </c>
      <c r="CJ18" s="77">
        <f ca="1">CE18</f>
        <v>262</v>
      </c>
      <c r="CK18" s="77">
        <v>0</v>
      </c>
      <c r="CL18" s="77">
        <v>0</v>
      </c>
      <c r="CM18" s="54">
        <v>0</v>
      </c>
      <c r="CO18" s="209"/>
      <c r="CP18" s="210"/>
    </row>
    <row r="19" spans="1:94">
      <c r="A19" s="83">
        <v>43919</v>
      </c>
      <c r="B19" s="53">
        <f ca="1">OFFSET('National statistics'!$A$6,MATCH(R0_estimation!$A19,'National statistics'!$A$7:$A$5000,0),MATCH(R0_estimation!B$16 &amp; "_Running14daysNew",'National statistics'!$B$1:$HA$1,0))</f>
        <v>1129</v>
      </c>
      <c r="C19" s="97">
        <f t="shared" ref="C19:C50" ca="1" si="24">IF(ISERROR(OFFSET($O$4,MATCH(B$16,$N$5:$N$14,0),MATCH(TEXT($A19,"dd-mmm-yy") &amp; "_R0",$P$2:$AP$2,0))),C18,OFFSET($O$4,MATCH(B$16,$N$5:$N$14,0),MATCH(TEXT($A19,"dd-mmm-yy") &amp; "_R0",$P$2:$AP$2,0)))</f>
        <v>2.7655524361170039</v>
      </c>
      <c r="D19" s="98">
        <f t="shared" ref="D19:D37" si="25">D18</f>
        <v>1.3827762180585019</v>
      </c>
      <c r="E19" s="77">
        <f t="shared" ref="E19:E50" ca="1" si="26">E18-E18*(C18/14)*G18*G$16/SUM(E18:I18)-E18*(D18/14)*H$16*H18/SUM(E18:I18)</f>
        <v>59716033.656625852</v>
      </c>
      <c r="F19" s="77">
        <f t="shared" ref="F19:F50" ca="1" si="27">F18+E18*(C18/14)*G18*G$16/SUM(E18:I18)+E18*(D18/14)*H$16*H18/SUM(E18:I18)-F18/4</f>
        <v>397.35631869598933</v>
      </c>
      <c r="G19" s="77">
        <f t="shared" ref="G19:G50" ca="1" si="28">G18+G$16*F18/4-G18/14</f>
        <v>1022.7857142857143</v>
      </c>
      <c r="H19" s="77">
        <f t="shared" ref="H19:H50" ca="1" si="29">H18+H$16*F18/4-H18/14</f>
        <v>0</v>
      </c>
      <c r="I19" s="77">
        <f t="shared" ref="I19:I50" ca="1" si="30">I18+H18/14+(G18/14)*(1-J$16)</f>
        <v>72.977142857142852</v>
      </c>
      <c r="J19" s="54">
        <f t="shared" ref="J19:J50" ca="1" si="31">J18+(G18/14)*(J$16)</f>
        <v>0.7371428571428571</v>
      </c>
      <c r="K19" s="53">
        <f ca="1">OFFSET('National statistics'!$A$6,MATCH(R0_estimation!$A19,'National statistics'!$A$7:$A$5000,0),MATCH(R0_estimation!K$16 &amp; "_Running14daysNew",'National statistics'!$B$1:$HA$1,0))</f>
        <v>12</v>
      </c>
      <c r="L19" s="97">
        <f t="shared" ref="L19:L50" ca="1" si="32">IF(ISERROR(OFFSET($O$4,MATCH(K$16,$N$5:$N$14,0),MATCH(TEXT($A19,"dd-mmm-yy") &amp; "_R0",$P$2:$AP$2,0))),L18,OFFSET($O$4,MATCH(K$16,$N$5:$N$14,0),MATCH(TEXT($A19,"dd-mmm-yy") &amp; "_R0",$P$2:$AP$2,0)))</f>
        <v>10.18910725806475</v>
      </c>
      <c r="M19" s="98">
        <f t="shared" ref="M19:M37" si="33">M18</f>
        <v>5.094553629032375</v>
      </c>
      <c r="N19" s="77">
        <f t="shared" ref="N19:N50" ca="1" si="34">N18-N18*(L18/14)*P18/SUM(N18:R18)-N18*(M18/14)*Q18/SUM(N18:R18)</f>
        <v>6870744.4054701366</v>
      </c>
      <c r="O19" s="77">
        <f t="shared" ref="O19:O50" ca="1" si="35">O18+N18*(L18/14)*P18/SUM(N18:R18)+N18*(M18/14)*Q18/SUM(N18:R18)-O18/4</f>
        <v>9.1529205149958237</v>
      </c>
      <c r="P19" s="77">
        <f t="shared" ref="P19:P50" ca="1" si="36">P18+(O18/4)*P$16-P18/14</f>
        <v>9.9107142857142865</v>
      </c>
      <c r="Q19" s="77">
        <f t="shared" ref="Q19:Q50" ca="1" si="37">Q18+(O18/4)*Q$16-Q18/14</f>
        <v>0</v>
      </c>
      <c r="R19" s="77">
        <f t="shared" ref="R19:R50" ca="1" si="38">R18+Q18/14+(P18/14)*(1-S$16)</f>
        <v>0.70714285714285718</v>
      </c>
      <c r="S19" s="54">
        <f t="shared" ref="S19:S50" ca="1" si="39">S18+(P18/14)*(S$16)</f>
        <v>7.1428571428571435E-3</v>
      </c>
      <c r="T19" s="53">
        <f ca="1">OFFSET('National statistics'!$A$6,MATCH(R0_estimation!$A19,'National statistics'!$A$7:$A$5000,0),MATCH(R0_estimation!T$16 &amp; "_Running14daysNew",'National statistics'!$B$1:$HA$1,0))</f>
        <v>72</v>
      </c>
      <c r="U19" s="97">
        <f t="shared" ref="U19:U50" ca="1" si="40">IF(ISERROR(OFFSET($O$4,MATCH(T$16,$N$5:$N$14,0),MATCH(TEXT($A19,"dd-mmm-yy") &amp; "_R0",$P$2:$AP$2,0))),U18,OFFSET($O$4,MATCH(T$16,$N$5:$N$14,0),MATCH(TEXT($A19,"dd-mmm-yy") &amp; "_R0",$P$2:$AP$2,0)))</f>
        <v>2.357152288276871</v>
      </c>
      <c r="V19" s="98">
        <f t="shared" ref="V19:V37" si="41">V18</f>
        <v>1.1785761441384355</v>
      </c>
      <c r="W19" s="77">
        <f t="shared" ref="W19:W50" ca="1" si="42">W18-W18*(U18/14)*Y18/SUM(W18:AA18)-W18*(V18/14)*Z18/SUM(W18:AA18)</f>
        <v>2808912.6806686516</v>
      </c>
      <c r="X19" s="77">
        <f t="shared" ref="X19:X50" ca="1" si="43">X18+W18*(U18/14)*Y18/SUM(W18:AA18)+W18*(V18/14)*Z18/SUM(W18:AA18)-X18/4</f>
        <v>24.198678955205075</v>
      </c>
      <c r="Y19" s="77">
        <f t="shared" ref="Y19:Y50" ca="1" si="44">Y18+(X18/4)*Y$16-Y18/14</f>
        <v>67.392857142857139</v>
      </c>
      <c r="Z19" s="77">
        <f t="shared" ref="Z19:Z50" ca="1" si="45">Z18+(X18/4)*Z$16-Z18/14</f>
        <v>0</v>
      </c>
      <c r="AA19" s="77">
        <f t="shared" ref="AA19:AA50" ca="1" si="46">AA18+Z18/14+(Y18/14)*(1-AB$16)</f>
        <v>4.8085714285714278</v>
      </c>
      <c r="AB19" s="54">
        <f t="shared" ref="AB19:AB50" ca="1" si="47">AB18+(Y18/14)*(AB$16)</f>
        <v>4.8571428571428571E-2</v>
      </c>
      <c r="AC19" s="53">
        <f ca="1">OFFSET('National statistics'!$A$6,MATCH(R0_estimation!$A19,'National statistics'!$A$7:$A$5000,0),MATCH(R0_estimation!AC$16 &amp; "_Running14daysNew",'National statistics'!$B$1:$HA$1,0))</f>
        <v>560</v>
      </c>
      <c r="AD19" s="97">
        <f t="shared" ref="AD19:AD50" ca="1" si="48">IF(ISERROR(OFFSET($O$4,MATCH(AC$16,$N$5:$N$14,0),MATCH(TEXT($A19,"dd-mmm-yy") &amp; "_R0",$P$2:$AP$2,0))),AD18,OFFSET($O$4,MATCH(AC$16,$N$5:$N$14,0),MATCH(TEXT($A19,"dd-mmm-yy") &amp; "_R0",$P$2:$AP$2,0)))</f>
        <v>3.3769142792225311</v>
      </c>
      <c r="AE19" s="98">
        <f t="shared" ref="AE19:AE37" si="49">AE18</f>
        <v>1.6884571396112655</v>
      </c>
      <c r="AF19" s="77">
        <f t="shared" ref="AF19:AF50" ca="1" si="50">AF18-AF18*(AD18/14)*AH18/SUM(AF18:AJ18)-AF18*(AE18/14)*AI18/SUM(AF18:AJ18)</f>
        <v>15638666.713270122</v>
      </c>
      <c r="AG19" s="77">
        <f t="shared" ref="AG19:AG50" ca="1" si="51">AG18+AF18*(AD18/14)*AH18/SUM(AF18:AJ18)+AF18*(AE18/14)*AI18/SUM(AF18:AJ18)-AG18/4</f>
        <v>221.20827889853737</v>
      </c>
      <c r="AH19" s="77">
        <f t="shared" ref="AH19:AH50" ca="1" si="52">AH18+(AG18/4)*AH$16-AH18/14</f>
        <v>511.39285714285717</v>
      </c>
      <c r="AI19" s="77">
        <f t="shared" ref="AI19:AI50" ca="1" si="53">AI18+(AG18/4)*AI$16-AI18/14</f>
        <v>0</v>
      </c>
      <c r="AJ19" s="77">
        <f t="shared" ref="AJ19:AJ50" ca="1" si="54">AJ18+AI18/14+(AH18/14)*(1-AK$16)</f>
        <v>36.488571428571426</v>
      </c>
      <c r="AK19" s="54">
        <f t="shared" ref="AK19:AK50" ca="1" si="55">AK18+(AH18/14)*(AK$16)</f>
        <v>0.36857142857142855</v>
      </c>
      <c r="AL19" s="53">
        <f ca="1">OFFSET('National statistics'!$A$6,MATCH(R0_estimation!$A19,'National statistics'!$A$7:$A$5000,0),MATCH(R0_estimation!AL$16 &amp; "_Running14daysNew",'National statistics'!$B$1:$HA$1,0))</f>
        <v>155</v>
      </c>
      <c r="AM19" s="97">
        <f t="shared" ref="AM19:AM50" ca="1" si="56">IF(ISERROR(OFFSET($O$4,MATCH(AL$16,$N$5:$N$14,0),MATCH(TEXT($A19,"dd-mmm-yy") &amp; "_R0",$P$2:$AP$2,0))),AM18,OFFSET($O$4,MATCH(AL$16,$N$5:$N$14,0),MATCH(TEXT($A19,"dd-mmm-yy") &amp; "_R0",$P$2:$AP$2,0)))</f>
        <v>3.5719773944325048</v>
      </c>
      <c r="AN19" s="98">
        <f t="shared" ref="AN19:AN37" si="57">AN18</f>
        <v>1.7859886972162524</v>
      </c>
      <c r="AO19" s="77">
        <f t="shared" ref="AO19:AO50" ca="1" si="58">AO18-AO18*(AM18/14)*AQ18/SUM(AO18:AS18)-AO18*(AN18/14)*AR18/SUM(AO18:AS18)</f>
        <v>11000311.157116638</v>
      </c>
      <c r="AP19" s="77">
        <f t="shared" ref="AP19:AP50" ca="1" si="59">AP18+AO18*(AM18/14)*AQ18/SUM(AO18:AS18)+AO18*(AN18/14)*AR18/SUM(AO18:AS18)-AP18/4</f>
        <v>64.182370601342498</v>
      </c>
      <c r="AQ19" s="77">
        <f t="shared" ref="AQ19:AQ50" ca="1" si="60">AQ18+(AP18/4)*AQ$16-AQ18/14</f>
        <v>143.70535714285714</v>
      </c>
      <c r="AR19" s="77">
        <f t="shared" ref="AR19:AR50" ca="1" si="61">AR18+(AP18/4)*AR$16-AR18/14</f>
        <v>0</v>
      </c>
      <c r="AS19" s="77">
        <f t="shared" ref="AS19:AS50" ca="1" si="62">AS18+AR18/14+(AQ18/14)*(1-AT$16)</f>
        <v>10.253571428571428</v>
      </c>
      <c r="AT19" s="54">
        <f t="shared" ref="AT19:AT50" ca="1" si="63">AT18+(AQ18/14)*(AT$16)</f>
        <v>0.10357142857142858</v>
      </c>
      <c r="AU19" s="53">
        <f ca="1">OFFSET('National statistics'!$A$6,MATCH(R0_estimation!$A19,'National statistics'!$A$7:$A$5000,0),MATCH(R0_estimation!AU$16 &amp; "_Running14daysNew",'National statistics'!$B$1:$HA$1,0))</f>
        <v>12</v>
      </c>
      <c r="AV19" s="97">
        <f t="shared" ref="AV19:AV50" ca="1" si="64">IF(ISERROR(OFFSET($O$4,MATCH(AU$16,$N$5:$N$14,0),MATCH(TEXT($A19,"dd-mmm-yy") &amp; "_R0",$P$2:$AP$2,0))),AV18,OFFSET($O$4,MATCH(AU$16,$N$5:$N$14,0),MATCH(TEXT($A19,"dd-mmm-yy") &amp; "_R0",$P$2:$AP$2,0)))</f>
        <v>2.3048983351387071</v>
      </c>
      <c r="AW19" s="98">
        <f t="shared" ref="AW19:AW37" si="65">AW18</f>
        <v>1.1524491675693536</v>
      </c>
      <c r="AX19" s="77">
        <f t="shared" ref="AX19:AX50" ca="1" si="66">AX18-AX18*(AV18/14)*AZ18/SUM(AX18:BB18)-AX18*(AW18/14)*BA18/SUM(AX18:BB18)</f>
        <v>5853823.2561696554</v>
      </c>
      <c r="AY19" s="77">
        <f t="shared" ref="AY19:AY50" ca="1" si="67">AY18+AX18*(AV18/14)*AZ18/SUM(AX18:BB18)+AX18*(AW18/14)*BA18/SUM(AX18:BB18)-AY18/4</f>
        <v>3.8734872952248729</v>
      </c>
      <c r="AZ19" s="77">
        <f t="shared" ref="AZ19:AZ50" ca="1" si="68">AZ18+(AY18/4)*AZ$16-AZ18/14</f>
        <v>10.901785714285714</v>
      </c>
      <c r="BA19" s="77">
        <f t="shared" ref="BA19:BA50" ca="1" si="69">BA18+(AY18/4)*BA$16-BA18/14</f>
        <v>0</v>
      </c>
      <c r="BB19" s="77">
        <f t="shared" ref="BB19:BB50" ca="1" si="70">BB18+BA18/14+(AZ18/14)*(1-BC$16)</f>
        <v>0.7778571428571428</v>
      </c>
      <c r="BC19" s="54">
        <f t="shared" ref="BC19:BC50" ca="1" si="71">BC18+(AZ18/14)*(BC$16)</f>
        <v>7.8571428571428577E-3</v>
      </c>
      <c r="BD19" s="53">
        <f ca="1">OFFSET('National statistics'!$A$6,MATCH(R0_estimation!$A19,'National statistics'!$A$7:$A$5000,0),MATCH(R0_estimation!BD$16 &amp; "_Running14daysNew",'National statistics'!$B$1:$HA$1,0))</f>
        <v>10</v>
      </c>
      <c r="BE19" s="97">
        <f t="shared" ref="BE19:BE50" ca="1" si="72">IF(ISERROR(OFFSET($O$4,MATCH(BD$16,$N$5:$N$14,0),MATCH(TEXT($A19,"dd-mmm-yy") &amp; "_R0",$P$2:$AP$2,0))),BE18,OFFSET($O$4,MATCH(BD$16,$N$5:$N$14,0),MATCH(TEXT($A19,"dd-mmm-yy") &amp; "_R0",$P$2:$AP$2,0)))</f>
        <v>3.036794730819568</v>
      </c>
      <c r="BF19" s="98">
        <f t="shared" ref="BF19:BF37" si="73">BF18</f>
        <v>1.518397365409784</v>
      </c>
      <c r="BG19" s="77">
        <f t="shared" ref="BG19:BG50" ca="1" si="74">BG18-BG18*(BE18/14)*BI18/SUM(BG18:BK18)-BG18*(BF18/14)*BJ18/SUM(BG18:BK18)</f>
        <v>4809184.4341797438</v>
      </c>
      <c r="BH19" s="77">
        <f t="shared" ref="BH19:BH50" ca="1" si="75">BH18+BG18*(BE18/14)*BI18/SUM(BG18:BK18)+BG18*(BF18/14)*BJ18/SUM(BG18:BK18)-BH18/4</f>
        <v>3.6397206173212595</v>
      </c>
      <c r="BI19" s="77">
        <f t="shared" ref="BI19:BI50" ca="1" si="76">BI18+(BH18/4)*BI$16-BI18/14</f>
        <v>8.9196428571428577</v>
      </c>
      <c r="BJ19" s="77">
        <f t="shared" ref="BJ19:BJ50" ca="1" si="77">BJ18+(BH18/4)*BJ$16-BJ18/14</f>
        <v>0</v>
      </c>
      <c r="BK19" s="77">
        <f t="shared" ref="BK19:BK50" ca="1" si="78">BK18+BJ18/14+(BI18/14)*(1-BL$16)</f>
        <v>0.63642857142857145</v>
      </c>
      <c r="BL19" s="54">
        <f t="shared" ref="BL19:BL50" ca="1" si="79">BL18+(BI18/14)*(BL$16)</f>
        <v>6.4285714285714293E-3</v>
      </c>
      <c r="BM19" s="53">
        <f ca="1">OFFSET('National statistics'!$A$6,MATCH(R0_estimation!$A19,'National statistics'!$A$7:$A$5000,0),MATCH(R0_estimation!BM$16 &amp; "_Running14daysNew",'National statistics'!$B$1:$HA$1,0))</f>
        <v>6</v>
      </c>
      <c r="BN19" s="97">
        <f t="shared" ref="BN19:BN50" ca="1" si="80">IF(ISERROR(OFFSET($O$4,MATCH(BM$16,$N$5:$N$14,0),MATCH(TEXT($A19,"dd-mmm-yy") &amp; "_R0",$P$2:$AP$2,0))),BN18,OFFSET($O$4,MATCH(BM$16,$N$5:$N$14,0),MATCH(TEXT($A19,"dd-mmm-yy") &amp; "_R0",$P$2:$AP$2,0)))</f>
        <v>1.2</v>
      </c>
      <c r="BO19" s="98">
        <f t="shared" ref="BO19:BO37" si="81">BO18</f>
        <v>0.6</v>
      </c>
      <c r="BP19" s="77">
        <f t="shared" ref="BP19:BP50" ca="1" si="82">BP18-BP18*(BN18/14)*BR18/SUM(BP18:BT18)-BP18*(BO18/14)*BS18/SUM(BP18:BT18)</f>
        <v>4107627.1554752649</v>
      </c>
      <c r="BQ19" s="77">
        <f t="shared" ref="BQ19:BQ50" ca="1" si="83">BQ18+BP18*(BN18/14)*BR18/SUM(BP18:BT18)+BP18*(BO18/14)*BS18/SUM(BP18:BT18)-BQ18/4</f>
        <v>1.639284775267837</v>
      </c>
      <c r="BR19" s="77">
        <f t="shared" ref="BR19:BR50" ca="1" si="84">BR18+(BQ18/4)*BR$16-BR18/14</f>
        <v>5.9464285714285712</v>
      </c>
      <c r="BS19" s="77">
        <f t="shared" ref="BS19:BS50" ca="1" si="85">BS18+(BQ18/4)*BS$16-BS18/14</f>
        <v>0</v>
      </c>
      <c r="BT19" s="77">
        <f t="shared" ref="BT19:BT50" ca="1" si="86">BT18+BS18/14+(BR18/14)*(1-BU$16)</f>
        <v>0.42428571428571427</v>
      </c>
      <c r="BU19" s="54">
        <f t="shared" ref="BU19:BU50" ca="1" si="87">BU18+(BR18/14)*(BU$16)</f>
        <v>4.2857142857142859E-3</v>
      </c>
      <c r="BV19" s="53">
        <f ca="1">OFFSET('National statistics'!$A$6,MATCH(R0_estimation!$A19,'National statistics'!$A$7:$A$5000,0),MATCH(R0_estimation!BV$16 &amp; "_Running14daysNew",'National statistics'!$B$1:$HA$1,0))</f>
        <v>6</v>
      </c>
      <c r="BW19" s="97">
        <f t="shared" ref="BW19:BW50" ca="1" si="88">IF(ISERROR(OFFSET($O$4,MATCH(BV$16,$N$5:$N$14,0),MATCH(TEXT($A19,"dd-mmm-yy") &amp; "_R0",$P$2:$AP$2,0))),BW18,OFFSET($O$4,MATCH(BV$16,$N$5:$N$14,0),MATCH(TEXT($A19,"dd-mmm-yy") &amp; "_R0",$P$2:$AP$2,0)))</f>
        <v>2.6750392929474032</v>
      </c>
      <c r="BX19" s="98">
        <f t="shared" ref="BX19:BX37" si="89">BX18</f>
        <v>1.3375196464737016</v>
      </c>
      <c r="BY19" s="77">
        <f t="shared" ref="BY19:BY50" ca="1" si="90">BY18-BY18*(BW18/14)*CA18/SUM(BY18:CC18)-BY18*(BX18/14)*CB18/SUM(BY18:CC18)</f>
        <v>1322226.8937057178</v>
      </c>
      <c r="BZ19" s="77">
        <f t="shared" ref="BZ19:BZ50" ca="1" si="91">BZ18+BY18*(BW18/14)*CA18/SUM(BY18:CC18)+BY18*(BX18/14)*CB18/SUM(BY18:CC18)-BZ18/4</f>
        <v>1.8928666601580271</v>
      </c>
      <c r="CA19" s="77">
        <f t="shared" ref="CA19:CA50" ca="1" si="92">CA18+(BZ18/4)*CA$16-CA18/14</f>
        <v>4.9553571428571432</v>
      </c>
      <c r="CB19" s="77">
        <f t="shared" ref="CB19:CB50" ca="1" si="93">CB18+(BZ18/4)*CB$16-CB18/14</f>
        <v>0</v>
      </c>
      <c r="CC19" s="77">
        <f t="shared" ref="CC19:CC50" ca="1" si="94">CC18+CB18/14+(CA18/14)*(1-CD$16)</f>
        <v>0.35357142857142859</v>
      </c>
      <c r="CD19" s="54">
        <f t="shared" ref="CD19:CD50" ca="1" si="95">CD18+(CA18/14)*(CD$16)</f>
        <v>3.5714285714285718E-3</v>
      </c>
      <c r="CE19" s="53">
        <f ca="1">OFFSET('National statistics'!$A$6,MATCH(R0_estimation!$A19,'National statistics'!$A$7:$A$5000,0),MATCH(R0_estimation!CE$16 &amp; "_Running14daysNew",'National statistics'!$B$1:$HA$1,0))</f>
        <v>296</v>
      </c>
      <c r="CF19" s="97">
        <f t="shared" ref="CF19:CF50" ca="1" si="96">IF(ISERROR(OFFSET($O$4,MATCH(CE$16,$N$5:$N$14,0),MATCH(TEXT($A19,"dd-mmm-yy") &amp; "_R0",$P$2:$AP$2,0))),CF18,OFFSET($O$4,MATCH(CE$16,$N$5:$N$14,0),MATCH(TEXT($A19,"dd-mmm-yy") &amp; "_R0",$P$2:$AP$2,0)))</f>
        <v>2.5622567607656248</v>
      </c>
      <c r="CG19" s="98">
        <f t="shared" ref="CG19:CG37" si="97">CG18</f>
        <v>1.3</v>
      </c>
      <c r="CH19" s="77">
        <f t="shared" ref="CH19:CH50" ca="1" si="98">CH18-CH18*(CF18/14)*CJ18/SUM(CH18:CL18)-CH18*(CG18/14)*CK18/SUM(CH18:CL18)</f>
        <v>7304507.4556249864</v>
      </c>
      <c r="CI19" s="77">
        <f t="shared" ref="CI19:CI50" ca="1" si="99">CI18+CH18*(CF18/14)*CJ18/SUM(CH18:CL18)+CH18*(CG18/14)*CK18/SUM(CH18:CL18)-CI18/4</f>
        <v>97.073655314670575</v>
      </c>
      <c r="CJ19" s="77">
        <f t="shared" ref="CJ19:CJ50" ca="1" si="100">CJ18+(CI18/4)*CJ$16-CJ18/14</f>
        <v>259.66071428571428</v>
      </c>
      <c r="CK19" s="77">
        <f t="shared" ref="CK19:CK50" ca="1" si="101">CK18+(CI18/4)*CK$16-CK18/14</f>
        <v>0</v>
      </c>
      <c r="CL19" s="77">
        <f t="shared" ref="CL19:CL50" ca="1" si="102">CL18+CK18/14+(CJ18/14)*(1-CM$16)</f>
        <v>18.527142857142859</v>
      </c>
      <c r="CM19" s="54">
        <f t="shared" ref="CM19:CM50" ca="1" si="103">CM18+(CJ18/14)*(CM$16)</f>
        <v>0.18714285714285717</v>
      </c>
      <c r="CO19" s="209"/>
      <c r="CP19" s="210"/>
    </row>
    <row r="20" spans="1:94">
      <c r="A20" s="83">
        <v>43920</v>
      </c>
      <c r="B20" s="53">
        <f ca="1">OFFSET('National statistics'!$A$6,MATCH(R0_estimation!$A20,'National statistics'!$A$7:$A$5000,0),MATCH(R0_estimation!B$16 &amp; "_Running14daysNew",'National statistics'!$B$1:$HA$1,0))</f>
        <v>1168</v>
      </c>
      <c r="C20" s="97">
        <f t="shared" ca="1" si="24"/>
        <v>2.7655524361170039</v>
      </c>
      <c r="D20" s="98">
        <f t="shared" si="25"/>
        <v>1.3827762180585019</v>
      </c>
      <c r="E20" s="77">
        <f t="shared" ca="1" si="26"/>
        <v>59715831.621140063</v>
      </c>
      <c r="F20" s="77">
        <f t="shared" ca="1" si="27"/>
        <v>500.05272480820059</v>
      </c>
      <c r="G20" s="77">
        <f t="shared" ca="1" si="28"/>
        <v>1049.0686715107322</v>
      </c>
      <c r="H20" s="77">
        <f t="shared" ca="1" si="29"/>
        <v>0</v>
      </c>
      <c r="I20" s="77">
        <f t="shared" ca="1" si="30"/>
        <v>145.30270408163267</v>
      </c>
      <c r="J20" s="54">
        <f t="shared" ca="1" si="31"/>
        <v>1.467704081632653</v>
      </c>
      <c r="K20" s="53">
        <f ca="1">OFFSET('National statistics'!$A$6,MATCH(R0_estimation!$A20,'National statistics'!$A$7:$A$5000,0),MATCH(R0_estimation!K$16 &amp; "_Running14daysNew",'National statistics'!$B$1:$HA$1,0))</f>
        <v>12</v>
      </c>
      <c r="L20" s="97">
        <f t="shared" ca="1" si="32"/>
        <v>10.18910725806475</v>
      </c>
      <c r="M20" s="98">
        <f t="shared" si="33"/>
        <v>5.094553629032375</v>
      </c>
      <c r="N20" s="77">
        <f t="shared" ca="1" si="34"/>
        <v>6870737.192538688</v>
      </c>
      <c r="O20" s="77">
        <f t="shared" ca="1" si="35"/>
        <v>14.077621835185319</v>
      </c>
      <c r="P20" s="77">
        <f t="shared" ca="1" si="36"/>
        <v>11.491036251197935</v>
      </c>
      <c r="Q20" s="77">
        <f t="shared" ca="1" si="37"/>
        <v>0</v>
      </c>
      <c r="R20" s="77">
        <f t="shared" ca="1" si="38"/>
        <v>1.4079719387755103</v>
      </c>
      <c r="S20" s="54">
        <f t="shared" ca="1" si="39"/>
        <v>1.4221938775510205E-2</v>
      </c>
      <c r="T20" s="53">
        <f ca="1">OFFSET('National statistics'!$A$6,MATCH(R0_estimation!$A20,'National statistics'!$A$7:$A$5000,0),MATCH(R0_estimation!T$16 &amp; "_Running14daysNew",'National statistics'!$B$1:$HA$1,0))</f>
        <v>72</v>
      </c>
      <c r="U20" s="97">
        <f t="shared" ca="1" si="40"/>
        <v>2.357152288276871</v>
      </c>
      <c r="V20" s="98">
        <f t="shared" si="41"/>
        <v>1.1785761441384355</v>
      </c>
      <c r="W20" s="77">
        <f t="shared" ca="1" si="42"/>
        <v>2808901.3342560939</v>
      </c>
      <c r="X20" s="77">
        <f t="shared" ca="1" si="43"/>
        <v>29.495421773826259</v>
      </c>
      <c r="Y20" s="77">
        <f t="shared" ca="1" si="44"/>
        <v>68.628751371454328</v>
      </c>
      <c r="Z20" s="77">
        <f t="shared" ca="1" si="45"/>
        <v>0</v>
      </c>
      <c r="AA20" s="77">
        <f t="shared" ca="1" si="46"/>
        <v>9.5742091836734673</v>
      </c>
      <c r="AB20" s="54">
        <f t="shared" ca="1" si="47"/>
        <v>9.6709183673469395E-2</v>
      </c>
      <c r="AC20" s="53">
        <f ca="1">OFFSET('National statistics'!$A$6,MATCH(R0_estimation!$A20,'National statistics'!$A$7:$A$5000,0),MATCH(R0_estimation!AC$16 &amp; "_Running14daysNew",'National statistics'!$B$1:$HA$1,0))</f>
        <v>587</v>
      </c>
      <c r="AD20" s="97">
        <f t="shared" ca="1" si="48"/>
        <v>3.3769142792225311</v>
      </c>
      <c r="AE20" s="98">
        <f t="shared" si="49"/>
        <v>1.6884571396112655</v>
      </c>
      <c r="AF20" s="77">
        <f t="shared" ca="1" si="50"/>
        <v>15638543.367204584</v>
      </c>
      <c r="AG20" s="77">
        <f t="shared" ca="1" si="51"/>
        <v>289.25227471282</v>
      </c>
      <c r="AH20" s="77">
        <f t="shared" ca="1" si="52"/>
        <v>530.16686564300176</v>
      </c>
      <c r="AI20" s="77">
        <f t="shared" ca="1" si="53"/>
        <v>0</v>
      </c>
      <c r="AJ20" s="77">
        <f t="shared" ca="1" si="54"/>
        <v>72.651352040816334</v>
      </c>
      <c r="AK20" s="54">
        <f t="shared" ca="1" si="55"/>
        <v>0.73385204081632649</v>
      </c>
      <c r="AL20" s="53">
        <f ca="1">OFFSET('National statistics'!$A$6,MATCH(R0_estimation!$A20,'National statistics'!$A$7:$A$5000,0),MATCH(R0_estimation!AL$16 &amp; "_Running14daysNew",'National statistics'!$B$1:$HA$1,0))</f>
        <v>159</v>
      </c>
      <c r="AM20" s="97">
        <f t="shared" ca="1" si="56"/>
        <v>3.5719773944325048</v>
      </c>
      <c r="AN20" s="98">
        <f t="shared" si="57"/>
        <v>1.7859886972162524</v>
      </c>
      <c r="AO20" s="77">
        <f t="shared" ca="1" si="58"/>
        <v>11000274.492680341</v>
      </c>
      <c r="AP20" s="77">
        <f t="shared" ca="1" si="59"/>
        <v>84.801214247649881</v>
      </c>
      <c r="AQ20" s="77">
        <f t="shared" ca="1" si="60"/>
        <v>149.48628142584585</v>
      </c>
      <c r="AR20" s="77">
        <f t="shared" ca="1" si="61"/>
        <v>0</v>
      </c>
      <c r="AS20" s="77">
        <f t="shared" ca="1" si="62"/>
        <v>20.415593112244899</v>
      </c>
      <c r="AT20" s="54">
        <f t="shared" ca="1" si="63"/>
        <v>0.20621811224489797</v>
      </c>
      <c r="AU20" s="53">
        <f ca="1">OFFSET('National statistics'!$A$6,MATCH(R0_estimation!$A20,'National statistics'!$A$7:$A$5000,0),MATCH(R0_estimation!AU$16 &amp; "_Running14daysNew",'National statistics'!$B$1:$HA$1,0))</f>
        <v>10</v>
      </c>
      <c r="AV20" s="97">
        <f t="shared" ca="1" si="64"/>
        <v>2.3048983351387071</v>
      </c>
      <c r="AW20" s="98">
        <f t="shared" si="65"/>
        <v>1.1524491675693536</v>
      </c>
      <c r="AX20" s="77">
        <f t="shared" ca="1" si="66"/>
        <v>5853821.4613524424</v>
      </c>
      <c r="AY20" s="77">
        <f t="shared" ca="1" si="67"/>
        <v>4.6999326843713849</v>
      </c>
      <c r="AZ20" s="77">
        <f t="shared" ca="1" si="68"/>
        <v>11.091458558500094</v>
      </c>
      <c r="BA20" s="77">
        <f t="shared" ca="1" si="69"/>
        <v>0</v>
      </c>
      <c r="BB20" s="77">
        <f t="shared" ca="1" si="70"/>
        <v>1.548769132653061</v>
      </c>
      <c r="BC20" s="54">
        <f t="shared" ca="1" si="71"/>
        <v>1.5644132653061225E-2</v>
      </c>
      <c r="BD20" s="53">
        <f ca="1">OFFSET('National statistics'!$A$6,MATCH(R0_estimation!$A20,'National statistics'!$A$7:$A$5000,0),MATCH(R0_estimation!BD$16 &amp; "_Running14daysNew",'National statistics'!$B$1:$HA$1,0))</f>
        <v>9</v>
      </c>
      <c r="BE20" s="97">
        <f t="shared" ca="1" si="72"/>
        <v>3.036794730819568</v>
      </c>
      <c r="BF20" s="98">
        <f t="shared" si="73"/>
        <v>1.518397365409784</v>
      </c>
      <c r="BG20" s="77">
        <f t="shared" ca="1" si="74"/>
        <v>4809182.4993904503</v>
      </c>
      <c r="BH20" s="77">
        <f t="shared" ca="1" si="75"/>
        <v>4.6645797562719666</v>
      </c>
      <c r="BI20" s="77">
        <f t="shared" ca="1" si="76"/>
        <v>9.1924556645343962</v>
      </c>
      <c r="BJ20" s="77">
        <f t="shared" ca="1" si="77"/>
        <v>0</v>
      </c>
      <c r="BK20" s="77">
        <f t="shared" ca="1" si="78"/>
        <v>1.2671747448979591</v>
      </c>
      <c r="BL20" s="54">
        <f t="shared" ca="1" si="79"/>
        <v>1.2799744897959184E-2</v>
      </c>
      <c r="BM20" s="53">
        <f ca="1">OFFSET('National statistics'!$A$6,MATCH(R0_estimation!$A20,'National statistics'!$A$7:$A$5000,0),MATCH(R0_estimation!BM$16 &amp; "_Running14daysNew",'National statistics'!$B$1:$HA$1,0))</f>
        <v>3</v>
      </c>
      <c r="BN20" s="97">
        <f t="shared" ca="1" si="80"/>
        <v>1.2</v>
      </c>
      <c r="BO20" s="98">
        <f t="shared" si="81"/>
        <v>0.6</v>
      </c>
      <c r="BP20" s="77">
        <f t="shared" ca="1" si="82"/>
        <v>4107626.6457823813</v>
      </c>
      <c r="BQ20" s="77">
        <f t="shared" ca="1" si="83"/>
        <v>1.7391564650851268</v>
      </c>
      <c r="BR20" s="77">
        <f t="shared" ca="1" si="84"/>
        <v>5.9315048672863462</v>
      </c>
      <c r="BS20" s="77">
        <f t="shared" ca="1" si="85"/>
        <v>0</v>
      </c>
      <c r="BT20" s="77">
        <f t="shared" ca="1" si="86"/>
        <v>0.844783163265306</v>
      </c>
      <c r="BU20" s="54">
        <f t="shared" ca="1" si="87"/>
        <v>8.5331632653061224E-3</v>
      </c>
      <c r="BV20" s="53">
        <f ca="1">OFFSET('National statistics'!$A$6,MATCH(R0_estimation!$A20,'National statistics'!$A$7:$A$5000,0),MATCH(R0_estimation!BV$16 &amp; "_Running14daysNew",'National statistics'!$B$1:$HA$1,0))</f>
        <v>8</v>
      </c>
      <c r="BW20" s="97">
        <f t="shared" ca="1" si="88"/>
        <v>2.6750392929474032</v>
      </c>
      <c r="BX20" s="98">
        <f t="shared" si="89"/>
        <v>1.3375196464737016</v>
      </c>
      <c r="BY20" s="77">
        <f t="shared" ca="1" si="90"/>
        <v>1322225.9468697987</v>
      </c>
      <c r="BZ20" s="77">
        <f t="shared" ca="1" si="91"/>
        <v>2.3664859142380181</v>
      </c>
      <c r="CA20" s="77">
        <f t="shared" ca="1" si="92"/>
        <v>5.0746197262639967</v>
      </c>
      <c r="CB20" s="77">
        <f t="shared" ca="1" si="93"/>
        <v>0</v>
      </c>
      <c r="CC20" s="77">
        <f t="shared" ca="1" si="94"/>
        <v>0.70398596938775515</v>
      </c>
      <c r="CD20" s="54">
        <f t="shared" ca="1" si="95"/>
        <v>7.1109693877551023E-3</v>
      </c>
      <c r="CE20" s="53">
        <f ca="1">OFFSET('National statistics'!$A$6,MATCH(R0_estimation!$A20,'National statistics'!$A$7:$A$5000,0),MATCH(R0_estimation!CE$16 &amp; "_Running14daysNew",'National statistics'!$B$1:$HA$1,0))</f>
        <v>308</v>
      </c>
      <c r="CF20" s="97">
        <f t="shared" ca="1" si="96"/>
        <v>2.5622567607656248</v>
      </c>
      <c r="CG20" s="98">
        <f t="shared" si="97"/>
        <v>1.3</v>
      </c>
      <c r="CH20" s="77">
        <f t="shared" ca="1" si="98"/>
        <v>7304459.9353933828</v>
      </c>
      <c r="CI20" s="77">
        <f t="shared" ca="1" si="99"/>
        <v>120.32547308926006</v>
      </c>
      <c r="CJ20" s="77">
        <f t="shared" ca="1" si="100"/>
        <v>265.38193423683089</v>
      </c>
      <c r="CK20" s="77">
        <f t="shared" ca="1" si="101"/>
        <v>0</v>
      </c>
      <c r="CL20" s="77">
        <f t="shared" ca="1" si="102"/>
        <v>36.888864795918366</v>
      </c>
      <c r="CM20" s="54">
        <f t="shared" ca="1" si="103"/>
        <v>0.37261479591836738</v>
      </c>
      <c r="CO20" s="209"/>
      <c r="CP20" s="210"/>
    </row>
    <row r="21" spans="1:94">
      <c r="A21" s="83">
        <v>43921</v>
      </c>
      <c r="B21" s="53">
        <f ca="1">OFFSET('National statistics'!$A$6,MATCH(R0_estimation!$A21,'National statistics'!$A$7:$A$5000,0),MATCH(R0_estimation!B$16 &amp; "_Running14daysNew",'National statistics'!$B$1:$HA$1,0))</f>
        <v>1178</v>
      </c>
      <c r="C21" s="97">
        <f t="shared" ca="1" si="24"/>
        <v>1.9211610393424374</v>
      </c>
      <c r="D21" s="98">
        <f t="shared" si="25"/>
        <v>1.3827762180585019</v>
      </c>
      <c r="E21" s="77">
        <f t="shared" ca="1" si="26"/>
        <v>59715624.394561492</v>
      </c>
      <c r="F21" s="77">
        <f t="shared" ca="1" si="27"/>
        <v>582.26612217796492</v>
      </c>
      <c r="G21" s="77">
        <f t="shared" ca="1" si="28"/>
        <v>1099.1483761763016</v>
      </c>
      <c r="H21" s="77">
        <f t="shared" ca="1" si="29"/>
        <v>0</v>
      </c>
      <c r="I21" s="77">
        <f t="shared" ca="1" si="30"/>
        <v>219.48684585274873</v>
      </c>
      <c r="J21" s="54">
        <f t="shared" ca="1" si="31"/>
        <v>2.2170388469974616</v>
      </c>
      <c r="K21" s="53">
        <f ca="1">OFFSET('National statistics'!$A$6,MATCH(R0_estimation!$A21,'National statistics'!$A$7:$A$5000,0),MATCH(R0_estimation!K$16 &amp; "_Running14daysNew",'National statistics'!$B$1:$HA$1,0))</f>
        <v>12</v>
      </c>
      <c r="L21" s="97">
        <f t="shared" ca="1" si="32"/>
        <v>2.7782873101034609</v>
      </c>
      <c r="M21" s="98">
        <f t="shared" si="33"/>
        <v>5.094553629032375</v>
      </c>
      <c r="N21" s="77">
        <f t="shared" ca="1" si="34"/>
        <v>6870728.8294714615</v>
      </c>
      <c r="O21" s="77">
        <f t="shared" ca="1" si="35"/>
        <v>18.921283602537841</v>
      </c>
      <c r="P21" s="77">
        <f t="shared" ca="1" si="36"/>
        <v>14.189653406337269</v>
      </c>
      <c r="Q21" s="77">
        <f t="shared" ca="1" si="37"/>
        <v>0</v>
      </c>
      <c r="R21" s="77">
        <f t="shared" ca="1" si="38"/>
        <v>2.2205523593959358</v>
      </c>
      <c r="S21" s="54">
        <f t="shared" ca="1" si="39"/>
        <v>2.2429821812080156E-2</v>
      </c>
      <c r="T21" s="53">
        <f ca="1">OFFSET('National statistics'!$A$6,MATCH(R0_estimation!$A21,'National statistics'!$A$7:$A$5000,0),MATCH(R0_estimation!T$16 &amp; "_Running14daysNew",'National statistics'!$B$1:$HA$1,0))</f>
        <v>74</v>
      </c>
      <c r="U21" s="97">
        <f t="shared" ca="1" si="40"/>
        <v>1.0062710569511544</v>
      </c>
      <c r="V21" s="98">
        <f t="shared" si="41"/>
        <v>1.1785761441384355</v>
      </c>
      <c r="W21" s="77">
        <f t="shared" ca="1" si="42"/>
        <v>2808889.7798120882</v>
      </c>
      <c r="X21" s="77">
        <f t="shared" ca="1" si="43"/>
        <v>33.676010336044051</v>
      </c>
      <c r="Y21" s="77">
        <f t="shared" ca="1" si="44"/>
        <v>71.100553145521303</v>
      </c>
      <c r="Z21" s="77">
        <f t="shared" ca="1" si="45"/>
        <v>0</v>
      </c>
      <c r="AA21" s="77">
        <f t="shared" ca="1" si="46"/>
        <v>14.427242316369167</v>
      </c>
      <c r="AB21" s="54">
        <f t="shared" ca="1" si="47"/>
        <v>0.14572972036736534</v>
      </c>
      <c r="AC21" s="53">
        <f ca="1">OFFSET('National statistics'!$A$6,MATCH(R0_estimation!$A21,'National statistics'!$A$7:$A$5000,0),MATCH(R0_estimation!AC$16 &amp; "_Running14daysNew",'National statistics'!$B$1:$HA$1,0))</f>
        <v>588</v>
      </c>
      <c r="AD21" s="97">
        <f t="shared" ca="1" si="48"/>
        <v>1.1513150830584011</v>
      </c>
      <c r="AE21" s="98">
        <f t="shared" si="49"/>
        <v>1.6884571396112655</v>
      </c>
      <c r="AF21" s="77">
        <f t="shared" ca="1" si="50"/>
        <v>15638415.493923228</v>
      </c>
      <c r="AG21" s="77">
        <f t="shared" ca="1" si="51"/>
        <v>344.81248739036999</v>
      </c>
      <c r="AH21" s="77">
        <f t="shared" ca="1" si="52"/>
        <v>564.6108724895638</v>
      </c>
      <c r="AI21" s="77">
        <f t="shared" ca="1" si="53"/>
        <v>0</v>
      </c>
      <c r="AJ21" s="77">
        <f t="shared" ca="1" si="54"/>
        <v>110.14172325414287</v>
      </c>
      <c r="AK21" s="54">
        <f t="shared" ca="1" si="55"/>
        <v>1.1125426591327563</v>
      </c>
      <c r="AL21" s="53">
        <f ca="1">OFFSET('National statistics'!$A$6,MATCH(R0_estimation!$A21,'National statistics'!$A$7:$A$5000,0),MATCH(R0_estimation!AL$16 &amp; "_Running14daysNew",'National statistics'!$B$1:$HA$1,0))</f>
        <v>163</v>
      </c>
      <c r="AM21" s="97">
        <f t="shared" ca="1" si="56"/>
        <v>1.4899002769655674</v>
      </c>
      <c r="AN21" s="98">
        <f t="shared" si="57"/>
        <v>1.7859886972162524</v>
      </c>
      <c r="AO21" s="77">
        <f t="shared" ca="1" si="58"/>
        <v>11000236.353447853</v>
      </c>
      <c r="AP21" s="77">
        <f t="shared" ca="1" si="59"/>
        <v>101.7401431741076</v>
      </c>
      <c r="AQ21" s="77">
        <f t="shared" ca="1" si="60"/>
        <v>160.00899345734075</v>
      </c>
      <c r="AR21" s="77">
        <f t="shared" ca="1" si="61"/>
        <v>0</v>
      </c>
      <c r="AS21" s="77">
        <f t="shared" ca="1" si="62"/>
        <v>30.986408727358281</v>
      </c>
      <c r="AT21" s="54">
        <f t="shared" ca="1" si="63"/>
        <v>0.31299402754907357</v>
      </c>
      <c r="AU21" s="53">
        <f ca="1">OFFSET('National statistics'!$A$6,MATCH(R0_estimation!$A21,'National statistics'!$A$7:$A$5000,0),MATCH(R0_estimation!AU$16 &amp; "_Running14daysNew",'National statistics'!$B$1:$HA$1,0))</f>
        <v>13</v>
      </c>
      <c r="AV21" s="97">
        <f t="shared" ca="1" si="64"/>
        <v>1.7150884819427765</v>
      </c>
      <c r="AW21" s="98">
        <f t="shared" si="65"/>
        <v>1.1524491675693536</v>
      </c>
      <c r="AX21" s="77">
        <f t="shared" ca="1" si="66"/>
        <v>5853819.6353089679</v>
      </c>
      <c r="AY21" s="77">
        <f t="shared" ca="1" si="67"/>
        <v>5.3509929874494109</v>
      </c>
      <c r="AZ21" s="77">
        <f t="shared" ca="1" si="68"/>
        <v>11.474194689700076</v>
      </c>
      <c r="BA21" s="77">
        <f t="shared" ca="1" si="69"/>
        <v>0</v>
      </c>
      <c r="BB21" s="77">
        <f t="shared" ca="1" si="70"/>
        <v>2.3330937021469964</v>
      </c>
      <c r="BC21" s="54">
        <f t="shared" ca="1" si="71"/>
        <v>2.3566603051989862E-2</v>
      </c>
      <c r="BD21" s="53">
        <f ca="1">OFFSET('National statistics'!$A$6,MATCH(R0_estimation!$A21,'National statistics'!$A$7:$A$5000,0),MATCH(R0_estimation!BD$16 &amp; "_Running14daysNew",'National statistics'!$B$1:$HA$1,0))</f>
        <v>10</v>
      </c>
      <c r="BE21" s="97">
        <f t="shared" ca="1" si="72"/>
        <v>1.4435626881707697</v>
      </c>
      <c r="BF21" s="98">
        <f t="shared" si="73"/>
        <v>1.518397365409784</v>
      </c>
      <c r="BG21" s="77">
        <f t="shared" ca="1" si="74"/>
        <v>4809180.5054252259</v>
      </c>
      <c r="BH21" s="77">
        <f t="shared" ca="1" si="75"/>
        <v>5.4924000411285352</v>
      </c>
      <c r="BI21" s="77">
        <f t="shared" ca="1" si="76"/>
        <v>9.7019966275642169</v>
      </c>
      <c r="BJ21" s="77">
        <f t="shared" ca="1" si="77"/>
        <v>0</v>
      </c>
      <c r="BK21" s="77">
        <f t="shared" ca="1" si="78"/>
        <v>1.9172126811757484</v>
      </c>
      <c r="BL21" s="54">
        <f t="shared" ca="1" si="79"/>
        <v>1.9365784658340896E-2</v>
      </c>
      <c r="BM21" s="53">
        <f ca="1">OFFSET('National statistics'!$A$6,MATCH(R0_estimation!$A21,'National statistics'!$A$7:$A$5000,0),MATCH(R0_estimation!BM$16 &amp; "_Running14daysNew",'National statistics'!$B$1:$HA$1,0))</f>
        <v>6</v>
      </c>
      <c r="BN21" s="97">
        <f t="shared" ca="1" si="80"/>
        <v>1.9865205416387972</v>
      </c>
      <c r="BO21" s="98">
        <f t="shared" si="81"/>
        <v>0.6</v>
      </c>
      <c r="BP21" s="77">
        <f t="shared" ca="1" si="82"/>
        <v>4107626.1373687326</v>
      </c>
      <c r="BQ21" s="77">
        <f t="shared" ca="1" si="83"/>
        <v>1.8127809977412119</v>
      </c>
      <c r="BR21" s="77">
        <f t="shared" ca="1" si="84"/>
        <v>5.9426150644657465</v>
      </c>
      <c r="BS21" s="77">
        <f t="shared" ca="1" si="85"/>
        <v>0</v>
      </c>
      <c r="BT21" s="77">
        <f t="shared" ca="1" si="86"/>
        <v>1.2642252931662692</v>
      </c>
      <c r="BU21" s="54">
        <f t="shared" ca="1" si="87"/>
        <v>1.2769952456224941E-2</v>
      </c>
      <c r="BV21" s="53">
        <f ca="1">OFFSET('National statistics'!$A$6,MATCH(R0_estimation!$A21,'National statistics'!$A$7:$A$5000,0),MATCH(R0_estimation!BV$16 &amp; "_Running14daysNew",'National statistics'!$B$1:$HA$1,0))</f>
        <v>8</v>
      </c>
      <c r="BW21" s="97">
        <f t="shared" ca="1" si="88"/>
        <v>1.3799241468388452</v>
      </c>
      <c r="BX21" s="98">
        <f t="shared" si="89"/>
        <v>1.3375196464737016</v>
      </c>
      <c r="BY21" s="77">
        <f t="shared" ca="1" si="90"/>
        <v>1322224.9772466884</v>
      </c>
      <c r="BZ21" s="77">
        <f t="shared" ca="1" si="91"/>
        <v>2.7444875458484761</v>
      </c>
      <c r="CA21" s="77">
        <f t="shared" ca="1" si="92"/>
        <v>5.3037683672332161</v>
      </c>
      <c r="CB21" s="77">
        <f t="shared" ca="1" si="93"/>
        <v>0</v>
      </c>
      <c r="CC21" s="77">
        <f t="shared" ca="1" si="94"/>
        <v>1.0628340786021377</v>
      </c>
      <c r="CD21" s="54">
        <f t="shared" ca="1" si="95"/>
        <v>1.0735697763657957E-2</v>
      </c>
      <c r="CE21" s="53">
        <f ca="1">OFFSET('National statistics'!$A$6,MATCH(R0_estimation!$A21,'National statistics'!$A$7:$A$5000,0),MATCH(R0_estimation!CE$16 &amp; "_Running14daysNew",'National statistics'!$B$1:$HA$1,0))</f>
        <v>304</v>
      </c>
      <c r="CF21" s="97">
        <f t="shared" ca="1" si="96"/>
        <v>2.4331242245373454</v>
      </c>
      <c r="CG21" s="98">
        <f t="shared" si="97"/>
        <v>1.3</v>
      </c>
      <c r="CH21" s="77">
        <f t="shared" ca="1" si="98"/>
        <v>7304411.3684421172</v>
      </c>
      <c r="CI21" s="77">
        <f t="shared" ca="1" si="99"/>
        <v>138.81105608216515</v>
      </c>
      <c r="CJ21" s="77">
        <f t="shared" ca="1" si="100"/>
        <v>276.50745006365798</v>
      </c>
      <c r="CK21" s="77">
        <f t="shared" ca="1" si="101"/>
        <v>0</v>
      </c>
      <c r="CL21" s="77">
        <f t="shared" ca="1" si="102"/>
        <v>55.655158716951405</v>
      </c>
      <c r="CM21" s="54">
        <f t="shared" ca="1" si="103"/>
        <v>0.56217332037324663</v>
      </c>
      <c r="CO21" s="209"/>
      <c r="CP21" s="210"/>
    </row>
    <row r="22" spans="1:94">
      <c r="A22" s="83">
        <v>43922</v>
      </c>
      <c r="B22" s="53">
        <f ca="1">OFFSET('National statistics'!$A$6,MATCH(R0_estimation!$A22,'National statistics'!$A$7:$A$5000,0),MATCH(R0_estimation!B$16 &amp; "_Running14daysNew",'National statistics'!$B$1:$HA$1,0))</f>
        <v>1174</v>
      </c>
      <c r="C22" s="97">
        <f t="shared" ca="1" si="24"/>
        <v>1.9211610393424374</v>
      </c>
      <c r="D22" s="98">
        <f>D21</f>
        <v>1.3827762180585019</v>
      </c>
      <c r="E22" s="77">
        <f t="shared" ca="1" si="26"/>
        <v>59715473.567860067</v>
      </c>
      <c r="F22" s="77">
        <f t="shared" ca="1" si="27"/>
        <v>587.52629305925041</v>
      </c>
      <c r="G22" s="77">
        <f t="shared" ca="1" si="28"/>
        <v>1166.2043084224856</v>
      </c>
      <c r="H22" s="77">
        <f t="shared" ca="1" si="29"/>
        <v>0</v>
      </c>
      <c r="I22" s="77">
        <f t="shared" ca="1" si="30"/>
        <v>297.2123381680729</v>
      </c>
      <c r="J22" s="54">
        <f t="shared" ca="1" si="31"/>
        <v>3.002144829980534</v>
      </c>
      <c r="K22" s="53">
        <f ca="1">OFFSET('National statistics'!$A$6,MATCH(R0_estimation!$A22,'National statistics'!$A$7:$A$5000,0),MATCH(R0_estimation!K$16 &amp; "_Running14daysNew",'National statistics'!$B$1:$HA$1,0))</f>
        <v>15</v>
      </c>
      <c r="L22" s="97">
        <f t="shared" ca="1" si="32"/>
        <v>2.7782873101034609</v>
      </c>
      <c r="M22" s="98">
        <f t="shared" si="33"/>
        <v>5.094553629032375</v>
      </c>
      <c r="N22" s="77">
        <f t="shared" ca="1" si="34"/>
        <v>6870726.0135620851</v>
      </c>
      <c r="O22" s="77">
        <f t="shared" ca="1" si="35"/>
        <v>17.006872078280235</v>
      </c>
      <c r="P22" s="77">
        <f t="shared" ca="1" si="36"/>
        <v>17.906427635090498</v>
      </c>
      <c r="Q22" s="77">
        <f t="shared" ca="1" si="37"/>
        <v>0</v>
      </c>
      <c r="R22" s="77">
        <f t="shared" ca="1" si="38"/>
        <v>3.2239635645583569</v>
      </c>
      <c r="S22" s="54">
        <f t="shared" ca="1" si="39"/>
        <v>3.2565288530892494E-2</v>
      </c>
      <c r="T22" s="53">
        <f ca="1">OFFSET('National statistics'!$A$6,MATCH(R0_estimation!$A22,'National statistics'!$A$7:$A$5000,0),MATCH(R0_estimation!T$16 &amp; "_Running14daysNew",'National statistics'!$B$1:$HA$1,0))</f>
        <v>76</v>
      </c>
      <c r="U22" s="97">
        <f t="shared" ca="1" si="40"/>
        <v>1.0062710569511544</v>
      </c>
      <c r="V22" s="98">
        <f t="shared" si="41"/>
        <v>1.1785761441384355</v>
      </c>
      <c r="W22" s="77">
        <f t="shared" ca="1" si="42"/>
        <v>2808884.6695697596</v>
      </c>
      <c r="X22" s="77">
        <f t="shared" ca="1" si="43"/>
        <v>30.3672500807088</v>
      </c>
      <c r="Y22" s="77">
        <f t="shared" ca="1" si="44"/>
        <v>74.440944790566505</v>
      </c>
      <c r="Z22" s="77">
        <f t="shared" ca="1" si="45"/>
        <v>0</v>
      </c>
      <c r="AA22" s="77">
        <f t="shared" ca="1" si="46"/>
        <v>19.455067145945318</v>
      </c>
      <c r="AB22" s="54">
        <f t="shared" ca="1" si="47"/>
        <v>0.19651582975702342</v>
      </c>
      <c r="AC22" s="53">
        <f ca="1">OFFSET('National statistics'!$A$6,MATCH(R0_estimation!$A22,'National statistics'!$A$7:$A$5000,0),MATCH(R0_estimation!AC$16 &amp; "_Running14daysNew",'National statistics'!$B$1:$HA$1,0))</f>
        <v>584</v>
      </c>
      <c r="AD22" s="97">
        <f t="shared" ca="1" si="48"/>
        <v>1.1513150830584011</v>
      </c>
      <c r="AE22" s="98">
        <f t="shared" si="49"/>
        <v>1.6884571396112655</v>
      </c>
      <c r="AF22" s="77">
        <f t="shared" ca="1" si="50"/>
        <v>15638369.065163523</v>
      </c>
      <c r="AG22" s="77">
        <f t="shared" ca="1" si="51"/>
        <v>305.03812524718302</v>
      </c>
      <c r="AH22" s="77">
        <f t="shared" ca="1" si="52"/>
        <v>610.48464630218746</v>
      </c>
      <c r="AI22" s="77">
        <f t="shared" ca="1" si="53"/>
        <v>0</v>
      </c>
      <c r="AJ22" s="77">
        <f t="shared" ca="1" si="54"/>
        <v>150.06777780876203</v>
      </c>
      <c r="AK22" s="54">
        <f t="shared" ca="1" si="55"/>
        <v>1.5158361394824449</v>
      </c>
      <c r="AL22" s="53">
        <f ca="1">OFFSET('National statistics'!$A$6,MATCH(R0_estimation!$A22,'National statistics'!$A$7:$A$5000,0),MATCH(R0_estimation!AL$16 &amp; "_Running14daysNew",'National statistics'!$B$1:$HA$1,0))</f>
        <v>167</v>
      </c>
      <c r="AM22" s="97">
        <f t="shared" ca="1" si="56"/>
        <v>1.4899002769655674</v>
      </c>
      <c r="AN22" s="98">
        <f t="shared" si="57"/>
        <v>1.7859886972162524</v>
      </c>
      <c r="AO22" s="77">
        <f t="shared" ca="1" si="58"/>
        <v>11000219.325512161</v>
      </c>
      <c r="AP22" s="77">
        <f t="shared" ca="1" si="59"/>
        <v>93.333043070909724</v>
      </c>
      <c r="AQ22" s="77">
        <f t="shared" ca="1" si="60"/>
        <v>174.01481543248619</v>
      </c>
      <c r="AR22" s="77">
        <f t="shared" ca="1" si="61"/>
        <v>0</v>
      </c>
      <c r="AS22" s="77">
        <f t="shared" ca="1" si="62"/>
        <v>42.301330407555952</v>
      </c>
      <c r="AT22" s="54">
        <f t="shared" ca="1" si="63"/>
        <v>0.42728616573288841</v>
      </c>
      <c r="AU22" s="53">
        <f ca="1">OFFSET('National statistics'!$A$6,MATCH(R0_estimation!$A22,'National statistics'!$A$7:$A$5000,0),MATCH(R0_estimation!AU$16 &amp; "_Running14daysNew",'National statistics'!$B$1:$HA$1,0))</f>
        <v>13</v>
      </c>
      <c r="AV22" s="97">
        <f t="shared" ca="1" si="64"/>
        <v>1.7150884819427765</v>
      </c>
      <c r="AW22" s="98">
        <f t="shared" si="65"/>
        <v>1.1524491675693536</v>
      </c>
      <c r="AX22" s="77">
        <f t="shared" ca="1" si="66"/>
        <v>5853818.2296521999</v>
      </c>
      <c r="AY22" s="77">
        <f t="shared" ca="1" si="67"/>
        <v>5.4189015081684566</v>
      </c>
      <c r="AZ22" s="77">
        <f t="shared" ca="1" si="68"/>
        <v>11.992357601583851</v>
      </c>
      <c r="BA22" s="77">
        <f t="shared" ca="1" si="69"/>
        <v>0</v>
      </c>
      <c r="BB22" s="77">
        <f t="shared" ca="1" si="70"/>
        <v>3.1444831837757876</v>
      </c>
      <c r="BC22" s="54">
        <f t="shared" ca="1" si="71"/>
        <v>3.1762456401775628E-2</v>
      </c>
      <c r="BD22" s="53">
        <f ca="1">OFFSET('National statistics'!$A$6,MATCH(R0_estimation!$A22,'National statistics'!$A$7:$A$5000,0),MATCH(R0_estimation!BD$16 &amp; "_Running14daysNew",'National statistics'!$B$1:$HA$1,0))</f>
        <v>8</v>
      </c>
      <c r="BE22" s="97">
        <f t="shared" ca="1" si="72"/>
        <v>1.4435626881707697</v>
      </c>
      <c r="BF22" s="98">
        <f t="shared" si="73"/>
        <v>1.518397365409784</v>
      </c>
      <c r="BG22" s="77">
        <f t="shared" ca="1" si="74"/>
        <v>4809179.5050401902</v>
      </c>
      <c r="BH22" s="77">
        <f t="shared" ca="1" si="75"/>
        <v>5.1196850665280778</v>
      </c>
      <c r="BI22" s="77">
        <f t="shared" ca="1" si="76"/>
        <v>10.38209687873462</v>
      </c>
      <c r="BJ22" s="77">
        <f t="shared" ca="1" si="77"/>
        <v>0</v>
      </c>
      <c r="BK22" s="77">
        <f t="shared" ca="1" si="78"/>
        <v>2.6032824426963606</v>
      </c>
      <c r="BL22" s="54">
        <f t="shared" ca="1" si="79"/>
        <v>2.6295782249458194E-2</v>
      </c>
      <c r="BM22" s="53">
        <f ca="1">OFFSET('National statistics'!$A$6,MATCH(R0_estimation!$A22,'National statistics'!$A$7:$A$5000,0),MATCH(R0_estimation!BM$16 &amp; "_Running14daysNew",'National statistics'!$B$1:$HA$1,0))</f>
        <v>7</v>
      </c>
      <c r="BN22" s="97">
        <f t="shared" ca="1" si="80"/>
        <v>1.9865205416387972</v>
      </c>
      <c r="BO22" s="98">
        <f t="shared" si="81"/>
        <v>0.6</v>
      </c>
      <c r="BP22" s="77">
        <f t="shared" ca="1" si="82"/>
        <v>4107625.2941472344</v>
      </c>
      <c r="BQ22" s="77">
        <f t="shared" ca="1" si="83"/>
        <v>2.202807246498558</v>
      </c>
      <c r="BR22" s="77">
        <f t="shared" ca="1" si="84"/>
        <v>5.9713378092963527</v>
      </c>
      <c r="BS22" s="77">
        <f t="shared" ca="1" si="85"/>
        <v>0</v>
      </c>
      <c r="BT22" s="77">
        <f t="shared" ca="1" si="86"/>
        <v>1.6844530727249185</v>
      </c>
      <c r="BU22" s="54">
        <f t="shared" ca="1" si="87"/>
        <v>1.7014677502271904E-2</v>
      </c>
      <c r="BV22" s="53">
        <f ca="1">OFFSET('National statistics'!$A$6,MATCH(R0_estimation!$A22,'National statistics'!$A$7:$A$5000,0),MATCH(R0_estimation!BV$16 &amp; "_Running14daysNew",'National statistics'!$B$1:$HA$1,0))</f>
        <v>9</v>
      </c>
      <c r="BW22" s="97">
        <f t="shared" ca="1" si="88"/>
        <v>1.3799241468388452</v>
      </c>
      <c r="BX22" s="98">
        <f t="shared" si="89"/>
        <v>1.3375196464737016</v>
      </c>
      <c r="BY22" s="77">
        <f t="shared" ca="1" si="90"/>
        <v>1322224.4544790022</v>
      </c>
      <c r="BZ22" s="77">
        <f t="shared" ca="1" si="91"/>
        <v>2.5811333456507093</v>
      </c>
      <c r="CA22" s="77">
        <f t="shared" ca="1" si="92"/>
        <v>5.6110496560358198</v>
      </c>
      <c r="CB22" s="77">
        <f t="shared" ca="1" si="93"/>
        <v>0</v>
      </c>
      <c r="CC22" s="77">
        <f t="shared" ca="1" si="94"/>
        <v>1.4378862702850581</v>
      </c>
      <c r="CD22" s="54">
        <f t="shared" ca="1" si="95"/>
        <v>1.4524103740253112E-2</v>
      </c>
      <c r="CE22" s="53">
        <f ca="1">OFFSET('National statistics'!$A$6,MATCH(R0_estimation!$A22,'National statistics'!$A$7:$A$5000,0),MATCH(R0_estimation!CE$16 &amp; "_Running14daysNew",'National statistics'!$B$1:$HA$1,0))</f>
        <v>295</v>
      </c>
      <c r="CF22" s="97">
        <f t="shared" ca="1" si="96"/>
        <v>2.4331242245373454</v>
      </c>
      <c r="CG22" s="98">
        <f t="shared" si="97"/>
        <v>1.3</v>
      </c>
      <c r="CH22" s="77">
        <f t="shared" ca="1" si="98"/>
        <v>7304363.316042223</v>
      </c>
      <c r="CI22" s="77">
        <f t="shared" ca="1" si="99"/>
        <v>152.16069195546339</v>
      </c>
      <c r="CJ22" s="77">
        <f t="shared" ca="1" si="100"/>
        <v>291.45968193679511</v>
      </c>
      <c r="CK22" s="77">
        <f t="shared" ca="1" si="101"/>
        <v>0</v>
      </c>
      <c r="CL22" s="77">
        <f t="shared" ca="1" si="102"/>
        <v>75.208185542881509</v>
      </c>
      <c r="CM22" s="54">
        <f t="shared" ca="1" si="103"/>
        <v>0.75967864184728806</v>
      </c>
      <c r="CO22" s="209"/>
      <c r="CP22" s="210"/>
    </row>
    <row r="23" spans="1:94">
      <c r="A23" s="83">
        <v>43923</v>
      </c>
      <c r="B23" s="53">
        <f ca="1">OFFSET('National statistics'!$A$6,MATCH(R0_estimation!$A23,'National statistics'!$A$7:$A$5000,0),MATCH(R0_estimation!B$16 &amp; "_Running14daysNew",'National statistics'!$B$1:$HA$1,0))</f>
        <v>1217</v>
      </c>
      <c r="C23" s="97">
        <f t="shared" ca="1" si="24"/>
        <v>1.9211610393424374</v>
      </c>
      <c r="D23" s="98">
        <f t="shared" si="25"/>
        <v>1.3827762180585019</v>
      </c>
      <c r="E23" s="77">
        <f t="shared" ca="1" si="26"/>
        <v>59715313.540050462</v>
      </c>
      <c r="F23" s="77">
        <f t="shared" ca="1" si="27"/>
        <v>600.67252940301728</v>
      </c>
      <c r="G23" s="77">
        <f t="shared" ca="1" si="28"/>
        <v>1229.7855739428351</v>
      </c>
      <c r="H23" s="77">
        <f t="shared" ca="1" si="29"/>
        <v>0</v>
      </c>
      <c r="I23" s="77">
        <f t="shared" ca="1" si="30"/>
        <v>379.6796428350915</v>
      </c>
      <c r="J23" s="54">
        <f t="shared" ca="1" si="31"/>
        <v>3.8351479074251666</v>
      </c>
      <c r="K23" s="53">
        <f ca="1">OFFSET('National statistics'!$A$6,MATCH(R0_estimation!$A23,'National statistics'!$A$7:$A$5000,0),MATCH(R0_estimation!K$16 &amp; "_Running14daysNew",'National statistics'!$B$1:$HA$1,0))</f>
        <v>17</v>
      </c>
      <c r="L23" s="97">
        <f t="shared" ca="1" si="32"/>
        <v>2.7782873101034609</v>
      </c>
      <c r="M23" s="98">
        <f t="shared" si="33"/>
        <v>5.094553629032375</v>
      </c>
      <c r="N23" s="77">
        <f t="shared" ca="1" si="34"/>
        <v>6870722.4600674761</v>
      </c>
      <c r="O23" s="77">
        <f t="shared" ca="1" si="35"/>
        <v>16.308648667785171</v>
      </c>
      <c r="P23" s="77">
        <f t="shared" ca="1" si="36"/>
        <v>20.879115109296951</v>
      </c>
      <c r="Q23" s="77">
        <f t="shared" ca="1" si="37"/>
        <v>0</v>
      </c>
      <c r="R23" s="77">
        <f t="shared" ca="1" si="38"/>
        <v>4.4902038044683277</v>
      </c>
      <c r="S23" s="54">
        <f t="shared" ca="1" si="39"/>
        <v>4.5355593984528569E-2</v>
      </c>
      <c r="T23" s="53">
        <f ca="1">OFFSET('National statistics'!$A$6,MATCH(R0_estimation!$A23,'National statistics'!$A$7:$A$5000,0),MATCH(R0_estimation!T$16 &amp; "_Running14daysNew",'National statistics'!$B$1:$HA$1,0))</f>
        <v>84</v>
      </c>
      <c r="U23" s="97">
        <f t="shared" ca="1" si="40"/>
        <v>1.0062710569511544</v>
      </c>
      <c r="V23" s="98">
        <f t="shared" si="41"/>
        <v>1.1785761441384355</v>
      </c>
      <c r="W23" s="77">
        <f t="shared" ca="1" si="42"/>
        <v>2808879.3192515834</v>
      </c>
      <c r="X23" s="77">
        <f t="shared" ca="1" si="43"/>
        <v>28.125755736936441</v>
      </c>
      <c r="Y23" s="77">
        <f t="shared" ca="1" si="44"/>
        <v>76.715546968560389</v>
      </c>
      <c r="Z23" s="77">
        <f t="shared" ca="1" si="45"/>
        <v>0</v>
      </c>
      <c r="AA23" s="77">
        <f t="shared" ca="1" si="46"/>
        <v>24.719105384706808</v>
      </c>
      <c r="AB23" s="54">
        <f t="shared" ca="1" si="47"/>
        <v>0.24968793317885662</v>
      </c>
      <c r="AC23" s="53">
        <f ca="1">OFFSET('National statistics'!$A$6,MATCH(R0_estimation!$A23,'National statistics'!$A$7:$A$5000,0),MATCH(R0_estimation!AC$16 &amp; "_Running14daysNew",'National statistics'!$B$1:$HA$1,0))</f>
        <v>587</v>
      </c>
      <c r="AD23" s="97">
        <f t="shared" ca="1" si="48"/>
        <v>1.1513150830584011</v>
      </c>
      <c r="AE23" s="98">
        <f t="shared" si="49"/>
        <v>1.6884571396112655</v>
      </c>
      <c r="AF23" s="77">
        <f t="shared" ca="1" si="50"/>
        <v>15638318.864285523</v>
      </c>
      <c r="AG23" s="77">
        <f t="shared" ca="1" si="51"/>
        <v>278.97947193464341</v>
      </c>
      <c r="AH23" s="77">
        <f t="shared" ca="1" si="52"/>
        <v>643.13813144954122</v>
      </c>
      <c r="AI23" s="77">
        <f t="shared" ca="1" si="53"/>
        <v>0</v>
      </c>
      <c r="AJ23" s="77">
        <f t="shared" ca="1" si="54"/>
        <v>193.23776351155956</v>
      </c>
      <c r="AK23" s="54">
        <f t="shared" ca="1" si="55"/>
        <v>1.9518966011268646</v>
      </c>
      <c r="AL23" s="53">
        <f ca="1">OFFSET('National statistics'!$A$6,MATCH(R0_estimation!$A23,'National statistics'!$A$7:$A$5000,0),MATCH(R0_estimation!AL$16 &amp; "_Running14daysNew",'National statistics'!$B$1:$HA$1,0))</f>
        <v>184</v>
      </c>
      <c r="AM23" s="97">
        <f t="shared" ca="1" si="56"/>
        <v>1.4899002769655674</v>
      </c>
      <c r="AN23" s="98">
        <f t="shared" si="57"/>
        <v>1.7859886972162524</v>
      </c>
      <c r="AO23" s="77">
        <f t="shared" ca="1" si="58"/>
        <v>11000200.807124749</v>
      </c>
      <c r="AP23" s="77">
        <f t="shared" ca="1" si="59"/>
        <v>88.518169715833835</v>
      </c>
      <c r="AQ23" s="77">
        <f t="shared" ca="1" si="60"/>
        <v>184.91844652646461</v>
      </c>
      <c r="AR23" s="77">
        <f t="shared" ca="1" si="61"/>
        <v>0</v>
      </c>
      <c r="AS23" s="77">
        <f t="shared" ca="1" si="62"/>
        <v>54.606663784567473</v>
      </c>
      <c r="AT23" s="54">
        <f t="shared" ca="1" si="63"/>
        <v>0.55158246247037857</v>
      </c>
      <c r="AU23" s="53">
        <f ca="1">OFFSET('National statistics'!$A$6,MATCH(R0_estimation!$A23,'National statistics'!$A$7:$A$5000,0),MATCH(R0_estimation!AU$16 &amp; "_Running14daysNew",'National statistics'!$B$1:$HA$1,0))</f>
        <v>15</v>
      </c>
      <c r="AV23" s="97">
        <f t="shared" ca="1" si="64"/>
        <v>1.7150884819427765</v>
      </c>
      <c r="AW23" s="98">
        <f t="shared" si="65"/>
        <v>1.1524491675693536</v>
      </c>
      <c r="AX23" s="77">
        <f t="shared" ca="1" si="66"/>
        <v>5853816.7605177592</v>
      </c>
      <c r="AY23" s="77">
        <f t="shared" ca="1" si="67"/>
        <v>5.5333105718040416</v>
      </c>
      <c r="AZ23" s="77">
        <f t="shared" ca="1" si="68"/>
        <v>12.490486007084263</v>
      </c>
      <c r="BA23" s="77">
        <f t="shared" ca="1" si="69"/>
        <v>0</v>
      </c>
      <c r="BB23" s="77">
        <f t="shared" ca="1" si="70"/>
        <v>3.9925141856020741</v>
      </c>
      <c r="BC23" s="54">
        <f t="shared" ca="1" si="71"/>
        <v>4.0328426117192666E-2</v>
      </c>
      <c r="BD23" s="53">
        <f ca="1">OFFSET('National statistics'!$A$6,MATCH(R0_estimation!$A23,'National statistics'!$A$7:$A$5000,0),MATCH(R0_estimation!BD$16 &amp; "_Running14daysNew",'National statistics'!$B$1:$HA$1,0))</f>
        <v>8</v>
      </c>
      <c r="BE23" s="97">
        <f t="shared" ca="1" si="72"/>
        <v>1.4435626881707697</v>
      </c>
      <c r="BF23" s="98">
        <f t="shared" si="73"/>
        <v>1.518397365409784</v>
      </c>
      <c r="BG23" s="77">
        <f t="shared" ca="1" si="74"/>
        <v>4809178.4345293865</v>
      </c>
      <c r="BH23" s="77">
        <f t="shared" ca="1" si="75"/>
        <v>4.9102746039785226</v>
      </c>
      <c r="BI23" s="77">
        <f t="shared" ca="1" si="76"/>
        <v>10.920439796885596</v>
      </c>
      <c r="BJ23" s="77">
        <f t="shared" ca="1" si="77"/>
        <v>0</v>
      </c>
      <c r="BK23" s="77">
        <f t="shared" ca="1" si="78"/>
        <v>3.3374450076925943</v>
      </c>
      <c r="BL23" s="54">
        <f t="shared" ca="1" si="79"/>
        <v>3.3711565734268638E-2</v>
      </c>
      <c r="BM23" s="53">
        <f ca="1">OFFSET('National statistics'!$A$6,MATCH(R0_estimation!$A23,'National statistics'!$A$7:$A$5000,0),MATCH(R0_estimation!BM$16 &amp; "_Running14daysNew",'National statistics'!$B$1:$HA$1,0))</f>
        <v>8</v>
      </c>
      <c r="BN23" s="97">
        <f t="shared" ca="1" si="80"/>
        <v>1.9865205416387972</v>
      </c>
      <c r="BO23" s="98">
        <f t="shared" si="81"/>
        <v>0.6</v>
      </c>
      <c r="BP23" s="77">
        <f t="shared" ca="1" si="82"/>
        <v>4107624.4468503236</v>
      </c>
      <c r="BQ23" s="77">
        <f t="shared" ca="1" si="83"/>
        <v>2.4994023455308119</v>
      </c>
      <c r="BR23" s="77">
        <f t="shared" ca="1" si="84"/>
        <v>6.0955154916855383</v>
      </c>
      <c r="BS23" s="77">
        <f t="shared" ca="1" si="85"/>
        <v>0</v>
      </c>
      <c r="BT23" s="77">
        <f t="shared" ca="1" si="86"/>
        <v>2.1067119606680178</v>
      </c>
      <c r="BU23" s="54">
        <f t="shared" ca="1" si="87"/>
        <v>2.1279918794626443E-2</v>
      </c>
      <c r="BV23" s="53">
        <f ca="1">OFFSET('National statistics'!$A$6,MATCH(R0_estimation!$A23,'National statistics'!$A$7:$A$5000,0),MATCH(R0_estimation!BV$16 &amp; "_Running14daysNew",'National statistics'!$B$1:$HA$1,0))</f>
        <v>7</v>
      </c>
      <c r="BW23" s="97">
        <f t="shared" ca="1" si="88"/>
        <v>1.3799241468388452</v>
      </c>
      <c r="BX23" s="98">
        <f t="shared" si="89"/>
        <v>1.3375196464737016</v>
      </c>
      <c r="BY23" s="77">
        <f t="shared" ca="1" si="90"/>
        <v>1322223.901424251</v>
      </c>
      <c r="BZ23" s="77">
        <f t="shared" ca="1" si="91"/>
        <v>2.4889047604594703</v>
      </c>
      <c r="CA23" s="77">
        <f t="shared" ca="1" si="92"/>
        <v>5.8555437313030811</v>
      </c>
      <c r="CB23" s="77">
        <f t="shared" ca="1" si="93"/>
        <v>0</v>
      </c>
      <c r="CC23" s="77">
        <f t="shared" ca="1" si="94"/>
        <v>1.8346676388190195</v>
      </c>
      <c r="CD23" s="54">
        <f t="shared" ca="1" si="95"/>
        <v>1.8531996351707269E-2</v>
      </c>
      <c r="CE23" s="53">
        <f ca="1">OFFSET('National statistics'!$A$6,MATCH(R0_estimation!$A23,'National statistics'!$A$7:$A$5000,0),MATCH(R0_estimation!CE$16 &amp; "_Running14daysNew",'National statistics'!$B$1:$HA$1,0))</f>
        <v>307</v>
      </c>
      <c r="CF23" s="97">
        <f t="shared" ca="1" si="96"/>
        <v>2.4331242245373454</v>
      </c>
      <c r="CG23" s="98">
        <f t="shared" si="97"/>
        <v>1.3</v>
      </c>
      <c r="CH23" s="77">
        <f t="shared" ca="1" si="98"/>
        <v>7304312.6655247416</v>
      </c>
      <c r="CI23" s="77">
        <f t="shared" ca="1" si="99"/>
        <v>164.77103644833977</v>
      </c>
      <c r="CJ23" s="77">
        <f t="shared" ca="1" si="100"/>
        <v>308.68130621588989</v>
      </c>
      <c r="CK23" s="77">
        <f t="shared" ca="1" si="101"/>
        <v>0</v>
      </c>
      <c r="CL23" s="77">
        <f t="shared" ca="1" si="102"/>
        <v>95.81854876555488</v>
      </c>
      <c r="CM23" s="54">
        <f t="shared" ca="1" si="103"/>
        <v>0.96786412894499885</v>
      </c>
      <c r="CO23" s="209"/>
      <c r="CP23" s="210"/>
    </row>
    <row r="24" spans="1:94">
      <c r="A24" s="83">
        <v>43924</v>
      </c>
      <c r="B24" s="53">
        <f ca="1">OFFSET('National statistics'!$A$6,MATCH(R0_estimation!$A24,'National statistics'!$A$7:$A$5000,0),MATCH(R0_estimation!B$16 &amp; "_Running14daysNew",'National statistics'!$B$1:$HA$1,0))</f>
        <v>1209</v>
      </c>
      <c r="C24" s="97">
        <f t="shared" ca="1" si="24"/>
        <v>1.9211610393424374</v>
      </c>
      <c r="D24" s="98">
        <f t="shared" si="25"/>
        <v>1.3827762180585019</v>
      </c>
      <c r="E24" s="77">
        <f t="shared" ca="1" si="26"/>
        <v>59715144.788001083</v>
      </c>
      <c r="F24" s="77">
        <f t="shared" ca="1" si="27"/>
        <v>619.25644643012902</v>
      </c>
      <c r="G24" s="77">
        <f t="shared" ca="1" si="28"/>
        <v>1292.111879583387</v>
      </c>
      <c r="H24" s="77">
        <f t="shared" ca="1" si="29"/>
        <v>0</v>
      </c>
      <c r="I24" s="77">
        <f t="shared" ca="1" si="30"/>
        <v>466.64305127819199</v>
      </c>
      <c r="J24" s="54">
        <f t="shared" ca="1" si="31"/>
        <v>4.713566174527192</v>
      </c>
      <c r="K24" s="53">
        <f ca="1">OFFSET('National statistics'!$A$6,MATCH(R0_estimation!$A24,'National statistics'!$A$7:$A$5000,0),MATCH(R0_estimation!K$16 &amp; "_Running14daysNew",'National statistics'!$B$1:$HA$1,0))</f>
        <v>21</v>
      </c>
      <c r="L24" s="97">
        <f t="shared" ca="1" si="32"/>
        <v>2.7782873101034609</v>
      </c>
      <c r="M24" s="98">
        <f t="shared" si="33"/>
        <v>5.094553629032375</v>
      </c>
      <c r="N24" s="77">
        <f t="shared" ca="1" si="34"/>
        <v>6870718.3166511422</v>
      </c>
      <c r="O24" s="77">
        <f t="shared" ca="1" si="35"/>
        <v>16.374902834943605</v>
      </c>
      <c r="P24" s="77">
        <f t="shared" ca="1" si="36"/>
        <v>23.464911911293459</v>
      </c>
      <c r="Q24" s="77">
        <f t="shared" ca="1" si="37"/>
        <v>0</v>
      </c>
      <c r="R24" s="77">
        <f t="shared" ca="1" si="38"/>
        <v>5.9666555157686121</v>
      </c>
      <c r="S24" s="54">
        <f t="shared" ca="1" si="39"/>
        <v>6.0269247634026392E-2</v>
      </c>
      <c r="T24" s="53">
        <f ca="1">OFFSET('National statistics'!$A$6,MATCH(R0_estimation!$A24,'National statistics'!$A$7:$A$5000,0),MATCH(R0_estimation!T$16 &amp; "_Running14daysNew",'National statistics'!$B$1:$HA$1,0))</f>
        <v>77</v>
      </c>
      <c r="U24" s="97">
        <f t="shared" ca="1" si="40"/>
        <v>1.0062710569511544</v>
      </c>
      <c r="V24" s="98">
        <f t="shared" si="41"/>
        <v>1.1785761441384355</v>
      </c>
      <c r="W24" s="77">
        <f t="shared" ca="1" si="42"/>
        <v>2808873.8054605848</v>
      </c>
      <c r="X24" s="77">
        <f t="shared" ca="1" si="43"/>
        <v>26.608107801184929</v>
      </c>
      <c r="Y24" s="77">
        <f t="shared" ca="1" si="44"/>
        <v>78.267303976468767</v>
      </c>
      <c r="Z24" s="77">
        <f t="shared" ca="1" si="45"/>
        <v>0</v>
      </c>
      <c r="AA24" s="77">
        <f t="shared" ca="1" si="46"/>
        <v>30.143990491769291</v>
      </c>
      <c r="AB24" s="54">
        <f t="shared" ca="1" si="47"/>
        <v>0.30448475244211404</v>
      </c>
      <c r="AC24" s="53">
        <f ca="1">OFFSET('National statistics'!$A$6,MATCH(R0_estimation!$A24,'National statistics'!$A$7:$A$5000,0),MATCH(R0_estimation!AC$16 &amp; "_Running14daysNew",'National statistics'!$B$1:$HA$1,0))</f>
        <v>563</v>
      </c>
      <c r="AD24" s="97">
        <f t="shared" ca="1" si="48"/>
        <v>1.1513150830584011</v>
      </c>
      <c r="AE24" s="98">
        <f t="shared" si="49"/>
        <v>1.6884571396112655</v>
      </c>
      <c r="AF24" s="77">
        <f t="shared" ca="1" si="50"/>
        <v>15638265.978440927</v>
      </c>
      <c r="AG24" s="77">
        <f t="shared" ca="1" si="51"/>
        <v>262.12044854579273</v>
      </c>
      <c r="AH24" s="77">
        <f t="shared" ca="1" si="52"/>
        <v>666.94456147252049</v>
      </c>
      <c r="AI24" s="77">
        <f t="shared" ca="1" si="53"/>
        <v>0</v>
      </c>
      <c r="AJ24" s="77">
        <f t="shared" ca="1" si="54"/>
        <v>238.71681709263427</v>
      </c>
      <c r="AK24" s="54">
        <f t="shared" ca="1" si="55"/>
        <v>2.4112809807336797</v>
      </c>
      <c r="AL24" s="53">
        <f ca="1">OFFSET('National statistics'!$A$6,MATCH(R0_estimation!$A24,'National statistics'!$A$7:$A$5000,0),MATCH(R0_estimation!AL$16 &amp; "_Running14daysNew",'National statistics'!$B$1:$HA$1,0))</f>
        <v>191</v>
      </c>
      <c r="AM24" s="97">
        <f t="shared" ca="1" si="56"/>
        <v>1.4899002769655674</v>
      </c>
      <c r="AN24" s="98">
        <f t="shared" si="57"/>
        <v>1.7859886972162524</v>
      </c>
      <c r="AO24" s="77">
        <f t="shared" ca="1" si="58"/>
        <v>11000181.128422692</v>
      </c>
      <c r="AP24" s="77">
        <f t="shared" ca="1" si="59"/>
        <v>86.067329343890194</v>
      </c>
      <c r="AQ24" s="77">
        <f t="shared" ca="1" si="60"/>
        <v>193.83952848924704</v>
      </c>
      <c r="AR24" s="77">
        <f t="shared" ca="1" si="61"/>
        <v>0</v>
      </c>
      <c r="AS24" s="77">
        <f t="shared" ca="1" si="62"/>
        <v>67.683039646081752</v>
      </c>
      <c r="AT24" s="54">
        <f t="shared" ca="1" si="63"/>
        <v>0.68366706713213898</v>
      </c>
      <c r="AU24" s="53">
        <f ca="1">OFFSET('National statistics'!$A$6,MATCH(R0_estimation!$A24,'National statistics'!$A$7:$A$5000,0),MATCH(R0_estimation!AU$16 &amp; "_Running14daysNew",'National statistics'!$B$1:$HA$1,0))</f>
        <v>15</v>
      </c>
      <c r="AV24" s="97">
        <f t="shared" ca="1" si="64"/>
        <v>1.7150884819427765</v>
      </c>
      <c r="AW24" s="98">
        <f t="shared" si="65"/>
        <v>1.1524491675693536</v>
      </c>
      <c r="AX24" s="77">
        <f t="shared" ca="1" si="66"/>
        <v>5853815.2303600367</v>
      </c>
      <c r="AY24" s="77">
        <f t="shared" ca="1" si="67"/>
        <v>5.6801406513748365</v>
      </c>
      <c r="AZ24" s="77">
        <f t="shared" ca="1" si="68"/>
        <v>12.981636078100683</v>
      </c>
      <c r="BA24" s="77">
        <f t="shared" ca="1" si="69"/>
        <v>0</v>
      </c>
      <c r="BB24" s="77">
        <f t="shared" ca="1" si="70"/>
        <v>4.8757699818173181</v>
      </c>
      <c r="BC24" s="54">
        <f t="shared" ca="1" si="71"/>
        <v>4.9250201836538568E-2</v>
      </c>
      <c r="BD24" s="53">
        <f ca="1">OFFSET('National statistics'!$A$6,MATCH(R0_estimation!$A24,'National statistics'!$A$7:$A$5000,0),MATCH(R0_estimation!BD$16 &amp; "_Running14daysNew",'National statistics'!$B$1:$HA$1,0))</f>
        <v>8</v>
      </c>
      <c r="BE24" s="97">
        <f t="shared" ca="1" si="72"/>
        <v>1.4435626881707697</v>
      </c>
      <c r="BF24" s="98">
        <f t="shared" si="73"/>
        <v>1.518397365409784</v>
      </c>
      <c r="BG24" s="77">
        <f t="shared" ca="1" si="74"/>
        <v>4809177.3085096292</v>
      </c>
      <c r="BH24" s="77">
        <f t="shared" ca="1" si="75"/>
        <v>4.8087257098989591</v>
      </c>
      <c r="BI24" s="77">
        <f t="shared" ca="1" si="76"/>
        <v>11.367977033816969</v>
      </c>
      <c r="BJ24" s="77">
        <f t="shared" ca="1" si="77"/>
        <v>0</v>
      </c>
      <c r="BK24" s="77">
        <f t="shared" ca="1" si="78"/>
        <v>4.1096761076152184</v>
      </c>
      <c r="BL24" s="54">
        <f t="shared" ca="1" si="79"/>
        <v>4.1511879874901209E-2</v>
      </c>
      <c r="BM24" s="53">
        <f ca="1">OFFSET('National statistics'!$A$6,MATCH(R0_estimation!$A24,'National statistics'!$A$7:$A$5000,0),MATCH(R0_estimation!BM$16 &amp; "_Running14daysNew",'National statistics'!$B$1:$HA$1,0))</f>
        <v>9</v>
      </c>
      <c r="BN24" s="97">
        <f t="shared" ca="1" si="80"/>
        <v>1.9865205416387972</v>
      </c>
      <c r="BO24" s="98">
        <f t="shared" si="81"/>
        <v>0.6</v>
      </c>
      <c r="BP24" s="77">
        <f t="shared" ca="1" si="82"/>
        <v>4107623.5819335245</v>
      </c>
      <c r="BQ24" s="77">
        <f t="shared" ca="1" si="83"/>
        <v>2.7394685583521738</v>
      </c>
      <c r="BR24" s="77">
        <f t="shared" ca="1" si="84"/>
        <v>6.2849721143764166</v>
      </c>
      <c r="BS24" s="77">
        <f t="shared" ca="1" si="85"/>
        <v>0</v>
      </c>
      <c r="BT24" s="77">
        <f t="shared" ca="1" si="86"/>
        <v>2.5377519847229237</v>
      </c>
      <c r="BU24" s="54">
        <f t="shared" ca="1" si="87"/>
        <v>2.5633858431544684E-2</v>
      </c>
      <c r="BV24" s="53">
        <f ca="1">OFFSET('National statistics'!$A$6,MATCH(R0_estimation!$A24,'National statistics'!$A$7:$A$5000,0),MATCH(R0_estimation!BV$16 &amp; "_Running14daysNew",'National statistics'!$B$1:$HA$1,0))</f>
        <v>7</v>
      </c>
      <c r="BW24" s="97">
        <f t="shared" ca="1" si="88"/>
        <v>1.3799241468388452</v>
      </c>
      <c r="BX24" s="98">
        <f t="shared" si="89"/>
        <v>1.3375196464737016</v>
      </c>
      <c r="BY24" s="77">
        <f t="shared" ca="1" si="90"/>
        <v>1322223.3242711094</v>
      </c>
      <c r="BZ24" s="77">
        <f t="shared" ca="1" si="91"/>
        <v>2.4438317119772934</v>
      </c>
      <c r="CA24" s="77">
        <f t="shared" ca="1" si="92"/>
        <v>6.0595167977534423</v>
      </c>
      <c r="CB24" s="77">
        <f t="shared" ca="1" si="93"/>
        <v>0</v>
      </c>
      <c r="CC24" s="77">
        <f t="shared" ca="1" si="94"/>
        <v>2.2487382312468802</v>
      </c>
      <c r="CD24" s="54">
        <f t="shared" ca="1" si="95"/>
        <v>2.2714527588352327E-2</v>
      </c>
      <c r="CE24" s="53">
        <f ca="1">OFFSET('National statistics'!$A$6,MATCH(R0_estimation!$A24,'National statistics'!$A$7:$A$5000,0),MATCH(R0_estimation!CE$16 &amp; "_Running14daysNew",'National statistics'!$B$1:$HA$1,0))</f>
        <v>318</v>
      </c>
      <c r="CF24" s="97">
        <f t="shared" ca="1" si="96"/>
        <v>2.4331242245373454</v>
      </c>
      <c r="CG24" s="98">
        <f t="shared" si="97"/>
        <v>1.3</v>
      </c>
      <c r="CH24" s="77">
        <f t="shared" ca="1" si="98"/>
        <v>7304259.0225652009</v>
      </c>
      <c r="CI24" s="77">
        <f t="shared" ca="1" si="99"/>
        <v>177.22123687657324</v>
      </c>
      <c r="CJ24" s="77">
        <f t="shared" ca="1" si="100"/>
        <v>327.8254005982684</v>
      </c>
      <c r="CK24" s="77">
        <f t="shared" ca="1" si="101"/>
        <v>0</v>
      </c>
      <c r="CL24" s="77">
        <f t="shared" ca="1" si="102"/>
        <v>117.64672684796423</v>
      </c>
      <c r="CM24" s="54">
        <f t="shared" ca="1" si="103"/>
        <v>1.1883507762420631</v>
      </c>
      <c r="CO24" s="209"/>
      <c r="CP24" s="210"/>
    </row>
    <row r="25" spans="1:94">
      <c r="A25" s="83">
        <v>43925</v>
      </c>
      <c r="B25" s="53">
        <f ca="1">OFFSET('National statistics'!$A$6,MATCH(R0_estimation!$A25,'National statistics'!$A$7:$A$5000,0),MATCH(R0_estimation!B$16 &amp; "_Running14daysNew",'National statistics'!$B$1:$HA$1,0))</f>
        <v>1282</v>
      </c>
      <c r="C25" s="97">
        <f t="shared" ca="1" si="24"/>
        <v>1.9211610393424374</v>
      </c>
      <c r="D25" s="98">
        <f t="shared" si="25"/>
        <v>1.3827762180585019</v>
      </c>
      <c r="E25" s="77">
        <f t="shared" ca="1" si="26"/>
        <v>59714967.483990252</v>
      </c>
      <c r="F25" s="77">
        <f t="shared" ca="1" si="27"/>
        <v>641.74634565636052</v>
      </c>
      <c r="G25" s="77">
        <f t="shared" ca="1" si="28"/>
        <v>1354.6322855063918</v>
      </c>
      <c r="H25" s="77">
        <f t="shared" ca="1" si="29"/>
        <v>0</v>
      </c>
      <c r="I25" s="77">
        <f t="shared" ca="1" si="30"/>
        <v>558.01381990587436</v>
      </c>
      <c r="J25" s="54">
        <f t="shared" ca="1" si="31"/>
        <v>5.6365032313724681</v>
      </c>
      <c r="K25" s="53">
        <f ca="1">OFFSET('National statistics'!$A$6,MATCH(R0_estimation!$A25,'National statistics'!$A$7:$A$5000,0),MATCH(R0_estimation!K$16 &amp; "_Running14daysNew",'National statistics'!$B$1:$HA$1,0))</f>
        <v>24</v>
      </c>
      <c r="L25" s="97">
        <f t="shared" ca="1" si="32"/>
        <v>2.7782873101034609</v>
      </c>
      <c r="M25" s="98">
        <f t="shared" si="33"/>
        <v>5.094553629032375</v>
      </c>
      <c r="N25" s="77">
        <f t="shared" ca="1" si="34"/>
        <v>6870713.660091687</v>
      </c>
      <c r="O25" s="77">
        <f t="shared" ca="1" si="35"/>
        <v>16.937736581041406</v>
      </c>
      <c r="P25" s="77">
        <f t="shared" ca="1" si="36"/>
        <v>25.882572483508397</v>
      </c>
      <c r="Q25" s="77">
        <f t="shared" ca="1" si="37"/>
        <v>0</v>
      </c>
      <c r="R25" s="77">
        <f t="shared" ca="1" si="38"/>
        <v>7.6259600009243638</v>
      </c>
      <c r="S25" s="54">
        <f t="shared" ca="1" si="39"/>
        <v>7.7029898999236013E-2</v>
      </c>
      <c r="T25" s="53">
        <f ca="1">OFFSET('National statistics'!$A$6,MATCH(R0_estimation!$A25,'National statistics'!$A$7:$A$5000,0),MATCH(R0_estimation!T$16 &amp; "_Running14daysNew",'National statistics'!$B$1:$HA$1,0))</f>
        <v>78</v>
      </c>
      <c r="U25" s="97">
        <f t="shared" ca="1" si="40"/>
        <v>1.0062710569511544</v>
      </c>
      <c r="V25" s="98">
        <f t="shared" si="41"/>
        <v>1.1785761441384355</v>
      </c>
      <c r="W25" s="77">
        <f t="shared" ca="1" si="42"/>
        <v>2808868.1801507943</v>
      </c>
      <c r="X25" s="77">
        <f t="shared" ca="1" si="43"/>
        <v>25.581390641230023</v>
      </c>
      <c r="Y25" s="77">
        <f t="shared" ca="1" si="44"/>
        <v>79.328809214160088</v>
      </c>
      <c r="Z25" s="77">
        <f t="shared" ca="1" si="45"/>
        <v>0</v>
      </c>
      <c r="AA25" s="77">
        <f t="shared" ca="1" si="46"/>
        <v>35.678606987248152</v>
      </c>
      <c r="AB25" s="54">
        <f t="shared" ca="1" si="47"/>
        <v>0.36038996956816316</v>
      </c>
      <c r="AC25" s="53">
        <f ca="1">OFFSET('National statistics'!$A$6,MATCH(R0_estimation!$A25,'National statistics'!$A$7:$A$5000,0),MATCH(R0_estimation!AC$16 &amp; "_Running14daysNew",'National statistics'!$B$1:$HA$1,0))</f>
        <v>568</v>
      </c>
      <c r="AD25" s="97">
        <f t="shared" ca="1" si="48"/>
        <v>1.1513150830584011</v>
      </c>
      <c r="AE25" s="98">
        <f t="shared" si="49"/>
        <v>1.6884571396112655</v>
      </c>
      <c r="AF25" s="77">
        <f t="shared" ca="1" si="50"/>
        <v>15638211.135155387</v>
      </c>
      <c r="AG25" s="77">
        <f t="shared" ca="1" si="51"/>
        <v>251.43362194886811</v>
      </c>
      <c r="AH25" s="77">
        <f t="shared" ca="1" si="52"/>
        <v>684.8357763609315</v>
      </c>
      <c r="AI25" s="77">
        <f t="shared" ca="1" si="53"/>
        <v>0</v>
      </c>
      <c r="AJ25" s="77">
        <f t="shared" ca="1" si="54"/>
        <v>285.87932536819108</v>
      </c>
      <c r="AK25" s="54">
        <f t="shared" ca="1" si="55"/>
        <v>2.8876699532140515</v>
      </c>
      <c r="AL25" s="53">
        <f ca="1">OFFSET('National statistics'!$A$6,MATCH(R0_estimation!$A25,'National statistics'!$A$7:$A$5000,0),MATCH(R0_estimation!AL$16 &amp; "_Running14daysNew",'National statistics'!$B$1:$HA$1,0))</f>
        <v>205</v>
      </c>
      <c r="AM25" s="97">
        <f t="shared" ca="1" si="56"/>
        <v>1.4899002769655674</v>
      </c>
      <c r="AN25" s="98">
        <f t="shared" si="57"/>
        <v>1.7859886972162524</v>
      </c>
      <c r="AO25" s="77">
        <f t="shared" ca="1" si="58"/>
        <v>11000160.500391139</v>
      </c>
      <c r="AP25" s="77">
        <f t="shared" ca="1" si="59"/>
        <v>85.178528562013071</v>
      </c>
      <c r="AQ25" s="77">
        <f t="shared" ca="1" si="60"/>
        <v>201.51068021884478</v>
      </c>
      <c r="AR25" s="77">
        <f t="shared" ca="1" si="61"/>
        <v>0</v>
      </c>
      <c r="AS25" s="77">
        <f t="shared" ca="1" si="62"/>
        <v>81.390263446392794</v>
      </c>
      <c r="AT25" s="54">
        <f t="shared" ca="1" si="63"/>
        <v>0.82212387319588687</v>
      </c>
      <c r="AU25" s="53">
        <f ca="1">OFFSET('National statistics'!$A$6,MATCH(R0_estimation!$A25,'National statistics'!$A$7:$A$5000,0),MATCH(R0_estimation!AU$16 &amp; "_Running14daysNew",'National statistics'!$B$1:$HA$1,0))</f>
        <v>17</v>
      </c>
      <c r="AV25" s="97">
        <f t="shared" ca="1" si="64"/>
        <v>1.7150884819427765</v>
      </c>
      <c r="AW25" s="98">
        <f t="shared" si="65"/>
        <v>1.1524491675693536</v>
      </c>
      <c r="AX25" s="77">
        <f t="shared" ca="1" si="66"/>
        <v>5853813.6400339659</v>
      </c>
      <c r="AY25" s="77">
        <f t="shared" ca="1" si="67"/>
        <v>5.850431559313849</v>
      </c>
      <c r="AZ25" s="77">
        <f t="shared" ca="1" si="68"/>
        <v>13.474411521080057</v>
      </c>
      <c r="BA25" s="77">
        <f t="shared" ca="1" si="69"/>
        <v>0</v>
      </c>
      <c r="BB25" s="77">
        <f t="shared" ca="1" si="70"/>
        <v>5.7937571044830092</v>
      </c>
      <c r="BC25" s="54">
        <f t="shared" ca="1" si="71"/>
        <v>5.8522799035181913E-2</v>
      </c>
      <c r="BD25" s="53">
        <f ca="1">OFFSET('National statistics'!$A$6,MATCH(R0_estimation!$A25,'National statistics'!$A$7:$A$5000,0),MATCH(R0_estimation!BD$16 &amp; "_Running14daysNew",'National statistics'!$B$1:$HA$1,0))</f>
        <v>13</v>
      </c>
      <c r="BE25" s="97">
        <f t="shared" ca="1" si="72"/>
        <v>1.4435626881707697</v>
      </c>
      <c r="BF25" s="98">
        <f t="shared" si="73"/>
        <v>1.518397365409784</v>
      </c>
      <c r="BG25" s="77">
        <f t="shared" ca="1" si="74"/>
        <v>4809176.1363440389</v>
      </c>
      <c r="BH25" s="77">
        <f t="shared" ca="1" si="75"/>
        <v>4.7787098726347832</v>
      </c>
      <c r="BI25" s="77">
        <f t="shared" ca="1" si="76"/>
        <v>11.758160101733353</v>
      </c>
      <c r="BJ25" s="77">
        <f t="shared" ca="1" si="77"/>
        <v>0</v>
      </c>
      <c r="BK25" s="77">
        <f t="shared" ca="1" si="78"/>
        <v>4.9135544835779896</v>
      </c>
      <c r="BL25" s="54">
        <f t="shared" ca="1" si="79"/>
        <v>4.9631863470484761E-2</v>
      </c>
      <c r="BM25" s="53">
        <f ca="1">OFFSET('National statistics'!$A$6,MATCH(R0_estimation!$A25,'National statistics'!$A$7:$A$5000,0),MATCH(R0_estimation!BM$16 &amp; "_Running14daysNew",'National statistics'!$B$1:$HA$1,0))</f>
        <v>11</v>
      </c>
      <c r="BN25" s="97">
        <f t="shared" ca="1" si="80"/>
        <v>1.9865205416387972</v>
      </c>
      <c r="BO25" s="98">
        <f t="shared" si="81"/>
        <v>0.6</v>
      </c>
      <c r="BP25" s="77">
        <f t="shared" ca="1" si="82"/>
        <v>4107622.6901341625</v>
      </c>
      <c r="BQ25" s="77">
        <f t="shared" ca="1" si="83"/>
        <v>2.946400780575305</v>
      </c>
      <c r="BR25" s="77">
        <f t="shared" ca="1" si="84"/>
        <v>6.5209126743661452</v>
      </c>
      <c r="BS25" s="77">
        <f t="shared" ca="1" si="85"/>
        <v>0</v>
      </c>
      <c r="BT25" s="77">
        <f t="shared" ca="1" si="86"/>
        <v>2.982189298525256</v>
      </c>
      <c r="BU25" s="54">
        <f t="shared" ca="1" si="87"/>
        <v>3.0123124227527838E-2</v>
      </c>
      <c r="BV25" s="53">
        <f ca="1">OFFSET('National statistics'!$A$6,MATCH(R0_estimation!$A25,'National statistics'!$A$7:$A$5000,0),MATCH(R0_estimation!BV$16 &amp; "_Running14daysNew",'National statistics'!$B$1:$HA$1,0))</f>
        <v>7</v>
      </c>
      <c r="BW25" s="97">
        <f t="shared" ca="1" si="88"/>
        <v>1.3799241468388452</v>
      </c>
      <c r="BX25" s="98">
        <f t="shared" si="89"/>
        <v>1.3375196464737016</v>
      </c>
      <c r="BY25" s="77">
        <f t="shared" ca="1" si="90"/>
        <v>1322222.72701357</v>
      </c>
      <c r="BZ25" s="77">
        <f t="shared" ca="1" si="91"/>
        <v>2.4301313234325974</v>
      </c>
      <c r="CA25" s="77">
        <f t="shared" ca="1" si="92"/>
        <v>6.237652097336805</v>
      </c>
      <c r="CB25" s="77">
        <f t="shared" ca="1" si="93"/>
        <v>0</v>
      </c>
      <c r="CC25" s="77">
        <f t="shared" ca="1" si="94"/>
        <v>2.6772326333737309</v>
      </c>
      <c r="CD25" s="54">
        <f t="shared" ca="1" si="95"/>
        <v>2.7042753872461928E-2</v>
      </c>
      <c r="CE25" s="53">
        <f ca="1">OFFSET('National statistics'!$A$6,MATCH(R0_estimation!$A25,'National statistics'!$A$7:$A$5000,0),MATCH(R0_estimation!CE$16 &amp; "_Running14daysNew",'National statistics'!$B$1:$HA$1,0))</f>
        <v>359</v>
      </c>
      <c r="CF25" s="97">
        <f t="shared" ca="1" si="96"/>
        <v>2.4331242245373454</v>
      </c>
      <c r="CG25" s="98">
        <f t="shared" si="97"/>
        <v>1.3</v>
      </c>
      <c r="CH25" s="77">
        <f t="shared" ca="1" si="98"/>
        <v>7304202.0531416275</v>
      </c>
      <c r="CI25" s="77">
        <f t="shared" ca="1" si="99"/>
        <v>189.88535123103313</v>
      </c>
      <c r="CJ25" s="77">
        <f t="shared" ca="1" si="100"/>
        <v>348.71460977467825</v>
      </c>
      <c r="CK25" s="77">
        <f t="shared" ca="1" si="101"/>
        <v>0</v>
      </c>
      <c r="CL25" s="77">
        <f t="shared" ca="1" si="102"/>
        <v>140.82866589027034</v>
      </c>
      <c r="CM25" s="54">
        <f t="shared" ca="1" si="103"/>
        <v>1.4225117766693978</v>
      </c>
      <c r="CO25" s="209"/>
      <c r="CP25" s="210"/>
    </row>
    <row r="26" spans="1:94">
      <c r="A26" s="83">
        <v>43926</v>
      </c>
      <c r="B26" s="53">
        <f ca="1">OFFSET('National statistics'!$A$6,MATCH(R0_estimation!$A26,'National statistics'!$A$7:$A$5000,0),MATCH(R0_estimation!B$16 &amp; "_Running14daysNew",'National statistics'!$B$1:$HA$1,0))</f>
        <v>1304</v>
      </c>
      <c r="C26" s="97">
        <f t="shared" ca="1" si="24"/>
        <v>1.9211610393424374</v>
      </c>
      <c r="D26" s="98">
        <f t="shared" si="25"/>
        <v>1.3827762180585019</v>
      </c>
      <c r="E26" s="77">
        <f t="shared" ca="1" si="26"/>
        <v>59714781.601458102</v>
      </c>
      <c r="F26" s="77">
        <f t="shared" ca="1" si="27"/>
        <v>667.19229139255401</v>
      </c>
      <c r="G26" s="77">
        <f t="shared" ca="1" si="28"/>
        <v>1418.3094229557396</v>
      </c>
      <c r="H26" s="77">
        <f t="shared" ca="1" si="29"/>
        <v>0</v>
      </c>
      <c r="I26" s="77">
        <f t="shared" ca="1" si="30"/>
        <v>653.80567438096921</v>
      </c>
      <c r="J26" s="54">
        <f t="shared" ca="1" si="31"/>
        <v>6.6040977210198912</v>
      </c>
      <c r="K26" s="53">
        <f ca="1">OFFSET('National statistics'!$A$6,MATCH(R0_estimation!$A26,'National statistics'!$A$7:$A$5000,0),MATCH(R0_estimation!K$16 &amp; "_Running14daysNew",'National statistics'!$B$1:$HA$1,0))</f>
        <v>29</v>
      </c>
      <c r="L26" s="97">
        <f t="shared" ca="1" si="32"/>
        <v>2.7782873101034609</v>
      </c>
      <c r="M26" s="98">
        <f t="shared" si="33"/>
        <v>5.094553629032375</v>
      </c>
      <c r="N26" s="77">
        <f t="shared" ca="1" si="34"/>
        <v>6870708.5237563504</v>
      </c>
      <c r="O26" s="77">
        <f t="shared" ca="1" si="35"/>
        <v>17.839637772533916</v>
      </c>
      <c r="P26" s="77">
        <f t="shared" ca="1" si="36"/>
        <v>28.268251451375292</v>
      </c>
      <c r="Q26" s="77">
        <f t="shared" ca="1" si="37"/>
        <v>0</v>
      </c>
      <c r="R26" s="77">
        <f t="shared" ca="1" si="38"/>
        <v>9.4562276265438854</v>
      </c>
      <c r="S26" s="54">
        <f t="shared" ca="1" si="39"/>
        <v>9.5517450773170587E-2</v>
      </c>
      <c r="T26" s="53">
        <f ca="1">OFFSET('National statistics'!$A$6,MATCH(R0_estimation!$A26,'National statistics'!$A$7:$A$5000,0),MATCH(R0_estimation!T$16 &amp; "_Running14daysNew",'National statistics'!$B$1:$HA$1,0))</f>
        <v>78</v>
      </c>
      <c r="U26" s="97">
        <f t="shared" ca="1" si="40"/>
        <v>1.0062710569511544</v>
      </c>
      <c r="V26" s="98">
        <f t="shared" si="41"/>
        <v>1.1785761441384355</v>
      </c>
      <c r="W26" s="77">
        <f t="shared" ca="1" si="42"/>
        <v>2808862.4785586908</v>
      </c>
      <c r="X26" s="77">
        <f t="shared" ca="1" si="43"/>
        <v>24.887635084367361</v>
      </c>
      <c r="Y26" s="77">
        <f t="shared" ca="1" si="44"/>
        <v>80.057813359170453</v>
      </c>
      <c r="Z26" s="77">
        <f t="shared" ca="1" si="45"/>
        <v>0</v>
      </c>
      <c r="AA26" s="77">
        <f t="shared" ca="1" si="46"/>
        <v>41.288287067392332</v>
      </c>
      <c r="AB26" s="54">
        <f t="shared" ca="1" si="47"/>
        <v>0.41705340472113467</v>
      </c>
      <c r="AC26" s="53">
        <f ca="1">OFFSET('National statistics'!$A$6,MATCH(R0_estimation!$A26,'National statistics'!$A$7:$A$5000,0),MATCH(R0_estimation!AC$16 &amp; "_Running14daysNew",'National statistics'!$B$1:$HA$1,0))</f>
        <v>572</v>
      </c>
      <c r="AD26" s="97">
        <f t="shared" ca="1" si="48"/>
        <v>1.1513150830584011</v>
      </c>
      <c r="AE26" s="98">
        <f t="shared" si="49"/>
        <v>1.6884571396112655</v>
      </c>
      <c r="AF26" s="77">
        <f t="shared" ca="1" si="50"/>
        <v>15638154.820859378</v>
      </c>
      <c r="AG26" s="77">
        <f t="shared" ca="1" si="51"/>
        <v>244.88951247133437</v>
      </c>
      <c r="AH26" s="77">
        <f t="shared" ca="1" si="52"/>
        <v>698.77734067951064</v>
      </c>
      <c r="AI26" s="77">
        <f t="shared" ca="1" si="53"/>
        <v>0</v>
      </c>
      <c r="AJ26" s="77">
        <f t="shared" ca="1" si="54"/>
        <v>334.30699812514268</v>
      </c>
      <c r="AK26" s="54">
        <f t="shared" ca="1" si="55"/>
        <v>3.376838364900431</v>
      </c>
      <c r="AL26" s="53">
        <f ca="1">OFFSET('National statistics'!$A$6,MATCH(R0_estimation!$A26,'National statistics'!$A$7:$A$5000,0),MATCH(R0_estimation!AL$16 &amp; "_Running14daysNew",'National statistics'!$B$1:$HA$1,0))</f>
        <v>210</v>
      </c>
      <c r="AM26" s="97">
        <f t="shared" ca="1" si="56"/>
        <v>1.4899002769655674</v>
      </c>
      <c r="AN26" s="98">
        <f t="shared" si="57"/>
        <v>1.7859886972162524</v>
      </c>
      <c r="AO26" s="77">
        <f t="shared" ca="1" si="58"/>
        <v>11000139.056050247</v>
      </c>
      <c r="AP26" s="77">
        <f t="shared" ca="1" si="59"/>
        <v>85.328237314199427</v>
      </c>
      <c r="AQ26" s="77">
        <f t="shared" ca="1" si="60"/>
        <v>208.41169234371628</v>
      </c>
      <c r="AR26" s="77">
        <f t="shared" ca="1" si="61"/>
        <v>0</v>
      </c>
      <c r="AS26" s="77">
        <f t="shared" ca="1" si="62"/>
        <v>95.639947261868244</v>
      </c>
      <c r="AT26" s="54">
        <f t="shared" ca="1" si="63"/>
        <v>0.96606007335220456</v>
      </c>
      <c r="AU26" s="53">
        <f ca="1">OFFSET('National statistics'!$A$6,MATCH(R0_estimation!$A26,'National statistics'!$A$7:$A$5000,0),MATCH(R0_estimation!AU$16 &amp; "_Running14daysNew",'National statistics'!$B$1:$HA$1,0))</f>
        <v>18</v>
      </c>
      <c r="AV26" s="97">
        <f t="shared" ca="1" si="64"/>
        <v>1.7150884819427765</v>
      </c>
      <c r="AW26" s="98">
        <f t="shared" si="65"/>
        <v>1.1524491675693536</v>
      </c>
      <c r="AX26" s="77">
        <f t="shared" ca="1" si="66"/>
        <v>5853811.9893404776</v>
      </c>
      <c r="AY26" s="77">
        <f t="shared" ca="1" si="67"/>
        <v>6.0385171578747769</v>
      </c>
      <c r="AZ26" s="77">
        <f t="shared" ca="1" si="68"/>
        <v>13.974561445117086</v>
      </c>
      <c r="BA26" s="77">
        <f t="shared" ca="1" si="69"/>
        <v>0</v>
      </c>
      <c r="BB26" s="77">
        <f t="shared" ca="1" si="70"/>
        <v>6.7465904906165273</v>
      </c>
      <c r="BC26" s="54">
        <f t="shared" ca="1" si="71"/>
        <v>6.8147378693096242E-2</v>
      </c>
      <c r="BD26" s="53">
        <f ca="1">OFFSET('National statistics'!$A$6,MATCH(R0_estimation!$A26,'National statistics'!$A$7:$A$5000,0),MATCH(R0_estimation!BD$16 &amp; "_Running14daysNew",'National statistics'!$B$1:$HA$1,0))</f>
        <v>12</v>
      </c>
      <c r="BE26" s="97">
        <f t="shared" ca="1" si="72"/>
        <v>1.4435626881707697</v>
      </c>
      <c r="BF26" s="98">
        <f t="shared" si="73"/>
        <v>1.518397365409784</v>
      </c>
      <c r="BG26" s="77">
        <f t="shared" ca="1" si="74"/>
        <v>4809174.9239465035</v>
      </c>
      <c r="BH26" s="77">
        <f t="shared" ca="1" si="75"/>
        <v>4.7964299399766706</v>
      </c>
      <c r="BI26" s="77">
        <f t="shared" ca="1" si="76"/>
        <v>12.112968991196809</v>
      </c>
      <c r="BJ26" s="77">
        <f t="shared" ca="1" si="77"/>
        <v>0</v>
      </c>
      <c r="BK26" s="77">
        <f t="shared" ca="1" si="78"/>
        <v>5.7450243764862767</v>
      </c>
      <c r="BL26" s="54">
        <f t="shared" ca="1" si="79"/>
        <v>5.8030549257437156E-2</v>
      </c>
      <c r="BM26" s="53">
        <f ca="1">OFFSET('National statistics'!$A$6,MATCH(R0_estimation!$A26,'National statistics'!$A$7:$A$5000,0),MATCH(R0_estimation!BM$16 &amp; "_Running14daysNew",'National statistics'!$B$1:$HA$1,0))</f>
        <v>11</v>
      </c>
      <c r="BN26" s="97">
        <f t="shared" ca="1" si="80"/>
        <v>1.9865205416387972</v>
      </c>
      <c r="BO26" s="98">
        <f t="shared" si="81"/>
        <v>0.6</v>
      </c>
      <c r="BP26" s="77">
        <f t="shared" ca="1" si="82"/>
        <v>4107621.7648564684</v>
      </c>
      <c r="BQ26" s="77">
        <f t="shared" ca="1" si="83"/>
        <v>3.1350782794914864</v>
      </c>
      <c r="BR26" s="77">
        <f t="shared" ca="1" si="84"/>
        <v>6.7917333927695331</v>
      </c>
      <c r="BS26" s="77">
        <f t="shared" ca="1" si="85"/>
        <v>0</v>
      </c>
      <c r="BT26" s="77">
        <f t="shared" ca="1" si="86"/>
        <v>3.4433109804982904</v>
      </c>
      <c r="BU26" s="54">
        <f t="shared" ca="1" si="87"/>
        <v>3.4780918994932228E-2</v>
      </c>
      <c r="BV26" s="53">
        <f ca="1">OFFSET('National statistics'!$A$6,MATCH(R0_estimation!$A26,'National statistics'!$A$7:$A$5000,0),MATCH(R0_estimation!BV$16 &amp; "_Running14daysNew",'National statistics'!$B$1:$HA$1,0))</f>
        <v>8</v>
      </c>
      <c r="BW26" s="97">
        <f t="shared" ca="1" si="88"/>
        <v>1.3799241468388452</v>
      </c>
      <c r="BX26" s="98">
        <f t="shared" si="89"/>
        <v>1.3375196464737016</v>
      </c>
      <c r="BY26" s="77">
        <f t="shared" ca="1" si="90"/>
        <v>1322222.1121983633</v>
      </c>
      <c r="BZ26" s="77">
        <f t="shared" ca="1" si="91"/>
        <v>2.4374136993491722</v>
      </c>
      <c r="CA26" s="77">
        <f t="shared" ca="1" si="92"/>
        <v>6.3996383498137543</v>
      </c>
      <c r="CB26" s="77">
        <f t="shared" ca="1" si="93"/>
        <v>0</v>
      </c>
      <c r="CC26" s="77">
        <f t="shared" ca="1" si="94"/>
        <v>3.1183237459711193</v>
      </c>
      <c r="CD26" s="54">
        <f t="shared" ca="1" si="95"/>
        <v>3.1498219656273932E-2</v>
      </c>
      <c r="CE26" s="53">
        <f ca="1">OFFSET('National statistics'!$A$6,MATCH(R0_estimation!$A26,'National statistics'!$A$7:$A$5000,0),MATCH(R0_estimation!CE$16 &amp; "_Running14daysNew",'National statistics'!$B$1:$HA$1,0))</f>
        <v>366</v>
      </c>
      <c r="CF26" s="97">
        <f t="shared" ca="1" si="96"/>
        <v>2.4331242245373454</v>
      </c>
      <c r="CG26" s="98">
        <f t="shared" si="97"/>
        <v>1.3</v>
      </c>
      <c r="CH26" s="77">
        <f t="shared" ca="1" si="98"/>
        <v>7304141.4540667357</v>
      </c>
      <c r="CI26" s="77">
        <f t="shared" ca="1" si="99"/>
        <v>203.01308831524815</v>
      </c>
      <c r="CJ26" s="77">
        <f t="shared" ca="1" si="100"/>
        <v>371.27776116995955</v>
      </c>
      <c r="CK26" s="77">
        <f t="shared" ca="1" si="101"/>
        <v>0</v>
      </c>
      <c r="CL26" s="77">
        <f t="shared" ca="1" si="102"/>
        <v>165.48777043862259</v>
      </c>
      <c r="CM26" s="54">
        <f t="shared" ca="1" si="103"/>
        <v>1.6715936407941681</v>
      </c>
      <c r="CO26" s="209"/>
      <c r="CP26" s="210"/>
    </row>
    <row r="27" spans="1:94">
      <c r="A27" s="83">
        <v>43927</v>
      </c>
      <c r="B27" s="53">
        <f ca="1">OFFSET('National statistics'!$A$6,MATCH(R0_estimation!$A27,'National statistics'!$A$7:$A$5000,0),MATCH(R0_estimation!B$16 &amp; "_Running14daysNew",'National statistics'!$B$1:$HA$1,0))</f>
        <v>1208</v>
      </c>
      <c r="C27" s="97">
        <f t="shared" ca="1" si="24"/>
        <v>1.9211610393424374</v>
      </c>
      <c r="D27" s="98">
        <f t="shared" si="25"/>
        <v>1.3827762180585019</v>
      </c>
      <c r="E27" s="77">
        <f t="shared" ca="1" si="26"/>
        <v>59714586.981756993</v>
      </c>
      <c r="F27" s="77">
        <f t="shared" ca="1" si="27"/>
        <v>695.01391965509663</v>
      </c>
      <c r="G27" s="77">
        <f t="shared" ca="1" si="28"/>
        <v>1483.7996798784679</v>
      </c>
      <c r="H27" s="77">
        <f t="shared" ca="1" si="29"/>
        <v>0</v>
      </c>
      <c r="I27" s="77">
        <f t="shared" ca="1" si="30"/>
        <v>754.1004121471251</v>
      </c>
      <c r="J27" s="54">
        <f t="shared" ca="1" si="31"/>
        <v>7.6171758802739911</v>
      </c>
      <c r="K27" s="53">
        <f ca="1">OFFSET('National statistics'!$A$6,MATCH(R0_estimation!$A27,'National statistics'!$A$7:$A$5000,0),MATCH(R0_estimation!K$16 &amp; "_Running14daysNew",'National statistics'!$B$1:$HA$1,0))</f>
        <v>30</v>
      </c>
      <c r="L27" s="97">
        <f t="shared" ca="1" si="32"/>
        <v>2.7782873101034609</v>
      </c>
      <c r="M27" s="98">
        <f t="shared" si="33"/>
        <v>5.094553629032375</v>
      </c>
      <c r="N27" s="77">
        <f t="shared" ca="1" si="34"/>
        <v>6870702.9139928399</v>
      </c>
      <c r="O27" s="77">
        <f t="shared" ca="1" si="35"/>
        <v>18.989491840257376</v>
      </c>
      <c r="P27" s="77">
        <f t="shared" ca="1" si="36"/>
        <v>30.709000076553391</v>
      </c>
      <c r="Q27" s="77">
        <f t="shared" ca="1" si="37"/>
        <v>0</v>
      </c>
      <c r="R27" s="77">
        <f t="shared" ca="1" si="38"/>
        <v>11.455196836319709</v>
      </c>
      <c r="S27" s="54">
        <f t="shared" ca="1" si="39"/>
        <v>0.11570905895272438</v>
      </c>
      <c r="T27" s="53">
        <f ca="1">OFFSET('National statistics'!$A$6,MATCH(R0_estimation!$A27,'National statistics'!$A$7:$A$5000,0),MATCH(R0_estimation!T$16 &amp; "_Running14daysNew",'National statistics'!$B$1:$HA$1,0))</f>
        <v>76</v>
      </c>
      <c r="U27" s="97">
        <f t="shared" ca="1" si="40"/>
        <v>1.0062710569511544</v>
      </c>
      <c r="V27" s="98">
        <f t="shared" si="41"/>
        <v>1.1785761441384355</v>
      </c>
      <c r="W27" s="77">
        <f t="shared" ca="1" si="42"/>
        <v>2808856.724582504</v>
      </c>
      <c r="X27" s="77">
        <f t="shared" ca="1" si="43"/>
        <v>24.41970249993501</v>
      </c>
      <c r="Y27" s="77">
        <f t="shared" ca="1" si="44"/>
        <v>80.561306890321532</v>
      </c>
      <c r="Z27" s="77">
        <f t="shared" ca="1" si="45"/>
        <v>0</v>
      </c>
      <c r="AA27" s="77">
        <f t="shared" ca="1" si="46"/>
        <v>46.949518154933671</v>
      </c>
      <c r="AB27" s="54">
        <f t="shared" ca="1" si="47"/>
        <v>0.47423755712054216</v>
      </c>
      <c r="AC27" s="53">
        <f ca="1">OFFSET('National statistics'!$A$6,MATCH(R0_estimation!$A27,'National statistics'!$A$7:$A$5000,0),MATCH(R0_estimation!AC$16 &amp; "_Running14daysNew",'National statistics'!$B$1:$HA$1,0))</f>
        <v>506</v>
      </c>
      <c r="AD27" s="97">
        <f t="shared" ca="1" si="48"/>
        <v>1.1513150830584011</v>
      </c>
      <c r="AE27" s="98">
        <f t="shared" si="49"/>
        <v>1.6884571396112655</v>
      </c>
      <c r="AF27" s="77">
        <f t="shared" ca="1" si="50"/>
        <v>15638097.360348566</v>
      </c>
      <c r="AG27" s="77">
        <f t="shared" ca="1" si="51"/>
        <v>241.12764516608817</v>
      </c>
      <c r="AH27" s="77">
        <f t="shared" ca="1" si="52"/>
        <v>710.08705160595059</v>
      </c>
      <c r="AI27" s="77">
        <f t="shared" ca="1" si="53"/>
        <v>0</v>
      </c>
      <c r="AJ27" s="77">
        <f t="shared" ca="1" si="54"/>
        <v>383.72053864462237</v>
      </c>
      <c r="AK27" s="54">
        <f t="shared" ca="1" si="55"/>
        <v>3.875965036814367</v>
      </c>
      <c r="AL27" s="53">
        <f ca="1">OFFSET('National statistics'!$A$6,MATCH(R0_estimation!$A27,'National statistics'!$A$7:$A$5000,0),MATCH(R0_estimation!AL$16 &amp; "_Running14daysNew",'National statistics'!$B$1:$HA$1,0))</f>
        <v>197</v>
      </c>
      <c r="AM27" s="97">
        <f t="shared" ca="1" si="56"/>
        <v>1.4899002769655674</v>
      </c>
      <c r="AN27" s="98">
        <f t="shared" si="57"/>
        <v>1.7859886972162524</v>
      </c>
      <c r="AO27" s="77">
        <f t="shared" ca="1" si="58"/>
        <v>11000116.877361169</v>
      </c>
      <c r="AP27" s="77">
        <f t="shared" ca="1" si="59"/>
        <v>86.174867063822703</v>
      </c>
      <c r="AQ27" s="77">
        <f t="shared" ca="1" si="60"/>
        <v>214.85720221914355</v>
      </c>
      <c r="AR27" s="77">
        <f t="shared" ca="1" si="61"/>
        <v>0</v>
      </c>
      <c r="AS27" s="77">
        <f t="shared" ca="1" si="62"/>
        <v>110.37763122045961</v>
      </c>
      <c r="AT27" s="54">
        <f t="shared" ca="1" si="63"/>
        <v>1.1149255678834304</v>
      </c>
      <c r="AU27" s="53">
        <f ca="1">OFFSET('National statistics'!$A$6,MATCH(R0_estimation!$A27,'National statistics'!$A$7:$A$5000,0),MATCH(R0_estimation!AU$16 &amp; "_Running14daysNew",'National statistics'!$B$1:$HA$1,0))</f>
        <v>15</v>
      </c>
      <c r="AV27" s="97">
        <f t="shared" ca="1" si="64"/>
        <v>1.7150884819427765</v>
      </c>
      <c r="AW27" s="98">
        <f t="shared" si="65"/>
        <v>1.1524491675693536</v>
      </c>
      <c r="AX27" s="77">
        <f t="shared" ca="1" si="66"/>
        <v>5853810.2773762057</v>
      </c>
      <c r="AY27" s="77">
        <f t="shared" ca="1" si="67"/>
        <v>6.2408521406577666</v>
      </c>
      <c r="AZ27" s="77">
        <f t="shared" ca="1" si="68"/>
        <v>14.486007774220274</v>
      </c>
      <c r="BA27" s="77">
        <f t="shared" ca="1" si="69"/>
        <v>0</v>
      </c>
      <c r="BB27" s="77">
        <f t="shared" ca="1" si="70"/>
        <v>7.7347916213783785</v>
      </c>
      <c r="BC27" s="54">
        <f t="shared" ca="1" si="71"/>
        <v>7.8129208296751296E-2</v>
      </c>
      <c r="BD27" s="53">
        <f ca="1">OFFSET('National statistics'!$A$6,MATCH(R0_estimation!$A27,'National statistics'!$A$7:$A$5000,0),MATCH(R0_estimation!BD$16 &amp; "_Running14daysNew",'National statistics'!$B$1:$HA$1,0))</f>
        <v>9</v>
      </c>
      <c r="BE27" s="97">
        <f t="shared" ca="1" si="72"/>
        <v>1.4435626881707697</v>
      </c>
      <c r="BF27" s="98">
        <f t="shared" si="73"/>
        <v>1.518397365409784</v>
      </c>
      <c r="BG27" s="77">
        <f t="shared" ca="1" si="74"/>
        <v>4809173.6749645239</v>
      </c>
      <c r="BH27" s="77">
        <f t="shared" ca="1" si="75"/>
        <v>4.8463044342053863</v>
      </c>
      <c r="BI27" s="77">
        <f t="shared" ca="1" si="76"/>
        <v>12.446864405391203</v>
      </c>
      <c r="BJ27" s="77">
        <f t="shared" ca="1" si="77"/>
        <v>0</v>
      </c>
      <c r="BK27" s="77">
        <f t="shared" ca="1" si="78"/>
        <v>6.6015843265780507</v>
      </c>
      <c r="BL27" s="54">
        <f t="shared" ca="1" si="79"/>
        <v>6.6682669965434871E-2</v>
      </c>
      <c r="BM27" s="53">
        <f ca="1">OFFSET('National statistics'!$A$6,MATCH(R0_estimation!$A27,'National statistics'!$A$7:$A$5000,0),MATCH(R0_estimation!BM$16 &amp; "_Running14daysNew",'National statistics'!$B$1:$HA$1,0))</f>
        <v>7</v>
      </c>
      <c r="BN27" s="97">
        <f t="shared" ca="1" si="80"/>
        <v>1.9865205416387972</v>
      </c>
      <c r="BO27" s="98">
        <f t="shared" si="81"/>
        <v>0.6</v>
      </c>
      <c r="BP27" s="77">
        <f t="shared" ca="1" si="82"/>
        <v>4107620.8011511839</v>
      </c>
      <c r="BQ27" s="77">
        <f t="shared" ca="1" si="83"/>
        <v>3.3150139940923711</v>
      </c>
      <c r="BR27" s="77">
        <f t="shared" ca="1" si="84"/>
        <v>7.0903791488731525</v>
      </c>
      <c r="BS27" s="77">
        <f t="shared" ca="1" si="85"/>
        <v>0</v>
      </c>
      <c r="BT27" s="77">
        <f t="shared" ca="1" si="86"/>
        <v>3.9235835561298504</v>
      </c>
      <c r="BU27" s="54">
        <f t="shared" ca="1" si="87"/>
        <v>3.9632157132624753E-2</v>
      </c>
      <c r="BV27" s="53">
        <f ca="1">OFFSET('National statistics'!$A$6,MATCH(R0_estimation!$A27,'National statistics'!$A$7:$A$5000,0),MATCH(R0_estimation!BV$16 &amp; "_Running14daysNew",'National statistics'!$B$1:$HA$1,0))</f>
        <v>6</v>
      </c>
      <c r="BW27" s="97">
        <f t="shared" ca="1" si="88"/>
        <v>1.3799241468388452</v>
      </c>
      <c r="BX27" s="98">
        <f t="shared" si="89"/>
        <v>1.3375196464737016</v>
      </c>
      <c r="BY27" s="77">
        <f t="shared" ca="1" si="90"/>
        <v>1322221.4814172459</v>
      </c>
      <c r="BZ27" s="77">
        <f t="shared" ca="1" si="91"/>
        <v>2.4588413917739764</v>
      </c>
      <c r="CA27" s="77">
        <f t="shared" ca="1" si="92"/>
        <v>6.5518747496643508</v>
      </c>
      <c r="CB27" s="77">
        <f t="shared" ca="1" si="93"/>
        <v>0</v>
      </c>
      <c r="CC27" s="77">
        <f t="shared" ca="1" si="94"/>
        <v>3.5708696007079492</v>
      </c>
      <c r="CD27" s="54">
        <f t="shared" ca="1" si="95"/>
        <v>3.6069389906140899E-2</v>
      </c>
      <c r="CE27" s="53">
        <f ca="1">OFFSET('National statistics'!$A$6,MATCH(R0_estimation!$A27,'National statistics'!$A$7:$A$5000,0),MATCH(R0_estimation!CE$16 &amp; "_Running14daysNew",'National statistics'!$B$1:$HA$1,0))</f>
        <v>362</v>
      </c>
      <c r="CF27" s="97">
        <f t="shared" ca="1" si="96"/>
        <v>2.4331242245373454</v>
      </c>
      <c r="CG27" s="98">
        <f t="shared" si="97"/>
        <v>1.3</v>
      </c>
      <c r="CH27" s="77">
        <f t="shared" ca="1" si="98"/>
        <v>7304076.9345360696</v>
      </c>
      <c r="CI27" s="77">
        <f t="shared" ca="1" si="99"/>
        <v>216.77934690252599</v>
      </c>
      <c r="CJ27" s="77">
        <f t="shared" ca="1" si="100"/>
        <v>395.51119316520305</v>
      </c>
      <c r="CK27" s="77">
        <f t="shared" ca="1" si="101"/>
        <v>0</v>
      </c>
      <c r="CL27" s="77">
        <f t="shared" ca="1" si="102"/>
        <v>191.74241212135544</v>
      </c>
      <c r="CM27" s="54">
        <f t="shared" ca="1" si="103"/>
        <v>1.9367920416298534</v>
      </c>
      <c r="CO27" s="209"/>
      <c r="CP27" s="210"/>
    </row>
    <row r="28" spans="1:94">
      <c r="A28" s="83">
        <v>43928</v>
      </c>
      <c r="B28" s="53">
        <f ca="1">OFFSET('National statistics'!$A$6,MATCH(R0_estimation!$A28,'National statistics'!$A$7:$A$5000,0),MATCH(R0_estimation!B$16 &amp; "_Running14daysNew",'National statistics'!$B$1:$HA$1,0))</f>
        <v>1188</v>
      </c>
      <c r="C28" s="97">
        <f t="shared" ca="1" si="24"/>
        <v>1.9211610393424374</v>
      </c>
      <c r="D28" s="98">
        <f t="shared" si="25"/>
        <v>1.3827762180585019</v>
      </c>
      <c r="E28" s="77">
        <f t="shared" ca="1" si="26"/>
        <v>59714383.376176104</v>
      </c>
      <c r="F28" s="77">
        <f t="shared" ca="1" si="27"/>
        <v>724.86602062752661</v>
      </c>
      <c r="G28" s="77">
        <f t="shared" ca="1" si="28"/>
        <v>1551.5674683723514</v>
      </c>
      <c r="H28" s="77">
        <f t="shared" ca="1" si="29"/>
        <v>0</v>
      </c>
      <c r="I28" s="77">
        <f t="shared" ca="1" si="30"/>
        <v>859.02624665281678</v>
      </c>
      <c r="J28" s="54">
        <f t="shared" ca="1" si="31"/>
        <v>8.6770327944728969</v>
      </c>
      <c r="K28" s="53">
        <f ca="1">OFFSET('National statistics'!$A$6,MATCH(R0_estimation!$A28,'National statistics'!$A$7:$A$5000,0),MATCH(R0_estimation!K$16 &amp; "_Running14daysNew",'National statistics'!$B$1:$HA$1,0))</f>
        <v>38</v>
      </c>
      <c r="L28" s="97">
        <f t="shared" ca="1" si="32"/>
        <v>2.7782873101034609</v>
      </c>
      <c r="M28" s="98">
        <f t="shared" si="33"/>
        <v>5.094553629032375</v>
      </c>
      <c r="N28" s="77">
        <f t="shared" ca="1" si="34"/>
        <v>6870696.8198738517</v>
      </c>
      <c r="O28" s="77">
        <f t="shared" ca="1" si="35"/>
        <v>20.336237868506146</v>
      </c>
      <c r="P28" s="77">
        <f t="shared" ca="1" si="36"/>
        <v>33.262873031149631</v>
      </c>
      <c r="Q28" s="77">
        <f t="shared" ca="1" si="37"/>
        <v>0</v>
      </c>
      <c r="R28" s="77">
        <f t="shared" ca="1" si="38"/>
        <v>13.626761841733128</v>
      </c>
      <c r="S28" s="54">
        <f t="shared" ca="1" si="39"/>
        <v>0.13764405900740537</v>
      </c>
      <c r="T28" s="53">
        <f ca="1">OFFSET('National statistics'!$A$6,MATCH(R0_estimation!$A28,'National statistics'!$A$7:$A$5000,0),MATCH(R0_estimation!T$16 &amp; "_Running14daysNew",'National statistics'!$B$1:$HA$1,0))</f>
        <v>70.5</v>
      </c>
      <c r="U28" s="97">
        <f t="shared" ca="1" si="40"/>
        <v>1.0062710569511544</v>
      </c>
      <c r="V28" s="98">
        <f t="shared" si="41"/>
        <v>1.1785761441384355</v>
      </c>
      <c r="W28" s="77">
        <f t="shared" ca="1" si="42"/>
        <v>2808850.9344305899</v>
      </c>
      <c r="X28" s="77">
        <f t="shared" ca="1" si="43"/>
        <v>24.104928789153021</v>
      </c>
      <c r="Y28" s="77">
        <f t="shared" ca="1" si="44"/>
        <v>80.911853451710883</v>
      </c>
      <c r="Z28" s="77">
        <f t="shared" ca="1" si="45"/>
        <v>0</v>
      </c>
      <c r="AA28" s="77">
        <f t="shared" ca="1" si="46"/>
        <v>52.646353427892123</v>
      </c>
      <c r="AB28" s="54">
        <f t="shared" ca="1" si="47"/>
        <v>0.53178134775648611</v>
      </c>
      <c r="AC28" s="53">
        <f ca="1">OFFSET('National statistics'!$A$6,MATCH(R0_estimation!$A28,'National statistics'!$A$7:$A$5000,0),MATCH(R0_estimation!AC$16 &amp; "_Running14daysNew",'National statistics'!$B$1:$HA$1,0))</f>
        <v>445.5</v>
      </c>
      <c r="AD28" s="97">
        <f t="shared" ca="1" si="48"/>
        <v>1.1513150830584011</v>
      </c>
      <c r="AE28" s="98">
        <f t="shared" si="49"/>
        <v>1.6884571396112655</v>
      </c>
      <c r="AF28" s="77">
        <f t="shared" ca="1" si="50"/>
        <v>15638038.970052099</v>
      </c>
      <c r="AG28" s="77">
        <f t="shared" ca="1" si="51"/>
        <v>239.23603034194943</v>
      </c>
      <c r="AH28" s="77">
        <f t="shared" ca="1" si="52"/>
        <v>719.64845921133337</v>
      </c>
      <c r="AI28" s="77">
        <f t="shared" ca="1" si="53"/>
        <v>0</v>
      </c>
      <c r="AJ28" s="77">
        <f t="shared" ca="1" si="54"/>
        <v>433.9338372939003</v>
      </c>
      <c r="AK28" s="54">
        <f t="shared" ca="1" si="55"/>
        <v>4.3831700736757604</v>
      </c>
      <c r="AL28" s="53">
        <f ca="1">OFFSET('National statistics'!$A$6,MATCH(R0_estimation!$A28,'National statistics'!$A$7:$A$5000,0),MATCH(R0_estimation!AL$16 &amp; "_Running14daysNew",'National statistics'!$B$1:$HA$1,0))</f>
        <v>225.5</v>
      </c>
      <c r="AM28" s="97">
        <f t="shared" ca="1" si="56"/>
        <v>1.4899002769655674</v>
      </c>
      <c r="AN28" s="98">
        <f t="shared" si="57"/>
        <v>1.7859886972162524</v>
      </c>
      <c r="AO28" s="77">
        <f t="shared" ca="1" si="58"/>
        <v>11000094.012801666</v>
      </c>
      <c r="AP28" s="77">
        <f t="shared" ca="1" si="59"/>
        <v>87.495709801860599</v>
      </c>
      <c r="AQ28" s="77">
        <f t="shared" ca="1" si="60"/>
        <v>221.05397596944613</v>
      </c>
      <c r="AR28" s="77">
        <f t="shared" ca="1" si="61"/>
        <v>0</v>
      </c>
      <c r="AS28" s="77">
        <f t="shared" ca="1" si="62"/>
        <v>125.57110480595618</v>
      </c>
      <c r="AT28" s="54">
        <f t="shared" ca="1" si="63"/>
        <v>1.2683949980399616</v>
      </c>
      <c r="AU28" s="53">
        <f ca="1">OFFSET('National statistics'!$A$6,MATCH(R0_estimation!$A28,'National statistics'!$A$7:$A$5000,0),MATCH(R0_estimation!AU$16 &amp; "_Running14daysNew",'National statistics'!$B$1:$HA$1,0))</f>
        <v>16</v>
      </c>
      <c r="AV28" s="97">
        <f t="shared" ca="1" si="64"/>
        <v>1.7150884819427765</v>
      </c>
      <c r="AW28" s="98">
        <f t="shared" si="65"/>
        <v>1.1524491675693536</v>
      </c>
      <c r="AX28" s="77">
        <f t="shared" ca="1" si="66"/>
        <v>5853808.5027573276</v>
      </c>
      <c r="AY28" s="77">
        <f t="shared" ca="1" si="67"/>
        <v>6.4552579830885435</v>
      </c>
      <c r="AZ28" s="77">
        <f t="shared" ca="1" si="68"/>
        <v>15.011505968368983</v>
      </c>
      <c r="BA28" s="77">
        <f t="shared" ca="1" si="69"/>
        <v>0</v>
      </c>
      <c r="BB28" s="77">
        <f t="shared" ca="1" si="70"/>
        <v>8.7591593139839556</v>
      </c>
      <c r="BC28" s="54">
        <f t="shared" ca="1" si="71"/>
        <v>8.8476356706908635E-2</v>
      </c>
      <c r="BD28" s="53">
        <f ca="1">OFFSET('National statistics'!$A$6,MATCH(R0_estimation!$A28,'National statistics'!$A$7:$A$5000,0),MATCH(R0_estimation!BD$16 &amp; "_Running14daysNew",'National statistics'!$B$1:$HA$1,0))</f>
        <v>10.5</v>
      </c>
      <c r="BE28" s="97">
        <f t="shared" ca="1" si="72"/>
        <v>1.4435626881707697</v>
      </c>
      <c r="BF28" s="98">
        <f t="shared" si="73"/>
        <v>1.518397365409784</v>
      </c>
      <c r="BG28" s="77">
        <f t="shared" ca="1" si="74"/>
        <v>4809172.391554541</v>
      </c>
      <c r="BH28" s="77">
        <f t="shared" ca="1" si="75"/>
        <v>4.9181383089563351</v>
      </c>
      <c r="BI28" s="77">
        <f t="shared" ca="1" si="76"/>
        <v>12.769378770700321</v>
      </c>
      <c r="BJ28" s="77">
        <f t="shared" ca="1" si="77"/>
        <v>0</v>
      </c>
      <c r="BK28" s="77">
        <f t="shared" ca="1" si="78"/>
        <v>7.4817554523878576</v>
      </c>
      <c r="BL28" s="54">
        <f t="shared" ca="1" si="79"/>
        <v>7.5573287397857153E-2</v>
      </c>
      <c r="BM28" s="53">
        <f ca="1">OFFSET('National statistics'!$A$6,MATCH(R0_estimation!$A28,'National statistics'!$A$7:$A$5000,0),MATCH(R0_estimation!BM$16 &amp; "_Running14daysNew",'National statistics'!$B$1:$HA$1,0))</f>
        <v>8</v>
      </c>
      <c r="BN28" s="97">
        <f t="shared" ca="1" si="80"/>
        <v>1.9865205416387972</v>
      </c>
      <c r="BO28" s="98">
        <f t="shared" si="81"/>
        <v>0.6</v>
      </c>
      <c r="BP28" s="77">
        <f t="shared" ca="1" si="82"/>
        <v>4107619.7950701346</v>
      </c>
      <c r="BQ28" s="77">
        <f t="shared" ca="1" si="83"/>
        <v>3.4923415450566813</v>
      </c>
      <c r="BR28" s="77">
        <f t="shared" ca="1" si="84"/>
        <v>7.4126769939053059</v>
      </c>
      <c r="BS28" s="77">
        <f t="shared" ca="1" si="85"/>
        <v>0</v>
      </c>
      <c r="BT28" s="77">
        <f t="shared" ca="1" si="86"/>
        <v>4.4249746530858802</v>
      </c>
      <c r="BU28" s="54">
        <f t="shared" ca="1" si="87"/>
        <v>4.4696713667534145E-2</v>
      </c>
      <c r="BV28" s="53">
        <f ca="1">OFFSET('National statistics'!$A$6,MATCH(R0_estimation!$A28,'National statistics'!$A$7:$A$5000,0),MATCH(R0_estimation!BV$16 &amp; "_Running14daysNew",'National statistics'!$B$1:$HA$1,0))</f>
        <v>8.5</v>
      </c>
      <c r="BW28" s="97">
        <f t="shared" ca="1" si="88"/>
        <v>1.3799241468388452</v>
      </c>
      <c r="BX28" s="98">
        <f t="shared" si="89"/>
        <v>1.3375196464737016</v>
      </c>
      <c r="BY28" s="77">
        <f t="shared" ca="1" si="90"/>
        <v>1322220.8356312355</v>
      </c>
      <c r="BZ28" s="77">
        <f t="shared" ca="1" si="91"/>
        <v>2.4899170541546178</v>
      </c>
      <c r="CA28" s="77">
        <f t="shared" ca="1" si="92"/>
        <v>6.6985940440603908</v>
      </c>
      <c r="CB28" s="77">
        <f t="shared" ca="1" si="93"/>
        <v>0</v>
      </c>
      <c r="CC28" s="77">
        <f t="shared" ca="1" si="94"/>
        <v>4.0341807437199284</v>
      </c>
      <c r="CD28" s="54">
        <f t="shared" ca="1" si="95"/>
        <v>4.0749300441615434E-2</v>
      </c>
      <c r="CE28" s="53">
        <f ca="1">OFFSET('National statistics'!$A$6,MATCH(R0_estimation!$A28,'National statistics'!$A$7:$A$5000,0),MATCH(R0_estimation!CE$16 &amp; "_Running14daysNew",'National statistics'!$B$1:$HA$1,0))</f>
        <v>365.5</v>
      </c>
      <c r="CF28" s="97">
        <f t="shared" ca="1" si="96"/>
        <v>2.4331242245373454</v>
      </c>
      <c r="CG28" s="98">
        <f t="shared" si="97"/>
        <v>1.3</v>
      </c>
      <c r="CH28" s="77">
        <f t="shared" ca="1" si="98"/>
        <v>7304008.2043972304</v>
      </c>
      <c r="CI28" s="77">
        <f t="shared" ca="1" si="99"/>
        <v>231.31464901638395</v>
      </c>
      <c r="CJ28" s="77">
        <f t="shared" ca="1" si="100"/>
        <v>421.45523037903433</v>
      </c>
      <c r="CK28" s="77">
        <f t="shared" ca="1" si="101"/>
        <v>0</v>
      </c>
      <c r="CL28" s="77">
        <f t="shared" ca="1" si="102"/>
        <v>219.71070363803767</v>
      </c>
      <c r="CM28" s="54">
        <f t="shared" ca="1" si="103"/>
        <v>2.2193000367478555</v>
      </c>
      <c r="CO28" s="209"/>
      <c r="CP28" s="210"/>
    </row>
    <row r="29" spans="1:94">
      <c r="A29" s="83">
        <v>43929</v>
      </c>
      <c r="B29" s="53">
        <f ca="1">OFFSET('National statistics'!$A$6,MATCH(R0_estimation!$A29,'National statistics'!$A$7:$A$5000,0),MATCH(R0_estimation!B$16 &amp; "_Running14daysNew",'National statistics'!$B$1:$HA$1,0))</f>
        <v>1190</v>
      </c>
      <c r="C29" s="97">
        <f t="shared" ca="1" si="24"/>
        <v>1.9211610393424374</v>
      </c>
      <c r="D29" s="98">
        <f t="shared" si="25"/>
        <v>1.3827762180585019</v>
      </c>
      <c r="E29" s="77">
        <f t="shared" ca="1" si="26"/>
        <v>59714170.472285882</v>
      </c>
      <c r="F29" s="77">
        <f t="shared" ca="1" si="27"/>
        <v>756.55340569185682</v>
      </c>
      <c r="G29" s="77">
        <f t="shared" ca="1" si="28"/>
        <v>1621.9577257883507</v>
      </c>
      <c r="H29" s="77">
        <f t="shared" ca="1" si="29"/>
        <v>0</v>
      </c>
      <c r="I29" s="77">
        <f t="shared" ca="1" si="30"/>
        <v>968.74423191629023</v>
      </c>
      <c r="J29" s="54">
        <f t="shared" ca="1" si="31"/>
        <v>9.7852952718817185</v>
      </c>
      <c r="K29" s="53">
        <f ca="1">OFFSET('National statistics'!$A$6,MATCH(R0_estimation!$A29,'National statistics'!$A$7:$A$5000,0),MATCH(R0_estimation!K$16 &amp; "_Running14daysNew",'National statistics'!$B$1:$HA$1,0))</f>
        <v>43</v>
      </c>
      <c r="L29" s="97">
        <f t="shared" ca="1" si="32"/>
        <v>2.7782873101034609</v>
      </c>
      <c r="M29" s="98">
        <f t="shared" si="33"/>
        <v>5.094553629032375</v>
      </c>
      <c r="N29" s="77">
        <f t="shared" ca="1" si="34"/>
        <v>6870690.2189514348</v>
      </c>
      <c r="O29" s="77">
        <f t="shared" ca="1" si="35"/>
        <v>21.853100817955422</v>
      </c>
      <c r="P29" s="77">
        <f t="shared" ca="1" si="36"/>
        <v>35.971012996051194</v>
      </c>
      <c r="Q29" s="77">
        <f t="shared" ca="1" si="37"/>
        <v>0</v>
      </c>
      <c r="R29" s="77">
        <f t="shared" ca="1" si="38"/>
        <v>15.978922148935851</v>
      </c>
      <c r="S29" s="54">
        <f t="shared" ca="1" si="39"/>
        <v>0.16140325402965511</v>
      </c>
      <c r="T29" s="53">
        <f ca="1">OFFSET('National statistics'!$A$6,MATCH(R0_estimation!$A29,'National statistics'!$A$7:$A$5000,0),MATCH(R0_estimation!T$16 &amp; "_Running14daysNew",'National statistics'!$B$1:$HA$1,0))</f>
        <v>58</v>
      </c>
      <c r="U29" s="97">
        <f t="shared" ca="1" si="40"/>
        <v>1.0062710569511544</v>
      </c>
      <c r="V29" s="98">
        <f t="shared" si="41"/>
        <v>1.1785761441384355</v>
      </c>
      <c r="W29" s="77">
        <f t="shared" ca="1" si="42"/>
        <v>2808845.1190958456</v>
      </c>
      <c r="X29" s="77">
        <f t="shared" ca="1" si="43"/>
        <v>23.894031336062433</v>
      </c>
      <c r="Y29" s="77">
        <f t="shared" ca="1" si="44"/>
        <v>81.158667545305505</v>
      </c>
      <c r="Z29" s="77">
        <f t="shared" ca="1" si="45"/>
        <v>0</v>
      </c>
      <c r="AA29" s="77">
        <f t="shared" ca="1" si="46"/>
        <v>58.36797735054882</v>
      </c>
      <c r="AB29" s="54">
        <f t="shared" ca="1" si="47"/>
        <v>0.58957552879342245</v>
      </c>
      <c r="AC29" s="53">
        <f ca="1">OFFSET('National statistics'!$A$6,MATCH(R0_estimation!$A29,'National statistics'!$A$7:$A$5000,0),MATCH(R0_estimation!AC$16 &amp; "_Running14daysNew",'National statistics'!$B$1:$HA$1,0))</f>
        <v>463</v>
      </c>
      <c r="AD29" s="97">
        <f t="shared" ca="1" si="48"/>
        <v>1.1513150830584011</v>
      </c>
      <c r="AE29" s="98">
        <f t="shared" si="49"/>
        <v>1.6884571396112655</v>
      </c>
      <c r="AF29" s="77">
        <f t="shared" ca="1" si="50"/>
        <v>15637979.793742299</v>
      </c>
      <c r="AG29" s="77">
        <f t="shared" ca="1" si="51"/>
        <v>238.6033325556908</v>
      </c>
      <c r="AH29" s="77">
        <f t="shared" ca="1" si="52"/>
        <v>728.05400542458267</v>
      </c>
      <c r="AI29" s="77">
        <f t="shared" ca="1" si="53"/>
        <v>0</v>
      </c>
      <c r="AJ29" s="77">
        <f t="shared" ca="1" si="54"/>
        <v>484.82326405241599</v>
      </c>
      <c r="AK29" s="54">
        <f t="shared" ca="1" si="55"/>
        <v>4.8972046873981414</v>
      </c>
      <c r="AL29" s="53">
        <f ca="1">OFFSET('National statistics'!$A$6,MATCH(R0_estimation!$A29,'National statistics'!$A$7:$A$5000,0),MATCH(R0_estimation!AL$16 &amp; "_Running14daysNew",'National statistics'!$B$1:$HA$1,0))</f>
        <v>263</v>
      </c>
      <c r="AM29" s="97">
        <f t="shared" ca="1" si="56"/>
        <v>1.4899002769655674</v>
      </c>
      <c r="AN29" s="98">
        <f t="shared" si="57"/>
        <v>1.7859886972162524</v>
      </c>
      <c r="AO29" s="77">
        <f t="shared" ca="1" si="58"/>
        <v>11000070.488845756</v>
      </c>
      <c r="AP29" s="77">
        <f t="shared" ca="1" si="59"/>
        <v>89.145738261256398</v>
      </c>
      <c r="AQ29" s="77">
        <f t="shared" ca="1" si="60"/>
        <v>227.13833370780799</v>
      </c>
      <c r="AR29" s="77">
        <f t="shared" ca="1" si="61"/>
        <v>0</v>
      </c>
      <c r="AS29" s="77">
        <f t="shared" ca="1" si="62"/>
        <v>141.20277882093845</v>
      </c>
      <c r="AT29" s="54">
        <f t="shared" ca="1" si="63"/>
        <v>1.4262906951609946</v>
      </c>
      <c r="AU29" s="53">
        <f ca="1">OFFSET('National statistics'!$A$6,MATCH(R0_estimation!$A29,'National statistics'!$A$7:$A$5000,0),MATCH(R0_estimation!AU$16 &amp; "_Running14daysNew",'National statistics'!$B$1:$HA$1,0))</f>
        <v>17</v>
      </c>
      <c r="AV29" s="97">
        <f t="shared" ca="1" si="64"/>
        <v>1.7150884819427765</v>
      </c>
      <c r="AW29" s="98">
        <f t="shared" si="65"/>
        <v>1.1524491675693536</v>
      </c>
      <c r="AX29" s="77">
        <f t="shared" ca="1" si="66"/>
        <v>5853806.663762467</v>
      </c>
      <c r="AY29" s="77">
        <f t="shared" ca="1" si="67"/>
        <v>6.6804383476606617</v>
      </c>
      <c r="AZ29" s="77">
        <f t="shared" ca="1" si="68"/>
        <v>15.553070037829048</v>
      </c>
      <c r="BA29" s="77">
        <f t="shared" ca="1" si="69"/>
        <v>0</v>
      </c>
      <c r="BB29" s="77">
        <f t="shared" ca="1" si="70"/>
        <v>9.8206872360329047</v>
      </c>
      <c r="BC29" s="54">
        <f t="shared" ca="1" si="71"/>
        <v>9.9198860970029334E-2</v>
      </c>
      <c r="BD29" s="53">
        <f ca="1">OFFSET('National statistics'!$A$6,MATCH(R0_estimation!$A29,'National statistics'!$A$7:$A$5000,0),MATCH(R0_estimation!BD$16 &amp; "_Running14daysNew",'National statistics'!$B$1:$HA$1,0))</f>
        <v>13</v>
      </c>
      <c r="BE29" s="97">
        <f t="shared" ca="1" si="72"/>
        <v>1.4435626881707697</v>
      </c>
      <c r="BF29" s="98">
        <f t="shared" si="73"/>
        <v>1.518397365409784</v>
      </c>
      <c r="BG29" s="77">
        <f t="shared" ca="1" si="74"/>
        <v>4809171.0748900929</v>
      </c>
      <c r="BH29" s="77">
        <f t="shared" ca="1" si="75"/>
        <v>5.0052681797185734</v>
      </c>
      <c r="BI29" s="77">
        <f t="shared" ca="1" si="76"/>
        <v>13.086814864317954</v>
      </c>
      <c r="BJ29" s="77">
        <f t="shared" ca="1" si="77"/>
        <v>0</v>
      </c>
      <c r="BK29" s="77">
        <f t="shared" ca="1" si="78"/>
        <v>8.3847329511730955</v>
      </c>
      <c r="BL29" s="54">
        <f t="shared" ca="1" si="79"/>
        <v>8.4694272234071666E-2</v>
      </c>
      <c r="BM29" s="53">
        <f ca="1">OFFSET('National statistics'!$A$6,MATCH(R0_estimation!$A29,'National statistics'!$A$7:$A$5000,0),MATCH(R0_estimation!BM$16 &amp; "_Running14daysNew",'National statistics'!$B$1:$HA$1,0))</f>
        <v>10</v>
      </c>
      <c r="BN29" s="97">
        <f t="shared" ca="1" si="80"/>
        <v>1.9865205416387972</v>
      </c>
      <c r="BO29" s="98">
        <f t="shared" si="81"/>
        <v>0.6</v>
      </c>
      <c r="BP29" s="77">
        <f t="shared" ca="1" si="82"/>
        <v>4107618.743257266</v>
      </c>
      <c r="BQ29" s="77">
        <f t="shared" ca="1" si="83"/>
        <v>3.6710690274018551</v>
      </c>
      <c r="BR29" s="77">
        <f t="shared" ca="1" si="84"/>
        <v>7.7562854520333833</v>
      </c>
      <c r="BS29" s="77">
        <f t="shared" ca="1" si="85"/>
        <v>0</v>
      </c>
      <c r="BT29" s="77">
        <f t="shared" ca="1" si="86"/>
        <v>4.9491568119406129</v>
      </c>
      <c r="BU29" s="54">
        <f t="shared" ca="1" si="87"/>
        <v>4.9991482948895077E-2</v>
      </c>
      <c r="BV29" s="53">
        <f ca="1">OFFSET('National statistics'!$A$6,MATCH(R0_estimation!$A29,'National statistics'!$A$7:$A$5000,0),MATCH(R0_estimation!BV$16 &amp; "_Running14daysNew",'National statistics'!$B$1:$HA$1,0))</f>
        <v>11</v>
      </c>
      <c r="BW29" s="97">
        <f t="shared" ca="1" si="88"/>
        <v>1.3799241468388452</v>
      </c>
      <c r="BX29" s="98">
        <f t="shared" si="89"/>
        <v>1.3375196464737016</v>
      </c>
      <c r="BY29" s="77">
        <f t="shared" ca="1" si="90"/>
        <v>1322220.1753841473</v>
      </c>
      <c r="BZ29" s="77">
        <f t="shared" ca="1" si="91"/>
        <v>2.5276848787086417</v>
      </c>
      <c r="CA29" s="77">
        <f t="shared" ca="1" si="92"/>
        <v>6.8426023044518747</v>
      </c>
      <c r="CB29" s="77">
        <f t="shared" ca="1" si="93"/>
        <v>0</v>
      </c>
      <c r="CC29" s="77">
        <f t="shared" ca="1" si="94"/>
        <v>4.5078670368356271</v>
      </c>
      <c r="CD29" s="54">
        <f t="shared" ca="1" si="95"/>
        <v>4.5534010473087139E-2</v>
      </c>
      <c r="CE29" s="53">
        <f ca="1">OFFSET('National statistics'!$A$6,MATCH(R0_estimation!$A29,'National statistics'!$A$7:$A$5000,0),MATCH(R0_estimation!CE$16 &amp; "_Running14daysNew",'National statistics'!$B$1:$HA$1,0))</f>
        <v>312</v>
      </c>
      <c r="CF29" s="97">
        <f t="shared" ca="1" si="96"/>
        <v>2.4331242245373454</v>
      </c>
      <c r="CG29" s="98">
        <f t="shared" si="97"/>
        <v>1.3</v>
      </c>
      <c r="CH29" s="77">
        <f t="shared" ca="1" si="98"/>
        <v>7303934.9665077655</v>
      </c>
      <c r="CI29" s="77">
        <f t="shared" ca="1" si="99"/>
        <v>246.72387622742008</v>
      </c>
      <c r="CJ29" s="77">
        <f t="shared" ca="1" si="100"/>
        <v>449.17994760605643</v>
      </c>
      <c r="CK29" s="77">
        <f t="shared" ca="1" si="101"/>
        <v>0</v>
      </c>
      <c r="CL29" s="77">
        <f t="shared" ca="1" si="102"/>
        <v>249.51360921484081</v>
      </c>
      <c r="CM29" s="54">
        <f t="shared" ca="1" si="103"/>
        <v>2.5203394870185942</v>
      </c>
      <c r="CO29" s="209"/>
      <c r="CP29" s="210"/>
    </row>
    <row r="30" spans="1:94">
      <c r="A30" s="83">
        <v>43930</v>
      </c>
      <c r="B30" s="53">
        <f ca="1">OFFSET('National statistics'!$A$6,MATCH(R0_estimation!$A30,'National statistics'!$A$7:$A$5000,0),MATCH(R0_estimation!B$16 &amp; "_Running14daysNew",'National statistics'!$B$1:$HA$1,0))</f>
        <v>1077</v>
      </c>
      <c r="C30" s="97">
        <f t="shared" ca="1" si="24"/>
        <v>1.9211610393424374</v>
      </c>
      <c r="D30" s="98">
        <f t="shared" si="25"/>
        <v>1.3827762180585019</v>
      </c>
      <c r="E30" s="77">
        <f t="shared" ca="1" si="26"/>
        <v>59713947.910333633</v>
      </c>
      <c r="F30" s="77">
        <f t="shared" ca="1" si="27"/>
        <v>789.97700651702553</v>
      </c>
      <c r="G30" s="77">
        <f t="shared" ca="1" si="28"/>
        <v>1695.2419539407183</v>
      </c>
      <c r="H30" s="77">
        <f t="shared" ca="1" si="29"/>
        <v>0</v>
      </c>
      <c r="I30" s="77">
        <f t="shared" ca="1" si="30"/>
        <v>1083.4398139541806</v>
      </c>
      <c r="J30" s="54">
        <f t="shared" ca="1" si="31"/>
        <v>10.943836504587683</v>
      </c>
      <c r="K30" s="53">
        <f ca="1">OFFSET('National statistics'!$A$6,MATCH(R0_estimation!$A30,'National statistics'!$A$7:$A$5000,0),MATCH(R0_estimation!K$16 &amp; "_Running14daysNew",'National statistics'!$B$1:$HA$1,0))</f>
        <v>56</v>
      </c>
      <c r="L30" s="97">
        <f t="shared" ca="1" si="32"/>
        <v>2.7782873101034609</v>
      </c>
      <c r="M30" s="98">
        <f t="shared" si="33"/>
        <v>5.094553629032375</v>
      </c>
      <c r="N30" s="77">
        <f t="shared" ca="1" si="34"/>
        <v>6870683.0806131884</v>
      </c>
      <c r="O30" s="77">
        <f t="shared" ca="1" si="35"/>
        <v>23.52816385960849</v>
      </c>
      <c r="P30" s="77">
        <f t="shared" ca="1" si="36"/>
        <v>38.864930129393542</v>
      </c>
      <c r="Q30" s="77">
        <f t="shared" ca="1" si="37"/>
        <v>0</v>
      </c>
      <c r="R30" s="77">
        <f t="shared" ca="1" si="38"/>
        <v>18.5225866393709</v>
      </c>
      <c r="S30" s="54">
        <f t="shared" ca="1" si="39"/>
        <v>0.18709683474112024</v>
      </c>
      <c r="T30" s="53">
        <f ca="1">OFFSET('National statistics'!$A$6,MATCH(R0_estimation!$A30,'National statistics'!$A$7:$A$5000,0),MATCH(R0_estimation!T$16 &amp; "_Running14daysNew",'National statistics'!$B$1:$HA$1,0))</f>
        <v>44</v>
      </c>
      <c r="U30" s="97">
        <f t="shared" ca="1" si="40"/>
        <v>1.0062710569511544</v>
      </c>
      <c r="V30" s="98">
        <f t="shared" si="41"/>
        <v>1.1785761441384355</v>
      </c>
      <c r="W30" s="77">
        <f t="shared" ca="1" si="42"/>
        <v>2808839.2860339195</v>
      </c>
      <c r="X30" s="77">
        <f t="shared" ca="1" si="43"/>
        <v>23.753585428179761</v>
      </c>
      <c r="Y30" s="77">
        <f t="shared" ca="1" si="44"/>
        <v>81.33512769751357</v>
      </c>
      <c r="Z30" s="77">
        <f t="shared" ca="1" si="45"/>
        <v>0</v>
      </c>
      <c r="AA30" s="77">
        <f t="shared" ca="1" si="46"/>
        <v>64.107054555538284</v>
      </c>
      <c r="AB30" s="54">
        <f t="shared" ca="1" si="47"/>
        <v>0.64754600561149778</v>
      </c>
      <c r="AC30" s="53">
        <f ca="1">OFFSET('National statistics'!$A$6,MATCH(R0_estimation!$A30,'National statistics'!$A$7:$A$5000,0),MATCH(R0_estimation!AC$16 &amp; "_Running14daysNew",'National statistics'!$B$1:$HA$1,0))</f>
        <v>386</v>
      </c>
      <c r="AD30" s="97">
        <f t="shared" ca="1" si="48"/>
        <v>1.1513150830584011</v>
      </c>
      <c r="AE30" s="98">
        <f t="shared" si="49"/>
        <v>1.6884571396112655</v>
      </c>
      <c r="AF30" s="77">
        <f t="shared" ca="1" si="50"/>
        <v>15637919.926473487</v>
      </c>
      <c r="AG30" s="77">
        <f t="shared" ca="1" si="51"/>
        <v>238.8197682291952</v>
      </c>
      <c r="AH30" s="77">
        <f t="shared" ca="1" si="52"/>
        <v>735.7009810331781</v>
      </c>
      <c r="AI30" s="77">
        <f t="shared" ca="1" si="53"/>
        <v>0</v>
      </c>
      <c r="AJ30" s="77">
        <f t="shared" ca="1" si="54"/>
        <v>536.30708300744004</v>
      </c>
      <c r="AK30" s="54">
        <f t="shared" ca="1" si="55"/>
        <v>5.4172432627014144</v>
      </c>
      <c r="AL30" s="53">
        <f ca="1">OFFSET('National statistics'!$A$6,MATCH(R0_estimation!$A30,'National statistics'!$A$7:$A$5000,0),MATCH(R0_estimation!AL$16 &amp; "_Running14daysNew",'National statistics'!$B$1:$HA$1,0))</f>
        <v>253</v>
      </c>
      <c r="AM30" s="97">
        <f t="shared" ca="1" si="56"/>
        <v>1.4899002769655674</v>
      </c>
      <c r="AN30" s="98">
        <f t="shared" si="57"/>
        <v>1.7859886972162524</v>
      </c>
      <c r="AO30" s="77">
        <f t="shared" ca="1" si="58"/>
        <v>11000046.317460582</v>
      </c>
      <c r="AP30" s="77">
        <f t="shared" ca="1" si="59"/>
        <v>91.030688871449129</v>
      </c>
      <c r="AQ30" s="77">
        <f t="shared" ca="1" si="60"/>
        <v>233.20060157970724</v>
      </c>
      <c r="AR30" s="77">
        <f t="shared" ca="1" si="61"/>
        <v>0</v>
      </c>
      <c r="AS30" s="77">
        <f t="shared" ca="1" si="62"/>
        <v>157.26470384741916</v>
      </c>
      <c r="AT30" s="54">
        <f t="shared" ca="1" si="63"/>
        <v>1.588532362095143</v>
      </c>
      <c r="AU30" s="53">
        <f ca="1">OFFSET('National statistics'!$A$6,MATCH(R0_estimation!$A30,'National statistics'!$A$7:$A$5000,0),MATCH(R0_estimation!AU$16 &amp; "_Running14daysNew",'National statistics'!$B$1:$HA$1,0))</f>
        <v>16</v>
      </c>
      <c r="AV30" s="97">
        <f t="shared" ca="1" si="64"/>
        <v>1.7150884819427765</v>
      </c>
      <c r="AW30" s="98">
        <f t="shared" si="65"/>
        <v>1.1524491675693536</v>
      </c>
      <c r="AX30" s="77">
        <f t="shared" ca="1" si="66"/>
        <v>5853804.758423523</v>
      </c>
      <c r="AY30" s="77">
        <f t="shared" ca="1" si="67"/>
        <v>6.9156677047111828</v>
      </c>
      <c r="AZ30" s="77">
        <f t="shared" ca="1" si="68"/>
        <v>16.112246050613564</v>
      </c>
      <c r="BA30" s="77">
        <f t="shared" ca="1" si="69"/>
        <v>0</v>
      </c>
      <c r="BB30" s="77">
        <f t="shared" ca="1" si="70"/>
        <v>10.920511474422245</v>
      </c>
      <c r="BC30" s="54">
        <f t="shared" ca="1" si="71"/>
        <v>0.11030819671133579</v>
      </c>
      <c r="BD30" s="53">
        <f ca="1">OFFSET('National statistics'!$A$6,MATCH(R0_estimation!$A30,'National statistics'!$A$7:$A$5000,0),MATCH(R0_estimation!BD$16 &amp; "_Running14daysNew",'National statistics'!$B$1:$HA$1,0))</f>
        <v>11</v>
      </c>
      <c r="BE30" s="97">
        <f t="shared" ca="1" si="72"/>
        <v>1.4435626881707697</v>
      </c>
      <c r="BF30" s="98">
        <f t="shared" si="73"/>
        <v>1.518397365409784</v>
      </c>
      <c r="BG30" s="77">
        <f t="shared" ca="1" si="74"/>
        <v>4809169.7254948327</v>
      </c>
      <c r="BH30" s="77">
        <f t="shared" ca="1" si="75"/>
        <v>5.1033463946521866</v>
      </c>
      <c r="BI30" s="77">
        <f t="shared" ca="1" si="76"/>
        <v>13.403359418939171</v>
      </c>
      <c r="BJ30" s="77">
        <f t="shared" ca="1" si="77"/>
        <v>0</v>
      </c>
      <c r="BK30" s="77">
        <f t="shared" ca="1" si="78"/>
        <v>9.3101577165784359</v>
      </c>
      <c r="BL30" s="54">
        <f t="shared" ca="1" si="79"/>
        <v>9.4041997137155914E-2</v>
      </c>
      <c r="BM30" s="53">
        <f ca="1">OFFSET('National statistics'!$A$6,MATCH(R0_estimation!$A30,'National statistics'!$A$7:$A$5000,0),MATCH(R0_estimation!BM$16 &amp; "_Running14daysNew",'National statistics'!$B$1:$HA$1,0))</f>
        <v>11</v>
      </c>
      <c r="BN30" s="97">
        <f t="shared" ca="1" si="80"/>
        <v>1.9865205416387972</v>
      </c>
      <c r="BO30" s="98">
        <f t="shared" si="81"/>
        <v>0.6</v>
      </c>
      <c r="BP30" s="77">
        <f t="shared" ca="1" si="82"/>
        <v>4107617.6426887698</v>
      </c>
      <c r="BQ30" s="77">
        <f t="shared" ca="1" si="83"/>
        <v>3.8538702668274016</v>
      </c>
      <c r="BR30" s="77">
        <f t="shared" ca="1" si="84"/>
        <v>8.1200323194528909</v>
      </c>
      <c r="BS30" s="77">
        <f t="shared" ca="1" si="85"/>
        <v>0</v>
      </c>
      <c r="BT30" s="77">
        <f t="shared" ca="1" si="86"/>
        <v>5.497636997477259</v>
      </c>
      <c r="BU30" s="54">
        <f t="shared" ca="1" si="87"/>
        <v>5.5531686843204635E-2</v>
      </c>
      <c r="BV30" s="53">
        <f ca="1">OFFSET('National statistics'!$A$6,MATCH(R0_estimation!$A30,'National statistics'!$A$7:$A$5000,0),MATCH(R0_estimation!BV$16 &amp; "_Running14daysNew",'National statistics'!$B$1:$HA$1,0))</f>
        <v>14</v>
      </c>
      <c r="BW30" s="97">
        <f t="shared" ca="1" si="88"/>
        <v>1.3799241468388452</v>
      </c>
      <c r="BX30" s="98">
        <f t="shared" si="89"/>
        <v>1.3375196464737016</v>
      </c>
      <c r="BY30" s="77">
        <f t="shared" ca="1" si="90"/>
        <v>1322219.5009432158</v>
      </c>
      <c r="BZ30" s="77">
        <f t="shared" ca="1" si="91"/>
        <v>2.5702045905416728</v>
      </c>
      <c r="CA30" s="77">
        <f t="shared" ca="1" si="92"/>
        <v>6.9857662166681864</v>
      </c>
      <c r="CB30" s="77">
        <f t="shared" ca="1" si="93"/>
        <v>0</v>
      </c>
      <c r="CC30" s="77">
        <f t="shared" ca="1" si="94"/>
        <v>4.9917367712218663</v>
      </c>
      <c r="CD30" s="54">
        <f t="shared" ca="1" si="95"/>
        <v>5.0421583547695617E-2</v>
      </c>
      <c r="CE30" s="53">
        <f ca="1">OFFSET('National statistics'!$A$6,MATCH(R0_estimation!$A30,'National statistics'!$A$7:$A$5000,0),MATCH(R0_estimation!CE$16 &amp; "_Running14daysNew",'National statistics'!$B$1:$HA$1,0))</f>
        <v>286</v>
      </c>
      <c r="CF30" s="97">
        <f t="shared" ca="1" si="96"/>
        <v>2.4331242245373454</v>
      </c>
      <c r="CG30" s="98">
        <f t="shared" si="97"/>
        <v>1.3</v>
      </c>
      <c r="CH30" s="77">
        <f t="shared" ca="1" si="98"/>
        <v>7303856.9115674626</v>
      </c>
      <c r="CI30" s="77">
        <f t="shared" ca="1" si="99"/>
        <v>263.09784747348897</v>
      </c>
      <c r="CJ30" s="77">
        <f t="shared" ca="1" si="100"/>
        <v>478.77663469105028</v>
      </c>
      <c r="CK30" s="77">
        <f t="shared" ca="1" si="101"/>
        <v>0</v>
      </c>
      <c r="CL30" s="77">
        <f t="shared" ca="1" si="102"/>
        <v>281.27704836698337</v>
      </c>
      <c r="CM30" s="54">
        <f t="shared" ca="1" si="103"/>
        <v>2.8411823067372062</v>
      </c>
      <c r="CO30" s="209"/>
      <c r="CP30" s="210"/>
    </row>
    <row r="31" spans="1:94">
      <c r="A31" s="83">
        <v>43931</v>
      </c>
      <c r="B31" s="53">
        <f ca="1">OFFSET('National statistics'!$A$6,MATCH(R0_estimation!$A31,'National statistics'!$A$7:$A$5000,0),MATCH(R0_estimation!B$16 &amp; "_Running14daysNew",'National statistics'!$B$1:$HA$1,0))</f>
        <v>1041</v>
      </c>
      <c r="C31" s="97">
        <f t="shared" ca="1" si="24"/>
        <v>1.9211610393424374</v>
      </c>
      <c r="D31" s="98">
        <f t="shared" si="25"/>
        <v>1.3827762180585019</v>
      </c>
      <c r="E31" s="77">
        <f t="shared" ca="1" si="26"/>
        <v>59713715.293321557</v>
      </c>
      <c r="F31" s="77">
        <f t="shared" ca="1" si="27"/>
        <v>825.09976696741012</v>
      </c>
      <c r="G31" s="77">
        <f t="shared" ca="1" si="28"/>
        <v>1771.6474945742091</v>
      </c>
      <c r="H31" s="77">
        <f t="shared" ca="1" si="29"/>
        <v>0</v>
      </c>
      <c r="I31" s="77">
        <f t="shared" ca="1" si="30"/>
        <v>1203.3176378399885</v>
      </c>
      <c r="J31" s="54">
        <f t="shared" ca="1" si="31"/>
        <v>12.15472361454534</v>
      </c>
      <c r="K31" s="53">
        <f ca="1">OFFSET('National statistics'!$A$6,MATCH(R0_estimation!$A31,'National statistics'!$A$7:$A$5000,0),MATCH(R0_estimation!K$16 &amp; "_Running14daysNew",'National statistics'!$B$1:$HA$1,0))</f>
        <v>63</v>
      </c>
      <c r="L31" s="97">
        <f t="shared" ca="1" si="32"/>
        <v>2.7782873101034609</v>
      </c>
      <c r="M31" s="98">
        <f t="shared" si="33"/>
        <v>5.094553629032375</v>
      </c>
      <c r="N31" s="77">
        <f t="shared" ca="1" si="34"/>
        <v>6870675.3679938633</v>
      </c>
      <c r="O31" s="77">
        <f t="shared" ca="1" si="35"/>
        <v>25.358742219768239</v>
      </c>
      <c r="P31" s="77">
        <f t="shared" ca="1" si="36"/>
        <v>41.970904656481842</v>
      </c>
      <c r="Q31" s="77">
        <f t="shared" ca="1" si="37"/>
        <v>0</v>
      </c>
      <c r="R31" s="77">
        <f t="shared" ca="1" si="38"/>
        <v>21.270892412806585</v>
      </c>
      <c r="S31" s="54">
        <f t="shared" ca="1" si="39"/>
        <v>0.21485749911925847</v>
      </c>
      <c r="T31" s="53">
        <f ca="1">OFFSET('National statistics'!$A$6,MATCH(R0_estimation!$A31,'National statistics'!$A$7:$A$5000,0),MATCH(R0_estimation!T$16 &amp; "_Running14daysNew",'National statistics'!$B$1:$HA$1,0))</f>
        <v>35.5</v>
      </c>
      <c r="U31" s="97">
        <f t="shared" ca="1" si="40"/>
        <v>1.0062710569511544</v>
      </c>
      <c r="V31" s="98">
        <f t="shared" si="41"/>
        <v>1.1785761441384355</v>
      </c>
      <c r="W31" s="77">
        <f t="shared" ca="1" si="42"/>
        <v>2808833.4403014113</v>
      </c>
      <c r="X31" s="77">
        <f t="shared" ca="1" si="43"/>
        <v>23.66092157915433</v>
      </c>
      <c r="Y31" s="77">
        <f t="shared" ca="1" si="44"/>
        <v>81.463872076164677</v>
      </c>
      <c r="Z31" s="77">
        <f t="shared" ca="1" si="45"/>
        <v>0</v>
      </c>
      <c r="AA31" s="77">
        <f t="shared" ca="1" si="46"/>
        <v>69.858610014148169</v>
      </c>
      <c r="AB31" s="54">
        <f t="shared" ca="1" si="47"/>
        <v>0.70564252539543604</v>
      </c>
      <c r="AC31" s="53">
        <f ca="1">OFFSET('National statistics'!$A$6,MATCH(R0_estimation!$A31,'National statistics'!$A$7:$A$5000,0),MATCH(R0_estimation!AC$16 &amp; "_Running14daysNew",'National statistics'!$B$1:$HA$1,0))</f>
        <v>330</v>
      </c>
      <c r="AD31" s="97">
        <f t="shared" ca="1" si="48"/>
        <v>1.1513150830584011</v>
      </c>
      <c r="AE31" s="98">
        <f t="shared" si="49"/>
        <v>1.6884571396112655</v>
      </c>
      <c r="AF31" s="77">
        <f t="shared" ca="1" si="50"/>
        <v>15637859.430629887</v>
      </c>
      <c r="AG31" s="77">
        <f t="shared" ca="1" si="51"/>
        <v>239.61066977299481</v>
      </c>
      <c r="AH31" s="77">
        <f t="shared" ca="1" si="52"/>
        <v>742.85585301667845</v>
      </c>
      <c r="AI31" s="77">
        <f t="shared" ca="1" si="53"/>
        <v>0</v>
      </c>
      <c r="AJ31" s="77">
        <f t="shared" ca="1" si="54"/>
        <v>588.33165238050049</v>
      </c>
      <c r="AK31" s="54">
        <f t="shared" ca="1" si="55"/>
        <v>5.9427439634393986</v>
      </c>
      <c r="AL31" s="53">
        <f ca="1">OFFSET('National statistics'!$A$6,MATCH(R0_estimation!$A31,'National statistics'!$A$7:$A$5000,0),MATCH(R0_estimation!AL$16 &amp; "_Running14daysNew",'National statistics'!$B$1:$HA$1,0))</f>
        <v>267</v>
      </c>
      <c r="AM31" s="97">
        <f t="shared" ca="1" si="56"/>
        <v>1.4899002769655674</v>
      </c>
      <c r="AN31" s="98">
        <f t="shared" si="57"/>
        <v>1.7859886972162524</v>
      </c>
      <c r="AO31" s="77">
        <f t="shared" ca="1" si="58"/>
        <v>11000021.501001075</v>
      </c>
      <c r="AP31" s="77">
        <f t="shared" ca="1" si="59"/>
        <v>93.08947616037986</v>
      </c>
      <c r="AQ31" s="77">
        <f t="shared" ca="1" si="60"/>
        <v>239.30108797044758</v>
      </c>
      <c r="AR31" s="77">
        <f t="shared" ca="1" si="61"/>
        <v>0</v>
      </c>
      <c r="AS31" s="77">
        <f t="shared" ca="1" si="62"/>
        <v>173.75531781626989</v>
      </c>
      <c r="AT31" s="54">
        <f t="shared" ca="1" si="63"/>
        <v>1.7551042203663625</v>
      </c>
      <c r="AU31" s="53">
        <f ca="1">OFFSET('National statistics'!$A$6,MATCH(R0_estimation!$A31,'National statistics'!$A$7:$A$5000,0),MATCH(R0_estimation!AU$16 &amp; "_Running14daysNew",'National statistics'!$B$1:$HA$1,0))</f>
        <v>15.5</v>
      </c>
      <c r="AV31" s="97">
        <f t="shared" ca="1" si="64"/>
        <v>1.7150884819427765</v>
      </c>
      <c r="AW31" s="98">
        <f t="shared" si="65"/>
        <v>1.1524491675693536</v>
      </c>
      <c r="AX31" s="77">
        <f t="shared" ca="1" si="66"/>
        <v>5853802.7845829977</v>
      </c>
      <c r="AY31" s="77">
        <f t="shared" ca="1" si="67"/>
        <v>7.1605913043175988</v>
      </c>
      <c r="AZ31" s="77">
        <f t="shared" ca="1" si="68"/>
        <v>16.690288258890391</v>
      </c>
      <c r="BA31" s="77">
        <f t="shared" ca="1" si="69"/>
        <v>0</v>
      </c>
      <c r="BB31" s="77">
        <f t="shared" ca="1" si="70"/>
        <v>12.059877445144204</v>
      </c>
      <c r="BC31" s="54">
        <f t="shared" ca="1" si="71"/>
        <v>0.12181694389034547</v>
      </c>
      <c r="BD31" s="53">
        <f ca="1">OFFSET('National statistics'!$A$6,MATCH(R0_estimation!$A31,'National statistics'!$A$7:$A$5000,0),MATCH(R0_estimation!BD$16 &amp; "_Running14daysNew",'National statistics'!$B$1:$HA$1,0))</f>
        <v>11</v>
      </c>
      <c r="BE31" s="97">
        <f t="shared" ca="1" si="72"/>
        <v>1.4435626881707697</v>
      </c>
      <c r="BF31" s="98">
        <f t="shared" si="73"/>
        <v>1.518397365409784</v>
      </c>
      <c r="BG31" s="77">
        <f t="shared" ca="1" si="74"/>
        <v>4809168.3434607154</v>
      </c>
      <c r="BH31" s="77">
        <f t="shared" ca="1" si="75"/>
        <v>5.2095439130755885</v>
      </c>
      <c r="BI31" s="77">
        <f t="shared" ca="1" si="76"/>
        <v>13.721813201963705</v>
      </c>
      <c r="BJ31" s="77">
        <f t="shared" ca="1" si="77"/>
        <v>0</v>
      </c>
      <c r="BK31" s="77">
        <f t="shared" ca="1" si="78"/>
        <v>10.257966704060562</v>
      </c>
      <c r="BL31" s="54">
        <f t="shared" ca="1" si="79"/>
        <v>0.10361582529354103</v>
      </c>
      <c r="BM31" s="53">
        <f ca="1">OFFSET('National statistics'!$A$6,MATCH(R0_estimation!$A31,'National statistics'!$A$7:$A$5000,0),MATCH(R0_estimation!BM$16 &amp; "_Running14daysNew",'National statistics'!$B$1:$HA$1,0))</f>
        <v>13</v>
      </c>
      <c r="BN31" s="97">
        <f t="shared" ca="1" si="80"/>
        <v>1.9865205416387972</v>
      </c>
      <c r="BO31" s="98">
        <f t="shared" si="81"/>
        <v>0.6</v>
      </c>
      <c r="BP31" s="77">
        <f t="shared" ca="1" si="82"/>
        <v>4107616.4905071706</v>
      </c>
      <c r="BQ31" s="77">
        <f t="shared" ca="1" si="83"/>
        <v>4.0425842994730363</v>
      </c>
      <c r="BR31" s="77">
        <f t="shared" ca="1" si="84"/>
        <v>8.5034975776273924</v>
      </c>
      <c r="BS31" s="77">
        <f t="shared" ca="1" si="85"/>
        <v>0</v>
      </c>
      <c r="BT31" s="77">
        <f t="shared" ca="1" si="86"/>
        <v>6.0718392829242847</v>
      </c>
      <c r="BU31" s="54">
        <f t="shared" ca="1" si="87"/>
        <v>6.1331709928528128E-2</v>
      </c>
      <c r="BV31" s="53">
        <f ca="1">OFFSET('National statistics'!$A$6,MATCH(R0_estimation!$A31,'National statistics'!$A$7:$A$5000,0),MATCH(R0_estimation!BV$16 &amp; "_Running14daysNew",'National statistics'!$B$1:$HA$1,0))</f>
        <v>15</v>
      </c>
      <c r="BW31" s="97">
        <f t="shared" ca="1" si="88"/>
        <v>1.3799241468388452</v>
      </c>
      <c r="BX31" s="98">
        <f t="shared" si="89"/>
        <v>1.3375196464737016</v>
      </c>
      <c r="BY31" s="77">
        <f t="shared" ca="1" si="90"/>
        <v>1322218.8123916853</v>
      </c>
      <c r="BZ31" s="77">
        <f t="shared" ca="1" si="91"/>
        <v>2.6162049733067891</v>
      </c>
      <c r="CA31" s="77">
        <f t="shared" ca="1" si="92"/>
        <v>7.1293340631130206</v>
      </c>
      <c r="CB31" s="77">
        <f t="shared" ca="1" si="93"/>
        <v>0</v>
      </c>
      <c r="CC31" s="77">
        <f t="shared" ca="1" si="94"/>
        <v>5.4857302394005449</v>
      </c>
      <c r="CD31" s="54">
        <f t="shared" ca="1" si="95"/>
        <v>5.5411416559601467E-2</v>
      </c>
      <c r="CE31" s="53">
        <f ca="1">OFFSET('National statistics'!$A$6,MATCH(R0_estimation!$A31,'National statistics'!$A$7:$A$5000,0),MATCH(R0_estimation!CE$16 &amp; "_Running14daysNew",'National statistics'!$B$1:$HA$1,0))</f>
        <v>291</v>
      </c>
      <c r="CF31" s="97">
        <f t="shared" ca="1" si="96"/>
        <v>2.4331242245373454</v>
      </c>
      <c r="CG31" s="98">
        <f t="shared" si="97"/>
        <v>1.3</v>
      </c>
      <c r="CH31" s="77">
        <f t="shared" ca="1" si="98"/>
        <v>7303773.7144343127</v>
      </c>
      <c r="CI31" s="77">
        <f t="shared" ca="1" si="99"/>
        <v>280.52051875520203</v>
      </c>
      <c r="CJ31" s="77">
        <f t="shared" ca="1" si="100"/>
        <v>510.35276551006177</v>
      </c>
      <c r="CK31" s="77">
        <f t="shared" ca="1" si="101"/>
        <v>0</v>
      </c>
      <c r="CL31" s="77">
        <f t="shared" ca="1" si="102"/>
        <v>315.13339610585047</v>
      </c>
      <c r="CM31" s="54">
        <f t="shared" ca="1" si="103"/>
        <v>3.1831656172308134</v>
      </c>
      <c r="CO31" s="209"/>
      <c r="CP31" s="210"/>
    </row>
    <row r="32" spans="1:94">
      <c r="A32" s="83">
        <v>43932</v>
      </c>
      <c r="B32" s="53">
        <f ca="1">OFFSET('National statistics'!$A$6,MATCH(R0_estimation!$A32,'National statistics'!$A$7:$A$5000,0),MATCH(R0_estimation!B$16 &amp; "_Running14daysNew",'National statistics'!$B$1:$HA$1,0))</f>
        <v>948</v>
      </c>
      <c r="C32" s="97">
        <f t="shared" ca="1" si="24"/>
        <v>1.9211610393424374</v>
      </c>
      <c r="D32" s="98">
        <f t="shared" si="25"/>
        <v>1.3827762180585019</v>
      </c>
      <c r="E32" s="77">
        <f t="shared" ca="1" si="26"/>
        <v>59713472.193067558</v>
      </c>
      <c r="F32" s="77">
        <f t="shared" ca="1" si="27"/>
        <v>861.92507922773291</v>
      </c>
      <c r="G32" s="77">
        <f t="shared" ca="1" si="28"/>
        <v>1851.376186703618</v>
      </c>
      <c r="H32" s="77">
        <f t="shared" ca="1" si="29"/>
        <v>0</v>
      </c>
      <c r="I32" s="77">
        <f t="shared" ca="1" si="30"/>
        <v>1328.5984249563076</v>
      </c>
      <c r="J32" s="54">
        <f t="shared" ca="1" si="31"/>
        <v>13.420186110669775</v>
      </c>
      <c r="K32" s="53">
        <f ca="1">OFFSET('National statistics'!$A$6,MATCH(R0_estimation!$A32,'National statistics'!$A$7:$A$5000,0),MATCH(R0_estimation!K$16 &amp; "_Running14daysNew",'National statistics'!$B$1:$HA$1,0))</f>
        <v>59</v>
      </c>
      <c r="L32" s="97">
        <f t="shared" ca="1" si="32"/>
        <v>2.7782873101034609</v>
      </c>
      <c r="M32" s="98">
        <f t="shared" si="33"/>
        <v>5.094553629032375</v>
      </c>
      <c r="N32" s="77">
        <f t="shared" ca="1" si="34"/>
        <v>6870667.0390132833</v>
      </c>
      <c r="O32" s="77">
        <f t="shared" ca="1" si="35"/>
        <v>27.34803724452798</v>
      </c>
      <c r="P32" s="77">
        <f t="shared" ca="1" si="36"/>
        <v>45.312668450246626</v>
      </c>
      <c r="Q32" s="77">
        <f t="shared" ca="1" si="37"/>
        <v>0</v>
      </c>
      <c r="R32" s="77">
        <f t="shared" ca="1" si="38"/>
        <v>24.238834956372088</v>
      </c>
      <c r="S32" s="54">
        <f t="shared" ca="1" si="39"/>
        <v>0.24483671673103122</v>
      </c>
      <c r="T32" s="53">
        <f ca="1">OFFSET('National statistics'!$A$6,MATCH(R0_estimation!$A32,'National statistics'!$A$7:$A$5000,0),MATCH(R0_estimation!T$16 &amp; "_Running14daysNew",'National statistics'!$B$1:$HA$1,0))</f>
        <v>26</v>
      </c>
      <c r="U32" s="97">
        <f t="shared" ca="1" si="40"/>
        <v>1.0062710569511544</v>
      </c>
      <c r="V32" s="98">
        <f t="shared" si="41"/>
        <v>1.1785761441384355</v>
      </c>
      <c r="W32" s="77">
        <f t="shared" ca="1" si="42"/>
        <v>2808827.5853278292</v>
      </c>
      <c r="X32" s="77">
        <f t="shared" ca="1" si="43"/>
        <v>23.60066476660807</v>
      </c>
      <c r="Y32" s="77">
        <f t="shared" ca="1" si="44"/>
        <v>81.560254465512926</v>
      </c>
      <c r="Z32" s="77">
        <f t="shared" ca="1" si="45"/>
        <v>0</v>
      </c>
      <c r="AA32" s="77">
        <f t="shared" ca="1" si="46"/>
        <v>75.619269539534102</v>
      </c>
      <c r="AB32" s="54">
        <f t="shared" ca="1" si="47"/>
        <v>0.7638310054498394</v>
      </c>
      <c r="AC32" s="53">
        <f ca="1">OFFSET('National statistics'!$A$6,MATCH(R0_estimation!$A32,'National statistics'!$A$7:$A$5000,0),MATCH(R0_estimation!AC$16 &amp; "_Running14daysNew",'National statistics'!$B$1:$HA$1,0))</f>
        <v>280</v>
      </c>
      <c r="AD32" s="97">
        <f t="shared" ca="1" si="48"/>
        <v>1.1513150830584011</v>
      </c>
      <c r="AE32" s="98">
        <f t="shared" si="49"/>
        <v>1.6884571396112655</v>
      </c>
      <c r="AF32" s="77">
        <f t="shared" ca="1" si="50"/>
        <v>15637798.346683664</v>
      </c>
      <c r="AG32" s="77">
        <f t="shared" ca="1" si="51"/>
        <v>240.79194855254715</v>
      </c>
      <c r="AH32" s="77">
        <f t="shared" ca="1" si="52"/>
        <v>749.69738810159299</v>
      </c>
      <c r="AI32" s="77">
        <f t="shared" ca="1" si="53"/>
        <v>0</v>
      </c>
      <c r="AJ32" s="77">
        <f t="shared" ca="1" si="54"/>
        <v>640.86217341525128</v>
      </c>
      <c r="AK32" s="54">
        <f t="shared" ca="1" si="55"/>
        <v>6.4733552870227404</v>
      </c>
      <c r="AL32" s="53">
        <f ca="1">OFFSET('National statistics'!$A$6,MATCH(R0_estimation!$A32,'National statistics'!$A$7:$A$5000,0),MATCH(R0_estimation!AL$16 &amp; "_Running14daysNew",'National statistics'!$B$1:$HA$1,0))</f>
        <v>262</v>
      </c>
      <c r="AM32" s="97">
        <f t="shared" ca="1" si="56"/>
        <v>1.4899002769655674</v>
      </c>
      <c r="AN32" s="98">
        <f t="shared" si="57"/>
        <v>1.7859886972162524</v>
      </c>
      <c r="AO32" s="77">
        <f t="shared" ca="1" si="58"/>
        <v>10999996.035404453</v>
      </c>
      <c r="AP32" s="77">
        <f t="shared" ca="1" si="59"/>
        <v>95.282703742072556</v>
      </c>
      <c r="AQ32" s="77">
        <f t="shared" ca="1" si="60"/>
        <v>245.48052215551058</v>
      </c>
      <c r="AR32" s="77">
        <f t="shared" ca="1" si="61"/>
        <v>0</v>
      </c>
      <c r="AS32" s="77">
        <f t="shared" ca="1" si="62"/>
        <v>190.67732332275153</v>
      </c>
      <c r="AT32" s="54">
        <f t="shared" ca="1" si="63"/>
        <v>1.9260335689166821</v>
      </c>
      <c r="AU32" s="53">
        <f ca="1">OFFSET('National statistics'!$A$6,MATCH(R0_estimation!$A32,'National statistics'!$A$7:$A$5000,0),MATCH(R0_estimation!AU$16 &amp; "_Running14daysNew",'National statistics'!$B$1:$HA$1,0))</f>
        <v>12</v>
      </c>
      <c r="AV32" s="97">
        <f t="shared" ca="1" si="64"/>
        <v>1.7150884819427765</v>
      </c>
      <c r="AW32" s="98">
        <f t="shared" si="65"/>
        <v>1.1524491675693536</v>
      </c>
      <c r="AX32" s="77">
        <f t="shared" ca="1" si="66"/>
        <v>5853800.739929744</v>
      </c>
      <c r="AY32" s="77">
        <f t="shared" ca="1" si="67"/>
        <v>7.4150967317538825</v>
      </c>
      <c r="AZ32" s="77">
        <f t="shared" ca="1" si="68"/>
        <v>17.288272637906189</v>
      </c>
      <c r="BA32" s="77">
        <f t="shared" ca="1" si="69"/>
        <v>0</v>
      </c>
      <c r="BB32" s="77">
        <f t="shared" ca="1" si="70"/>
        <v>13.240119257737167</v>
      </c>
      <c r="BC32" s="54">
        <f t="shared" ca="1" si="71"/>
        <v>0.13373857836098146</v>
      </c>
      <c r="BD32" s="53">
        <f ca="1">OFFSET('National statistics'!$A$6,MATCH(R0_estimation!$A32,'National statistics'!$A$7:$A$5000,0),MATCH(R0_estimation!BD$16 &amp; "_Running14daysNew",'National statistics'!$B$1:$HA$1,0))</f>
        <v>10</v>
      </c>
      <c r="BE32" s="97">
        <f t="shared" ca="1" si="72"/>
        <v>1.4435626881707697</v>
      </c>
      <c r="BF32" s="98">
        <f t="shared" si="73"/>
        <v>1.518397365409784</v>
      </c>
      <c r="BG32" s="77">
        <f t="shared" ca="1" si="74"/>
        <v>4809166.9285909068</v>
      </c>
      <c r="BH32" s="77">
        <f t="shared" ca="1" si="75"/>
        <v>5.3220277438321393</v>
      </c>
      <c r="BI32" s="77">
        <f t="shared" ca="1" si="76"/>
        <v>14.044069665806624</v>
      </c>
      <c r="BJ32" s="77">
        <f t="shared" ca="1" si="77"/>
        <v>0</v>
      </c>
      <c r="BK32" s="77">
        <f t="shared" ca="1" si="78"/>
        <v>11.228294923342281</v>
      </c>
      <c r="BL32" s="54">
        <f t="shared" ca="1" si="79"/>
        <v>0.11341712043780082</v>
      </c>
      <c r="BM32" s="53">
        <f ca="1">OFFSET('National statistics'!$A$6,MATCH(R0_estimation!$A32,'National statistics'!$A$7:$A$5000,0),MATCH(R0_estimation!BM$16 &amp; "_Running14daysNew",'National statistics'!$B$1:$HA$1,0))</f>
        <v>13</v>
      </c>
      <c r="BN32" s="97">
        <f t="shared" ca="1" si="80"/>
        <v>1.9865205416387972</v>
      </c>
      <c r="BO32" s="98">
        <f t="shared" si="81"/>
        <v>0.6</v>
      </c>
      <c r="BP32" s="77">
        <f t="shared" ca="1" si="82"/>
        <v>4107615.2839145958</v>
      </c>
      <c r="BQ32" s="77">
        <f t="shared" ca="1" si="83"/>
        <v>4.238530799518081</v>
      </c>
      <c r="BR32" s="77">
        <f t="shared" ca="1" si="84"/>
        <v>8.9067509683794093</v>
      </c>
      <c r="BS32" s="77">
        <f t="shared" ca="1" si="85"/>
        <v>0</v>
      </c>
      <c r="BT32" s="77">
        <f t="shared" ca="1" si="86"/>
        <v>6.6731580401993646</v>
      </c>
      <c r="BU32" s="54">
        <f t="shared" ca="1" si="87"/>
        <v>6.7405636769690552E-2</v>
      </c>
      <c r="BV32" s="53">
        <f ca="1">OFFSET('National statistics'!$A$6,MATCH(R0_estimation!$A32,'National statistics'!$A$7:$A$5000,0),MATCH(R0_estimation!BV$16 &amp; "_Running14daysNew",'National statistics'!$B$1:$HA$1,0))</f>
        <v>11</v>
      </c>
      <c r="BW32" s="97">
        <f t="shared" ca="1" si="88"/>
        <v>1.3799241468388452</v>
      </c>
      <c r="BX32" s="98">
        <f t="shared" si="89"/>
        <v>1.3375196464737016</v>
      </c>
      <c r="BY32" s="77">
        <f t="shared" ca="1" si="90"/>
        <v>1322218.109689764</v>
      </c>
      <c r="BZ32" s="77">
        <f t="shared" ca="1" si="91"/>
        <v>2.6648556512621702</v>
      </c>
      <c r="CA32" s="77">
        <f t="shared" ca="1" si="92"/>
        <v>7.2741471590745022</v>
      </c>
      <c r="CB32" s="77">
        <f t="shared" ca="1" si="93"/>
        <v>0</v>
      </c>
      <c r="CC32" s="77">
        <f t="shared" ca="1" si="94"/>
        <v>5.9898760052921087</v>
      </c>
      <c r="CD32" s="54">
        <f t="shared" ca="1" si="95"/>
        <v>6.0503798033253627E-2</v>
      </c>
      <c r="CE32" s="53">
        <f ca="1">OFFSET('National statistics'!$A$6,MATCH(R0_estimation!$A32,'National statistics'!$A$7:$A$5000,0),MATCH(R0_estimation!CE$16 &amp; "_Running14daysNew",'National statistics'!$B$1:$HA$1,0))</f>
        <v>275</v>
      </c>
      <c r="CF32" s="97">
        <f t="shared" ca="1" si="96"/>
        <v>2.4331242245373454</v>
      </c>
      <c r="CG32" s="98">
        <f t="shared" si="97"/>
        <v>1.3</v>
      </c>
      <c r="CH32" s="77">
        <f t="shared" ca="1" si="98"/>
        <v>7303685.0313152075</v>
      </c>
      <c r="CI32" s="77">
        <f t="shared" ca="1" si="99"/>
        <v>299.07350817192992</v>
      </c>
      <c r="CJ32" s="77">
        <f t="shared" ca="1" si="100"/>
        <v>544.02912623385782</v>
      </c>
      <c r="CK32" s="77">
        <f t="shared" ca="1" si="101"/>
        <v>0</v>
      </c>
      <c r="CL32" s="77">
        <f t="shared" ca="1" si="102"/>
        <v>351.22262738120486</v>
      </c>
      <c r="CM32" s="54">
        <f t="shared" ca="1" si="103"/>
        <v>3.5477033068808574</v>
      </c>
      <c r="CO32" s="209"/>
      <c r="CP32" s="210"/>
    </row>
    <row r="33" spans="1:94">
      <c r="A33" s="83">
        <v>43933</v>
      </c>
      <c r="B33" s="53">
        <f ca="1">OFFSET('National statistics'!$A$6,MATCH(R0_estimation!$A33,'National statistics'!$A$7:$A$5000,0),MATCH(R0_estimation!B$16 &amp; "_Running14daysNew",'National statistics'!$B$1:$HA$1,0))</f>
        <v>978</v>
      </c>
      <c r="C33" s="97">
        <f t="shared" ca="1" si="24"/>
        <v>1.9211610393424374</v>
      </c>
      <c r="D33" s="98">
        <f t="shared" si="25"/>
        <v>1.3827762180585019</v>
      </c>
      <c r="E33" s="77">
        <f t="shared" ca="1" si="26"/>
        <v>59713218.153705962</v>
      </c>
      <c r="F33" s="77">
        <f t="shared" ca="1" si="27"/>
        <v>900.48317101995565</v>
      </c>
      <c r="G33" s="77">
        <f t="shared" ca="1" si="28"/>
        <v>1934.6163003174358</v>
      </c>
      <c r="H33" s="77">
        <f t="shared" ca="1" si="29"/>
        <v>0</v>
      </c>
      <c r="I33" s="77">
        <f t="shared" ca="1" si="30"/>
        <v>1459.5171695874919</v>
      </c>
      <c r="J33" s="54">
        <f t="shared" ca="1" si="31"/>
        <v>14.742597672600931</v>
      </c>
      <c r="K33" s="53">
        <f ca="1">OFFSET('National statistics'!$A$6,MATCH(R0_estimation!$A33,'National statistics'!$A$7:$A$5000,0),MATCH(R0_estimation!K$16 &amp; "_Running14daysNew",'National statistics'!$B$1:$HA$1,0))</f>
        <v>76</v>
      </c>
      <c r="L33" s="97">
        <f t="shared" ca="1" si="32"/>
        <v>2.7782873101034609</v>
      </c>
      <c r="M33" s="98">
        <f t="shared" si="33"/>
        <v>5.094553629032375</v>
      </c>
      <c r="N33" s="77">
        <f t="shared" ca="1" si="34"/>
        <v>6870658.0468821209</v>
      </c>
      <c r="O33" s="77">
        <f t="shared" ca="1" si="35"/>
        <v>29.503159095656628</v>
      </c>
      <c r="P33" s="77">
        <f t="shared" ca="1" si="36"/>
        <v>48.913058586361004</v>
      </c>
      <c r="Q33" s="77">
        <f t="shared" ca="1" si="37"/>
        <v>0</v>
      </c>
      <c r="R33" s="77">
        <f t="shared" ca="1" si="38"/>
        <v>27.443087939639529</v>
      </c>
      <c r="S33" s="54">
        <f t="shared" ca="1" si="39"/>
        <v>0.27720290848120738</v>
      </c>
      <c r="T33" s="53">
        <f ca="1">OFFSET('National statistics'!$A$6,MATCH(R0_estimation!$A33,'National statistics'!$A$7:$A$5000,0),MATCH(R0_estimation!T$16 &amp; "_Running14daysNew",'National statistics'!$B$1:$HA$1,0))</f>
        <v>24</v>
      </c>
      <c r="U33" s="97">
        <f t="shared" ca="1" si="40"/>
        <v>1.0062710569511544</v>
      </c>
      <c r="V33" s="98">
        <f t="shared" si="41"/>
        <v>1.1785761441384355</v>
      </c>
      <c r="W33" s="77">
        <f t="shared" ca="1" si="42"/>
        <v>2808821.7234391468</v>
      </c>
      <c r="X33" s="77">
        <f t="shared" ca="1" si="43"/>
        <v>23.562387257230576</v>
      </c>
      <c r="Y33" s="77">
        <f t="shared" ca="1" si="44"/>
        <v>81.634688195342591</v>
      </c>
      <c r="Z33" s="77">
        <f t="shared" ca="1" si="45"/>
        <v>0</v>
      </c>
      <c r="AA33" s="77">
        <f t="shared" ca="1" si="46"/>
        <v>81.386744676738232</v>
      </c>
      <c r="AB33" s="54">
        <f t="shared" ca="1" si="47"/>
        <v>0.82208833006806292</v>
      </c>
      <c r="AC33" s="53">
        <f ca="1">OFFSET('National statistics'!$A$6,MATCH(R0_estimation!$A33,'National statistics'!$A$7:$A$5000,0),MATCH(R0_estimation!AC$16 &amp; "_Running14daysNew",'National statistics'!$B$1:$HA$1,0))</f>
        <v>281</v>
      </c>
      <c r="AD33" s="97">
        <f t="shared" ca="1" si="48"/>
        <v>1.1513150830584011</v>
      </c>
      <c r="AE33" s="98">
        <f t="shared" si="49"/>
        <v>1.6884571396112655</v>
      </c>
      <c r="AF33" s="77">
        <f t="shared" ca="1" si="50"/>
        <v>15637736.700406766</v>
      </c>
      <c r="AG33" s="77">
        <f t="shared" ca="1" si="51"/>
        <v>242.24023831383857</v>
      </c>
      <c r="AH33" s="77">
        <f t="shared" ca="1" si="52"/>
        <v>756.34556180390177</v>
      </c>
      <c r="AI33" s="77">
        <f t="shared" ca="1" si="53"/>
        <v>0</v>
      </c>
      <c r="AJ33" s="77">
        <f t="shared" ca="1" si="54"/>
        <v>693.87648871672104</v>
      </c>
      <c r="AK33" s="54">
        <f t="shared" ca="1" si="55"/>
        <v>7.008853421381021</v>
      </c>
      <c r="AL33" s="53">
        <f ca="1">OFFSET('National statistics'!$A$6,MATCH(R0_estimation!$A33,'National statistics'!$A$7:$A$5000,0),MATCH(R0_estimation!AL$16 &amp; "_Running14daysNew",'National statistics'!$B$1:$HA$1,0))</f>
        <v>276</v>
      </c>
      <c r="AM33" s="97">
        <f t="shared" ca="1" si="56"/>
        <v>1.4899002769655674</v>
      </c>
      <c r="AN33" s="98">
        <f t="shared" si="57"/>
        <v>1.7859886972162524</v>
      </c>
      <c r="AO33" s="77">
        <f t="shared" ca="1" si="58"/>
        <v>10999969.912273824</v>
      </c>
      <c r="AP33" s="77">
        <f t="shared" ca="1" si="59"/>
        <v>97.585158435763006</v>
      </c>
      <c r="AQ33" s="77">
        <f t="shared" ca="1" si="60"/>
        <v>251.76687507992082</v>
      </c>
      <c r="AR33" s="77">
        <f t="shared" ca="1" si="61"/>
        <v>0</v>
      </c>
      <c r="AS33" s="77">
        <f t="shared" ca="1" si="62"/>
        <v>208.03630310374837</v>
      </c>
      <c r="AT33" s="54">
        <f t="shared" ca="1" si="63"/>
        <v>2.101376799027761</v>
      </c>
      <c r="AU33" s="53">
        <f ca="1">OFFSET('National statistics'!$A$6,MATCH(R0_estimation!$A33,'National statistics'!$A$7:$A$5000,0),MATCH(R0_estimation!AU$16 &amp; "_Running14daysNew",'National statistics'!$B$1:$HA$1,0))</f>
        <v>11</v>
      </c>
      <c r="AV33" s="97">
        <f t="shared" ca="1" si="64"/>
        <v>1.7150884819427765</v>
      </c>
      <c r="AW33" s="98">
        <f t="shared" si="65"/>
        <v>1.1524491675693536</v>
      </c>
      <c r="AX33" s="77">
        <f t="shared" ca="1" si="66"/>
        <v>5853798.6220208099</v>
      </c>
      <c r="AY33" s="77">
        <f t="shared" ca="1" si="67"/>
        <v>7.6792314832620914</v>
      </c>
      <c r="AZ33" s="77">
        <f t="shared" ca="1" si="68"/>
        <v>17.907170203851358</v>
      </c>
      <c r="BA33" s="77">
        <f t="shared" ca="1" si="69"/>
        <v>0</v>
      </c>
      <c r="BB33" s="77">
        <f t="shared" ca="1" si="70"/>
        <v>14.462647108560533</v>
      </c>
      <c r="BC33" s="54">
        <f t="shared" ca="1" si="71"/>
        <v>0.14608734453091446</v>
      </c>
      <c r="BD33" s="53">
        <f ca="1">OFFSET('National statistics'!$A$6,MATCH(R0_estimation!$A33,'National statistics'!$A$7:$A$5000,0),MATCH(R0_estimation!BD$16 &amp; "_Running14daysNew",'National statistics'!$B$1:$HA$1,0))</f>
        <v>10</v>
      </c>
      <c r="BE33" s="97">
        <f t="shared" ca="1" si="72"/>
        <v>1.4435626881707697</v>
      </c>
      <c r="BF33" s="98">
        <f t="shared" si="73"/>
        <v>1.518397365409784</v>
      </c>
      <c r="BG33" s="77">
        <f t="shared" ca="1" si="74"/>
        <v>4809165.480493336</v>
      </c>
      <c r="BH33" s="77">
        <f t="shared" ca="1" si="75"/>
        <v>5.4396183783680296</v>
      </c>
      <c r="BI33" s="77">
        <f t="shared" ca="1" si="76"/>
        <v>14.371428768492757</v>
      </c>
      <c r="BJ33" s="77">
        <f t="shared" ca="1" si="77"/>
        <v>0</v>
      </c>
      <c r="BK33" s="77">
        <f t="shared" ca="1" si="78"/>
        <v>12.221411278281463</v>
      </c>
      <c r="BL33" s="54">
        <f t="shared" ca="1" si="79"/>
        <v>0.12344859877051984</v>
      </c>
      <c r="BM33" s="53">
        <f ca="1">OFFSET('National statistics'!$A$6,MATCH(R0_estimation!$A33,'National statistics'!$A$7:$A$5000,0),MATCH(R0_estimation!BM$16 &amp; "_Running14daysNew",'National statistics'!$B$1:$HA$1,0))</f>
        <v>13</v>
      </c>
      <c r="BN33" s="97">
        <f t="shared" ca="1" si="80"/>
        <v>1.9865205416387972</v>
      </c>
      <c r="BO33" s="98">
        <f t="shared" si="81"/>
        <v>0.6</v>
      </c>
      <c r="BP33" s="77">
        <f t="shared" ca="1" si="82"/>
        <v>4107614.0201032823</v>
      </c>
      <c r="BQ33" s="77">
        <f t="shared" ca="1" si="83"/>
        <v>4.4427094132782479</v>
      </c>
      <c r="BR33" s="77">
        <f t="shared" ca="1" si="84"/>
        <v>9.3301871705175436</v>
      </c>
      <c r="BS33" s="77">
        <f t="shared" ca="1" si="85"/>
        <v>0</v>
      </c>
      <c r="BT33" s="77">
        <f t="shared" ca="1" si="86"/>
        <v>7.3029925729633369</v>
      </c>
      <c r="BU33" s="54">
        <f t="shared" ca="1" si="87"/>
        <v>7.3767601747104422E-2</v>
      </c>
      <c r="BV33" s="53">
        <f ca="1">OFFSET('National statistics'!$A$6,MATCH(R0_estimation!$A33,'National statistics'!$A$7:$A$5000,0),MATCH(R0_estimation!BV$16 &amp; "_Running14daysNew",'National statistics'!$B$1:$HA$1,0))</f>
        <v>10</v>
      </c>
      <c r="BW33" s="97">
        <f t="shared" ca="1" si="88"/>
        <v>1.3799241468388452</v>
      </c>
      <c r="BX33" s="98">
        <f t="shared" si="89"/>
        <v>1.3375196464737016</v>
      </c>
      <c r="BY33" s="77">
        <f t="shared" ca="1" si="90"/>
        <v>1322217.3927147363</v>
      </c>
      <c r="BZ33" s="77">
        <f t="shared" ca="1" si="91"/>
        <v>2.7156167661610398</v>
      </c>
      <c r="CA33" s="77">
        <f t="shared" ca="1" si="92"/>
        <v>7.4207791319561514</v>
      </c>
      <c r="CB33" s="77">
        <f t="shared" ca="1" si="93"/>
        <v>0</v>
      </c>
      <c r="CC33" s="77">
        <f t="shared" ca="1" si="94"/>
        <v>6.5042621258266626</v>
      </c>
      <c r="CD33" s="54">
        <f t="shared" ca="1" si="95"/>
        <v>6.5699617432592561E-2</v>
      </c>
      <c r="CE33" s="53">
        <f ca="1">OFFSET('National statistics'!$A$6,MATCH(R0_estimation!$A33,'National statistics'!$A$7:$A$5000,0),MATCH(R0_estimation!CE$16 &amp; "_Running14daysNew",'National statistics'!$B$1:$HA$1,0))</f>
        <v>277</v>
      </c>
      <c r="CF33" s="97">
        <f t="shared" ca="1" si="96"/>
        <v>2.4331242245373454</v>
      </c>
      <c r="CG33" s="98">
        <f t="shared" si="97"/>
        <v>1.3</v>
      </c>
      <c r="CH33" s="77">
        <f t="shared" ca="1" si="98"/>
        <v>7303590.497456166</v>
      </c>
      <c r="CI33" s="77">
        <f t="shared" ca="1" si="99"/>
        <v>318.83899017073907</v>
      </c>
      <c r="CJ33" s="77">
        <f t="shared" ca="1" si="100"/>
        <v>579.9382799744219</v>
      </c>
      <c r="CK33" s="77">
        <f t="shared" ca="1" si="101"/>
        <v>0</v>
      </c>
      <c r="CL33" s="77">
        <f t="shared" ca="1" si="102"/>
        <v>389.6932584505991</v>
      </c>
      <c r="CM33" s="54">
        <f t="shared" ca="1" si="103"/>
        <v>3.9362955399050414</v>
      </c>
      <c r="CO33" s="209"/>
      <c r="CP33" s="210"/>
    </row>
    <row r="34" spans="1:94">
      <c r="A34" s="83">
        <v>43934</v>
      </c>
      <c r="B34" s="53">
        <f ca="1">OFFSET('National statistics'!$A$6,MATCH(R0_estimation!$A34,'National statistics'!$A$7:$A$5000,0),MATCH(R0_estimation!B$16 &amp; "_Running14daysNew",'National statistics'!$B$1:$HA$1,0))</f>
        <v>1025</v>
      </c>
      <c r="C34" s="97">
        <f t="shared" ca="1" si="24"/>
        <v>1.9211610393424374</v>
      </c>
      <c r="D34" s="98">
        <f t="shared" si="25"/>
        <v>1.3827762180585019</v>
      </c>
      <c r="E34" s="77">
        <f t="shared" ca="1" si="26"/>
        <v>59712952.693550743</v>
      </c>
      <c r="F34" s="77">
        <f t="shared" ca="1" si="27"/>
        <v>940.82253348726056</v>
      </c>
      <c r="G34" s="77">
        <f t="shared" ca="1" si="28"/>
        <v>2021.550214478322</v>
      </c>
      <c r="H34" s="77">
        <f t="shared" ca="1" si="29"/>
        <v>0</v>
      </c>
      <c r="I34" s="77">
        <f t="shared" ca="1" si="30"/>
        <v>1596.3221793956534</v>
      </c>
      <c r="J34" s="54">
        <f t="shared" ca="1" si="31"/>
        <v>16.124466458541956</v>
      </c>
      <c r="K34" s="53">
        <f ca="1">OFFSET('National statistics'!$A$6,MATCH(R0_estimation!$A34,'National statistics'!$A$7:$A$5000,0),MATCH(R0_estimation!K$16 &amp; "_Running14daysNew",'National statistics'!$B$1:$HA$1,0))</f>
        <v>92</v>
      </c>
      <c r="L34" s="97">
        <f t="shared" ca="1" si="32"/>
        <v>2.7782873101034609</v>
      </c>
      <c r="M34" s="98">
        <f t="shared" si="33"/>
        <v>5.094553629032375</v>
      </c>
      <c r="N34" s="77">
        <f t="shared" ca="1" si="34"/>
        <v>6870648.3402795345</v>
      </c>
      <c r="O34" s="77">
        <f t="shared" ca="1" si="35"/>
        <v>31.833971908400208</v>
      </c>
      <c r="P34" s="77">
        <f t="shared" ca="1" si="36"/>
        <v>52.795058461249376</v>
      </c>
      <c r="Q34" s="77">
        <f t="shared" ca="1" si="37"/>
        <v>0</v>
      </c>
      <c r="R34" s="77">
        <f t="shared" ca="1" si="38"/>
        <v>30.901939939675056</v>
      </c>
      <c r="S34" s="54">
        <f t="shared" ca="1" si="39"/>
        <v>0.31214080747146522</v>
      </c>
      <c r="T34" s="53">
        <f ca="1">OFFSET('National statistics'!$A$6,MATCH(R0_estimation!$A34,'National statistics'!$A$7:$A$5000,0),MATCH(R0_estimation!T$16 &amp; "_Running14daysNew",'National statistics'!$B$1:$HA$1,0))</f>
        <v>24</v>
      </c>
      <c r="U34" s="97">
        <f t="shared" ca="1" si="40"/>
        <v>1.0062710569511544</v>
      </c>
      <c r="V34" s="98">
        <f t="shared" si="41"/>
        <v>1.1785761441384355</v>
      </c>
      <c r="W34" s="77">
        <f t="shared" ca="1" si="42"/>
        <v>2808815.8562128954</v>
      </c>
      <c r="X34" s="77">
        <f t="shared" ca="1" si="43"/>
        <v>23.539016694206026</v>
      </c>
      <c r="Y34" s="77">
        <f t="shared" ca="1" si="44"/>
        <v>81.694235852840052</v>
      </c>
      <c r="Z34" s="77">
        <f t="shared" ca="1" si="45"/>
        <v>0</v>
      </c>
      <c r="AA34" s="77">
        <f t="shared" ca="1" si="46"/>
        <v>87.159483341980319</v>
      </c>
      <c r="AB34" s="54">
        <f t="shared" ca="1" si="47"/>
        <v>0.88039882163616479</v>
      </c>
      <c r="AC34" s="53">
        <f ca="1">OFFSET('National statistics'!$A$6,MATCH(R0_estimation!$A34,'National statistics'!$A$7:$A$5000,0),MATCH(R0_estimation!AC$16 &amp; "_Running14daysNew",'National statistics'!$B$1:$HA$1,0))</f>
        <v>272</v>
      </c>
      <c r="AD34" s="97">
        <f t="shared" ca="1" si="48"/>
        <v>1.1513150830584011</v>
      </c>
      <c r="AE34" s="98">
        <f t="shared" si="49"/>
        <v>1.6884571396112655</v>
      </c>
      <c r="AF34" s="77">
        <f t="shared" ca="1" si="50"/>
        <v>15637674.507705463</v>
      </c>
      <c r="AG34" s="77">
        <f t="shared" ca="1" si="51"/>
        <v>243.87288003812819</v>
      </c>
      <c r="AH34" s="77">
        <f t="shared" ca="1" si="52"/>
        <v>762.88093839636849</v>
      </c>
      <c r="AI34" s="77">
        <f t="shared" ca="1" si="53"/>
        <v>0</v>
      </c>
      <c r="AJ34" s="77">
        <f t="shared" ca="1" si="54"/>
        <v>747.36092487285407</v>
      </c>
      <c r="AK34" s="54">
        <f t="shared" ca="1" si="55"/>
        <v>7.5491002512409509</v>
      </c>
      <c r="AL34" s="53">
        <f ca="1">OFFSET('National statistics'!$A$6,MATCH(R0_estimation!$A34,'National statistics'!$A$7:$A$5000,0),MATCH(R0_estimation!AL$16 &amp; "_Running14daysNew",'National statistics'!$B$1:$HA$1,0))</f>
        <v>294</v>
      </c>
      <c r="AM34" s="97">
        <f t="shared" ca="1" si="56"/>
        <v>1.4899002769655674</v>
      </c>
      <c r="AN34" s="98">
        <f t="shared" si="57"/>
        <v>1.7859886972162524</v>
      </c>
      <c r="AO34" s="77">
        <f t="shared" ca="1" si="58"/>
        <v>10999943.120235931</v>
      </c>
      <c r="AP34" s="77">
        <f t="shared" ca="1" si="59"/>
        <v>99.980906719625267</v>
      </c>
      <c r="AQ34" s="77">
        <f t="shared" ca="1" si="60"/>
        <v>258.17981646886722</v>
      </c>
      <c r="AR34" s="77">
        <f t="shared" ca="1" si="61"/>
        <v>0</v>
      </c>
      <c r="AS34" s="77">
        <f t="shared" ca="1" si="62"/>
        <v>225.83981784154275</v>
      </c>
      <c r="AT34" s="54">
        <f t="shared" ca="1" si="63"/>
        <v>2.2812102812277044</v>
      </c>
      <c r="AU34" s="53">
        <f ca="1">OFFSET('National statistics'!$A$6,MATCH(R0_estimation!$A34,'National statistics'!$A$7:$A$5000,0),MATCH(R0_estimation!AU$16 &amp; "_Running14daysNew",'National statistics'!$B$1:$HA$1,0))</f>
        <v>12</v>
      </c>
      <c r="AV34" s="97">
        <f t="shared" ca="1" si="64"/>
        <v>1.7150884819427765</v>
      </c>
      <c r="AW34" s="98">
        <f t="shared" si="65"/>
        <v>1.1524491675693536</v>
      </c>
      <c r="AX34" s="77">
        <f t="shared" ca="1" si="66"/>
        <v>5853796.4282942927</v>
      </c>
      <c r="AY34" s="77">
        <f t="shared" ca="1" si="67"/>
        <v>7.9531501297320535</v>
      </c>
      <c r="AZ34" s="77">
        <f t="shared" ca="1" si="68"/>
        <v>18.547894488677496</v>
      </c>
      <c r="BA34" s="77">
        <f t="shared" ca="1" si="69"/>
        <v>0</v>
      </c>
      <c r="BB34" s="77">
        <f t="shared" ca="1" si="70"/>
        <v>15.728939858690023</v>
      </c>
      <c r="BC34" s="54">
        <f t="shared" ca="1" si="71"/>
        <v>0.15887818039080828</v>
      </c>
      <c r="BD34" s="53">
        <f ca="1">OFFSET('National statistics'!$A$6,MATCH(R0_estimation!$A34,'National statistics'!$A$7:$A$5000,0),MATCH(R0_estimation!BD$16 &amp; "_Running14daysNew",'National statistics'!$B$1:$HA$1,0))</f>
        <v>11</v>
      </c>
      <c r="BE34" s="97">
        <f t="shared" ca="1" si="72"/>
        <v>1.4435626881707697</v>
      </c>
      <c r="BF34" s="98">
        <f t="shared" si="73"/>
        <v>1.518397365409784</v>
      </c>
      <c r="BG34" s="77">
        <f t="shared" ca="1" si="74"/>
        <v>4809163.9986418961</v>
      </c>
      <c r="BH34" s="77">
        <f t="shared" ca="1" si="75"/>
        <v>5.5615652240141937</v>
      </c>
      <c r="BI34" s="77">
        <f t="shared" ca="1" si="76"/>
        <v>14.704802736763854</v>
      </c>
      <c r="BJ34" s="77">
        <f t="shared" ca="1" si="77"/>
        <v>0</v>
      </c>
      <c r="BK34" s="77">
        <f t="shared" ca="1" si="78"/>
        <v>13.237676598339165</v>
      </c>
      <c r="BL34" s="54">
        <f t="shared" ca="1" si="79"/>
        <v>0.13371390503372896</v>
      </c>
      <c r="BM34" s="53">
        <f ca="1">OFFSET('National statistics'!$A$6,MATCH(R0_estimation!$A34,'National statistics'!$A$7:$A$5000,0),MATCH(R0_estimation!BM$16 &amp; "_Running14daysNew",'National statistics'!$B$1:$HA$1,0))</f>
        <v>19</v>
      </c>
      <c r="BN34" s="97">
        <f t="shared" ca="1" si="80"/>
        <v>1.9865205416387972</v>
      </c>
      <c r="BO34" s="98">
        <f t="shared" si="81"/>
        <v>0.6</v>
      </c>
      <c r="BP34" s="77">
        <f t="shared" ca="1" si="82"/>
        <v>4107612.6962094698</v>
      </c>
      <c r="BQ34" s="77">
        <f t="shared" ca="1" si="83"/>
        <v>4.655925872261248</v>
      </c>
      <c r="BR34" s="77">
        <f t="shared" ca="1" si="84"/>
        <v>9.7744225830858529</v>
      </c>
      <c r="BS34" s="77">
        <f t="shared" ca="1" si="85"/>
        <v>0</v>
      </c>
      <c r="BT34" s="77">
        <f t="shared" ca="1" si="86"/>
        <v>7.9627700943070776</v>
      </c>
      <c r="BU34" s="54">
        <f t="shared" ca="1" si="87"/>
        <v>8.0432021154616951E-2</v>
      </c>
      <c r="BV34" s="53">
        <f ca="1">OFFSET('National statistics'!$A$6,MATCH(R0_estimation!$A34,'National statistics'!$A$7:$A$5000,0),MATCH(R0_estimation!BV$16 &amp; "_Running14daysNew",'National statistics'!$B$1:$HA$1,0))</f>
        <v>8</v>
      </c>
      <c r="BW34" s="97">
        <f t="shared" ca="1" si="88"/>
        <v>1.3799241468388452</v>
      </c>
      <c r="BX34" s="98">
        <f t="shared" si="89"/>
        <v>1.3375196464737016</v>
      </c>
      <c r="BY34" s="77">
        <f t="shared" ca="1" si="90"/>
        <v>1322216.6612873478</v>
      </c>
      <c r="BZ34" s="77">
        <f t="shared" ca="1" si="91"/>
        <v>2.7681399630548142</v>
      </c>
      <c r="CA34" s="77">
        <f t="shared" ca="1" si="92"/>
        <v>7.5696276712138282</v>
      </c>
      <c r="CB34" s="77">
        <f t="shared" ca="1" si="93"/>
        <v>0</v>
      </c>
      <c r="CC34" s="77">
        <f t="shared" ca="1" si="94"/>
        <v>7.0290172215864191</v>
      </c>
      <c r="CD34" s="54">
        <f t="shared" ca="1" si="95"/>
        <v>7.1000173955418383E-2</v>
      </c>
      <c r="CE34" s="53">
        <f ca="1">OFFSET('National statistics'!$A$6,MATCH(R0_estimation!$A34,'National statistics'!$A$7:$A$5000,0),MATCH(R0_estimation!CE$16 &amp; "_Running14daysNew",'National statistics'!$B$1:$HA$1,0))</f>
        <v>293</v>
      </c>
      <c r="CF34" s="97">
        <f t="shared" ca="1" si="96"/>
        <v>2.4331242245373454</v>
      </c>
      <c r="CG34" s="98">
        <f t="shared" si="97"/>
        <v>1.3</v>
      </c>
      <c r="CH34" s="77">
        <f t="shared" ca="1" si="98"/>
        <v>7303489.7250999017</v>
      </c>
      <c r="CI34" s="77">
        <f t="shared" ca="1" si="99"/>
        <v>339.90159889225936</v>
      </c>
      <c r="CJ34" s="77">
        <f t="shared" ca="1" si="100"/>
        <v>618.2238646617908</v>
      </c>
      <c r="CK34" s="77">
        <f t="shared" ca="1" si="101"/>
        <v>0</v>
      </c>
      <c r="CL34" s="77">
        <f t="shared" ca="1" si="102"/>
        <v>430.70317967736179</v>
      </c>
      <c r="CM34" s="54">
        <f t="shared" ca="1" si="103"/>
        <v>4.3505371684581995</v>
      </c>
      <c r="CO34" s="209"/>
      <c r="CP34" s="210"/>
    </row>
    <row r="35" spans="1:94">
      <c r="A35" s="83">
        <v>43935</v>
      </c>
      <c r="B35" s="53">
        <f ca="1">OFFSET('National statistics'!$A$6,MATCH(R0_estimation!$A35,'National statistics'!$A$7:$A$5000,0),MATCH(R0_estimation!B$16 &amp; "_Running14daysNew",'National statistics'!$B$1:$HA$1,0))</f>
        <v>1134</v>
      </c>
      <c r="C35" s="97">
        <f t="shared" ca="1" si="24"/>
        <v>1.9211610393424374</v>
      </c>
      <c r="D35" s="98">
        <f t="shared" si="25"/>
        <v>1.3827762180585019</v>
      </c>
      <c r="E35" s="77">
        <f t="shared" ca="1" si="26"/>
        <v>59712675.30590526</v>
      </c>
      <c r="F35" s="77">
        <f t="shared" ca="1" si="27"/>
        <v>983.00454559938316</v>
      </c>
      <c r="G35" s="77">
        <f t="shared" ca="1" si="28"/>
        <v>2112.3594039588288</v>
      </c>
      <c r="H35" s="77">
        <f t="shared" ca="1" si="29"/>
        <v>0</v>
      </c>
      <c r="I35" s="77">
        <f t="shared" ca="1" si="30"/>
        <v>1739.2746588480491</v>
      </c>
      <c r="J35" s="54">
        <f t="shared" ca="1" si="31"/>
        <v>17.568430897455045</v>
      </c>
      <c r="K35" s="53">
        <f ca="1">OFFSET('National statistics'!$A$6,MATCH(R0_estimation!$A35,'National statistics'!$A$7:$A$5000,0),MATCH(R0_estimation!K$16 &amp; "_Running14daysNew",'National statistics'!$B$1:$HA$1,0))</f>
        <v>162</v>
      </c>
      <c r="L35" s="97">
        <f t="shared" ca="1" si="32"/>
        <v>2.7782873101034609</v>
      </c>
      <c r="M35" s="98">
        <f t="shared" si="33"/>
        <v>5.094553629032375</v>
      </c>
      <c r="N35" s="77">
        <f t="shared" ca="1" si="34"/>
        <v>6870637.8633242091</v>
      </c>
      <c r="O35" s="77">
        <f t="shared" ca="1" si="35"/>
        <v>34.352434256818995</v>
      </c>
      <c r="P35" s="77">
        <f t="shared" ca="1" si="36"/>
        <v>56.982475833974469</v>
      </c>
      <c r="Q35" s="77">
        <f t="shared" ca="1" si="37"/>
        <v>0</v>
      </c>
      <c r="R35" s="77">
        <f t="shared" ca="1" si="38"/>
        <v>34.635304788006266</v>
      </c>
      <c r="S35" s="54">
        <f t="shared" ca="1" si="39"/>
        <v>0.34985156351521479</v>
      </c>
      <c r="T35" s="53">
        <f ca="1">OFFSET('National statistics'!$A$6,MATCH(R0_estimation!$A35,'National statistics'!$A$7:$A$5000,0),MATCH(R0_estimation!T$16 &amp; "_Running14daysNew",'National statistics'!$B$1:$HA$1,0))</f>
        <v>24</v>
      </c>
      <c r="U35" s="97">
        <f t="shared" ca="1" si="40"/>
        <v>1.0062710569511544</v>
      </c>
      <c r="V35" s="98">
        <f t="shared" si="41"/>
        <v>1.1785761441384355</v>
      </c>
      <c r="W35" s="77">
        <f t="shared" ca="1" si="42"/>
        <v>2808809.9847189938</v>
      </c>
      <c r="X35" s="77">
        <f t="shared" ca="1" si="43"/>
        <v>23.525756422234426</v>
      </c>
      <c r="Y35" s="77">
        <f t="shared" ca="1" si="44"/>
        <v>81.743687465474409</v>
      </c>
      <c r="Z35" s="77">
        <f t="shared" ca="1" si="45"/>
        <v>0</v>
      </c>
      <c r="AA35" s="77">
        <f t="shared" ca="1" si="46"/>
        <v>92.936432877288297</v>
      </c>
      <c r="AB35" s="54">
        <f t="shared" ca="1" si="47"/>
        <v>0.93875184724533622</v>
      </c>
      <c r="AC35" s="53">
        <f ca="1">OFFSET('National statistics'!$A$6,MATCH(R0_estimation!$A35,'National statistics'!$A$7:$A$5000,0),MATCH(R0_estimation!AC$16 &amp; "_Running14daysNew",'National statistics'!$B$1:$HA$1,0))</f>
        <v>276</v>
      </c>
      <c r="AD35" s="97">
        <f t="shared" ca="1" si="48"/>
        <v>1.1513150830584011</v>
      </c>
      <c r="AE35" s="98">
        <f t="shared" si="49"/>
        <v>1.6884571396112655</v>
      </c>
      <c r="AF35" s="77">
        <f t="shared" ca="1" si="50"/>
        <v>15637611.777861236</v>
      </c>
      <c r="AG35" s="77">
        <f t="shared" ca="1" si="51"/>
        <v>245.63450425676433</v>
      </c>
      <c r="AH35" s="77">
        <f t="shared" ca="1" si="52"/>
        <v>769.35766280615996</v>
      </c>
      <c r="AI35" s="77">
        <f t="shared" ca="1" si="53"/>
        <v>0</v>
      </c>
      <c r="AJ35" s="77">
        <f t="shared" ca="1" si="54"/>
        <v>801.3075055165973</v>
      </c>
      <c r="AK35" s="54">
        <f t="shared" ca="1" si="55"/>
        <v>8.0940152072383569</v>
      </c>
      <c r="AL35" s="53">
        <f ca="1">OFFSET('National statistics'!$A$6,MATCH(R0_estimation!$A35,'National statistics'!$A$7:$A$5000,0),MATCH(R0_estimation!AL$16 &amp; "_Running14daysNew",'National statistics'!$B$1:$HA$1,0))</f>
        <v>310</v>
      </c>
      <c r="AM35" s="97">
        <f t="shared" ca="1" si="56"/>
        <v>1.4899002769655674</v>
      </c>
      <c r="AN35" s="98">
        <f t="shared" si="57"/>
        <v>1.7859886972162524</v>
      </c>
      <c r="AO35" s="77">
        <f t="shared" ca="1" si="58"/>
        <v>10999915.645824578</v>
      </c>
      <c r="AP35" s="77">
        <f t="shared" ca="1" si="59"/>
        <v>102.46009139391276</v>
      </c>
      <c r="AQ35" s="77">
        <f t="shared" ca="1" si="60"/>
        <v>264.73362768671154</v>
      </c>
      <c r="AR35" s="77">
        <f t="shared" ca="1" si="61"/>
        <v>0</v>
      </c>
      <c r="AS35" s="77">
        <f t="shared" ca="1" si="62"/>
        <v>244.09681914898408</v>
      </c>
      <c r="AT35" s="54">
        <f t="shared" ca="1" si="63"/>
        <v>2.4656244358483237</v>
      </c>
      <c r="AU35" s="53">
        <f ca="1">OFFSET('National statistics'!$A$6,MATCH(R0_estimation!$A35,'National statistics'!$A$7:$A$5000,0),MATCH(R0_estimation!AU$16 &amp; "_Running14daysNew",'National statistics'!$B$1:$HA$1,0))</f>
        <v>10</v>
      </c>
      <c r="AV35" s="97">
        <f t="shared" ca="1" si="64"/>
        <v>1.7150884819427765</v>
      </c>
      <c r="AW35" s="98">
        <f t="shared" si="65"/>
        <v>1.1524491675693536</v>
      </c>
      <c r="AX35" s="77">
        <f t="shared" ca="1" si="66"/>
        <v>5853794.1560763847</v>
      </c>
      <c r="AY35" s="77">
        <f t="shared" ca="1" si="67"/>
        <v>8.2370805053785343</v>
      </c>
      <c r="AZ35" s="77">
        <f t="shared" ca="1" si="68"/>
        <v>19.2113324147764</v>
      </c>
      <c r="BA35" s="77">
        <f t="shared" ca="1" si="69"/>
        <v>0</v>
      </c>
      <c r="BB35" s="77">
        <f t="shared" ca="1" si="70"/>
        <v>17.040540968960787</v>
      </c>
      <c r="BC35" s="54">
        <f t="shared" ca="1" si="71"/>
        <v>0.17212667645414936</v>
      </c>
      <c r="BD35" s="53">
        <f ca="1">OFFSET('National statistics'!$A$6,MATCH(R0_estimation!$A35,'National statistics'!$A$7:$A$5000,0),MATCH(R0_estimation!BD$16 &amp; "_Running14daysNew",'National statistics'!$B$1:$HA$1,0))</f>
        <v>10</v>
      </c>
      <c r="BE35" s="97">
        <f t="shared" ca="1" si="72"/>
        <v>1.4435626881707697</v>
      </c>
      <c r="BF35" s="98">
        <f t="shared" si="73"/>
        <v>1.518397365409784</v>
      </c>
      <c r="BG35" s="77">
        <f t="shared" ca="1" si="74"/>
        <v>4809162.4824164184</v>
      </c>
      <c r="BH35" s="77">
        <f t="shared" ca="1" si="75"/>
        <v>5.6873993954597211</v>
      </c>
      <c r="BI35" s="77">
        <f t="shared" ca="1" si="76"/>
        <v>15.044850990141413</v>
      </c>
      <c r="BJ35" s="77">
        <f t="shared" ca="1" si="77"/>
        <v>0</v>
      </c>
      <c r="BK35" s="77">
        <f t="shared" ca="1" si="78"/>
        <v>14.277516220438894</v>
      </c>
      <c r="BL35" s="54">
        <f t="shared" ca="1" si="79"/>
        <v>0.14421733555998886</v>
      </c>
      <c r="BM35" s="53">
        <f ca="1">OFFSET('National statistics'!$A$6,MATCH(R0_estimation!$A35,'National statistics'!$A$7:$A$5000,0),MATCH(R0_estimation!BM$16 &amp; "_Running14daysNew",'National statistics'!$B$1:$HA$1,0))</f>
        <v>16</v>
      </c>
      <c r="BN35" s="97">
        <f t="shared" ca="1" si="80"/>
        <v>1.9865205416387972</v>
      </c>
      <c r="BO35" s="98">
        <f t="shared" si="81"/>
        <v>0.6</v>
      </c>
      <c r="BP35" s="77">
        <f t="shared" ca="1" si="82"/>
        <v>4107611.309281942</v>
      </c>
      <c r="BQ35" s="77">
        <f t="shared" ca="1" si="83"/>
        <v>4.8788719320566774</v>
      </c>
      <c r="BR35" s="77">
        <f t="shared" ca="1" si="84"/>
        <v>10.240231009502176</v>
      </c>
      <c r="BS35" s="77">
        <f t="shared" ca="1" si="85"/>
        <v>0</v>
      </c>
      <c r="BT35" s="77">
        <f t="shared" ca="1" si="86"/>
        <v>8.6539614055395777</v>
      </c>
      <c r="BU35" s="54">
        <f t="shared" ca="1" si="87"/>
        <v>8.741375157110684E-2</v>
      </c>
      <c r="BV35" s="53">
        <f ca="1">OFFSET('National statistics'!$A$6,MATCH(R0_estimation!$A35,'National statistics'!$A$7:$A$5000,0),MATCH(R0_estimation!BV$16 &amp; "_Running14daysNew",'National statistics'!$B$1:$HA$1,0))</f>
        <v>8</v>
      </c>
      <c r="BW35" s="97">
        <f t="shared" ca="1" si="88"/>
        <v>1.3799241468388452</v>
      </c>
      <c r="BX35" s="98">
        <f t="shared" si="89"/>
        <v>1.3375196464737016</v>
      </c>
      <c r="BY35" s="77">
        <f t="shared" ca="1" si="90"/>
        <v>1322215.915189147</v>
      </c>
      <c r="BZ35" s="77">
        <f t="shared" ca="1" si="91"/>
        <v>2.8222031730256885</v>
      </c>
      <c r="CA35" s="77">
        <f t="shared" ca="1" si="92"/>
        <v>7.7209749711765436</v>
      </c>
      <c r="CB35" s="77">
        <f t="shared" ca="1" si="93"/>
        <v>0</v>
      </c>
      <c r="CC35" s="77">
        <f t="shared" ca="1" si="94"/>
        <v>7.5642980354793972</v>
      </c>
      <c r="CD35" s="54">
        <f t="shared" ca="1" si="95"/>
        <v>7.6407050863428264E-2</v>
      </c>
      <c r="CE35" s="53">
        <f ca="1">OFFSET('National statistics'!$A$6,MATCH(R0_estimation!$A35,'National statistics'!$A$7:$A$5000,0),MATCH(R0_estimation!CE$16 &amp; "_Running14daysNew",'National statistics'!$B$1:$HA$1,0))</f>
        <v>318</v>
      </c>
      <c r="CF35" s="97">
        <f t="shared" ca="1" si="96"/>
        <v>2.4331242245373454</v>
      </c>
      <c r="CG35" s="98">
        <f t="shared" si="97"/>
        <v>1.3</v>
      </c>
      <c r="CH35" s="77">
        <f t="shared" ca="1" si="98"/>
        <v>7303382.3015659964</v>
      </c>
      <c r="CI35" s="77">
        <f t="shared" ca="1" si="99"/>
        <v>362.34973307468829</v>
      </c>
      <c r="CJ35" s="77">
        <f t="shared" ca="1" si="100"/>
        <v>659.0404169090134</v>
      </c>
      <c r="CK35" s="77">
        <f t="shared" ca="1" si="101"/>
        <v>0</v>
      </c>
      <c r="CL35" s="77">
        <f t="shared" ca="1" si="102"/>
        <v>474.42043867844558</v>
      </c>
      <c r="CM35" s="54">
        <f t="shared" ca="1" si="103"/>
        <v>4.7921256432166217</v>
      </c>
      <c r="CO35" s="209"/>
      <c r="CP35" s="210"/>
    </row>
    <row r="36" spans="1:94">
      <c r="A36" s="83">
        <v>43936</v>
      </c>
      <c r="B36" s="53">
        <f ca="1">OFFSET('National statistics'!$A$6,MATCH(R0_estimation!$A36,'National statistics'!$A$7:$A$5000,0),MATCH(R0_estimation!B$16 &amp; "_Running14daysNew",'National statistics'!$B$1:$HA$1,0))</f>
        <v>1198</v>
      </c>
      <c r="C36" s="97">
        <f t="shared" ca="1" si="24"/>
        <v>1.9211610393424374</v>
      </c>
      <c r="D36" s="98">
        <f t="shared" si="25"/>
        <v>1.3827762180585019</v>
      </c>
      <c r="E36" s="77">
        <f t="shared" ca="1" si="26"/>
        <v>59712385.45918785</v>
      </c>
      <c r="F36" s="77">
        <f t="shared" ca="1" si="27"/>
        <v>1027.1001266063797</v>
      </c>
      <c r="G36" s="77">
        <f t="shared" ca="1" si="28"/>
        <v>2207.2277257901865</v>
      </c>
      <c r="H36" s="77">
        <f t="shared" ca="1" si="29"/>
        <v>0</v>
      </c>
      <c r="I36" s="77">
        <f t="shared" ca="1" si="30"/>
        <v>1888.6486452708518</v>
      </c>
      <c r="J36" s="54">
        <f t="shared" ca="1" si="31"/>
        <v>19.077259043139922</v>
      </c>
      <c r="K36" s="53">
        <f ca="1">OFFSET('National statistics'!$A$6,MATCH(R0_estimation!$A36,'National statistics'!$A$7:$A$5000,0),MATCH(R0_estimation!K$16 &amp; "_Running14daysNew",'National statistics'!$B$1:$HA$1,0))</f>
        <v>184</v>
      </c>
      <c r="L36" s="97">
        <f t="shared" ca="1" si="32"/>
        <v>2.7782873101034609</v>
      </c>
      <c r="M36" s="98">
        <f t="shared" si="33"/>
        <v>5.094553629032375</v>
      </c>
      <c r="N36" s="77">
        <f t="shared" ca="1" si="34"/>
        <v>6870626.5554108554</v>
      </c>
      <c r="O36" s="77">
        <f t="shared" ca="1" si="35"/>
        <v>37.072239045974939</v>
      </c>
      <c r="P36" s="77">
        <f t="shared" ca="1" si="36"/>
        <v>61.500407552895332</v>
      </c>
      <c r="Q36" s="77">
        <f t="shared" ca="1" si="37"/>
        <v>0</v>
      </c>
      <c r="R36" s="77">
        <f t="shared" ca="1" si="38"/>
        <v>38.664779864837321</v>
      </c>
      <c r="S36" s="54">
        <f t="shared" ca="1" si="39"/>
        <v>0.3905533319680537</v>
      </c>
      <c r="T36" s="53">
        <f ca="1">OFFSET('National statistics'!$A$6,MATCH(R0_estimation!$A36,'National statistics'!$A$7:$A$5000,0),MATCH(R0_estimation!T$16 &amp; "_Running14daysNew",'National statistics'!$B$1:$HA$1,0))</f>
        <v>21</v>
      </c>
      <c r="U36" s="97">
        <f t="shared" ca="1" si="40"/>
        <v>1.0062710569511544</v>
      </c>
      <c r="V36" s="98">
        <f t="shared" si="41"/>
        <v>1.1785761441384355</v>
      </c>
      <c r="W36" s="77">
        <f t="shared" ca="1" si="42"/>
        <v>2808804.1096830857</v>
      </c>
      <c r="X36" s="77">
        <f t="shared" ca="1" si="43"/>
        <v>23.519353224805492</v>
      </c>
      <c r="Y36" s="77">
        <f t="shared" ca="1" si="44"/>
        <v>81.786291752070568</v>
      </c>
      <c r="Z36" s="77">
        <f t="shared" ca="1" si="45"/>
        <v>0</v>
      </c>
      <c r="AA36" s="77">
        <f t="shared" ca="1" si="46"/>
        <v>98.716879348061127</v>
      </c>
      <c r="AB36" s="54">
        <f t="shared" ca="1" si="47"/>
        <v>0.9971401954349608</v>
      </c>
      <c r="AC36" s="53">
        <f ca="1">OFFSET('National statistics'!$A$6,MATCH(R0_estimation!$A36,'National statistics'!$A$7:$A$5000,0),MATCH(R0_estimation!AC$16 &amp; "_Running14daysNew",'National statistics'!$B$1:$HA$1,0))</f>
        <v>285</v>
      </c>
      <c r="AD36" s="97">
        <f t="shared" ca="1" si="48"/>
        <v>1.1513150830584011</v>
      </c>
      <c r="AE36" s="98">
        <f t="shared" si="49"/>
        <v>1.6884571396112655</v>
      </c>
      <c r="AF36" s="77">
        <f t="shared" ca="1" si="50"/>
        <v>15637548.515703281</v>
      </c>
      <c r="AG36" s="77">
        <f t="shared" ca="1" si="51"/>
        <v>247.48803614731025</v>
      </c>
      <c r="AH36" s="77">
        <f t="shared" ca="1" si="52"/>
        <v>775.8121700984824</v>
      </c>
      <c r="AI36" s="77">
        <f t="shared" ca="1" si="53"/>
        <v>0</v>
      </c>
      <c r="AJ36" s="77">
        <f t="shared" ca="1" si="54"/>
        <v>855.71208310074724</v>
      </c>
      <c r="AK36" s="54">
        <f t="shared" ca="1" si="55"/>
        <v>8.6435563949570433</v>
      </c>
      <c r="AL36" s="53">
        <f ca="1">OFFSET('National statistics'!$A$6,MATCH(R0_estimation!$A36,'National statistics'!$A$7:$A$5000,0),MATCH(R0_estimation!AL$16 &amp; "_Running14daysNew",'National statistics'!$B$1:$HA$1,0))</f>
        <v>333</v>
      </c>
      <c r="AM36" s="97">
        <f t="shared" ca="1" si="56"/>
        <v>1.4899002769655674</v>
      </c>
      <c r="AN36" s="98">
        <f t="shared" si="57"/>
        <v>1.7859886972162524</v>
      </c>
      <c r="AO36" s="77">
        <f t="shared" ca="1" si="58"/>
        <v>10999887.474054061</v>
      </c>
      <c r="AP36" s="77">
        <f t="shared" ca="1" si="59"/>
        <v>105.01683906215078</v>
      </c>
      <c r="AQ36" s="77">
        <f t="shared" ca="1" si="60"/>
        <v>271.43910570042465</v>
      </c>
      <c r="AR36" s="77">
        <f t="shared" ca="1" si="61"/>
        <v>0</v>
      </c>
      <c r="AS36" s="77">
        <f t="shared" ca="1" si="62"/>
        <v>262.81726853540152</v>
      </c>
      <c r="AT36" s="54">
        <f t="shared" ca="1" si="63"/>
        <v>2.6547198841959747</v>
      </c>
      <c r="AU36" s="53">
        <f ca="1">OFFSET('National statistics'!$A$6,MATCH(R0_estimation!$A36,'National statistics'!$A$7:$A$5000,0),MATCH(R0_estimation!AU$16 &amp; "_Running14daysNew",'National statistics'!$B$1:$HA$1,0))</f>
        <v>11</v>
      </c>
      <c r="AV36" s="97">
        <f t="shared" ca="1" si="64"/>
        <v>1.7150884819427765</v>
      </c>
      <c r="AW36" s="98">
        <f t="shared" si="65"/>
        <v>1.1524491675693536</v>
      </c>
      <c r="AX36" s="77">
        <f t="shared" ca="1" si="66"/>
        <v>5853791.8025846323</v>
      </c>
      <c r="AY36" s="77">
        <f t="shared" ca="1" si="67"/>
        <v>8.5313021315459405</v>
      </c>
      <c r="AZ36" s="77">
        <f t="shared" ca="1" si="68"/>
        <v>19.898364511494147</v>
      </c>
      <c r="BA36" s="77">
        <f t="shared" ca="1" si="69"/>
        <v>0</v>
      </c>
      <c r="BB36" s="77">
        <f t="shared" ca="1" si="70"/>
        <v>18.399056618291404</v>
      </c>
      <c r="BC36" s="54">
        <f t="shared" ca="1" si="71"/>
        <v>0.18584905675041821</v>
      </c>
      <c r="BD36" s="53">
        <f ca="1">OFFSET('National statistics'!$A$6,MATCH(R0_estimation!$A36,'National statistics'!$A$7:$A$5000,0),MATCH(R0_estimation!BD$16 &amp; "_Running14daysNew",'National statistics'!$B$1:$HA$1,0))</f>
        <v>10</v>
      </c>
      <c r="BE36" s="97">
        <f t="shared" ca="1" si="72"/>
        <v>1.4435626881707697</v>
      </c>
      <c r="BF36" s="98">
        <f t="shared" si="73"/>
        <v>1.518397365409784</v>
      </c>
      <c r="BG36" s="77">
        <f t="shared" ca="1" si="74"/>
        <v>4809160.931128744</v>
      </c>
      <c r="BH36" s="77">
        <f t="shared" ca="1" si="75"/>
        <v>5.8168372205551924</v>
      </c>
      <c r="BI36" s="77">
        <f t="shared" ca="1" si="76"/>
        <v>15.392068625424814</v>
      </c>
      <c r="BJ36" s="77">
        <f t="shared" ca="1" si="77"/>
        <v>0</v>
      </c>
      <c r="BK36" s="77">
        <f t="shared" ca="1" si="78"/>
        <v>15.341402111884609</v>
      </c>
      <c r="BL36" s="54">
        <f t="shared" ca="1" si="79"/>
        <v>0.15496365769580417</v>
      </c>
      <c r="BM36" s="53">
        <f ca="1">OFFSET('National statistics'!$A$6,MATCH(R0_estimation!$A36,'National statistics'!$A$7:$A$5000,0),MATCH(R0_estimation!BM$16 &amp; "_Running14daysNew",'National statistics'!$B$1:$HA$1,0))</f>
        <v>16</v>
      </c>
      <c r="BN36" s="97">
        <f t="shared" ca="1" si="80"/>
        <v>1.9865205416387972</v>
      </c>
      <c r="BO36" s="98">
        <f t="shared" si="81"/>
        <v>0.6</v>
      </c>
      <c r="BP36" s="77">
        <f t="shared" ca="1" si="82"/>
        <v>4107609.8562596906</v>
      </c>
      <c r="BQ36" s="77">
        <f t="shared" ca="1" si="83"/>
        <v>5.1121762004044982</v>
      </c>
      <c r="BR36" s="77">
        <f t="shared" ca="1" si="84"/>
        <v>10.728503920409047</v>
      </c>
      <c r="BS36" s="77">
        <f t="shared" ca="1" si="85"/>
        <v>0</v>
      </c>
      <c r="BT36" s="77">
        <f t="shared" ca="1" si="86"/>
        <v>9.3780920269258026</v>
      </c>
      <c r="BU36" s="54">
        <f t="shared" ca="1" si="87"/>
        <v>9.4728202292179819E-2</v>
      </c>
      <c r="BV36" s="53">
        <f ca="1">OFFSET('National statistics'!$A$6,MATCH(R0_estimation!$A36,'National statistics'!$A$7:$A$5000,0),MATCH(R0_estimation!BV$16 &amp; "_Running14daysNew",'National statistics'!$B$1:$HA$1,0))</f>
        <v>7</v>
      </c>
      <c r="BW36" s="97">
        <f t="shared" ca="1" si="88"/>
        <v>1.3799241468388452</v>
      </c>
      <c r="BX36" s="98">
        <f t="shared" si="89"/>
        <v>1.3375196464737016</v>
      </c>
      <c r="BY36" s="77">
        <f t="shared" ca="1" si="90"/>
        <v>1322215.1541738689</v>
      </c>
      <c r="BZ36" s="77">
        <f t="shared" ca="1" si="91"/>
        <v>2.877667657811231</v>
      </c>
      <c r="CA36" s="77">
        <f t="shared" ca="1" si="92"/>
        <v>7.8750275522060704</v>
      </c>
      <c r="CB36" s="77">
        <f t="shared" ca="1" si="93"/>
        <v>0</v>
      </c>
      <c r="CC36" s="77">
        <f t="shared" ca="1" si="94"/>
        <v>8.1102812655840246</v>
      </c>
      <c r="CD36" s="54">
        <f t="shared" ca="1" si="95"/>
        <v>8.1922032985697224E-2</v>
      </c>
      <c r="CE36" s="53">
        <f ca="1">OFFSET('National statistics'!$A$6,MATCH(R0_estimation!$A36,'National statistics'!$A$7:$A$5000,0),MATCH(R0_estimation!CE$16 &amp; "_Running14daysNew",'National statistics'!$B$1:$HA$1,0))</f>
        <v>331</v>
      </c>
      <c r="CF36" s="97">
        <f t="shared" ca="1" si="96"/>
        <v>2.4331242245373454</v>
      </c>
      <c r="CG36" s="98">
        <f t="shared" si="97"/>
        <v>1.3</v>
      </c>
      <c r="CH36" s="77">
        <f t="shared" ca="1" si="98"/>
        <v>7303267.7873623455</v>
      </c>
      <c r="CI36" s="77">
        <f t="shared" ca="1" si="99"/>
        <v>386.27650345652273</v>
      </c>
      <c r="CJ36" s="77">
        <f t="shared" ca="1" si="100"/>
        <v>702.55353468418446</v>
      </c>
      <c r="CK36" s="77">
        <f t="shared" ca="1" si="101"/>
        <v>0</v>
      </c>
      <c r="CL36" s="77">
        <f t="shared" ca="1" si="102"/>
        <v>521.0240110170115</v>
      </c>
      <c r="CM36" s="54">
        <f t="shared" ca="1" si="103"/>
        <v>5.2628687981516311</v>
      </c>
      <c r="CO36" s="209"/>
      <c r="CP36" s="210"/>
    </row>
    <row r="37" spans="1:94">
      <c r="A37" s="83">
        <v>43937</v>
      </c>
      <c r="B37" s="53">
        <f ca="1">OFFSET('National statistics'!$A$6,MATCH(R0_estimation!$A37,'National statistics'!$A$7:$A$5000,0),MATCH(R0_estimation!B$16 &amp; "_Running14daysNew",'National statistics'!$B$1:$HA$1,0))</f>
        <v>1222</v>
      </c>
      <c r="C37" s="97">
        <f t="shared" ca="1" si="24"/>
        <v>1.9211610393424374</v>
      </c>
      <c r="D37" s="98">
        <f t="shared" si="25"/>
        <v>1.3827762180585019</v>
      </c>
      <c r="E37" s="77">
        <f t="shared" ca="1" si="26"/>
        <v>59712082.596606582</v>
      </c>
      <c r="F37" s="77">
        <f t="shared" ca="1" si="27"/>
        <v>1073.1876762257264</v>
      </c>
      <c r="G37" s="77">
        <f t="shared" ca="1" si="28"/>
        <v>2306.343634171054</v>
      </c>
      <c r="H37" s="77">
        <f t="shared" ca="1" si="29"/>
        <v>0</v>
      </c>
      <c r="I37" s="77">
        <f t="shared" ca="1" si="30"/>
        <v>2044.7311773088722</v>
      </c>
      <c r="J37" s="54">
        <f t="shared" ca="1" si="31"/>
        <v>20.653850275847198</v>
      </c>
      <c r="K37" s="53">
        <f ca="1">OFFSET('National statistics'!$A$6,MATCH(R0_estimation!$A37,'National statistics'!$A$7:$A$5000,0),MATCH(R0_estimation!K$16 &amp; "_Running14daysNew",'National statistics'!$B$1:$HA$1,0))</f>
        <v>203</v>
      </c>
      <c r="L37" s="97">
        <f t="shared" ca="1" si="32"/>
        <v>2.7782873101034609</v>
      </c>
      <c r="M37" s="98">
        <f t="shared" si="33"/>
        <v>5.094553629032375</v>
      </c>
      <c r="N37" s="77">
        <f t="shared" ca="1" si="34"/>
        <v>6870614.3509545</v>
      </c>
      <c r="O37" s="77">
        <f t="shared" ca="1" si="35"/>
        <v>40.008635639996626</v>
      </c>
      <c r="P37" s="77">
        <f t="shared" ca="1" si="36"/>
        <v>66.375581060610827</v>
      </c>
      <c r="Q37" s="77">
        <f t="shared" ca="1" si="37"/>
        <v>0</v>
      </c>
      <c r="R37" s="77">
        <f t="shared" ca="1" si="38"/>
        <v>43.013737256077775</v>
      </c>
      <c r="S37" s="54">
        <f t="shared" ca="1" si="39"/>
        <v>0.43448219450583608</v>
      </c>
      <c r="T37" s="53">
        <f ca="1">OFFSET('National statistics'!$A$6,MATCH(R0_estimation!$A37,'National statistics'!$A$7:$A$5000,0),MATCH(R0_estimation!T$16 &amp; "_Running14daysNew",'National statistics'!$B$1:$HA$1,0))</f>
        <v>14</v>
      </c>
      <c r="U37" s="97">
        <f t="shared" ca="1" si="40"/>
        <v>1.0062710569511544</v>
      </c>
      <c r="V37" s="98">
        <f t="shared" si="41"/>
        <v>1.1785761441384355</v>
      </c>
      <c r="W37" s="77">
        <f t="shared" ca="1" si="42"/>
        <v>2808798.2315973192</v>
      </c>
      <c r="X37" s="77">
        <f t="shared" ca="1" si="43"/>
        <v>23.517600685121039</v>
      </c>
      <c r="Y37" s="77">
        <f t="shared" ca="1" si="44"/>
        <v>81.824252075981192</v>
      </c>
      <c r="Z37" s="77">
        <f t="shared" ca="1" si="45"/>
        <v>0</v>
      </c>
      <c r="AA37" s="77">
        <f t="shared" ca="1" si="46"/>
        <v>104.50033855052898</v>
      </c>
      <c r="AB37" s="54">
        <f t="shared" ca="1" si="47"/>
        <v>1.0555589752578682</v>
      </c>
      <c r="AC37" s="53">
        <f ca="1">OFFSET('National statistics'!$A$6,MATCH(R0_estimation!$A37,'National statistics'!$A$7:$A$5000,0),MATCH(R0_estimation!AC$16 &amp; "_Running14daysNew",'National statistics'!$B$1:$HA$1,0))</f>
        <v>306</v>
      </c>
      <c r="AD37" s="97">
        <f t="shared" ca="1" si="48"/>
        <v>1.1513150830584011</v>
      </c>
      <c r="AE37" s="98">
        <f t="shared" si="49"/>
        <v>1.6884571396112655</v>
      </c>
      <c r="AF37" s="77">
        <f t="shared" ca="1" si="50"/>
        <v>15637484.723064834</v>
      </c>
      <c r="AG37" s="77">
        <f t="shared" ca="1" si="51"/>
        <v>249.40866555847171</v>
      </c>
      <c r="AH37" s="77">
        <f t="shared" ca="1" si="52"/>
        <v>782.26902412827553</v>
      </c>
      <c r="AI37" s="77">
        <f t="shared" ca="1" si="53"/>
        <v>0</v>
      </c>
      <c r="AJ37" s="77">
        <f t="shared" ca="1" si="54"/>
        <v>910.57308655771135</v>
      </c>
      <c r="AK37" s="54">
        <f t="shared" ca="1" si="55"/>
        <v>9.1977079450273873</v>
      </c>
      <c r="AL37" s="53">
        <f ca="1">OFFSET('National statistics'!$A$6,MATCH(R0_estimation!$A37,'National statistics'!$A$7:$A$5000,0),MATCH(R0_estimation!AL$16 &amp; "_Running14daysNew",'National statistics'!$B$1:$HA$1,0))</f>
        <v>333</v>
      </c>
      <c r="AM37" s="97">
        <f t="shared" ca="1" si="56"/>
        <v>1.4899002769655674</v>
      </c>
      <c r="AN37" s="98">
        <f t="shared" si="57"/>
        <v>1.7859886972162524</v>
      </c>
      <c r="AO37" s="77">
        <f t="shared" ca="1" si="58"/>
        <v>10999858.588789998</v>
      </c>
      <c r="AP37" s="77">
        <f t="shared" ca="1" si="59"/>
        <v>107.64789335949115</v>
      </c>
      <c r="AQ37" s="77">
        <f t="shared" ca="1" si="60"/>
        <v>278.30480791593197</v>
      </c>
      <c r="AR37" s="77">
        <f t="shared" ca="1" si="61"/>
        <v>0</v>
      </c>
      <c r="AS37" s="77">
        <f t="shared" ca="1" si="62"/>
        <v>282.01189100993156</v>
      </c>
      <c r="AT37" s="54">
        <f t="shared" ca="1" si="63"/>
        <v>2.8486049596962779</v>
      </c>
      <c r="AU37" s="53">
        <f ca="1">OFFSET('National statistics'!$A$6,MATCH(R0_estimation!$A37,'National statistics'!$A$7:$A$5000,0),MATCH(R0_estimation!AU$16 &amp; "_Running14daysNew",'National statistics'!$B$1:$HA$1,0))</f>
        <v>10</v>
      </c>
      <c r="AV37" s="97">
        <f t="shared" ca="1" si="64"/>
        <v>1.7150884819427765</v>
      </c>
      <c r="AW37" s="98">
        <f t="shared" si="65"/>
        <v>1.1524491675693536</v>
      </c>
      <c r="AX37" s="77">
        <f t="shared" ca="1" si="66"/>
        <v>5853789.3649287196</v>
      </c>
      <c r="AY37" s="77">
        <f t="shared" ca="1" si="67"/>
        <v>8.8361325111661166</v>
      </c>
      <c r="AZ37" s="77">
        <f t="shared" ca="1" si="68"/>
        <v>20.609878293559621</v>
      </c>
      <c r="BA37" s="77">
        <f t="shared" ca="1" si="69"/>
        <v>0</v>
      </c>
      <c r="BB37" s="77">
        <f t="shared" ca="1" si="70"/>
        <v>19.806155251604203</v>
      </c>
      <c r="BC37" s="54">
        <f t="shared" ca="1" si="71"/>
        <v>0.20006217425862832</v>
      </c>
      <c r="BD37" s="53">
        <f ca="1">OFFSET('National statistics'!$A$6,MATCH(R0_estimation!$A37,'National statistics'!$A$7:$A$5000,0),MATCH(R0_estimation!BD$16 &amp; "_Running14daysNew",'National statistics'!$B$1:$HA$1,0))</f>
        <v>9</v>
      </c>
      <c r="BE37" s="97">
        <f t="shared" ca="1" si="72"/>
        <v>1.4435626881707697</v>
      </c>
      <c r="BF37" s="98">
        <f t="shared" si="73"/>
        <v>1.518397365409784</v>
      </c>
      <c r="BG37" s="77">
        <f t="shared" ca="1" si="74"/>
        <v>4809159.3440396665</v>
      </c>
      <c r="BH37" s="77">
        <f t="shared" ca="1" si="75"/>
        <v>5.9497169934153247</v>
      </c>
      <c r="BI37" s="77">
        <f t="shared" ca="1" si="76"/>
        <v>15.746844457318982</v>
      </c>
      <c r="BJ37" s="77">
        <f t="shared" ca="1" si="77"/>
        <v>0</v>
      </c>
      <c r="BK37" s="77">
        <f t="shared" ca="1" si="78"/>
        <v>16.429841250396791</v>
      </c>
      <c r="BL37" s="54">
        <f t="shared" ca="1" si="79"/>
        <v>0.16595799242825046</v>
      </c>
      <c r="BM37" s="53">
        <f ca="1">OFFSET('National statistics'!$A$6,MATCH(R0_estimation!$A37,'National statistics'!$A$7:$A$5000,0),MATCH(R0_estimation!BM$16 &amp; "_Running14daysNew",'National statistics'!$B$1:$HA$1,0))</f>
        <v>16</v>
      </c>
      <c r="BN37" s="97">
        <f t="shared" ca="1" si="80"/>
        <v>1.9865205416387972</v>
      </c>
      <c r="BO37" s="98">
        <f t="shared" si="81"/>
        <v>0.6</v>
      </c>
      <c r="BP37" s="77">
        <f t="shared" ca="1" si="82"/>
        <v>4107608.3339552213</v>
      </c>
      <c r="BQ37" s="77">
        <f t="shared" ca="1" si="83"/>
        <v>5.3564366197164155</v>
      </c>
      <c r="BR37" s="77">
        <f t="shared" ca="1" si="84"/>
        <v>11.240226261909525</v>
      </c>
      <c r="BS37" s="77">
        <f t="shared" ca="1" si="85"/>
        <v>0</v>
      </c>
      <c r="BT37" s="77">
        <f t="shared" ca="1" si="86"/>
        <v>10.136750518440442</v>
      </c>
      <c r="BU37" s="54">
        <f t="shared" ca="1" si="87"/>
        <v>0.10239141937818629</v>
      </c>
      <c r="BV37" s="53">
        <f ca="1">OFFSET('National statistics'!$A$6,MATCH(R0_estimation!$A37,'National statistics'!$A$7:$A$5000,0),MATCH(R0_estimation!BV$16 &amp; "_Running14daysNew",'National statistics'!$B$1:$HA$1,0))</f>
        <v>9</v>
      </c>
      <c r="BW37" s="97">
        <f t="shared" ca="1" si="88"/>
        <v>1.3799241468388452</v>
      </c>
      <c r="BX37" s="98">
        <f t="shared" si="89"/>
        <v>1.3375196464737016</v>
      </c>
      <c r="BY37" s="77">
        <f t="shared" ca="1" si="90"/>
        <v>1322214.3779748941</v>
      </c>
      <c r="BZ37" s="77">
        <f t="shared" ca="1" si="91"/>
        <v>2.9344497182619831</v>
      </c>
      <c r="CA37" s="77">
        <f t="shared" ca="1" si="92"/>
        <v>8.0319424986441579</v>
      </c>
      <c r="CB37" s="77">
        <f t="shared" ca="1" si="93"/>
        <v>0</v>
      </c>
      <c r="CC37" s="77">
        <f t="shared" ca="1" si="94"/>
        <v>8.6671582139185972</v>
      </c>
      <c r="CD37" s="54">
        <f t="shared" ca="1" si="95"/>
        <v>8.7547052665844421E-2</v>
      </c>
      <c r="CE37" s="53">
        <f ca="1">OFFSET('National statistics'!$A$6,MATCH(R0_estimation!$A37,'National statistics'!$A$7:$A$5000,0),MATCH(R0_estimation!CE$16 &amp; "_Running14daysNew",'National statistics'!$B$1:$HA$1,0))</f>
        <v>322</v>
      </c>
      <c r="CF37" s="97">
        <f t="shared" ca="1" si="96"/>
        <v>2.4331242245373454</v>
      </c>
      <c r="CG37" s="98">
        <f t="shared" si="97"/>
        <v>1.3</v>
      </c>
      <c r="CH37" s="77">
        <f t="shared" ca="1" si="98"/>
        <v>7303145.7142690951</v>
      </c>
      <c r="CI37" s="77">
        <f t="shared" ca="1" si="99"/>
        <v>411.7804708424087</v>
      </c>
      <c r="CJ37" s="77">
        <f t="shared" ca="1" si="100"/>
        <v>748.94026521373053</v>
      </c>
      <c r="CK37" s="77">
        <f t="shared" ca="1" si="101"/>
        <v>0</v>
      </c>
      <c r="CL37" s="77">
        <f t="shared" ca="1" si="102"/>
        <v>570.7045823982503</v>
      </c>
      <c r="CM37" s="54">
        <f t="shared" ca="1" si="103"/>
        <v>5.7646927514974768</v>
      </c>
      <c r="CO37" s="209"/>
      <c r="CP37" s="210"/>
    </row>
    <row r="38" spans="1:94">
      <c r="A38" s="83">
        <v>43938</v>
      </c>
      <c r="B38" s="53">
        <f ca="1">OFFSET('National statistics'!$A$6,MATCH(R0_estimation!$A38,'National statistics'!$A$7:$A$5000,0),MATCH(R0_estimation!B$16 &amp; "_Running14daysNew",'National statistics'!$B$1:$HA$1,0))</f>
        <v>1350</v>
      </c>
      <c r="C38" s="97">
        <f t="shared" ca="1" si="24"/>
        <v>1.9211610393424374</v>
      </c>
      <c r="D38" s="98">
        <f ca="1">C38/2</f>
        <v>0.96058051967121871</v>
      </c>
      <c r="E38" s="77">
        <f t="shared" ca="1" si="26"/>
        <v>59711766.135530189</v>
      </c>
      <c r="F38" s="77">
        <f t="shared" ca="1" si="27"/>
        <v>1121.3518335630154</v>
      </c>
      <c r="G38" s="77">
        <f t="shared" ca="1" si="28"/>
        <v>2409.9017222152675</v>
      </c>
      <c r="H38" s="77">
        <f t="shared" ca="1" si="29"/>
        <v>0</v>
      </c>
      <c r="I38" s="77">
        <f t="shared" ca="1" si="30"/>
        <v>2207.8226200109684</v>
      </c>
      <c r="J38" s="54">
        <f t="shared" ca="1" si="31"/>
        <v>22.301238585969379</v>
      </c>
      <c r="K38" s="53">
        <f ca="1">OFFSET('National statistics'!$A$6,MATCH(R0_estimation!$A38,'National statistics'!$A$7:$A$5000,0),MATCH(R0_estimation!K$16 &amp; "_Running14daysNew",'National statistics'!$B$1:$HA$1,0))</f>
        <v>225</v>
      </c>
      <c r="L38" s="97">
        <f t="shared" ca="1" si="32"/>
        <v>2.7782873101034609</v>
      </c>
      <c r="M38" s="98">
        <f ca="1">L38/2</f>
        <v>1.3891436550517304</v>
      </c>
      <c r="N38" s="77">
        <f t="shared" ca="1" si="34"/>
        <v>6870601.1790670184</v>
      </c>
      <c r="O38" s="77">
        <f t="shared" ca="1" si="35"/>
        <v>43.17836421136542</v>
      </c>
      <c r="P38" s="77">
        <f t="shared" ca="1" si="36"/>
        <v>71.636627037709204</v>
      </c>
      <c r="Q38" s="77">
        <f t="shared" ca="1" si="37"/>
        <v>0</v>
      </c>
      <c r="R38" s="77">
        <f t="shared" ca="1" si="38"/>
        <v>47.707439059649545</v>
      </c>
      <c r="S38" s="54">
        <f t="shared" ca="1" si="39"/>
        <v>0.48189332383484385</v>
      </c>
      <c r="T38" s="53">
        <f ca="1">OFFSET('National statistics'!$A$6,MATCH(R0_estimation!$A38,'National statistics'!$A$7:$A$5000,0),MATCH(R0_estimation!T$16 &amp; "_Running14daysNew",'National statistics'!$B$1:$HA$1,0))</f>
        <v>16</v>
      </c>
      <c r="U38" s="97">
        <f t="shared" ca="1" si="40"/>
        <v>1.0062710569511544</v>
      </c>
      <c r="V38" s="98">
        <f ca="1">U38/2</f>
        <v>0.50313552847557719</v>
      </c>
      <c r="W38" s="77">
        <f t="shared" ca="1" si="42"/>
        <v>2808792.3507954804</v>
      </c>
      <c r="X38" s="77">
        <f t="shared" ca="1" si="43"/>
        <v>23.5190023528727</v>
      </c>
      <c r="Y38" s="77">
        <f t="shared" ca="1" si="44"/>
        <v>81.859062813262796</v>
      </c>
      <c r="Z38" s="77">
        <f t="shared" ca="1" si="45"/>
        <v>0</v>
      </c>
      <c r="AA38" s="77">
        <f t="shared" ca="1" si="46"/>
        <v>110.28648209018765</v>
      </c>
      <c r="AB38" s="54">
        <f t="shared" ca="1" si="47"/>
        <v>1.1140048695978548</v>
      </c>
      <c r="AC38" s="53">
        <f ca="1">OFFSET('National statistics'!$A$6,MATCH(R0_estimation!$A38,'National statistics'!$A$7:$A$5000,0),MATCH(R0_estimation!AC$16 &amp; "_Running14daysNew",'National statistics'!$B$1:$HA$1,0))</f>
        <v>346</v>
      </c>
      <c r="AD38" s="97">
        <f t="shared" ca="1" si="48"/>
        <v>1.1513150830584011</v>
      </c>
      <c r="AE38" s="98">
        <f ca="1">AD38/2</f>
        <v>0.57565754152920057</v>
      </c>
      <c r="AF38" s="77">
        <f t="shared" ca="1" si="50"/>
        <v>15637420.399759348</v>
      </c>
      <c r="AG38" s="77">
        <f t="shared" ca="1" si="51"/>
        <v>251.37980465425431</v>
      </c>
      <c r="AH38" s="77">
        <f t="shared" ca="1" si="52"/>
        <v>788.74483165158802</v>
      </c>
      <c r="AI38" s="77">
        <f t="shared" ca="1" si="53"/>
        <v>0</v>
      </c>
      <c r="AJ38" s="77">
        <f t="shared" ca="1" si="54"/>
        <v>965.89068183535369</v>
      </c>
      <c r="AK38" s="54">
        <f t="shared" ca="1" si="55"/>
        <v>9.7564715336904406</v>
      </c>
      <c r="AL38" s="53">
        <f ca="1">OFFSET('National statistics'!$A$6,MATCH(R0_estimation!$A38,'National statistics'!$A$7:$A$5000,0),MATCH(R0_estimation!AL$16 &amp; "_Running14daysNew",'National statistics'!$B$1:$HA$1,0))</f>
        <v>376</v>
      </c>
      <c r="AM38" s="97">
        <f t="shared" ca="1" si="56"/>
        <v>1.4899002769655674</v>
      </c>
      <c r="AN38" s="98">
        <f ca="1">AM38/2</f>
        <v>0.74495013848278369</v>
      </c>
      <c r="AO38" s="77">
        <f t="shared" ca="1" si="58"/>
        <v>10999828.97298767</v>
      </c>
      <c r="AP38" s="77">
        <f t="shared" ca="1" si="59"/>
        <v>110.35172234740898</v>
      </c>
      <c r="AQ38" s="77">
        <f t="shared" ca="1" si="60"/>
        <v>285.33786640466678</v>
      </c>
      <c r="AR38" s="77">
        <f t="shared" ca="1" si="61"/>
        <v>0</v>
      </c>
      <c r="AS38" s="77">
        <f t="shared" ca="1" si="62"/>
        <v>301.6920167125582</v>
      </c>
      <c r="AT38" s="54">
        <f t="shared" ca="1" si="63"/>
        <v>3.0473941082076581</v>
      </c>
      <c r="AU38" s="53">
        <f ca="1">OFFSET('National statistics'!$A$6,MATCH(R0_estimation!$A38,'National statistics'!$A$7:$A$5000,0),MATCH(R0_estimation!AU$16 &amp; "_Running14daysNew",'National statistics'!$B$1:$HA$1,0))</f>
        <v>10</v>
      </c>
      <c r="AV38" s="97">
        <f t="shared" ca="1" si="64"/>
        <v>1.7150884819427765</v>
      </c>
      <c r="AW38" s="98">
        <f ca="1">AV38/2</f>
        <v>0.85754424097138826</v>
      </c>
      <c r="AX38" s="77">
        <f t="shared" ca="1" si="66"/>
        <v>5853786.8401096147</v>
      </c>
      <c r="AY38" s="77">
        <f t="shared" ca="1" si="67"/>
        <v>9.1519184884962534</v>
      </c>
      <c r="AZ38" s="77">
        <f t="shared" ca="1" si="68"/>
        <v>21.346777257525464</v>
      </c>
      <c r="BA38" s="77">
        <f t="shared" ca="1" si="69"/>
        <v>0</v>
      </c>
      <c r="BB38" s="77">
        <f t="shared" ca="1" si="70"/>
        <v>21.263568073791632</v>
      </c>
      <c r="BC38" s="54">
        <f t="shared" ca="1" si="71"/>
        <v>0.21478351589688519</v>
      </c>
      <c r="BD38" s="53">
        <f ca="1">OFFSET('National statistics'!$A$6,MATCH(R0_estimation!$A38,'National statistics'!$A$7:$A$5000,0),MATCH(R0_estimation!BD$16 &amp; "_Running14daysNew",'National statistics'!$B$1:$HA$1,0))</f>
        <v>10</v>
      </c>
      <c r="BE38" s="97">
        <f t="shared" ca="1" si="72"/>
        <v>1.4435626881707697</v>
      </c>
      <c r="BF38" s="98">
        <f ca="1">BE38/2</f>
        <v>0.72178134408538486</v>
      </c>
      <c r="BG38" s="77">
        <f t="shared" ca="1" si="74"/>
        <v>4809157.7203698875</v>
      </c>
      <c r="BH38" s="77">
        <f t="shared" ca="1" si="75"/>
        <v>6.0859575238867611</v>
      </c>
      <c r="BI38" s="77">
        <f t="shared" ca="1" si="76"/>
        <v>16.109499101578599</v>
      </c>
      <c r="BJ38" s="77">
        <f t="shared" ca="1" si="77"/>
        <v>0</v>
      </c>
      <c r="BK38" s="77">
        <f t="shared" ca="1" si="78"/>
        <v>17.543368108450061</v>
      </c>
      <c r="BL38" s="54">
        <f t="shared" ca="1" si="79"/>
        <v>0.1772057384691926</v>
      </c>
      <c r="BM38" s="53">
        <f ca="1">OFFSET('National statistics'!$A$6,MATCH(R0_estimation!$A38,'National statistics'!$A$7:$A$5000,0),MATCH(R0_estimation!BM$16 &amp; "_Running14daysNew",'National statistics'!$B$1:$HA$1,0))</f>
        <v>15</v>
      </c>
      <c r="BN38" s="97">
        <f t="shared" ca="1" si="80"/>
        <v>1.9865205416387972</v>
      </c>
      <c r="BO38" s="98">
        <f ca="1">BN38/2</f>
        <v>0.99326027081939861</v>
      </c>
      <c r="BP38" s="77">
        <f t="shared" ca="1" si="82"/>
        <v>4107606.7390412898</v>
      </c>
      <c r="BQ38" s="77">
        <f t="shared" ca="1" si="83"/>
        <v>5.6122413962289093</v>
      </c>
      <c r="BR38" s="77">
        <f t="shared" ca="1" si="84"/>
        <v>11.776462112416519</v>
      </c>
      <c r="BS38" s="77">
        <f t="shared" ca="1" si="85"/>
        <v>0</v>
      </c>
      <c r="BT38" s="77">
        <f t="shared" ca="1" si="86"/>
        <v>10.93159508981833</v>
      </c>
      <c r="BU38" s="54">
        <f t="shared" ca="1" si="87"/>
        <v>0.11042015242240738</v>
      </c>
      <c r="BV38" s="53">
        <f ca="1">OFFSET('National statistics'!$A$6,MATCH(R0_estimation!$A38,'National statistics'!$A$7:$A$5000,0),MATCH(R0_estimation!BV$16 &amp; "_Running14daysNew",'National statistics'!$B$1:$HA$1,0))</f>
        <v>9</v>
      </c>
      <c r="BW38" s="97">
        <f t="shared" ca="1" si="88"/>
        <v>1.3799241468388452</v>
      </c>
      <c r="BX38" s="98">
        <f ca="1">BW38/2</f>
        <v>0.68996207341942262</v>
      </c>
      <c r="BY38" s="77">
        <f t="shared" ca="1" si="90"/>
        <v>1322213.586310121</v>
      </c>
      <c r="BZ38" s="77">
        <f t="shared" ca="1" si="91"/>
        <v>2.9925020618370777</v>
      </c>
      <c r="CA38" s="77">
        <f t="shared" ca="1" si="92"/>
        <v>8.1918447497350702</v>
      </c>
      <c r="CB38" s="77">
        <f t="shared" ca="1" si="93"/>
        <v>0</v>
      </c>
      <c r="CC38" s="77">
        <f t="shared" ca="1" si="94"/>
        <v>9.2351312906084342</v>
      </c>
      <c r="CD38" s="54">
        <f t="shared" ca="1" si="95"/>
        <v>9.3284154450590254E-2</v>
      </c>
      <c r="CE38" s="53">
        <f ca="1">OFFSET('National statistics'!$A$6,MATCH(R0_estimation!$A38,'National statistics'!$A$7:$A$5000,0),MATCH(R0_estimation!CE$16 &amp; "_Running14daysNew",'National statistics'!$B$1:$HA$1,0))</f>
        <v>343</v>
      </c>
      <c r="CF38" s="97">
        <f t="shared" ca="1" si="96"/>
        <v>2.4331242245373454</v>
      </c>
      <c r="CG38" s="98">
        <f ca="1">CF38/2</f>
        <v>1.2165621122686727</v>
      </c>
      <c r="CH38" s="77">
        <f t="shared" ca="1" si="98"/>
        <v>7303015.5833560219</v>
      </c>
      <c r="CI38" s="77">
        <f t="shared" ca="1" si="99"/>
        <v>438.96626620474979</v>
      </c>
      <c r="CJ38" s="77">
        <f t="shared" ca="1" si="100"/>
        <v>798.38964969478047</v>
      </c>
      <c r="CK38" s="77">
        <f t="shared" ca="1" si="101"/>
        <v>0</v>
      </c>
      <c r="CL38" s="77">
        <f t="shared" ca="1" si="102"/>
        <v>623.66535829550696</v>
      </c>
      <c r="CM38" s="54">
        <f t="shared" ca="1" si="103"/>
        <v>6.299650083792999</v>
      </c>
      <c r="CO38" s="209"/>
      <c r="CP38" s="210"/>
    </row>
    <row r="39" spans="1:94">
      <c r="A39" s="83">
        <v>43939</v>
      </c>
      <c r="B39" s="53">
        <f ca="1">OFFSET('National statistics'!$A$6,MATCH(R0_estimation!$A39,'National statistics'!$A$7:$A$5000,0),MATCH(R0_estimation!B$16 &amp; "_Running14daysNew",'National statistics'!$B$1:$HA$1,0))</f>
        <v>1487</v>
      </c>
      <c r="C39" s="97">
        <f t="shared" ca="1" si="24"/>
        <v>1.9211610393424374</v>
      </c>
      <c r="D39" s="98">
        <f t="shared" ref="D39:D44" ca="1" si="104">D38</f>
        <v>0.96058051967121871</v>
      </c>
      <c r="E39" s="77">
        <f t="shared" ca="1" si="26"/>
        <v>59711435.466647662</v>
      </c>
      <c r="F39" s="77">
        <f t="shared" ca="1" si="27"/>
        <v>1171.6827576958451</v>
      </c>
      <c r="G39" s="77">
        <f t="shared" ca="1" si="28"/>
        <v>2518.1038433049307</v>
      </c>
      <c r="H39" s="77">
        <f t="shared" ca="1" si="29"/>
        <v>0</v>
      </c>
      <c r="I39" s="77">
        <f t="shared" ca="1" si="30"/>
        <v>2378.2370989390479</v>
      </c>
      <c r="J39" s="54">
        <f t="shared" ca="1" si="31"/>
        <v>24.022596958980284</v>
      </c>
      <c r="K39" s="53">
        <f ca="1">OFFSET('National statistics'!$A$6,MATCH(R0_estimation!$A39,'National statistics'!$A$7:$A$5000,0),MATCH(R0_estimation!K$16 &amp; "_Running14daysNew",'National statistics'!$B$1:$HA$1,0))</f>
        <v>245</v>
      </c>
      <c r="L39" s="97">
        <f t="shared" ca="1" si="32"/>
        <v>2.7782873101034609</v>
      </c>
      <c r="M39" s="98">
        <f t="shared" ref="M39:M70" ca="1" si="105">M38</f>
        <v>1.3891436550517304</v>
      </c>
      <c r="N39" s="77">
        <f t="shared" ca="1" si="34"/>
        <v>6870586.9631795892</v>
      </c>
      <c r="O39" s="77">
        <f t="shared" ca="1" si="35"/>
        <v>46.599660587778715</v>
      </c>
      <c r="P39" s="77">
        <f t="shared" ca="1" si="36"/>
        <v>77.31431615928561</v>
      </c>
      <c r="Q39" s="77">
        <f t="shared" ca="1" si="37"/>
        <v>0</v>
      </c>
      <c r="R39" s="77">
        <f t="shared" ca="1" si="38"/>
        <v>52.77317197160184</v>
      </c>
      <c r="S39" s="54">
        <f t="shared" ca="1" si="39"/>
        <v>0.53306234314749323</v>
      </c>
      <c r="T39" s="53">
        <f ca="1">OFFSET('National statistics'!$A$6,MATCH(R0_estimation!$A39,'National statistics'!$A$7:$A$5000,0),MATCH(R0_estimation!T$16 &amp; "_Running14daysNew",'National statistics'!$B$1:$HA$1,0))</f>
        <v>15</v>
      </c>
      <c r="U39" s="97">
        <f t="shared" ca="1" si="40"/>
        <v>1.0062710569511544</v>
      </c>
      <c r="V39" s="98">
        <f t="shared" ref="V39:V70" ca="1" si="106">V38</f>
        <v>0.50313552847557719</v>
      </c>
      <c r="W39" s="77">
        <f t="shared" ca="1" si="42"/>
        <v>2808786.4675039495</v>
      </c>
      <c r="X39" s="77">
        <f t="shared" ca="1" si="43"/>
        <v>23.522543295367374</v>
      </c>
      <c r="Y39" s="77">
        <f t="shared" ca="1" si="44"/>
        <v>81.891737486247905</v>
      </c>
      <c r="Z39" s="77">
        <f t="shared" ca="1" si="45"/>
        <v>0</v>
      </c>
      <c r="AA39" s="77">
        <f t="shared" ca="1" si="46"/>
        <v>116.07508724626837</v>
      </c>
      <c r="AB39" s="54">
        <f t="shared" ca="1" si="47"/>
        <v>1.1724756287501854</v>
      </c>
      <c r="AC39" s="53">
        <f ca="1">OFFSET('National statistics'!$A$6,MATCH(R0_estimation!$A39,'National statistics'!$A$7:$A$5000,0),MATCH(R0_estimation!AC$16 &amp; "_Running14daysNew",'National statistics'!$B$1:$HA$1,0))</f>
        <v>408</v>
      </c>
      <c r="AD39" s="97">
        <f t="shared" ca="1" si="48"/>
        <v>1.1513150830584011</v>
      </c>
      <c r="AE39" s="98">
        <f t="shared" ref="AE39:AE70" ca="1" si="107">AE38</f>
        <v>0.57565754152920057</v>
      </c>
      <c r="AF39" s="77">
        <f t="shared" ca="1" si="50"/>
        <v>15637355.544234827</v>
      </c>
      <c r="AG39" s="77">
        <f t="shared" ca="1" si="51"/>
        <v>253.39037801215568</v>
      </c>
      <c r="AH39" s="77">
        <f t="shared" ca="1" si="52"/>
        <v>795.25086626860957</v>
      </c>
      <c r="AI39" s="77">
        <f t="shared" ca="1" si="53"/>
        <v>0</v>
      </c>
      <c r="AJ39" s="77">
        <f t="shared" ca="1" si="54"/>
        <v>1021.6662092164303</v>
      </c>
      <c r="AK39" s="54">
        <f t="shared" ca="1" si="55"/>
        <v>10.319860699155861</v>
      </c>
      <c r="AL39" s="53">
        <f ca="1">OFFSET('National statistics'!$A$6,MATCH(R0_estimation!$A39,'National statistics'!$A$7:$A$5000,0),MATCH(R0_estimation!AL$16 &amp; "_Running14daysNew",'National statistics'!$B$1:$HA$1,0))</f>
        <v>372</v>
      </c>
      <c r="AM39" s="97">
        <f t="shared" ca="1" si="56"/>
        <v>1.4899002769655674</v>
      </c>
      <c r="AN39" s="98">
        <f t="shared" ref="AN39:AN70" ca="1" si="108">AN38</f>
        <v>0.74495013848278369</v>
      </c>
      <c r="AO39" s="77">
        <f t="shared" ca="1" si="58"/>
        <v>10999798.608843723</v>
      </c>
      <c r="AP39" s="77">
        <f t="shared" ca="1" si="59"/>
        <v>113.12793570789535</v>
      </c>
      <c r="AQ39" s="77">
        <f t="shared" ca="1" si="60"/>
        <v>292.54452081975711</v>
      </c>
      <c r="AR39" s="77">
        <f t="shared" ca="1" si="61"/>
        <v>0</v>
      </c>
      <c r="AS39" s="77">
        <f t="shared" ca="1" si="62"/>
        <v>321.86948012260251</v>
      </c>
      <c r="AT39" s="54">
        <f t="shared" ca="1" si="63"/>
        <v>3.2512068699252774</v>
      </c>
      <c r="AU39" s="53">
        <f ca="1">OFFSET('National statistics'!$A$6,MATCH(R0_estimation!$A39,'National statistics'!$A$7:$A$5000,0),MATCH(R0_estimation!AU$16 &amp; "_Running14daysNew",'National statistics'!$B$1:$HA$1,0))</f>
        <v>13</v>
      </c>
      <c r="AV39" s="97">
        <f t="shared" ca="1" si="64"/>
        <v>1.7150884819427765</v>
      </c>
      <c r="AW39" s="98">
        <f t="shared" ref="AW39:AW70" ca="1" si="109">AW38</f>
        <v>0.85754424097138826</v>
      </c>
      <c r="AX39" s="77">
        <f t="shared" ca="1" si="66"/>
        <v>5853784.22501761</v>
      </c>
      <c r="AY39" s="77">
        <f t="shared" ca="1" si="67"/>
        <v>9.4790308709939062</v>
      </c>
      <c r="AZ39" s="77">
        <f t="shared" ca="1" si="68"/>
        <v>22.109987075540566</v>
      </c>
      <c r="BA39" s="77">
        <f t="shared" ca="1" si="69"/>
        <v>0</v>
      </c>
      <c r="BB39" s="77">
        <f t="shared" ca="1" si="70"/>
        <v>22.773090179859505</v>
      </c>
      <c r="BC39" s="54">
        <f t="shared" ca="1" si="71"/>
        <v>0.23003121393797479</v>
      </c>
      <c r="BD39" s="53">
        <f ca="1">OFFSET('National statistics'!$A$6,MATCH(R0_estimation!$A39,'National statistics'!$A$7:$A$5000,0),MATCH(R0_estimation!BD$16 &amp; "_Running14daysNew",'National statistics'!$B$1:$HA$1,0))</f>
        <v>7</v>
      </c>
      <c r="BE39" s="97">
        <f t="shared" ca="1" si="72"/>
        <v>1.4435626881707697</v>
      </c>
      <c r="BF39" s="98">
        <f t="shared" ref="BF39:BF70" ca="1" si="110">BF38</f>
        <v>0.72178134408538486</v>
      </c>
      <c r="BG39" s="77">
        <f t="shared" ca="1" si="74"/>
        <v>4809156.0593070537</v>
      </c>
      <c r="BH39" s="77">
        <f t="shared" ca="1" si="75"/>
        <v>6.2255309764465228</v>
      </c>
      <c r="BI39" s="77">
        <f t="shared" ca="1" si="76"/>
        <v>16.480309975294677</v>
      </c>
      <c r="BJ39" s="77">
        <f t="shared" ca="1" si="77"/>
        <v>0</v>
      </c>
      <c r="BK39" s="77">
        <f t="shared" ca="1" si="78"/>
        <v>18.682539830633118</v>
      </c>
      <c r="BL39" s="54">
        <f t="shared" ca="1" si="79"/>
        <v>0.18871252354174875</v>
      </c>
      <c r="BM39" s="53">
        <f ca="1">OFFSET('National statistics'!$A$6,MATCH(R0_estimation!$A39,'National statistics'!$A$7:$A$5000,0),MATCH(R0_estimation!BM$16 &amp; "_Running14daysNew",'National statistics'!$B$1:$HA$1,0))</f>
        <v>13</v>
      </c>
      <c r="BN39" s="97">
        <f t="shared" ca="1" si="80"/>
        <v>1.9865205416387972</v>
      </c>
      <c r="BO39" s="98">
        <f t="shared" ref="BO39:BO70" ca="1" si="111">BO38</f>
        <v>0.99326027081939861</v>
      </c>
      <c r="BP39" s="77">
        <f t="shared" ca="1" si="82"/>
        <v>4107605.0680396752</v>
      </c>
      <c r="BQ39" s="77">
        <f t="shared" ca="1" si="83"/>
        <v>5.8801826615829018</v>
      </c>
      <c r="BR39" s="77">
        <f t="shared" ca="1" si="84"/>
        <v>12.338346596301138</v>
      </c>
      <c r="BS39" s="77">
        <f t="shared" ca="1" si="85"/>
        <v>0</v>
      </c>
      <c r="BT39" s="77">
        <f t="shared" ca="1" si="86"/>
        <v>11.764359196339212</v>
      </c>
      <c r="BU39" s="54">
        <f t="shared" ca="1" si="87"/>
        <v>0.11883191107413346</v>
      </c>
      <c r="BV39" s="53">
        <f ca="1">OFFSET('National statistics'!$A$6,MATCH(R0_estimation!$A39,'National statistics'!$A$7:$A$5000,0),MATCH(R0_estimation!BV$16 &amp; "_Running14daysNew",'National statistics'!$B$1:$HA$1,0))</f>
        <v>9</v>
      </c>
      <c r="BW39" s="97">
        <f t="shared" ca="1" si="88"/>
        <v>1.3799241468388452</v>
      </c>
      <c r="BX39" s="98">
        <f t="shared" ref="BX39:BX70" ca="1" si="112">BX38</f>
        <v>0.68996207341942262</v>
      </c>
      <c r="BY39" s="77">
        <f t="shared" ca="1" si="90"/>
        <v>1322212.778885135</v>
      </c>
      <c r="BZ39" s="77">
        <f t="shared" ca="1" si="91"/>
        <v>3.0518015325103041</v>
      </c>
      <c r="CA39" s="77">
        <f t="shared" ca="1" si="92"/>
        <v>8.3548384973561198</v>
      </c>
      <c r="CB39" s="77">
        <f t="shared" ca="1" si="93"/>
        <v>0</v>
      </c>
      <c r="CC39" s="77">
        <f t="shared" ca="1" si="94"/>
        <v>9.8144117407682714</v>
      </c>
      <c r="CD39" s="54">
        <f t="shared" ca="1" si="95"/>
        <v>9.9135472128972446E-2</v>
      </c>
      <c r="CE39" s="53">
        <f ca="1">OFFSET('National statistics'!$A$6,MATCH(R0_estimation!$A39,'National statistics'!$A$7:$A$5000,0),MATCH(R0_estimation!CE$16 &amp; "_Running14daysNew",'National statistics'!$B$1:$HA$1,0))</f>
        <v>405</v>
      </c>
      <c r="CF39" s="97">
        <f t="shared" ca="1" si="96"/>
        <v>2.4331242245373454</v>
      </c>
      <c r="CG39" s="98">
        <f t="shared" ref="CG39:CG70" ca="1" si="113">CG38</f>
        <v>1.2165621122686727</v>
      </c>
      <c r="CH39" s="77">
        <f t="shared" ca="1" si="98"/>
        <v>7302876.8629062297</v>
      </c>
      <c r="CI39" s="77">
        <f t="shared" ca="1" si="99"/>
        <v>467.94514944545165</v>
      </c>
      <c r="CJ39" s="77">
        <f t="shared" ca="1" si="100"/>
        <v>851.10338412491217</v>
      </c>
      <c r="CK39" s="77">
        <f t="shared" ca="1" si="101"/>
        <v>0</v>
      </c>
      <c r="CL39" s="77">
        <f t="shared" ca="1" si="102"/>
        <v>680.12291209535215</v>
      </c>
      <c r="CM39" s="54">
        <f t="shared" ca="1" si="103"/>
        <v>6.8699284050035567</v>
      </c>
      <c r="CO39" s="209"/>
      <c r="CP39" s="210"/>
    </row>
    <row r="40" spans="1:94">
      <c r="A40" s="83">
        <v>43940</v>
      </c>
      <c r="B40" s="53">
        <f ca="1">OFFSET('National statistics'!$A$6,MATCH(R0_estimation!$A40,'National statistics'!$A$7:$A$5000,0),MATCH(R0_estimation!B$16 &amp; "_Running14daysNew",'National statistics'!$B$1:$HA$1,0))</f>
        <v>1545</v>
      </c>
      <c r="C40" s="97">
        <f t="shared" ca="1" si="24"/>
        <v>1.9211610393424374</v>
      </c>
      <c r="D40" s="98">
        <f t="shared" ca="1" si="104"/>
        <v>0.96058051967121871</v>
      </c>
      <c r="E40" s="77">
        <f t="shared" ca="1" si="26"/>
        <v>59711089.952974133</v>
      </c>
      <c r="F40" s="77">
        <f t="shared" ca="1" si="27"/>
        <v>1224.2757418021395</v>
      </c>
      <c r="G40" s="77">
        <f t="shared" ca="1" si="28"/>
        <v>2631.1599724928255</v>
      </c>
      <c r="H40" s="77">
        <f t="shared" ca="1" si="29"/>
        <v>0</v>
      </c>
      <c r="I40" s="77">
        <f t="shared" ca="1" si="30"/>
        <v>2556.3030135727536</v>
      </c>
      <c r="J40" s="54">
        <f t="shared" ca="1" si="31"/>
        <v>25.821242561340949</v>
      </c>
      <c r="K40" s="53">
        <f ca="1">OFFSET('National statistics'!$A$6,MATCH(R0_estimation!$A40,'National statistics'!$A$7:$A$5000,0),MATCH(R0_estimation!K$16 &amp; "_Running14daysNew",'National statistics'!$B$1:$HA$1,0))</f>
        <v>262</v>
      </c>
      <c r="L40" s="97">
        <f t="shared" ca="1" si="32"/>
        <v>2.7782873101034609</v>
      </c>
      <c r="M40" s="98">
        <f t="shared" ca="1" si="105"/>
        <v>1.3891436550517304</v>
      </c>
      <c r="N40" s="77">
        <f t="shared" ca="1" si="34"/>
        <v>6870571.6206181832</v>
      </c>
      <c r="O40" s="77">
        <f t="shared" ca="1" si="35"/>
        <v>50.292306847002052</v>
      </c>
      <c r="P40" s="77">
        <f t="shared" ca="1" si="36"/>
        <v>83.441780151995601</v>
      </c>
      <c r="Q40" s="77">
        <f t="shared" ca="1" si="37"/>
        <v>0</v>
      </c>
      <c r="R40" s="77">
        <f t="shared" ca="1" si="38"/>
        <v>58.240398614294179</v>
      </c>
      <c r="S40" s="54">
        <f t="shared" ca="1" si="39"/>
        <v>0.5882868546898401</v>
      </c>
      <c r="T40" s="53">
        <f ca="1">OFFSET('National statistics'!$A$6,MATCH(R0_estimation!$A40,'National statistics'!$A$7:$A$5000,0),MATCH(R0_estimation!T$16 &amp; "_Running14daysNew",'National statistics'!$B$1:$HA$1,0))</f>
        <v>15</v>
      </c>
      <c r="U40" s="97">
        <f t="shared" ca="1" si="40"/>
        <v>1.0062710569511544</v>
      </c>
      <c r="V40" s="98">
        <f t="shared" ca="1" si="106"/>
        <v>0.50313552847557719</v>
      </c>
      <c r="W40" s="77">
        <f t="shared" ca="1" si="42"/>
        <v>2808780.5818762635</v>
      </c>
      <c r="X40" s="77">
        <f t="shared" ca="1" si="43"/>
        <v>23.527535157653368</v>
      </c>
      <c r="Y40" s="77">
        <f t="shared" ca="1" si="44"/>
        <v>81.922963489643465</v>
      </c>
      <c r="Z40" s="77">
        <f t="shared" ca="1" si="45"/>
        <v>0</v>
      </c>
      <c r="AA40" s="77">
        <f t="shared" ca="1" si="46"/>
        <v>121.86600296851019</v>
      </c>
      <c r="AB40" s="54">
        <f t="shared" ca="1" si="47"/>
        <v>1.2309697269546482</v>
      </c>
      <c r="AC40" s="53">
        <f ca="1">OFFSET('National statistics'!$A$6,MATCH(R0_estimation!$A40,'National statistics'!$A$7:$A$5000,0),MATCH(R0_estimation!AC$16 &amp; "_Running14daysNew",'National statistics'!$B$1:$HA$1,0))</f>
        <v>444</v>
      </c>
      <c r="AD40" s="97">
        <f t="shared" ca="1" si="48"/>
        <v>1.1513150830584011</v>
      </c>
      <c r="AE40" s="98">
        <f t="shared" ca="1" si="107"/>
        <v>0.57565754152920057</v>
      </c>
      <c r="AF40" s="77">
        <f t="shared" ca="1" si="50"/>
        <v>15637290.154012369</v>
      </c>
      <c r="AG40" s="77">
        <f t="shared" ca="1" si="51"/>
        <v>255.43300596804261</v>
      </c>
      <c r="AH40" s="77">
        <f t="shared" ca="1" si="52"/>
        <v>801.79482746674773</v>
      </c>
      <c r="AI40" s="77">
        <f t="shared" ca="1" si="53"/>
        <v>0</v>
      </c>
      <c r="AJ40" s="77">
        <f t="shared" ca="1" si="54"/>
        <v>1077.9018061882819</v>
      </c>
      <c r="AK40" s="54">
        <f t="shared" ca="1" si="55"/>
        <v>10.887897032204867</v>
      </c>
      <c r="AL40" s="53">
        <f ca="1">OFFSET('National statistics'!$A$6,MATCH(R0_estimation!$A40,'National statistics'!$A$7:$A$5000,0),MATCH(R0_estimation!AL$16 &amp; "_Running14daysNew",'National statistics'!$B$1:$HA$1,0))</f>
        <v>371</v>
      </c>
      <c r="AM40" s="97">
        <f t="shared" ca="1" si="56"/>
        <v>1.4899002769655674</v>
      </c>
      <c r="AN40" s="98">
        <f t="shared" ca="1" si="108"/>
        <v>0.74495013848278369</v>
      </c>
      <c r="AO40" s="77">
        <f t="shared" ca="1" si="58"/>
        <v>10999767.477891155</v>
      </c>
      <c r="AP40" s="77">
        <f t="shared" ca="1" si="59"/>
        <v>115.97690435040549</v>
      </c>
      <c r="AQ40" s="77">
        <f t="shared" ca="1" si="60"/>
        <v>299.93046754531974</v>
      </c>
      <c r="AR40" s="77">
        <f t="shared" ca="1" si="61"/>
        <v>0</v>
      </c>
      <c r="AS40" s="77">
        <f t="shared" ca="1" si="62"/>
        <v>342.5565569519996</v>
      </c>
      <c r="AT40" s="54">
        <f t="shared" ca="1" si="63"/>
        <v>3.4601672419393896</v>
      </c>
      <c r="AU40" s="53">
        <f ca="1">OFFSET('National statistics'!$A$6,MATCH(R0_estimation!$A40,'National statistics'!$A$7:$A$5000,0),MATCH(R0_estimation!AU$16 &amp; "_Running14daysNew",'National statistics'!$B$1:$HA$1,0))</f>
        <v>13</v>
      </c>
      <c r="AV40" s="97">
        <f t="shared" ca="1" si="64"/>
        <v>1.7150884819427765</v>
      </c>
      <c r="AW40" s="98">
        <f t="shared" ca="1" si="109"/>
        <v>0.85754424097138826</v>
      </c>
      <c r="AX40" s="77">
        <f t="shared" ca="1" si="66"/>
        <v>5853781.5164296087</v>
      </c>
      <c r="AY40" s="77">
        <f t="shared" ca="1" si="67"/>
        <v>9.8178611544478187</v>
      </c>
      <c r="AZ40" s="77">
        <f t="shared" ca="1" si="68"/>
        <v>22.900460002179003</v>
      </c>
      <c r="BA40" s="77">
        <f t="shared" ca="1" si="69"/>
        <v>0</v>
      </c>
      <c r="BB40" s="77">
        <f t="shared" ca="1" si="70"/>
        <v>24.336582123058445</v>
      </c>
      <c r="BC40" s="54">
        <f t="shared" ca="1" si="71"/>
        <v>0.24582406184907521</v>
      </c>
      <c r="BD40" s="53">
        <f ca="1">OFFSET('National statistics'!$A$6,MATCH(R0_estimation!$A40,'National statistics'!$A$7:$A$5000,0),MATCH(R0_estimation!BD$16 &amp; "_Running14daysNew",'National statistics'!$B$1:$HA$1,0))</f>
        <v>5</v>
      </c>
      <c r="BE40" s="97">
        <f t="shared" ca="1" si="72"/>
        <v>1.4435626881707697</v>
      </c>
      <c r="BF40" s="98">
        <f t="shared" ca="1" si="110"/>
        <v>0.72178134408538486</v>
      </c>
      <c r="BG40" s="77">
        <f t="shared" ca="1" si="74"/>
        <v>4809154.3600102086</v>
      </c>
      <c r="BH40" s="77">
        <f t="shared" ca="1" si="75"/>
        <v>6.3684450771824537</v>
      </c>
      <c r="BI40" s="77">
        <f t="shared" ca="1" si="76"/>
        <v>16.859527721170974</v>
      </c>
      <c r="BJ40" s="77">
        <f t="shared" ca="1" si="77"/>
        <v>0</v>
      </c>
      <c r="BK40" s="77">
        <f t="shared" ca="1" si="78"/>
        <v>19.847933178886098</v>
      </c>
      <c r="BL40" s="54">
        <f t="shared" ca="1" si="79"/>
        <v>0.20048417352410208</v>
      </c>
      <c r="BM40" s="53">
        <f ca="1">OFFSET('National statistics'!$A$6,MATCH(R0_estimation!$A40,'National statistics'!$A$7:$A$5000,0),MATCH(R0_estimation!BM$16 &amp; "_Running14daysNew",'National statistics'!$B$1:$HA$1,0))</f>
        <v>13</v>
      </c>
      <c r="BN40" s="97">
        <f t="shared" ca="1" si="80"/>
        <v>1.9865205416387972</v>
      </c>
      <c r="BO40" s="98">
        <f t="shared" ca="1" si="111"/>
        <v>0.99326027081939861</v>
      </c>
      <c r="BP40" s="77">
        <f t="shared" ca="1" si="82"/>
        <v>4107603.3173110997</v>
      </c>
      <c r="BQ40" s="77">
        <f t="shared" ca="1" si="83"/>
        <v>6.1608655715182863</v>
      </c>
      <c r="BR40" s="77">
        <f t="shared" ca="1" si="84"/>
        <v>12.927081790532496</v>
      </c>
      <c r="BS40" s="77">
        <f t="shared" ca="1" si="85"/>
        <v>0</v>
      </c>
      <c r="BT40" s="77">
        <f t="shared" ca="1" si="86"/>
        <v>12.636856562791936</v>
      </c>
      <c r="BU40" s="54">
        <f t="shared" ca="1" si="87"/>
        <v>0.12764501578577714</v>
      </c>
      <c r="BV40" s="53">
        <f ca="1">OFFSET('National statistics'!$A$6,MATCH(R0_estimation!$A40,'National statistics'!$A$7:$A$5000,0),MATCH(R0_estimation!BV$16 &amp; "_Running14daysNew",'National statistics'!$B$1:$HA$1,0))</f>
        <v>8</v>
      </c>
      <c r="BW40" s="97">
        <f t="shared" ca="1" si="88"/>
        <v>1.3799241468388452</v>
      </c>
      <c r="BX40" s="98">
        <f t="shared" ca="1" si="112"/>
        <v>0.68996207341942262</v>
      </c>
      <c r="BY40" s="77">
        <f t="shared" ca="1" si="90"/>
        <v>1322211.9553952527</v>
      </c>
      <c r="BZ40" s="77">
        <f t="shared" ca="1" si="91"/>
        <v>3.1123410316187203</v>
      </c>
      <c r="CA40" s="77">
        <f t="shared" ca="1" si="92"/>
        <v>8.521014702101116</v>
      </c>
      <c r="CB40" s="77">
        <f t="shared" ca="1" si="93"/>
        <v>0</v>
      </c>
      <c r="CC40" s="77">
        <f t="shared" ca="1" si="94"/>
        <v>10.405218177367026</v>
      </c>
      <c r="CD40" s="54">
        <f t="shared" ca="1" si="95"/>
        <v>0.10510321391279824</v>
      </c>
      <c r="CE40" s="53">
        <f ca="1">OFFSET('National statistics'!$A$6,MATCH(R0_estimation!$A40,'National statistics'!$A$7:$A$5000,0),MATCH(R0_estimation!CE$16 &amp; "_Running14daysNew",'National statistics'!$B$1:$HA$1,0))</f>
        <v>414</v>
      </c>
      <c r="CF40" s="97">
        <f t="shared" ca="1" si="96"/>
        <v>2.4331242245373454</v>
      </c>
      <c r="CG40" s="98">
        <f t="shared" ca="1" si="113"/>
        <v>1.2165621122686727</v>
      </c>
      <c r="CH40" s="77">
        <f t="shared" ca="1" si="98"/>
        <v>7302728.9862261154</v>
      </c>
      <c r="CI40" s="77">
        <f t="shared" ca="1" si="99"/>
        <v>498.83554219831751</v>
      </c>
      <c r="CJ40" s="77">
        <f t="shared" ca="1" si="100"/>
        <v>907.29657262020987</v>
      </c>
      <c r="CK40" s="77">
        <f t="shared" ca="1" si="101"/>
        <v>0</v>
      </c>
      <c r="CL40" s="77">
        <f t="shared" ca="1" si="102"/>
        <v>740.30807997275667</v>
      </c>
      <c r="CM40" s="54">
        <f t="shared" ca="1" si="103"/>
        <v>7.4778593936642084</v>
      </c>
      <c r="CO40" s="209"/>
      <c r="CP40" s="210"/>
    </row>
    <row r="41" spans="1:94">
      <c r="A41" s="83">
        <v>43941</v>
      </c>
      <c r="B41" s="53">
        <f ca="1">OFFSET('National statistics'!$A$6,MATCH(R0_estimation!$A41,'National statistics'!$A$7:$A$5000,0),MATCH(R0_estimation!B$16 &amp; "_Running14daysNew",'National statistics'!$B$1:$HA$1,0))</f>
        <v>1661</v>
      </c>
      <c r="C41" s="97">
        <f t="shared" ca="1" si="24"/>
        <v>1.9211610393424374</v>
      </c>
      <c r="D41" s="98">
        <f t="shared" ca="1" si="104"/>
        <v>0.96058051967121871</v>
      </c>
      <c r="E41" s="77">
        <f t="shared" ca="1" si="26"/>
        <v>59710728.928738728</v>
      </c>
      <c r="F41" s="77">
        <f t="shared" ca="1" si="27"/>
        <v>1279.2310417589583</v>
      </c>
      <c r="G41" s="77">
        <f t="shared" ca="1" si="28"/>
        <v>2749.2889099081585</v>
      </c>
      <c r="H41" s="77">
        <f t="shared" ca="1" si="29"/>
        <v>0</v>
      </c>
      <c r="I41" s="77">
        <f t="shared" ca="1" si="30"/>
        <v>2742.3636116276034</v>
      </c>
      <c r="J41" s="54">
        <f t="shared" ca="1" si="31"/>
        <v>27.700642541692968</v>
      </c>
      <c r="K41" s="53">
        <f ca="1">OFFSET('National statistics'!$A$6,MATCH(R0_estimation!$A41,'National statistics'!$A$7:$A$5000,0),MATCH(R0_estimation!K$16 &amp; "_Running14daysNew",'National statistics'!$B$1:$HA$1,0))</f>
        <v>278</v>
      </c>
      <c r="L41" s="97">
        <f t="shared" ca="1" si="32"/>
        <v>2.7782873101034609</v>
      </c>
      <c r="M41" s="98">
        <f t="shared" ca="1" si="105"/>
        <v>1.3891436550517304</v>
      </c>
      <c r="N41" s="77">
        <f t="shared" ca="1" si="34"/>
        <v>6870555.0621352149</v>
      </c>
      <c r="O41" s="77">
        <f t="shared" ca="1" si="35"/>
        <v>54.277713103181341</v>
      </c>
      <c r="P41" s="77">
        <f t="shared" ca="1" si="36"/>
        <v>90.054729710032149</v>
      </c>
      <c r="Q41" s="77">
        <f t="shared" ca="1" si="37"/>
        <v>0</v>
      </c>
      <c r="R41" s="77">
        <f t="shared" ca="1" si="38"/>
        <v>64.140924496471015</v>
      </c>
      <c r="S41" s="54">
        <f t="shared" ca="1" si="39"/>
        <v>0.64788812622697978</v>
      </c>
      <c r="T41" s="53">
        <f ca="1">OFFSET('National statistics'!$A$6,MATCH(R0_estimation!$A41,'National statistics'!$A$7:$A$5000,0),MATCH(R0_estimation!T$16 &amp; "_Running14daysNew",'National statistics'!$B$1:$HA$1,0))</f>
        <v>16</v>
      </c>
      <c r="U41" s="97">
        <f t="shared" ca="1" si="40"/>
        <v>1.0062710569511544</v>
      </c>
      <c r="V41" s="98">
        <f t="shared" ca="1" si="106"/>
        <v>0.50313552847557719</v>
      </c>
      <c r="W41" s="77">
        <f t="shared" ca="1" si="42"/>
        <v>2808774.6940165535</v>
      </c>
      <c r="X41" s="77">
        <f t="shared" ca="1" si="43"/>
        <v>23.533511078314667</v>
      </c>
      <c r="Y41" s="77">
        <f t="shared" ca="1" si="44"/>
        <v>81.953207029796559</v>
      </c>
      <c r="Z41" s="77">
        <f t="shared" ca="1" si="45"/>
        <v>0</v>
      </c>
      <c r="AA41" s="77">
        <f t="shared" ca="1" si="46"/>
        <v>127.65912681527783</v>
      </c>
      <c r="AB41" s="54">
        <f t="shared" ca="1" si="47"/>
        <v>1.2894861294472508</v>
      </c>
      <c r="AC41" s="53">
        <f ca="1">OFFSET('National statistics'!$A$6,MATCH(R0_estimation!$A41,'National statistics'!$A$7:$A$5000,0),MATCH(R0_estimation!AC$16 &amp; "_Running14daysNew",'National statistics'!$B$1:$HA$1,0))</f>
        <v>457</v>
      </c>
      <c r="AD41" s="97">
        <f t="shared" ca="1" si="48"/>
        <v>1.1513150830584011</v>
      </c>
      <c r="AE41" s="98">
        <f t="shared" ca="1" si="107"/>
        <v>0.57565754152920057</v>
      </c>
      <c r="AF41" s="77">
        <f t="shared" ca="1" si="50"/>
        <v>15637224.225980071</v>
      </c>
      <c r="AG41" s="77">
        <f t="shared" ca="1" si="51"/>
        <v>257.50278677334813</v>
      </c>
      <c r="AH41" s="77">
        <f t="shared" ca="1" si="52"/>
        <v>808.38201985399076</v>
      </c>
      <c r="AI41" s="77">
        <f t="shared" ca="1" si="53"/>
        <v>0</v>
      </c>
      <c r="AJ41" s="77">
        <f t="shared" ca="1" si="54"/>
        <v>1134.6001547020019</v>
      </c>
      <c r="AK41" s="54">
        <f t="shared" ca="1" si="55"/>
        <v>11.460607623252544</v>
      </c>
      <c r="AL41" s="53">
        <f ca="1">OFFSET('National statistics'!$A$6,MATCH(R0_estimation!$A41,'National statistics'!$A$7:$A$5000,0),MATCH(R0_estimation!AL$16 &amp; "_Running14daysNew",'National statistics'!$B$1:$HA$1,0))</f>
        <v>382</v>
      </c>
      <c r="AM41" s="97">
        <f t="shared" ca="1" si="56"/>
        <v>1.4899002769655674</v>
      </c>
      <c r="AN41" s="98">
        <f t="shared" ca="1" si="108"/>
        <v>0.74495013848278369</v>
      </c>
      <c r="AO41" s="77">
        <f t="shared" ca="1" si="58"/>
        <v>10999735.561057145</v>
      </c>
      <c r="AP41" s="77">
        <f t="shared" ca="1" si="59"/>
        <v>118.89951227203416</v>
      </c>
      <c r="AQ41" s="77">
        <f t="shared" ca="1" si="60"/>
        <v>307.50108880825542</v>
      </c>
      <c r="AR41" s="77">
        <f t="shared" ca="1" si="61"/>
        <v>0</v>
      </c>
      <c r="AS41" s="77">
        <f t="shared" ca="1" si="62"/>
        <v>363.76592572841861</v>
      </c>
      <c r="AT41" s="54">
        <f t="shared" ca="1" si="63"/>
        <v>3.6744032901860466</v>
      </c>
      <c r="AU41" s="53">
        <f ca="1">OFFSET('National statistics'!$A$6,MATCH(R0_estimation!$A41,'National statistics'!$A$7:$A$5000,0),MATCH(R0_estimation!AU$16 &amp; "_Running14daysNew",'National statistics'!$B$1:$HA$1,0))</f>
        <v>13</v>
      </c>
      <c r="AV41" s="97">
        <f t="shared" ca="1" si="64"/>
        <v>1.7150884819427765</v>
      </c>
      <c r="AW41" s="98">
        <f t="shared" ca="1" si="109"/>
        <v>0.85754424097138826</v>
      </c>
      <c r="AX41" s="77">
        <f t="shared" ca="1" si="66"/>
        <v>5853778.7110058675</v>
      </c>
      <c r="AY41" s="77">
        <f t="shared" ca="1" si="67"/>
        <v>10.168819606635743</v>
      </c>
      <c r="AZ41" s="77">
        <f t="shared" ca="1" si="68"/>
        <v>23.719178147778173</v>
      </c>
      <c r="BA41" s="77">
        <f t="shared" ca="1" si="69"/>
        <v>0</v>
      </c>
      <c r="BB41" s="77">
        <f t="shared" ca="1" si="70"/>
        <v>25.955971794641105</v>
      </c>
      <c r="BC41" s="54">
        <f t="shared" ca="1" si="71"/>
        <v>0.26218153327920307</v>
      </c>
      <c r="BD41" s="53">
        <f ca="1">OFFSET('National statistics'!$A$6,MATCH(R0_estimation!$A41,'National statistics'!$A$7:$A$5000,0),MATCH(R0_estimation!BD$16 &amp; "_Running14daysNew",'National statistics'!$B$1:$HA$1,0))</f>
        <v>5</v>
      </c>
      <c r="BE41" s="97">
        <f t="shared" ca="1" si="72"/>
        <v>1.4435626881707697</v>
      </c>
      <c r="BF41" s="98">
        <f t="shared" ca="1" si="110"/>
        <v>0.72178134408538486</v>
      </c>
      <c r="BG41" s="77">
        <f t="shared" ca="1" si="74"/>
        <v>4809152.6216125535</v>
      </c>
      <c r="BH41" s="77">
        <f t="shared" ca="1" si="75"/>
        <v>6.5147314625513681</v>
      </c>
      <c r="BI41" s="77">
        <f t="shared" ca="1" si="76"/>
        <v>17.247387010382948</v>
      </c>
      <c r="BJ41" s="77">
        <f t="shared" ca="1" si="77"/>
        <v>0</v>
      </c>
      <c r="BK41" s="77">
        <f t="shared" ca="1" si="78"/>
        <v>21.040142639168902</v>
      </c>
      <c r="BL41" s="54">
        <f t="shared" ca="1" si="79"/>
        <v>0.21252669332493848</v>
      </c>
      <c r="BM41" s="53">
        <f ca="1">OFFSET('National statistics'!$A$6,MATCH(R0_estimation!$A41,'National statistics'!$A$7:$A$5000,0),MATCH(R0_estimation!BM$16 &amp; "_Running14daysNew",'National statistics'!$B$1:$HA$1,0))</f>
        <v>14</v>
      </c>
      <c r="BN41" s="97">
        <f t="shared" ca="1" si="80"/>
        <v>1.9865205416387972</v>
      </c>
      <c r="BO41" s="98">
        <f t="shared" ca="1" si="111"/>
        <v>0.99326027081939861</v>
      </c>
      <c r="BP41" s="77">
        <f t="shared" ca="1" si="82"/>
        <v>4107601.4830457293</v>
      </c>
      <c r="BQ41" s="77">
        <f t="shared" ca="1" si="83"/>
        <v>6.4549145489778033</v>
      </c>
      <c r="BR41" s="77">
        <f t="shared" ca="1" si="84"/>
        <v>13.543935198374031</v>
      </c>
      <c r="BS41" s="77">
        <f t="shared" ca="1" si="85"/>
        <v>0</v>
      </c>
      <c r="BT41" s="77">
        <f t="shared" ca="1" si="86"/>
        <v>13.55098591797959</v>
      </c>
      <c r="BU41" s="54">
        <f t="shared" ca="1" si="87"/>
        <v>0.13687864563615748</v>
      </c>
      <c r="BV41" s="53">
        <f ca="1">OFFSET('National statistics'!$A$6,MATCH(R0_estimation!$A41,'National statistics'!$A$7:$A$5000,0),MATCH(R0_estimation!BV$16 &amp; "_Running14daysNew",'National statistics'!$B$1:$HA$1,0))</f>
        <v>10</v>
      </c>
      <c r="BW41" s="97">
        <f t="shared" ca="1" si="88"/>
        <v>1.3799241468388452</v>
      </c>
      <c r="BX41" s="98">
        <f t="shared" ca="1" si="112"/>
        <v>0.68996207341942262</v>
      </c>
      <c r="BY41" s="77">
        <f t="shared" ca="1" si="90"/>
        <v>1322211.1155268271</v>
      </c>
      <c r="BZ41" s="77">
        <f t="shared" ca="1" si="91"/>
        <v>3.1741241993219007</v>
      </c>
      <c r="CA41" s="77">
        <f t="shared" ca="1" si="92"/>
        <v>8.6904560527128591</v>
      </c>
      <c r="CB41" s="77">
        <f t="shared" ca="1" si="93"/>
        <v>0</v>
      </c>
      <c r="CC41" s="77">
        <f t="shared" ca="1" si="94"/>
        <v>11.007775645587033</v>
      </c>
      <c r="CD41" s="54">
        <f t="shared" ca="1" si="95"/>
        <v>0.11118965298572761</v>
      </c>
      <c r="CE41" s="53">
        <f ca="1">OFFSET('National statistics'!$A$6,MATCH(R0_estimation!$A41,'National statistics'!$A$7:$A$5000,0),MATCH(R0_estimation!CE$16 &amp; "_Running14daysNew",'National statistics'!$B$1:$HA$1,0))</f>
        <v>486</v>
      </c>
      <c r="CF41" s="97">
        <f t="shared" ca="1" si="96"/>
        <v>2.4331242245373454</v>
      </c>
      <c r="CG41" s="98">
        <f t="shared" ca="1" si="113"/>
        <v>1.2165621122686727</v>
      </c>
      <c r="CH41" s="77">
        <f t="shared" ca="1" si="98"/>
        <v>7302571.3493256811</v>
      </c>
      <c r="CI41" s="77">
        <f t="shared" ca="1" si="99"/>
        <v>531.76355708281221</v>
      </c>
      <c r="CJ41" s="77">
        <f t="shared" ca="1" si="100"/>
        <v>967.1985601254886</v>
      </c>
      <c r="CK41" s="77">
        <f t="shared" ca="1" si="101"/>
        <v>0</v>
      </c>
      <c r="CL41" s="77">
        <f t="shared" ca="1" si="102"/>
        <v>804.46690903661442</v>
      </c>
      <c r="CM41" s="54">
        <f t="shared" ca="1" si="103"/>
        <v>8.1259283741072146</v>
      </c>
      <c r="CO41" s="209"/>
      <c r="CP41" s="210"/>
    </row>
    <row r="42" spans="1:94">
      <c r="A42" s="83">
        <v>43942</v>
      </c>
      <c r="B42" s="53">
        <f ca="1">OFFSET('National statistics'!$A$6,MATCH(R0_estimation!$A42,'National statistics'!$A$7:$A$5000,0),MATCH(R0_estimation!B$16 &amp; "_Running14daysNew",'National statistics'!$B$1:$HA$1,0))</f>
        <v>1709</v>
      </c>
      <c r="C42" s="97">
        <f t="shared" ca="1" si="24"/>
        <v>1.9211610393424374</v>
      </c>
      <c r="D42" s="98">
        <f t="shared" ca="1" si="104"/>
        <v>0.96058051967121871</v>
      </c>
      <c r="E42" s="77">
        <f t="shared" ca="1" si="26"/>
        <v>59710351.698176153</v>
      </c>
      <c r="F42" s="77">
        <f t="shared" ca="1" si="27"/>
        <v>1336.6538438951561</v>
      </c>
      <c r="G42" s="77">
        <f t="shared" ca="1" si="28"/>
        <v>2872.7188910687437</v>
      </c>
      <c r="H42" s="77">
        <f t="shared" ca="1" si="29"/>
        <v>0</v>
      </c>
      <c r="I42" s="77">
        <f t="shared" ca="1" si="30"/>
        <v>2936.7776131139663</v>
      </c>
      <c r="J42" s="54">
        <f t="shared" ca="1" si="31"/>
        <v>29.664420334484511</v>
      </c>
      <c r="K42" s="53">
        <f ca="1">OFFSET('National statistics'!$A$6,MATCH(R0_estimation!$A42,'National statistics'!$A$7:$A$5000,0),MATCH(R0_estimation!K$16 &amp; "_Running14daysNew",'National statistics'!$B$1:$HA$1,0))</f>
        <v>305</v>
      </c>
      <c r="L42" s="97">
        <f t="shared" ca="1" si="32"/>
        <v>2.7782873101034609</v>
      </c>
      <c r="M42" s="98">
        <f t="shared" ca="1" si="105"/>
        <v>1.3891436550517304</v>
      </c>
      <c r="N42" s="77">
        <f t="shared" ca="1" si="34"/>
        <v>6870537.1913979836</v>
      </c>
      <c r="O42" s="77">
        <f t="shared" ca="1" si="35"/>
        <v>58.579022058748308</v>
      </c>
      <c r="P42" s="77">
        <f t="shared" ca="1" si="36"/>
        <v>97.191677292253758</v>
      </c>
      <c r="Q42" s="77">
        <f t="shared" ca="1" si="37"/>
        <v>0</v>
      </c>
      <c r="R42" s="77">
        <f t="shared" ca="1" si="38"/>
        <v>70.509080383109008</v>
      </c>
      <c r="S42" s="54">
        <f t="shared" ca="1" si="39"/>
        <v>0.71221293316271705</v>
      </c>
      <c r="T42" s="53">
        <f ca="1">OFFSET('National statistics'!$A$6,MATCH(R0_estimation!$A42,'National statistics'!$A$7:$A$5000,0),MATCH(R0_estimation!T$16 &amp; "_Running14daysNew",'National statistics'!$B$1:$HA$1,0))</f>
        <v>17.5</v>
      </c>
      <c r="U42" s="97">
        <f t="shared" ca="1" si="40"/>
        <v>1.0062710569511544</v>
      </c>
      <c r="V42" s="98">
        <f t="shared" ca="1" si="106"/>
        <v>0.50313552847557719</v>
      </c>
      <c r="W42" s="77">
        <f t="shared" ca="1" si="42"/>
        <v>2808768.8039954435</v>
      </c>
      <c r="X42" s="77">
        <f t="shared" ca="1" si="43"/>
        <v>23.540154418649081</v>
      </c>
      <c r="Y42" s="77">
        <f t="shared" ca="1" si="44"/>
        <v>81.982784297246909</v>
      </c>
      <c r="Z42" s="77">
        <f t="shared" ca="1" si="45"/>
        <v>0</v>
      </c>
      <c r="AA42" s="77">
        <f t="shared" ca="1" si="46"/>
        <v>133.45438931238488</v>
      </c>
      <c r="AB42" s="54">
        <f t="shared" ca="1" si="47"/>
        <v>1.3480241344685342</v>
      </c>
      <c r="AC42" s="53">
        <f ca="1">OFFSET('National statistics'!$A$6,MATCH(R0_estimation!$A42,'National statistics'!$A$7:$A$5000,0),MATCH(R0_estimation!AC$16 &amp; "_Running14daysNew",'National statistics'!$B$1:$HA$1,0))</f>
        <v>451.5</v>
      </c>
      <c r="AD42" s="97">
        <f t="shared" ca="1" si="48"/>
        <v>1.1513150830584011</v>
      </c>
      <c r="AE42" s="98">
        <f t="shared" ca="1" si="107"/>
        <v>0.57565754152920057</v>
      </c>
      <c r="AF42" s="77">
        <f t="shared" ca="1" si="50"/>
        <v>15637157.75658997</v>
      </c>
      <c r="AG42" s="77">
        <f t="shared" ca="1" si="51"/>
        <v>259.59648018259708</v>
      </c>
      <c r="AH42" s="77">
        <f t="shared" ca="1" si="52"/>
        <v>815.01614370061418</v>
      </c>
      <c r="AI42" s="77">
        <f t="shared" ca="1" si="53"/>
        <v>0</v>
      </c>
      <c r="AJ42" s="77">
        <f t="shared" ca="1" si="54"/>
        <v>1191.7643118202484</v>
      </c>
      <c r="AK42" s="54">
        <f t="shared" ca="1" si="55"/>
        <v>12.03802335171968</v>
      </c>
      <c r="AL42" s="53">
        <f ca="1">OFFSET('National statistics'!$A$6,MATCH(R0_estimation!$A42,'National statistics'!$A$7:$A$5000,0),MATCH(R0_estimation!AL$16 &amp; "_Running14daysNew",'National statistics'!$B$1:$HA$1,0))</f>
        <v>365.5</v>
      </c>
      <c r="AM42" s="97">
        <f t="shared" ca="1" si="56"/>
        <v>1.4899002769655674</v>
      </c>
      <c r="AN42" s="98">
        <f t="shared" ca="1" si="108"/>
        <v>0.74495013848278369</v>
      </c>
      <c r="AO42" s="77">
        <f t="shared" ca="1" si="58"/>
        <v>10999702.838696515</v>
      </c>
      <c r="AP42" s="77">
        <f t="shared" ca="1" si="59"/>
        <v>121.89699483331128</v>
      </c>
      <c r="AQ42" s="77">
        <f t="shared" ca="1" si="60"/>
        <v>315.26160338995999</v>
      </c>
      <c r="AR42" s="77">
        <f t="shared" ca="1" si="61"/>
        <v>0</v>
      </c>
      <c r="AS42" s="77">
        <f t="shared" ca="1" si="62"/>
        <v>385.51064557985956</v>
      </c>
      <c r="AT42" s="54">
        <f t="shared" ca="1" si="63"/>
        <v>3.8940469250490861</v>
      </c>
      <c r="AU42" s="53">
        <f ca="1">OFFSET('National statistics'!$A$6,MATCH(R0_estimation!$A42,'National statistics'!$A$7:$A$5000,0),MATCH(R0_estimation!AU$16 &amp; "_Running14daysNew",'National statistics'!$B$1:$HA$1,0))</f>
        <v>12</v>
      </c>
      <c r="AV42" s="97">
        <f t="shared" ca="1" si="64"/>
        <v>1.7150884819427765</v>
      </c>
      <c r="AW42" s="98">
        <f t="shared" ca="1" si="109"/>
        <v>0.85754424097138826</v>
      </c>
      <c r="AX42" s="77">
        <f t="shared" ca="1" si="66"/>
        <v>5853775.8052863413</v>
      </c>
      <c r="AY42" s="77">
        <f t="shared" ca="1" si="67"/>
        <v>10.53233423101428</v>
      </c>
      <c r="AZ42" s="77">
        <f t="shared" ca="1" si="68"/>
        <v>24.567156038881524</v>
      </c>
      <c r="BA42" s="77">
        <f t="shared" ca="1" si="69"/>
        <v>0</v>
      </c>
      <c r="BB42" s="77">
        <f t="shared" ca="1" si="70"/>
        <v>27.633256535091132</v>
      </c>
      <c r="BC42" s="54">
        <f t="shared" ca="1" si="71"/>
        <v>0.2791238033847589</v>
      </c>
      <c r="BD42" s="53">
        <f ca="1">OFFSET('National statistics'!$A$6,MATCH(R0_estimation!$A42,'National statistics'!$A$7:$A$5000,0),MATCH(R0_estimation!BD$16 &amp; "_Running14daysNew",'National statistics'!$B$1:$HA$1,0))</f>
        <v>4.5</v>
      </c>
      <c r="BE42" s="97">
        <f t="shared" ca="1" si="72"/>
        <v>1.4435626881707697</v>
      </c>
      <c r="BF42" s="98">
        <f t="shared" ca="1" si="110"/>
        <v>0.72178134408538486</v>
      </c>
      <c r="BG42" s="77">
        <f t="shared" ca="1" si="74"/>
        <v>4809150.8432230959</v>
      </c>
      <c r="BH42" s="77">
        <f t="shared" ca="1" si="75"/>
        <v>6.6644380548386923</v>
      </c>
      <c r="BI42" s="77">
        <f t="shared" ca="1" si="76"/>
        <v>17.644113660993437</v>
      </c>
      <c r="BJ42" s="77">
        <f t="shared" ca="1" si="77"/>
        <v>0</v>
      </c>
      <c r="BK42" s="77">
        <f t="shared" ca="1" si="78"/>
        <v>22.25977929204598</v>
      </c>
      <c r="BL42" s="54">
        <f t="shared" ca="1" si="79"/>
        <v>0.224846255475212</v>
      </c>
      <c r="BM42" s="53">
        <f ca="1">OFFSET('National statistics'!$A$6,MATCH(R0_estimation!$A42,'National statistics'!$A$7:$A$5000,0),MATCH(R0_estimation!BM$16 &amp; "_Running14daysNew",'National statistics'!$B$1:$HA$1,0))</f>
        <v>11</v>
      </c>
      <c r="BN42" s="97">
        <f t="shared" ca="1" si="80"/>
        <v>1.9865205416387972</v>
      </c>
      <c r="BO42" s="98">
        <f t="shared" ca="1" si="111"/>
        <v>0.99326027081939861</v>
      </c>
      <c r="BP42" s="77">
        <f t="shared" ca="1" si="82"/>
        <v>4107599.5612538913</v>
      </c>
      <c r="BQ42" s="77">
        <f t="shared" ca="1" si="83"/>
        <v>6.7629777497585906</v>
      </c>
      <c r="BR42" s="77">
        <f t="shared" ca="1" si="84"/>
        <v>14.19023989287748</v>
      </c>
      <c r="BS42" s="77">
        <f t="shared" ca="1" si="85"/>
        <v>0</v>
      </c>
      <c r="BT42" s="77">
        <f t="shared" ca="1" si="86"/>
        <v>14.508735621293182</v>
      </c>
      <c r="BU42" s="54">
        <f t="shared" ca="1" si="87"/>
        <v>0.14655288506356751</v>
      </c>
      <c r="BV42" s="53">
        <f ca="1">OFFSET('National statistics'!$A$6,MATCH(R0_estimation!$A42,'National statistics'!$A$7:$A$5000,0),MATCH(R0_estimation!BV$16 &amp; "_Running14daysNew",'National statistics'!$B$1:$HA$1,0))</f>
        <v>5.5</v>
      </c>
      <c r="BW42" s="97">
        <f t="shared" ca="1" si="88"/>
        <v>1.3799241468388452</v>
      </c>
      <c r="BX42" s="98">
        <f t="shared" ca="1" si="112"/>
        <v>0.68996207341942262</v>
      </c>
      <c r="BY42" s="77">
        <f t="shared" ca="1" si="90"/>
        <v>1322210.2589580619</v>
      </c>
      <c r="BZ42" s="77">
        <f t="shared" ca="1" si="91"/>
        <v>3.2371619145217845</v>
      </c>
      <c r="CA42" s="77">
        <f t="shared" ca="1" si="92"/>
        <v>8.8632402416352729</v>
      </c>
      <c r="CB42" s="77">
        <f t="shared" ca="1" si="93"/>
        <v>0</v>
      </c>
      <c r="CC42" s="77">
        <f t="shared" ca="1" si="94"/>
        <v>11.622315037886015</v>
      </c>
      <c r="CD42" s="54">
        <f t="shared" ca="1" si="95"/>
        <v>0.11739712159480822</v>
      </c>
      <c r="CE42" s="53">
        <f ca="1">OFFSET('National statistics'!$A$6,MATCH(R0_estimation!$A42,'National statistics'!$A$7:$A$5000,0),MATCH(R0_estimation!CE$16 &amp; "_Running14daysNew",'National statistics'!$B$1:$HA$1,0))</f>
        <v>536.5</v>
      </c>
      <c r="CF42" s="97">
        <f t="shared" ca="1" si="96"/>
        <v>2.4331242245373454</v>
      </c>
      <c r="CG42" s="98">
        <f t="shared" ca="1" si="113"/>
        <v>1.2165621122686727</v>
      </c>
      <c r="CH42" s="77">
        <f t="shared" ca="1" si="98"/>
        <v>7302403.3084555725</v>
      </c>
      <c r="CI42" s="77">
        <f t="shared" ca="1" si="99"/>
        <v>566.8635379205798</v>
      </c>
      <c r="CJ42" s="77">
        <f t="shared" ca="1" si="100"/>
        <v>1031.0538379586567</v>
      </c>
      <c r="CK42" s="77">
        <f t="shared" ca="1" si="101"/>
        <v>0</v>
      </c>
      <c r="CL42" s="77">
        <f t="shared" ca="1" si="102"/>
        <v>872.86166435977395</v>
      </c>
      <c r="CM42" s="54">
        <f t="shared" ca="1" si="103"/>
        <v>8.816784488482563</v>
      </c>
      <c r="CO42" s="209"/>
      <c r="CP42" s="210"/>
    </row>
    <row r="43" spans="1:94">
      <c r="A43" s="83">
        <v>43943</v>
      </c>
      <c r="B43" s="53">
        <f ca="1">OFFSET('National statistics'!$A$6,MATCH(R0_estimation!$A43,'National statistics'!$A$7:$A$5000,0),MATCH(R0_estimation!B$16 &amp; "_Running14daysNew",'National statistics'!$B$1:$HA$1,0))</f>
        <v>1850</v>
      </c>
      <c r="C43" s="97">
        <f t="shared" ca="1" si="24"/>
        <v>1.9211610393424374</v>
      </c>
      <c r="D43" s="98">
        <f t="shared" ca="1" si="104"/>
        <v>0.96058051967121871</v>
      </c>
      <c r="E43" s="77">
        <f t="shared" ca="1" si="26"/>
        <v>59709957.534234762</v>
      </c>
      <c r="F43" s="77">
        <f t="shared" ca="1" si="27"/>
        <v>1396.6543243148467</v>
      </c>
      <c r="G43" s="77">
        <f t="shared" ca="1" si="28"/>
        <v>3001.6881455376224</v>
      </c>
      <c r="H43" s="77">
        <f t="shared" ca="1" si="29"/>
        <v>0</v>
      </c>
      <c r="I43" s="77">
        <f t="shared" ca="1" si="30"/>
        <v>3139.9198775538275</v>
      </c>
      <c r="J43" s="54">
        <f t="shared" ca="1" si="31"/>
        <v>31.716362399533615</v>
      </c>
      <c r="K43" s="53">
        <f ca="1">OFFSET('National statistics'!$A$6,MATCH(R0_estimation!$A43,'National statistics'!$A$7:$A$5000,0),MATCH(R0_estimation!K$16 &amp; "_Running14daysNew",'National statistics'!$B$1:$HA$1,0))</f>
        <v>332</v>
      </c>
      <c r="L43" s="97">
        <f t="shared" ca="1" si="32"/>
        <v>2.7782873101034609</v>
      </c>
      <c r="M43" s="98">
        <f t="shared" ca="1" si="105"/>
        <v>1.3891436550517304</v>
      </c>
      <c r="N43" s="77">
        <f t="shared" ca="1" si="34"/>
        <v>6870517.9044329338</v>
      </c>
      <c r="O43" s="77">
        <f t="shared" ca="1" si="35"/>
        <v>63.221231593745401</v>
      </c>
      <c r="P43" s="77">
        <f t="shared" ca="1" si="36"/>
        <v>104.89417014320843</v>
      </c>
      <c r="Q43" s="77">
        <f t="shared" ca="1" si="37"/>
        <v>0</v>
      </c>
      <c r="R43" s="77">
        <f t="shared" ca="1" si="38"/>
        <v>77.381920420204096</v>
      </c>
      <c r="S43" s="54">
        <f t="shared" ca="1" si="39"/>
        <v>0.78163555980004118</v>
      </c>
      <c r="T43" s="53">
        <f ca="1">OFFSET('National statistics'!$A$6,MATCH(R0_estimation!$A43,'National statistics'!$A$7:$A$5000,0),MATCH(R0_estimation!T$16 &amp; "_Running14daysNew",'National statistics'!$B$1:$HA$1,0))</f>
        <v>18</v>
      </c>
      <c r="U43" s="97">
        <f t="shared" ca="1" si="40"/>
        <v>1.0062710569511544</v>
      </c>
      <c r="V43" s="98">
        <f t="shared" ca="1" si="106"/>
        <v>0.50313552847557719</v>
      </c>
      <c r="W43" s="77">
        <f t="shared" ca="1" si="42"/>
        <v>2808762.9118608325</v>
      </c>
      <c r="X43" s="77">
        <f t="shared" ca="1" si="43"/>
        <v>23.547250424948277</v>
      </c>
      <c r="Y43" s="77">
        <f t="shared" ca="1" si="44"/>
        <v>82.011909737820119</v>
      </c>
      <c r="Z43" s="77">
        <f t="shared" ca="1" si="45"/>
        <v>0</v>
      </c>
      <c r="AA43" s="77">
        <f t="shared" ca="1" si="46"/>
        <v>139.25174334483305</v>
      </c>
      <c r="AB43" s="54">
        <f t="shared" ca="1" si="47"/>
        <v>1.4065832661094249</v>
      </c>
      <c r="AC43" s="53">
        <f ca="1">OFFSET('National statistics'!$A$6,MATCH(R0_estimation!$A43,'National statistics'!$A$7:$A$5000,0),MATCH(R0_estimation!AC$16 &amp; "_Running14daysNew",'National statistics'!$B$1:$HA$1,0))</f>
        <v>442</v>
      </c>
      <c r="AD43" s="97">
        <f t="shared" ca="1" si="48"/>
        <v>1.1513150830584011</v>
      </c>
      <c r="AE43" s="98">
        <f t="shared" ca="1" si="107"/>
        <v>0.57565754152920057</v>
      </c>
      <c r="AF43" s="77">
        <f t="shared" ca="1" si="50"/>
        <v>15637090.741989955</v>
      </c>
      <c r="AG43" s="77">
        <f t="shared" ca="1" si="51"/>
        <v>261.71196015089794</v>
      </c>
      <c r="AH43" s="77">
        <f t="shared" ca="1" si="52"/>
        <v>821.6998249105053</v>
      </c>
      <c r="AI43" s="77">
        <f t="shared" ca="1" si="53"/>
        <v>0</v>
      </c>
      <c r="AJ43" s="77">
        <f t="shared" ca="1" si="54"/>
        <v>1249.3975962676491</v>
      </c>
      <c r="AK43" s="54">
        <f t="shared" ca="1" si="55"/>
        <v>12.620177740077262</v>
      </c>
      <c r="AL43" s="53">
        <f ca="1">OFFSET('National statistics'!$A$6,MATCH(R0_estimation!$A43,'National statistics'!$A$7:$A$5000,0),MATCH(R0_estimation!AL$16 &amp; "_Running14daysNew",'National statistics'!$B$1:$HA$1,0))</f>
        <v>404</v>
      </c>
      <c r="AM43" s="97">
        <f t="shared" ca="1" si="56"/>
        <v>1.4899002769655674</v>
      </c>
      <c r="AN43" s="98">
        <f t="shared" ca="1" si="108"/>
        <v>0.74495013848278369</v>
      </c>
      <c r="AO43" s="77">
        <f t="shared" ca="1" si="58"/>
        <v>10999669.290609138</v>
      </c>
      <c r="AP43" s="77">
        <f t="shared" ca="1" si="59"/>
        <v>124.970833502429</v>
      </c>
      <c r="AQ43" s="77">
        <f t="shared" ca="1" si="60"/>
        <v>323.21716614186209</v>
      </c>
      <c r="AR43" s="77">
        <f t="shared" ca="1" si="61"/>
        <v>0</v>
      </c>
      <c r="AS43" s="77">
        <f t="shared" ca="1" si="62"/>
        <v>407.80414467672102</v>
      </c>
      <c r="AT43" s="54">
        <f t="shared" ca="1" si="63"/>
        <v>4.1192337846133436</v>
      </c>
      <c r="AU43" s="53">
        <f ca="1">OFFSET('National statistics'!$A$6,MATCH(R0_estimation!$A43,'National statistics'!$A$7:$A$5000,0),MATCH(R0_estimation!AU$16 &amp; "_Running14daysNew",'National statistics'!$B$1:$HA$1,0))</f>
        <v>11</v>
      </c>
      <c r="AV43" s="97">
        <f t="shared" ca="1" si="64"/>
        <v>1.7150884819427765</v>
      </c>
      <c r="AW43" s="98">
        <f t="shared" ca="1" si="109"/>
        <v>0.85754424097138826</v>
      </c>
      <c r="AX43" s="77">
        <f t="shared" ca="1" si="66"/>
        <v>5853772.7956867116</v>
      </c>
      <c r="AY43" s="77">
        <f t="shared" ca="1" si="67"/>
        <v>10.908850303094697</v>
      </c>
      <c r="AZ43" s="77">
        <f t="shared" ca="1" si="68"/>
        <v>25.445442736714984</v>
      </c>
      <c r="BA43" s="77">
        <f t="shared" ca="1" si="69"/>
        <v>0</v>
      </c>
      <c r="BB43" s="77">
        <f t="shared" ca="1" si="70"/>
        <v>29.370505426412038</v>
      </c>
      <c r="BC43" s="54">
        <f t="shared" ca="1" si="71"/>
        <v>0.29667177198396</v>
      </c>
      <c r="BD43" s="53">
        <f ca="1">OFFSET('National statistics'!$A$6,MATCH(R0_estimation!$A43,'National statistics'!$A$7:$A$5000,0),MATCH(R0_estimation!BD$16 &amp; "_Running14daysNew",'National statistics'!$B$1:$HA$1,0))</f>
        <v>2</v>
      </c>
      <c r="BE43" s="97">
        <f t="shared" ca="1" si="72"/>
        <v>1.4435626881707697</v>
      </c>
      <c r="BF43" s="98">
        <f t="shared" ca="1" si="110"/>
        <v>0.72178134408538486</v>
      </c>
      <c r="BG43" s="77">
        <f t="shared" ca="1" si="74"/>
        <v>4809149.0239275591</v>
      </c>
      <c r="BH43" s="77">
        <f t="shared" ca="1" si="75"/>
        <v>6.8176240777364363</v>
      </c>
      <c r="BI43" s="77">
        <f t="shared" ca="1" si="76"/>
        <v>18.049929341775009</v>
      </c>
      <c r="BJ43" s="77">
        <f t="shared" ca="1" si="77"/>
        <v>0</v>
      </c>
      <c r="BK43" s="77">
        <f t="shared" ca="1" si="78"/>
        <v>23.507470186644802</v>
      </c>
      <c r="BL43" s="54">
        <f t="shared" ca="1" si="79"/>
        <v>0.23744919380449303</v>
      </c>
      <c r="BM43" s="53">
        <f ca="1">OFFSET('National statistics'!$A$6,MATCH(R0_estimation!$A43,'National statistics'!$A$7:$A$5000,0),MATCH(R0_estimation!BM$16 &amp; "_Running14daysNew",'National statistics'!$B$1:$HA$1,0))</f>
        <v>8</v>
      </c>
      <c r="BN43" s="97">
        <f t="shared" ca="1" si="80"/>
        <v>1.9865205416387972</v>
      </c>
      <c r="BO43" s="98">
        <f t="shared" ca="1" si="111"/>
        <v>0.99326027081939861</v>
      </c>
      <c r="BP43" s="77">
        <f t="shared" ca="1" si="82"/>
        <v>4107597.5477567716</v>
      </c>
      <c r="BQ43" s="77">
        <f t="shared" ca="1" si="83"/>
        <v>7.0857304319985523</v>
      </c>
      <c r="BR43" s="77">
        <f t="shared" ca="1" si="84"/>
        <v>14.867395766540165</v>
      </c>
      <c r="BS43" s="77">
        <f t="shared" ca="1" si="85"/>
        <v>0</v>
      </c>
      <c r="BT43" s="77">
        <f t="shared" ca="1" si="86"/>
        <v>15.512188299432376</v>
      </c>
      <c r="BU43" s="54">
        <f t="shared" ca="1" si="87"/>
        <v>0.15668877070133713</v>
      </c>
      <c r="BV43" s="53">
        <f ca="1">OFFSET('National statistics'!$A$6,MATCH(R0_estimation!$A43,'National statistics'!$A$7:$A$5000,0),MATCH(R0_estimation!BV$16 &amp; "_Running14daysNew",'National statistics'!$B$1:$HA$1,0))</f>
        <v>3</v>
      </c>
      <c r="BW43" s="97">
        <f t="shared" ca="1" si="88"/>
        <v>1.3799241468388452</v>
      </c>
      <c r="BX43" s="98">
        <f t="shared" ca="1" si="112"/>
        <v>0.68996207341942262</v>
      </c>
      <c r="BY43" s="77">
        <f t="shared" ca="1" si="90"/>
        <v>1322209.3853595052</v>
      </c>
      <c r="BZ43" s="77">
        <f t="shared" ca="1" si="91"/>
        <v>3.3014699926556412</v>
      </c>
      <c r="CA43" s="77">
        <f t="shared" ca="1" si="92"/>
        <v>9.039442131577486</v>
      </c>
      <c r="CB43" s="77">
        <f t="shared" ca="1" si="93"/>
        <v>0</v>
      </c>
      <c r="CC43" s="77">
        <f t="shared" ca="1" si="94"/>
        <v>12.249072740687366</v>
      </c>
      <c r="CD43" s="54">
        <f t="shared" ca="1" si="95"/>
        <v>0.12372800748169056</v>
      </c>
      <c r="CE43" s="53">
        <f ca="1">OFFSET('National statistics'!$A$6,MATCH(R0_estimation!$A43,'National statistics'!$A$7:$A$5000,0),MATCH(R0_estimation!CE$16 &amp; "_Running14daysNew",'National statistics'!$B$1:$HA$1,0))</f>
        <v>630</v>
      </c>
      <c r="CF43" s="97">
        <f t="shared" ca="1" si="96"/>
        <v>2.4331242245373454</v>
      </c>
      <c r="CG43" s="98">
        <f t="shared" ca="1" si="113"/>
        <v>1.2165621122686727</v>
      </c>
      <c r="CH43" s="77">
        <f t="shared" ca="1" si="98"/>
        <v>7302224.1774883782</v>
      </c>
      <c r="CI43" s="77">
        <f t="shared" ca="1" si="99"/>
        <v>604.27862063501709</v>
      </c>
      <c r="CJ43" s="77">
        <f t="shared" ca="1" si="100"/>
        <v>1099.123019727469</v>
      </c>
      <c r="CK43" s="77">
        <f t="shared" ca="1" si="101"/>
        <v>0</v>
      </c>
      <c r="CL43" s="77">
        <f t="shared" ca="1" si="102"/>
        <v>945.77190004399324</v>
      </c>
      <c r="CM43" s="54">
        <f t="shared" ca="1" si="103"/>
        <v>9.553251515595889</v>
      </c>
      <c r="CO43" s="209"/>
      <c r="CP43" s="210"/>
    </row>
    <row r="44" spans="1:94">
      <c r="A44" s="83">
        <v>43944</v>
      </c>
      <c r="B44" s="53">
        <f ca="1">OFFSET('National statistics'!$A$6,MATCH(R0_estimation!$A44,'National statistics'!$A$7:$A$5000,0),MATCH(R0_estimation!B$16 &amp; "_Running14daysNew",'National statistics'!$B$1:$HA$1,0))</f>
        <v>2054</v>
      </c>
      <c r="C44" s="97">
        <f t="shared" ca="1" si="24"/>
        <v>1.9211610393424374</v>
      </c>
      <c r="D44" s="98">
        <f t="shared" ca="1" si="104"/>
        <v>0.96058051967121871</v>
      </c>
      <c r="E44" s="77">
        <f t="shared" ca="1" si="26"/>
        <v>59709545.677208208</v>
      </c>
      <c r="F44" s="77">
        <f t="shared" ca="1" si="27"/>
        <v>1459.3477697887324</v>
      </c>
      <c r="G44" s="77">
        <f t="shared" ca="1" si="28"/>
        <v>3136.4454305065037</v>
      </c>
      <c r="H44" s="77">
        <f t="shared" ca="1" si="29"/>
        <v>0</v>
      </c>
      <c r="I44" s="77">
        <f t="shared" ca="1" si="30"/>
        <v>3352.1821107025594</v>
      </c>
      <c r="J44" s="54">
        <f t="shared" ca="1" si="31"/>
        <v>33.860425360631915</v>
      </c>
      <c r="K44" s="53">
        <f ca="1">OFFSET('National statistics'!$A$6,MATCH(R0_estimation!$A44,'National statistics'!$A$7:$A$5000,0),MATCH(R0_estimation!K$16 &amp; "_Running14daysNew",'National statistics'!$B$1:$HA$1,0))</f>
        <v>356</v>
      </c>
      <c r="L44" s="97">
        <f t="shared" ca="1" si="32"/>
        <v>2.7782873101034609</v>
      </c>
      <c r="M44" s="98">
        <f t="shared" ca="1" si="105"/>
        <v>1.3891436550517304</v>
      </c>
      <c r="N44" s="77">
        <f t="shared" ca="1" si="34"/>
        <v>6870497.0890237233</v>
      </c>
      <c r="O44" s="77">
        <f t="shared" ca="1" si="35"/>
        <v>68.231332905800741</v>
      </c>
      <c r="P44" s="77">
        <f t="shared" ca="1" si="36"/>
        <v>113.20703731712989</v>
      </c>
      <c r="Q44" s="77">
        <f t="shared" ca="1" si="37"/>
        <v>0</v>
      </c>
      <c r="R44" s="77">
        <f t="shared" ca="1" si="38"/>
        <v>84.79943673747384</v>
      </c>
      <c r="S44" s="54">
        <f t="shared" ca="1" si="39"/>
        <v>0.85655996704519</v>
      </c>
      <c r="T44" s="53">
        <f ca="1">OFFSET('National statistics'!$A$6,MATCH(R0_estimation!$A44,'National statistics'!$A$7:$A$5000,0),MATCH(R0_estimation!T$16 &amp; "_Running14daysNew",'National statistics'!$B$1:$HA$1,0))</f>
        <v>13</v>
      </c>
      <c r="U44" s="97">
        <f t="shared" ca="1" si="40"/>
        <v>1.0062710569511544</v>
      </c>
      <c r="V44" s="98">
        <f t="shared" ca="1" si="106"/>
        <v>0.50313552847557719</v>
      </c>
      <c r="W44" s="77">
        <f t="shared" ca="1" si="42"/>
        <v>2808757.0176452068</v>
      </c>
      <c r="X44" s="77">
        <f t="shared" ca="1" si="43"/>
        <v>23.554653444596848</v>
      </c>
      <c r="Y44" s="77">
        <f t="shared" ca="1" si="44"/>
        <v>82.040728791355747</v>
      </c>
      <c r="Z44" s="77">
        <f t="shared" ca="1" si="45"/>
        <v>0</v>
      </c>
      <c r="AA44" s="77">
        <f t="shared" ca="1" si="46"/>
        <v>145.05115696200747</v>
      </c>
      <c r="AB44" s="54">
        <f t="shared" ca="1" si="47"/>
        <v>1.4651632016364393</v>
      </c>
      <c r="AC44" s="53">
        <f ca="1">OFFSET('National statistics'!$A$6,MATCH(R0_estimation!$A44,'National statistics'!$A$7:$A$5000,0),MATCH(R0_estimation!AC$16 &amp; "_Running14daysNew",'National statistics'!$B$1:$HA$1,0))</f>
        <v>457</v>
      </c>
      <c r="AD44" s="97">
        <f t="shared" ca="1" si="48"/>
        <v>1.1513150830584011</v>
      </c>
      <c r="AE44" s="98">
        <f t="shared" ca="1" si="107"/>
        <v>0.57565754152920057</v>
      </c>
      <c r="AF44" s="77">
        <f t="shared" ca="1" si="50"/>
        <v>15637023.178112132</v>
      </c>
      <c r="AG44" s="77">
        <f t="shared" ca="1" si="51"/>
        <v>263.8478479368373</v>
      </c>
      <c r="AH44" s="77">
        <f t="shared" ca="1" si="52"/>
        <v>828.43497031176514</v>
      </c>
      <c r="AI44" s="77">
        <f t="shared" ca="1" si="53"/>
        <v>0</v>
      </c>
      <c r="AJ44" s="77">
        <f t="shared" ca="1" si="54"/>
        <v>1307.5035124577491</v>
      </c>
      <c r="AK44" s="54">
        <f t="shared" ca="1" si="55"/>
        <v>13.207106186441909</v>
      </c>
      <c r="AL44" s="53">
        <f ca="1">OFFSET('National statistics'!$A$6,MATCH(R0_estimation!$A44,'National statistics'!$A$7:$A$5000,0),MATCH(R0_estimation!AL$16 &amp; "_Running14daysNew",'National statistics'!$B$1:$HA$1,0))</f>
        <v>420</v>
      </c>
      <c r="AM44" s="97">
        <f t="shared" ca="1" si="56"/>
        <v>1.4899002769655674</v>
      </c>
      <c r="AN44" s="98">
        <f t="shared" ca="1" si="108"/>
        <v>0.74495013848278369</v>
      </c>
      <c r="AO44" s="77">
        <f t="shared" ca="1" si="58"/>
        <v>10999634.896046763</v>
      </c>
      <c r="AP44" s="77">
        <f t="shared" ca="1" si="59"/>
        <v>128.12268750251951</v>
      </c>
      <c r="AQ44" s="77">
        <f t="shared" ca="1" si="60"/>
        <v>331.3729340787649</v>
      </c>
      <c r="AR44" s="77">
        <f t="shared" ca="1" si="61"/>
        <v>0</v>
      </c>
      <c r="AS44" s="77">
        <f t="shared" ca="1" si="62"/>
        <v>430.6602157110384</v>
      </c>
      <c r="AT44" s="54">
        <f t="shared" ca="1" si="63"/>
        <v>4.3501031890003876</v>
      </c>
      <c r="AU44" s="53">
        <f ca="1">OFFSET('National statistics'!$A$6,MATCH(R0_estimation!$A44,'National statistics'!$A$7:$A$5000,0),MATCH(R0_estimation!AU$16 &amp; "_Running14daysNew",'National statistics'!$B$1:$HA$1,0))</f>
        <v>10</v>
      </c>
      <c r="AV44" s="97">
        <f t="shared" ca="1" si="64"/>
        <v>1.7150884819427765</v>
      </c>
      <c r="AW44" s="98">
        <f t="shared" ca="1" si="109"/>
        <v>0.85754424097138826</v>
      </c>
      <c r="AX44" s="77">
        <f t="shared" ca="1" si="66"/>
        <v>5853769.6784941563</v>
      </c>
      <c r="AY44" s="77">
        <f t="shared" ca="1" si="67"/>
        <v>11.298830282185293</v>
      </c>
      <c r="AZ44" s="77">
        <f t="shared" ca="1" si="68"/>
        <v>26.355123688437587</v>
      </c>
      <c r="BA44" s="77">
        <f t="shared" ca="1" si="69"/>
        <v>0</v>
      </c>
      <c r="BB44" s="77">
        <f t="shared" ca="1" si="70"/>
        <v>31.169861734222597</v>
      </c>
      <c r="BC44" s="54">
        <f t="shared" ca="1" si="71"/>
        <v>0.31484708822447072</v>
      </c>
      <c r="BD44" s="53">
        <f ca="1">OFFSET('National statistics'!$A$6,MATCH(R0_estimation!$A44,'National statistics'!$A$7:$A$5000,0),MATCH(R0_estimation!BD$16 &amp; "_Running14daysNew",'National statistics'!$B$1:$HA$1,0))</f>
        <v>3</v>
      </c>
      <c r="BE44" s="97">
        <f t="shared" ca="1" si="72"/>
        <v>1.4435626881707697</v>
      </c>
      <c r="BF44" s="98">
        <f t="shared" ca="1" si="110"/>
        <v>0.72178134408538486</v>
      </c>
      <c r="BG44" s="77">
        <f t="shared" ca="1" si="74"/>
        <v>4809147.1627888149</v>
      </c>
      <c r="BH44" s="77">
        <f t="shared" ca="1" si="75"/>
        <v>6.9743568030379501</v>
      </c>
      <c r="BI44" s="77">
        <f t="shared" ca="1" si="76"/>
        <v>18.465054693939475</v>
      </c>
      <c r="BJ44" s="77">
        <f t="shared" ca="1" si="77"/>
        <v>0</v>
      </c>
      <c r="BK44" s="77">
        <f t="shared" ca="1" si="78"/>
        <v>24.78385804724175</v>
      </c>
      <c r="BL44" s="54">
        <f t="shared" ca="1" si="79"/>
        <v>0.25034200047718946</v>
      </c>
      <c r="BM44" s="53">
        <f ca="1">OFFSET('National statistics'!$A$6,MATCH(R0_estimation!$A44,'National statistics'!$A$7:$A$5000,0),MATCH(R0_estimation!BM$16 &amp; "_Running14daysNew",'National statistics'!$B$1:$HA$1,0))</f>
        <v>10</v>
      </c>
      <c r="BN44" s="97">
        <f t="shared" ca="1" si="80"/>
        <v>1.9865205416387972</v>
      </c>
      <c r="BO44" s="98">
        <f t="shared" ca="1" si="111"/>
        <v>0.99326027081939861</v>
      </c>
      <c r="BP44" s="77">
        <f t="shared" ca="1" si="82"/>
        <v>4107595.4381769351</v>
      </c>
      <c r="BQ44" s="77">
        <f t="shared" ca="1" si="83"/>
        <v>7.4238776604855543</v>
      </c>
      <c r="BR44" s="77">
        <f t="shared" ca="1" si="84"/>
        <v>15.576871534072648</v>
      </c>
      <c r="BS44" s="77">
        <f t="shared" ca="1" si="85"/>
        <v>0</v>
      </c>
      <c r="BT44" s="77">
        <f t="shared" ca="1" si="86"/>
        <v>16.563525571494861</v>
      </c>
      <c r="BU44" s="54">
        <f t="shared" ca="1" si="87"/>
        <v>0.16730833910600867</v>
      </c>
      <c r="BV44" s="53">
        <f ca="1">OFFSET('National statistics'!$A$6,MATCH(R0_estimation!$A44,'National statistics'!$A$7:$A$5000,0),MATCH(R0_estimation!BV$16 &amp; "_Running14daysNew",'National statistics'!$B$1:$HA$1,0))</f>
        <v>1</v>
      </c>
      <c r="BW44" s="97">
        <f t="shared" ca="1" si="88"/>
        <v>1.3799241468388452</v>
      </c>
      <c r="BX44" s="98">
        <f t="shared" ca="1" si="112"/>
        <v>0.68996207341942262</v>
      </c>
      <c r="BY44" s="77">
        <f t="shared" ca="1" si="90"/>
        <v>1322208.494394327</v>
      </c>
      <c r="BZ44" s="77">
        <f t="shared" ca="1" si="91"/>
        <v>3.3670676725860336</v>
      </c>
      <c r="CA44" s="77">
        <f t="shared" ca="1" si="92"/>
        <v>9.219135191771576</v>
      </c>
      <c r="CB44" s="77">
        <f t="shared" ca="1" si="93"/>
        <v>0</v>
      </c>
      <c r="CC44" s="77">
        <f t="shared" ca="1" si="94"/>
        <v>12.888290434277488</v>
      </c>
      <c r="CD44" s="54">
        <f t="shared" ca="1" si="95"/>
        <v>0.13018475186138878</v>
      </c>
      <c r="CE44" s="53">
        <f ca="1">OFFSET('National statistics'!$A$6,MATCH(R0_estimation!$A44,'National statistics'!$A$7:$A$5000,0),MATCH(R0_estimation!CE$16 &amp; "_Running14daysNew",'National statistics'!$B$1:$HA$1,0))</f>
        <v>784</v>
      </c>
      <c r="CF44" s="97">
        <f t="shared" ca="1" si="96"/>
        <v>2.4331242245373454</v>
      </c>
      <c r="CG44" s="98">
        <f t="shared" ca="1" si="113"/>
        <v>1.2165621122686727</v>
      </c>
      <c r="CH44" s="77">
        <f t="shared" ca="1" si="98"/>
        <v>7302033.225132185</v>
      </c>
      <c r="CI44" s="77">
        <f t="shared" ca="1" si="99"/>
        <v>644.1613216695747</v>
      </c>
      <c r="CJ44" s="77">
        <f t="shared" ca="1" si="100"/>
        <v>1171.6838877628327</v>
      </c>
      <c r="CK44" s="77">
        <f t="shared" ca="1" si="101"/>
        <v>0</v>
      </c>
      <c r="CL44" s="77">
        <f t="shared" ca="1" si="102"/>
        <v>1023.49559929615</v>
      </c>
      <c r="CM44" s="54">
        <f t="shared" ca="1" si="103"/>
        <v>10.338339386829796</v>
      </c>
      <c r="CO44" s="209"/>
      <c r="CP44" s="210"/>
    </row>
    <row r="45" spans="1:94">
      <c r="A45" s="83">
        <v>43945</v>
      </c>
      <c r="B45" s="53">
        <f ca="1">OFFSET('National statistics'!$A$6,MATCH(R0_estimation!$A45,'National statistics'!$A$7:$A$5000,0),MATCH(R0_estimation!B$16 &amp; "_Running14daysNew",'National statistics'!$B$1:$HA$1,0))</f>
        <v>2254</v>
      </c>
      <c r="C45" s="97">
        <f t="shared" ca="1" si="24"/>
        <v>1.9211610393424374</v>
      </c>
      <c r="D45" s="98">
        <v>1</v>
      </c>
      <c r="E45" s="77">
        <f t="shared" ca="1" si="26"/>
        <v>59709115.33329419</v>
      </c>
      <c r="F45" s="77">
        <f t="shared" ca="1" si="27"/>
        <v>1524.8547413567353</v>
      </c>
      <c r="G45" s="77">
        <f t="shared" ca="1" si="28"/>
        <v>3277.2505564889366</v>
      </c>
      <c r="H45" s="77">
        <f t="shared" ca="1" si="29"/>
        <v>0</v>
      </c>
      <c r="I45" s="77">
        <f t="shared" ca="1" si="30"/>
        <v>3573.9736090026622</v>
      </c>
      <c r="J45" s="54">
        <f t="shared" ca="1" si="31"/>
        <v>36.10074352527942</v>
      </c>
      <c r="K45" s="53">
        <f ca="1">OFFSET('National statistics'!$A$6,MATCH(R0_estimation!$A45,'National statistics'!$A$7:$A$5000,0),MATCH(R0_estimation!K$16 &amp; "_Running14daysNew",'National statistics'!$B$1:$HA$1,0))</f>
        <v>412</v>
      </c>
      <c r="L45" s="97">
        <f t="shared" ca="1" si="32"/>
        <v>2.7782873101034609</v>
      </c>
      <c r="M45" s="98">
        <f t="shared" ca="1" si="105"/>
        <v>1.3891436550517304</v>
      </c>
      <c r="N45" s="77">
        <f t="shared" ca="1" si="34"/>
        <v>6870474.6240603179</v>
      </c>
      <c r="O45" s="77">
        <f t="shared" ca="1" si="35"/>
        <v>73.638463084581531</v>
      </c>
      <c r="P45" s="77">
        <f t="shared" ca="1" si="36"/>
        <v>122.1786535923565</v>
      </c>
      <c r="Q45" s="77">
        <f t="shared" ca="1" si="37"/>
        <v>0</v>
      </c>
      <c r="R45" s="77">
        <f t="shared" ca="1" si="38"/>
        <v>92.804791519185173</v>
      </c>
      <c r="S45" s="54">
        <f t="shared" ca="1" si="39"/>
        <v>0.93742213655742568</v>
      </c>
      <c r="T45" s="53">
        <f ca="1">OFFSET('National statistics'!$A$6,MATCH(R0_estimation!$A45,'National statistics'!$A$7:$A$5000,0),MATCH(R0_estimation!T$16 &amp; "_Running14daysNew",'National statistics'!$B$1:$HA$1,0))</f>
        <v>17</v>
      </c>
      <c r="U45" s="97">
        <f t="shared" ca="1" si="40"/>
        <v>1.0062710569511544</v>
      </c>
      <c r="V45" s="98">
        <f t="shared" ca="1" si="106"/>
        <v>0.50313552847557719</v>
      </c>
      <c r="W45" s="77">
        <f t="shared" ca="1" si="42"/>
        <v>2808751.1213705991</v>
      </c>
      <c r="X45" s="77">
        <f t="shared" ca="1" si="43"/>
        <v>23.562264691172849</v>
      </c>
      <c r="Y45" s="77">
        <f t="shared" ca="1" si="44"/>
        <v>82.069340095979555</v>
      </c>
      <c r="Z45" s="77">
        <f t="shared" ca="1" si="45"/>
        <v>0</v>
      </c>
      <c r="AA45" s="77">
        <f t="shared" ca="1" si="46"/>
        <v>150.85260849796762</v>
      </c>
      <c r="AB45" s="54">
        <f t="shared" ca="1" si="47"/>
        <v>1.5237637222016933</v>
      </c>
      <c r="AC45" s="53">
        <f ca="1">OFFSET('National statistics'!$A$6,MATCH(R0_estimation!$A45,'National statistics'!$A$7:$A$5000,0),MATCH(R0_estimation!AC$16 &amp; "_Running14daysNew",'National statistics'!$B$1:$HA$1,0))</f>
        <v>480</v>
      </c>
      <c r="AD45" s="97">
        <f t="shared" ca="1" si="48"/>
        <v>1.1513150830584011</v>
      </c>
      <c r="AE45" s="98">
        <f t="shared" ca="1" si="107"/>
        <v>0.57565754152920057</v>
      </c>
      <c r="AF45" s="77">
        <f t="shared" ca="1" si="50"/>
        <v>15636955.06073194</v>
      </c>
      <c r="AG45" s="77">
        <f t="shared" ca="1" si="51"/>
        <v>266.00326614523243</v>
      </c>
      <c r="AH45" s="77">
        <f t="shared" ca="1" si="52"/>
        <v>835.22300584513414</v>
      </c>
      <c r="AI45" s="77">
        <f t="shared" ca="1" si="53"/>
        <v>0</v>
      </c>
      <c r="AJ45" s="77">
        <f t="shared" ca="1" si="54"/>
        <v>1366.0856996440812</v>
      </c>
      <c r="AK45" s="54">
        <f t="shared" ca="1" si="55"/>
        <v>13.798845450950312</v>
      </c>
      <c r="AL45" s="53">
        <f ca="1">OFFSET('National statistics'!$A$6,MATCH(R0_estimation!$A45,'National statistics'!$A$7:$A$5000,0),MATCH(R0_estimation!AL$16 &amp; "_Running14daysNew",'National statistics'!$B$1:$HA$1,0))</f>
        <v>429</v>
      </c>
      <c r="AM45" s="97">
        <f t="shared" ca="1" si="56"/>
        <v>1.4899002769655674</v>
      </c>
      <c r="AN45" s="98">
        <f t="shared" ca="1" si="108"/>
        <v>0.74495013848278369</v>
      </c>
      <c r="AO45" s="77">
        <f t="shared" ca="1" si="58"/>
        <v>10999599.633712811</v>
      </c>
      <c r="AP45" s="77">
        <f t="shared" ca="1" si="59"/>
        <v>131.3543495794311</v>
      </c>
      <c r="AQ45" s="77">
        <f t="shared" ca="1" si="60"/>
        <v>339.73411066305442</v>
      </c>
      <c r="AR45" s="77">
        <f t="shared" ca="1" si="61"/>
        <v>0</v>
      </c>
      <c r="AS45" s="77">
        <f t="shared" ca="1" si="62"/>
        <v>454.09301604946535</v>
      </c>
      <c r="AT45" s="54">
        <f t="shared" ca="1" si="63"/>
        <v>4.5867981419137909</v>
      </c>
      <c r="AU45" s="53">
        <f ca="1">OFFSET('National statistics'!$A$6,MATCH(R0_estimation!$A45,'National statistics'!$A$7:$A$5000,0),MATCH(R0_estimation!AU$16 &amp; "_Running14daysNew",'National statistics'!$B$1:$HA$1,0))</f>
        <v>10</v>
      </c>
      <c r="AV45" s="97">
        <f t="shared" ca="1" si="64"/>
        <v>1.7150884819427765</v>
      </c>
      <c r="AW45" s="98">
        <f t="shared" ca="1" si="109"/>
        <v>0.85754424097138826</v>
      </c>
      <c r="AX45" s="77">
        <f t="shared" ca="1" si="66"/>
        <v>5853766.4498628965</v>
      </c>
      <c r="AY45" s="77">
        <f t="shared" ca="1" si="67"/>
        <v>11.702753971917156</v>
      </c>
      <c r="AZ45" s="77">
        <f t="shared" ca="1" si="68"/>
        <v>27.297322424095512</v>
      </c>
      <c r="BA45" s="77">
        <f t="shared" ca="1" si="69"/>
        <v>0</v>
      </c>
      <c r="BB45" s="77">
        <f t="shared" ca="1" si="70"/>
        <v>33.033545480762115</v>
      </c>
      <c r="BC45" s="54">
        <f t="shared" ca="1" si="71"/>
        <v>0.33367217657335468</v>
      </c>
      <c r="BD45" s="53">
        <f ca="1">OFFSET('National statistics'!$A$6,MATCH(R0_estimation!$A45,'National statistics'!$A$7:$A$5000,0),MATCH(R0_estimation!BD$16 &amp; "_Running14daysNew",'National statistics'!$B$1:$HA$1,0))</f>
        <v>4</v>
      </c>
      <c r="BE45" s="97">
        <f t="shared" ca="1" si="72"/>
        <v>1.4435626881707697</v>
      </c>
      <c r="BF45" s="98">
        <f t="shared" ca="1" si="110"/>
        <v>0.72178134408538486</v>
      </c>
      <c r="BG45" s="77">
        <f t="shared" ca="1" si="74"/>
        <v>4809145.2588469842</v>
      </c>
      <c r="BH45" s="77">
        <f t="shared" ca="1" si="75"/>
        <v>7.1347094325385552</v>
      </c>
      <c r="BI45" s="77">
        <f t="shared" ca="1" si="76"/>
        <v>18.889711416560427</v>
      </c>
      <c r="BJ45" s="77">
        <f t="shared" ca="1" si="77"/>
        <v>0</v>
      </c>
      <c r="BK45" s="77">
        <f t="shared" ca="1" si="78"/>
        <v>26.089601200598899</v>
      </c>
      <c r="BL45" s="54">
        <f t="shared" ca="1" si="79"/>
        <v>0.26353132525857481</v>
      </c>
      <c r="BM45" s="53">
        <f ca="1">OFFSET('National statistics'!$A$6,MATCH(R0_estimation!$A45,'National statistics'!$A$7:$A$5000,0),MATCH(R0_estimation!BM$16 &amp; "_Running14daysNew",'National statistics'!$B$1:$HA$1,0))</f>
        <v>7</v>
      </c>
      <c r="BN45" s="97">
        <f t="shared" ca="1" si="80"/>
        <v>1.9865205416387972</v>
      </c>
      <c r="BO45" s="98">
        <f t="shared" ca="1" si="111"/>
        <v>0.99326027081939861</v>
      </c>
      <c r="BP45" s="77">
        <f t="shared" ca="1" si="82"/>
        <v>4107593.2279285616</v>
      </c>
      <c r="BQ45" s="77">
        <f t="shared" ca="1" si="83"/>
        <v>7.778156618933294</v>
      </c>
      <c r="BR45" s="77">
        <f t="shared" ca="1" si="84"/>
        <v>16.320207268188849</v>
      </c>
      <c r="BS45" s="77">
        <f t="shared" ca="1" si="85"/>
        <v>0</v>
      </c>
      <c r="BT45" s="77">
        <f t="shared" ca="1" si="86"/>
        <v>17.665032915689999</v>
      </c>
      <c r="BU45" s="54">
        <f t="shared" ca="1" si="87"/>
        <v>0.17843467591606058</v>
      </c>
      <c r="BV45" s="53">
        <f ca="1">OFFSET('National statistics'!$A$6,MATCH(R0_estimation!$A45,'National statistics'!$A$7:$A$5000,0),MATCH(R0_estimation!BV$16 &amp; "_Running14daysNew",'National statistics'!$B$1:$HA$1,0))</f>
        <v>1</v>
      </c>
      <c r="BW45" s="97">
        <f t="shared" ca="1" si="88"/>
        <v>1.3799241468388452</v>
      </c>
      <c r="BX45" s="98">
        <f t="shared" ca="1" si="112"/>
        <v>0.68996207341942262</v>
      </c>
      <c r="BY45" s="77">
        <f t="shared" ca="1" si="90"/>
        <v>1322207.5857184581</v>
      </c>
      <c r="BZ45" s="77">
        <f t="shared" ca="1" si="91"/>
        <v>3.4339766233305968</v>
      </c>
      <c r="CA45" s="77">
        <f t="shared" ca="1" si="92"/>
        <v>9.402392453362971</v>
      </c>
      <c r="CB45" s="77">
        <f t="shared" ca="1" si="93"/>
        <v>0</v>
      </c>
      <c r="CC45" s="77">
        <f t="shared" ca="1" si="94"/>
        <v>13.54021499426705</v>
      </c>
      <c r="CD45" s="54">
        <f t="shared" ca="1" si="95"/>
        <v>0.1367698484269399</v>
      </c>
      <c r="CE45" s="53">
        <f ca="1">OFFSET('National statistics'!$A$6,MATCH(R0_estimation!$A45,'National statistics'!$A$7:$A$5000,0),MATCH(R0_estimation!CE$16 &amp; "_Running14daysNew",'National statistics'!$B$1:$HA$1,0))</f>
        <v>894</v>
      </c>
      <c r="CF45" s="97">
        <f t="shared" ca="1" si="96"/>
        <v>2.4331242245373454</v>
      </c>
      <c r="CG45" s="98">
        <f t="shared" ca="1" si="113"/>
        <v>1.2165621122686727</v>
      </c>
      <c r="CH45" s="77">
        <f t="shared" ca="1" si="98"/>
        <v>7301829.6719643911</v>
      </c>
      <c r="CI45" s="77">
        <f t="shared" ca="1" si="99"/>
        <v>686.67415904622214</v>
      </c>
      <c r="CJ45" s="77">
        <f t="shared" ca="1" si="100"/>
        <v>1249.0325119114527</v>
      </c>
      <c r="CK45" s="77">
        <f t="shared" ca="1" si="101"/>
        <v>0</v>
      </c>
      <c r="CL45" s="77">
        <f t="shared" ca="1" si="102"/>
        <v>1106.350388502236</v>
      </c>
      <c r="CM45" s="54">
        <f t="shared" ca="1" si="103"/>
        <v>11.175256449517533</v>
      </c>
      <c r="CO45" s="209"/>
      <c r="CP45" s="210"/>
    </row>
    <row r="46" spans="1:94">
      <c r="A46" s="83">
        <v>43946</v>
      </c>
      <c r="B46" s="53">
        <f ca="1">OFFSET('National statistics'!$A$6,MATCH(R0_estimation!$A46,'National statistics'!$A$7:$A$5000,0),MATCH(R0_estimation!B$16 &amp; "_Running14daysNew",'National statistics'!$B$1:$HA$1,0))</f>
        <v>2341</v>
      </c>
      <c r="C46" s="97">
        <f t="shared" ca="1" si="24"/>
        <v>1.9211610393424374</v>
      </c>
      <c r="D46" s="98">
        <f t="shared" ref="D46:D77" si="114">D45</f>
        <v>1</v>
      </c>
      <c r="E46" s="77">
        <f t="shared" ca="1" si="26"/>
        <v>59708665.673081353</v>
      </c>
      <c r="F46" s="77">
        <f t="shared" ca="1" si="27"/>
        <v>1593.3012688551566</v>
      </c>
      <c r="G46" s="77">
        <f t="shared" ca="1" si="28"/>
        <v>3424.3749163646253</v>
      </c>
      <c r="H46" s="77">
        <f t="shared" ca="1" si="29"/>
        <v>0</v>
      </c>
      <c r="I46" s="77">
        <f t="shared" ca="1" si="30"/>
        <v>3805.7220412115225</v>
      </c>
      <c r="J46" s="54">
        <f t="shared" ca="1" si="31"/>
        <v>38.441636779914376</v>
      </c>
      <c r="K46" s="53">
        <f ca="1">OFFSET('National statistics'!$A$6,MATCH(R0_estimation!$A46,'National statistics'!$A$7:$A$5000,0),MATCH(R0_estimation!K$16 &amp; "_Running14daysNew",'National statistics'!$B$1:$HA$1,0))</f>
        <v>412</v>
      </c>
      <c r="L46" s="97">
        <f t="shared" ca="1" si="32"/>
        <v>2.7782873101034609</v>
      </c>
      <c r="M46" s="98">
        <f t="shared" ca="1" si="105"/>
        <v>1.3891436550517304</v>
      </c>
      <c r="N46" s="77">
        <f t="shared" ca="1" si="34"/>
        <v>6870450.3788357759</v>
      </c>
      <c r="O46" s="77">
        <f t="shared" ca="1" si="35"/>
        <v>79.474071855388942</v>
      </c>
      <c r="P46" s="77">
        <f t="shared" ca="1" si="36"/>
        <v>131.86122267833355</v>
      </c>
      <c r="Q46" s="77">
        <f t="shared" ca="1" si="37"/>
        <v>0</v>
      </c>
      <c r="R46" s="77">
        <f t="shared" ca="1" si="38"/>
        <v>101.44456773750181</v>
      </c>
      <c r="S46" s="54">
        <f t="shared" ca="1" si="39"/>
        <v>1.0246926034091088</v>
      </c>
      <c r="T46" s="53">
        <f ca="1">OFFSET('National statistics'!$A$6,MATCH(R0_estimation!$A46,'National statistics'!$A$7:$A$5000,0),MATCH(R0_estimation!T$16 &amp; "_Running14daysNew",'National statistics'!$B$1:$HA$1,0))</f>
        <v>17</v>
      </c>
      <c r="U46" s="97">
        <f t="shared" ca="1" si="40"/>
        <v>1.0062710569511544</v>
      </c>
      <c r="V46" s="98">
        <f t="shared" ca="1" si="106"/>
        <v>0.50313552847557719</v>
      </c>
      <c r="W46" s="77">
        <f t="shared" ca="1" si="42"/>
        <v>2808745.2230519536</v>
      </c>
      <c r="X46" s="77">
        <f t="shared" ca="1" si="43"/>
        <v>23.570017164154613</v>
      </c>
      <c r="Y46" s="77">
        <f t="shared" ca="1" si="44"/>
        <v>82.097810547631369</v>
      </c>
      <c r="Z46" s="77">
        <f t="shared" ca="1" si="45"/>
        <v>0</v>
      </c>
      <c r="AA46" s="77">
        <f t="shared" ca="1" si="46"/>
        <v>156.65608326189761</v>
      </c>
      <c r="AB46" s="54">
        <f t="shared" ca="1" si="47"/>
        <v>1.5823846794131073</v>
      </c>
      <c r="AC46" s="53">
        <f ca="1">OFFSET('National statistics'!$A$6,MATCH(R0_estimation!$A46,'National statistics'!$A$7:$A$5000,0),MATCH(R0_estimation!AC$16 &amp; "_Running14daysNew",'National statistics'!$B$1:$HA$1,0))</f>
        <v>491</v>
      </c>
      <c r="AD46" s="97">
        <f t="shared" ca="1" si="48"/>
        <v>1.1513150830584011</v>
      </c>
      <c r="AE46" s="98">
        <f t="shared" ca="1" si="107"/>
        <v>0.57565754152920057</v>
      </c>
      <c r="AF46" s="77">
        <f t="shared" ca="1" si="50"/>
        <v>15636886.385507703</v>
      </c>
      <c r="AG46" s="77">
        <f t="shared" ca="1" si="51"/>
        <v>268.1776738453683</v>
      </c>
      <c r="AH46" s="77">
        <f t="shared" ca="1" si="52"/>
        <v>842.06503624964694</v>
      </c>
      <c r="AI46" s="77">
        <f t="shared" ca="1" si="53"/>
        <v>0</v>
      </c>
      <c r="AJ46" s="77">
        <f t="shared" ca="1" si="54"/>
        <v>1425.1478979145586</v>
      </c>
      <c r="AK46" s="54">
        <f t="shared" ca="1" si="55"/>
        <v>14.395433312268265</v>
      </c>
      <c r="AL46" s="53">
        <f ca="1">OFFSET('National statistics'!$A$6,MATCH(R0_estimation!$A46,'National statistics'!$A$7:$A$5000,0),MATCH(R0_estimation!AL$16 &amp; "_Running14daysNew",'National statistics'!$B$1:$HA$1,0))</f>
        <v>429</v>
      </c>
      <c r="AM46" s="97">
        <f t="shared" ca="1" si="56"/>
        <v>1.4899002769655674</v>
      </c>
      <c r="AN46" s="98">
        <f t="shared" ca="1" si="108"/>
        <v>0.74495013848278369</v>
      </c>
      <c r="AO46" s="77">
        <f t="shared" ca="1" si="58"/>
        <v>10999563.481757456</v>
      </c>
      <c r="AP46" s="77">
        <f t="shared" ca="1" si="59"/>
        <v>134.66771753893107</v>
      </c>
      <c r="AQ46" s="77">
        <f t="shared" ca="1" si="60"/>
        <v>348.30597586769403</v>
      </c>
      <c r="AR46" s="77">
        <f t="shared" ca="1" si="61"/>
        <v>0</v>
      </c>
      <c r="AS46" s="77">
        <f t="shared" ca="1" si="62"/>
        <v>478.11707101778131</v>
      </c>
      <c r="AT46" s="54">
        <f t="shared" ca="1" si="63"/>
        <v>4.8294653638159728</v>
      </c>
      <c r="AU46" s="53">
        <f ca="1">OFFSET('National statistics'!$A$6,MATCH(R0_estimation!$A46,'National statistics'!$A$7:$A$5000,0),MATCH(R0_estimation!AU$16 &amp; "_Running14daysNew",'National statistics'!$B$1:$HA$1,0))</f>
        <v>12</v>
      </c>
      <c r="AV46" s="97">
        <f t="shared" ca="1" si="64"/>
        <v>1.7150884819427765</v>
      </c>
      <c r="AW46" s="98">
        <f t="shared" ca="1" si="109"/>
        <v>0.85754424097138826</v>
      </c>
      <c r="AX46" s="77">
        <f t="shared" ca="1" si="66"/>
        <v>5853763.1058095265</v>
      </c>
      <c r="AY46" s="77">
        <f t="shared" ca="1" si="67"/>
        <v>12.121118848450134</v>
      </c>
      <c r="AZ46" s="77">
        <f t="shared" ca="1" si="68"/>
        <v>28.27320217249655</v>
      </c>
      <c r="BA46" s="77">
        <f t="shared" ca="1" si="69"/>
        <v>0</v>
      </c>
      <c r="BB46" s="77">
        <f t="shared" ca="1" si="70"/>
        <v>34.963856137894581</v>
      </c>
      <c r="BC46" s="54">
        <f t="shared" ca="1" si="71"/>
        <v>0.3531702640191372</v>
      </c>
      <c r="BD46" s="53">
        <f ca="1">OFFSET('National statistics'!$A$6,MATCH(R0_estimation!$A46,'National statistics'!$A$7:$A$5000,0),MATCH(R0_estimation!BD$16 &amp; "_Running14daysNew",'National statistics'!$B$1:$HA$1,0))</f>
        <v>3</v>
      </c>
      <c r="BE46" s="97">
        <f t="shared" ca="1" si="72"/>
        <v>1.4435626881707697</v>
      </c>
      <c r="BF46" s="98">
        <f t="shared" ca="1" si="110"/>
        <v>0.72178134408538486</v>
      </c>
      <c r="BG46" s="77">
        <f t="shared" ca="1" si="74"/>
        <v>4809143.3111193338</v>
      </c>
      <c r="BH46" s="77">
        <f t="shared" ca="1" si="75"/>
        <v>7.2987597244854339</v>
      </c>
      <c r="BI46" s="77">
        <f t="shared" ca="1" si="76"/>
        <v>19.32412367351218</v>
      </c>
      <c r="BJ46" s="77">
        <f t="shared" ca="1" si="77"/>
        <v>0</v>
      </c>
      <c r="BK46" s="77">
        <f t="shared" ca="1" si="78"/>
        <v>27.425373650769959</v>
      </c>
      <c r="BL46" s="54">
        <f t="shared" ca="1" si="79"/>
        <v>0.2770239762704037</v>
      </c>
      <c r="BM46" s="53">
        <f ca="1">OFFSET('National statistics'!$A$6,MATCH(R0_estimation!$A46,'National statistics'!$A$7:$A$5000,0),MATCH(R0_estimation!BM$16 &amp; "_Running14daysNew",'National statistics'!$B$1:$HA$1,0))</f>
        <v>9</v>
      </c>
      <c r="BN46" s="97">
        <f t="shared" ca="1" si="80"/>
        <v>1.9865205416387972</v>
      </c>
      <c r="BO46" s="98">
        <f t="shared" ca="1" si="111"/>
        <v>0.99326027081939861</v>
      </c>
      <c r="BP46" s="77">
        <f t="shared" ca="1" si="82"/>
        <v>4107590.9122073222</v>
      </c>
      <c r="BQ46" s="77">
        <f t="shared" ca="1" si="83"/>
        <v>8.1493387038513294</v>
      </c>
      <c r="BR46" s="77">
        <f t="shared" ca="1" si="84"/>
        <v>17.099017332337255</v>
      </c>
      <c r="BS46" s="77">
        <f t="shared" ca="1" si="85"/>
        <v>0</v>
      </c>
      <c r="BT46" s="77">
        <f t="shared" ca="1" si="86"/>
        <v>18.819104715369068</v>
      </c>
      <c r="BU46" s="54">
        <f t="shared" ca="1" si="87"/>
        <v>0.19009196682190976</v>
      </c>
      <c r="BV46" s="53">
        <f ca="1">OFFSET('National statistics'!$A$6,MATCH(R0_estimation!$A46,'National statistics'!$A$7:$A$5000,0),MATCH(R0_estimation!BV$16 &amp; "_Running14daysNew",'National statistics'!$B$1:$HA$1,0))</f>
        <v>0</v>
      </c>
      <c r="BW46" s="97">
        <f t="shared" ca="1" si="88"/>
        <v>1.3799241468388452</v>
      </c>
      <c r="BX46" s="98">
        <f t="shared" ca="1" si="112"/>
        <v>0.68996207341942262</v>
      </c>
      <c r="BY46" s="77">
        <f t="shared" ca="1" si="90"/>
        <v>1322206.6589806322</v>
      </c>
      <c r="BZ46" s="77">
        <f t="shared" ca="1" si="91"/>
        <v>3.5022202932747861</v>
      </c>
      <c r="CA46" s="77">
        <f t="shared" ca="1" si="92"/>
        <v>9.5892871482411213</v>
      </c>
      <c r="CB46" s="77">
        <f t="shared" ca="1" si="93"/>
        <v>0</v>
      </c>
      <c r="CC46" s="77">
        <f t="shared" ca="1" si="94"/>
        <v>14.205098460612003</v>
      </c>
      <c r="CD46" s="54">
        <f t="shared" ca="1" si="95"/>
        <v>0.14348584303648487</v>
      </c>
      <c r="CE46" s="53">
        <f ca="1">OFFSET('National statistics'!$A$6,MATCH(R0_estimation!$A46,'National statistics'!$A$7:$A$5000,0),MATCH(R0_estimation!CE$16 &amp; "_Running14daysNew",'National statistics'!$B$1:$HA$1,0))</f>
        <v>968</v>
      </c>
      <c r="CF46" s="97">
        <f t="shared" ca="1" si="96"/>
        <v>2.4331242245373454</v>
      </c>
      <c r="CG46" s="98">
        <f t="shared" ca="1" si="113"/>
        <v>1.2165621122686727</v>
      </c>
      <c r="CH46" s="77">
        <f t="shared" ca="1" si="98"/>
        <v>7301612.6872734847</v>
      </c>
      <c r="CI46" s="77">
        <f t="shared" ca="1" si="99"/>
        <v>731.99031019090785</v>
      </c>
      <c r="CJ46" s="77">
        <f t="shared" ca="1" si="100"/>
        <v>1331.4844436793333</v>
      </c>
      <c r="CK46" s="77">
        <f t="shared" ca="1" si="101"/>
        <v>0</v>
      </c>
      <c r="CL46" s="77">
        <f t="shared" ca="1" si="102"/>
        <v>1194.6748304159744</v>
      </c>
      <c r="CM46" s="54">
        <f t="shared" ca="1" si="103"/>
        <v>12.067422529454285</v>
      </c>
      <c r="CO46" s="209"/>
      <c r="CP46" s="210"/>
    </row>
    <row r="47" spans="1:94">
      <c r="A47" s="83">
        <v>43947</v>
      </c>
      <c r="B47" s="53">
        <f ca="1">OFFSET('National statistics'!$A$6,MATCH(R0_estimation!$A47,'National statistics'!$A$7:$A$5000,0),MATCH(R0_estimation!B$16 &amp; "_Running14daysNew",'National statistics'!$B$1:$HA$1,0))</f>
        <v>2341</v>
      </c>
      <c r="C47" s="97">
        <f t="shared" ca="1" si="24"/>
        <v>1.9211610393424374</v>
      </c>
      <c r="D47" s="98">
        <f t="shared" si="114"/>
        <v>1</v>
      </c>
      <c r="E47" s="77">
        <f t="shared" ca="1" si="26"/>
        <v>59708195.82996393</v>
      </c>
      <c r="F47" s="77">
        <f t="shared" ca="1" si="27"/>
        <v>1664.8190690684205</v>
      </c>
      <c r="G47" s="77">
        <f t="shared" ca="1" si="28"/>
        <v>3578.1020252666558</v>
      </c>
      <c r="H47" s="77">
        <f t="shared" ca="1" si="29"/>
        <v>0</v>
      </c>
      <c r="I47" s="77">
        <f t="shared" ca="1" si="30"/>
        <v>4047.8742674401637</v>
      </c>
      <c r="J47" s="54">
        <f t="shared" ca="1" si="31"/>
        <v>40.887618863031967</v>
      </c>
      <c r="K47" s="53">
        <f ca="1">OFFSET('National statistics'!$A$6,MATCH(R0_estimation!$A47,'National statistics'!$A$7:$A$5000,0),MATCH(R0_estimation!K$16 &amp; "_Running14daysNew",'National statistics'!$B$1:$HA$1,0))</f>
        <v>394</v>
      </c>
      <c r="L47" s="97">
        <f t="shared" ca="1" si="32"/>
        <v>2.7782873101034609</v>
      </c>
      <c r="M47" s="98">
        <f t="shared" ca="1" si="105"/>
        <v>1.3891436550517304</v>
      </c>
      <c r="N47" s="77">
        <f t="shared" ca="1" si="34"/>
        <v>6870424.2122868989</v>
      </c>
      <c r="O47" s="77">
        <f t="shared" ca="1" si="35"/>
        <v>85.772102768178456</v>
      </c>
      <c r="P47" s="77">
        <f t="shared" ca="1" si="36"/>
        <v>142.31108187944267</v>
      </c>
      <c r="Q47" s="77">
        <f t="shared" ca="1" si="37"/>
        <v>0</v>
      </c>
      <c r="R47" s="77">
        <f t="shared" ca="1" si="38"/>
        <v>110.76903991261254</v>
      </c>
      <c r="S47" s="54">
        <f t="shared" ca="1" si="39"/>
        <v>1.1188791910364899</v>
      </c>
      <c r="T47" s="53">
        <f ca="1">OFFSET('National statistics'!$A$6,MATCH(R0_estimation!$A47,'National statistics'!$A$7:$A$5000,0),MATCH(R0_estimation!T$16 &amp; "_Running14daysNew",'National statistics'!$B$1:$HA$1,0))</f>
        <v>15</v>
      </c>
      <c r="U47" s="97">
        <f t="shared" ca="1" si="40"/>
        <v>1.0062710569511544</v>
      </c>
      <c r="V47" s="98">
        <f t="shared" ca="1" si="106"/>
        <v>0.50313552847557719</v>
      </c>
      <c r="W47" s="77">
        <f t="shared" ca="1" si="42"/>
        <v>2808739.3226994057</v>
      </c>
      <c r="X47" s="77">
        <f t="shared" ca="1" si="43"/>
        <v>23.57786542106787</v>
      </c>
      <c r="Y47" s="77">
        <f t="shared" ca="1" si="44"/>
        <v>82.126185513839204</v>
      </c>
      <c r="Z47" s="77">
        <f t="shared" ca="1" si="45"/>
        <v>0</v>
      </c>
      <c r="AA47" s="77">
        <f t="shared" ca="1" si="46"/>
        <v>162.46157129348012</v>
      </c>
      <c r="AB47" s="54">
        <f t="shared" ca="1" si="47"/>
        <v>1.6410259726614154</v>
      </c>
      <c r="AC47" s="53">
        <f ca="1">OFFSET('National statistics'!$A$6,MATCH(R0_estimation!$A47,'National statistics'!$A$7:$A$5000,0),MATCH(R0_estimation!AC$16 &amp; "_Running14daysNew",'National statistics'!$B$1:$HA$1,0))</f>
        <v>466</v>
      </c>
      <c r="AD47" s="97">
        <f t="shared" ca="1" si="48"/>
        <v>1.1513150830584011</v>
      </c>
      <c r="AE47" s="98">
        <f t="shared" ca="1" si="107"/>
        <v>0.57565754152920057</v>
      </c>
      <c r="AF47" s="77">
        <f t="shared" ca="1" si="50"/>
        <v>15636817.148007046</v>
      </c>
      <c r="AG47" s="77">
        <f t="shared" ca="1" si="51"/>
        <v>270.37075604052256</v>
      </c>
      <c r="AH47" s="77">
        <f t="shared" ca="1" si="52"/>
        <v>848.96195212172847</v>
      </c>
      <c r="AI47" s="77">
        <f t="shared" ca="1" si="53"/>
        <v>0</v>
      </c>
      <c r="AJ47" s="77">
        <f t="shared" ca="1" si="54"/>
        <v>1484.6939254779265</v>
      </c>
      <c r="AK47" s="54">
        <f t="shared" ca="1" si="55"/>
        <v>14.996908338160869</v>
      </c>
      <c r="AL47" s="53">
        <f ca="1">OFFSET('National statistics'!$A$6,MATCH(R0_estimation!$A47,'National statistics'!$A$7:$A$5000,0),MATCH(R0_estimation!AL$16 &amp; "_Running14daysNew",'National statistics'!$B$1:$HA$1,0))</f>
        <v>420</v>
      </c>
      <c r="AM47" s="97">
        <f t="shared" ca="1" si="56"/>
        <v>1.4899002769655674</v>
      </c>
      <c r="AN47" s="98">
        <f t="shared" ca="1" si="108"/>
        <v>0.74495013848278369</v>
      </c>
      <c r="AO47" s="77">
        <f t="shared" ca="1" si="58"/>
        <v>10999526.417769514</v>
      </c>
      <c r="AP47" s="77">
        <f t="shared" ca="1" si="59"/>
        <v>138.0647760975242</v>
      </c>
      <c r="AQ47" s="77">
        <f t="shared" ca="1" si="60"/>
        <v>357.09390697616294</v>
      </c>
      <c r="AR47" s="77">
        <f t="shared" ca="1" si="61"/>
        <v>0</v>
      </c>
      <c r="AS47" s="77">
        <f t="shared" ca="1" si="62"/>
        <v>502.74727931128251</v>
      </c>
      <c r="AT47" s="54">
        <f t="shared" ca="1" si="63"/>
        <v>5.0782553465786116</v>
      </c>
      <c r="AU47" s="53">
        <f ca="1">OFFSET('National statistics'!$A$6,MATCH(R0_estimation!$A47,'National statistics'!$A$7:$A$5000,0),MATCH(R0_estimation!AU$16 &amp; "_Running14daysNew",'National statistics'!$B$1:$HA$1,0))</f>
        <v>13</v>
      </c>
      <c r="AV47" s="97">
        <f t="shared" ca="1" si="64"/>
        <v>1.7150884819427765</v>
      </c>
      <c r="AW47" s="98">
        <f t="shared" ca="1" si="109"/>
        <v>0.85754424097138826</v>
      </c>
      <c r="AX47" s="77">
        <f t="shared" ca="1" si="66"/>
        <v>5853759.642208158</v>
      </c>
      <c r="AY47" s="77">
        <f t="shared" ca="1" si="67"/>
        <v>12.554440504500707</v>
      </c>
      <c r="AZ47" s="77">
        <f t="shared" ca="1" si="68"/>
        <v>29.283967443716474</v>
      </c>
      <c r="BA47" s="77">
        <f t="shared" ca="1" si="69"/>
        <v>0</v>
      </c>
      <c r="BB47" s="77">
        <f t="shared" ca="1" si="70"/>
        <v>36.963175434378265</v>
      </c>
      <c r="BC47" s="54">
        <f t="shared" ca="1" si="71"/>
        <v>0.37336540842806332</v>
      </c>
      <c r="BD47" s="53">
        <f ca="1">OFFSET('National statistics'!$A$6,MATCH(R0_estimation!$A47,'National statistics'!$A$7:$A$5000,0),MATCH(R0_estimation!BD$16 &amp; "_Running14daysNew",'National statistics'!$B$1:$HA$1,0))</f>
        <v>2</v>
      </c>
      <c r="BE47" s="97">
        <f t="shared" ca="1" si="72"/>
        <v>1.4435626881707697</v>
      </c>
      <c r="BF47" s="98">
        <f t="shared" ca="1" si="110"/>
        <v>0.72178134408538486</v>
      </c>
      <c r="BG47" s="77">
        <f t="shared" ca="1" si="74"/>
        <v>4809141.3186000185</v>
      </c>
      <c r="BH47" s="77">
        <f t="shared" ca="1" si="75"/>
        <v>7.4665891084800116</v>
      </c>
      <c r="BI47" s="77">
        <f t="shared" ca="1" si="76"/>
        <v>19.768519056525527</v>
      </c>
      <c r="BJ47" s="77">
        <f t="shared" ca="1" si="77"/>
        <v>0</v>
      </c>
      <c r="BK47" s="77">
        <f t="shared" ca="1" si="78"/>
        <v>28.791865253396892</v>
      </c>
      <c r="BL47" s="54">
        <f t="shared" ca="1" si="79"/>
        <v>0.29082692175148384</v>
      </c>
      <c r="BM47" s="53">
        <f ca="1">OFFSET('National statistics'!$A$6,MATCH(R0_estimation!$A47,'National statistics'!$A$7:$A$5000,0),MATCH(R0_estimation!BM$16 &amp; "_Running14daysNew",'National statistics'!$B$1:$HA$1,0))</f>
        <v>9</v>
      </c>
      <c r="BN47" s="97">
        <f t="shared" ca="1" si="80"/>
        <v>1.9865205416387972</v>
      </c>
      <c r="BO47" s="98">
        <f t="shared" ca="1" si="111"/>
        <v>0.99326027081939861</v>
      </c>
      <c r="BP47" s="77">
        <f t="shared" ca="1" si="82"/>
        <v>4107588.4859798392</v>
      </c>
      <c r="BQ47" s="77">
        <f t="shared" ca="1" si="83"/>
        <v>8.5382315109194966</v>
      </c>
      <c r="BR47" s="77">
        <f t="shared" ca="1" si="84"/>
        <v>17.914993627418855</v>
      </c>
      <c r="BS47" s="77">
        <f t="shared" ca="1" si="85"/>
        <v>0</v>
      </c>
      <c r="BT47" s="77">
        <f t="shared" ca="1" si="86"/>
        <v>20.028249512441487</v>
      </c>
      <c r="BU47" s="54">
        <f t="shared" ca="1" si="87"/>
        <v>0.20230555063072209</v>
      </c>
      <c r="BV47" s="53">
        <f ca="1">OFFSET('National statistics'!$A$6,MATCH(R0_estimation!$A47,'National statistics'!$A$7:$A$5000,0),MATCH(R0_estimation!BV$16 &amp; "_Running14daysNew",'National statistics'!$B$1:$HA$1,0))</f>
        <v>1</v>
      </c>
      <c r="BW47" s="97">
        <f t="shared" ca="1" si="88"/>
        <v>1.3799241468388452</v>
      </c>
      <c r="BX47" s="98">
        <f t="shared" ca="1" si="112"/>
        <v>0.68996207341942262</v>
      </c>
      <c r="BY47" s="77">
        <f t="shared" ca="1" si="90"/>
        <v>1322205.7138223671</v>
      </c>
      <c r="BZ47" s="77">
        <f t="shared" ca="1" si="91"/>
        <v>3.5718234850449742</v>
      </c>
      <c r="CA47" s="77">
        <f t="shared" ca="1" si="92"/>
        <v>9.7798931395425956</v>
      </c>
      <c r="CB47" s="77">
        <f t="shared" ca="1" si="93"/>
        <v>0</v>
      </c>
      <c r="CC47" s="77">
        <f t="shared" ca="1" si="94"/>
        <v>14.883198051809053</v>
      </c>
      <c r="CD47" s="54">
        <f t="shared" ca="1" si="95"/>
        <v>0.15033533385665709</v>
      </c>
      <c r="CE47" s="53">
        <f ca="1">OFFSET('National statistics'!$A$6,MATCH(R0_estimation!$A47,'National statistics'!$A$7:$A$5000,0),MATCH(R0_estimation!CE$16 &amp; "_Running14daysNew",'National statistics'!$B$1:$HA$1,0))</f>
        <v>1021</v>
      </c>
      <c r="CF47" s="97">
        <f t="shared" ca="1" si="96"/>
        <v>2.4331242245373454</v>
      </c>
      <c r="CG47" s="98">
        <f t="shared" ca="1" si="113"/>
        <v>1.2165621122686727</v>
      </c>
      <c r="CH47" s="77">
        <f t="shared" ca="1" si="98"/>
        <v>7301381.3856960256</v>
      </c>
      <c r="CI47" s="77">
        <f t="shared" ca="1" si="99"/>
        <v>780.2943101018468</v>
      </c>
      <c r="CJ47" s="77">
        <f t="shared" ca="1" si="100"/>
        <v>1419.3759895356793</v>
      </c>
      <c r="CK47" s="77">
        <f t="shared" ca="1" si="101"/>
        <v>0</v>
      </c>
      <c r="CL47" s="77">
        <f t="shared" ca="1" si="102"/>
        <v>1288.8298017904415</v>
      </c>
      <c r="CM47" s="54">
        <f t="shared" ca="1" si="103"/>
        <v>13.018482846368094</v>
      </c>
      <c r="CO47" s="209"/>
      <c r="CP47" s="210"/>
    </row>
    <row r="48" spans="1:94">
      <c r="A48" s="83">
        <v>43948</v>
      </c>
      <c r="B48" s="53">
        <f ca="1">OFFSET('National statistics'!$A$6,MATCH(R0_estimation!$A48,'National statistics'!$A$7:$A$5000,0),MATCH(R0_estimation!B$16 &amp; "_Running14daysNew",'National statistics'!$B$1:$HA$1,0))</f>
        <v>2543</v>
      </c>
      <c r="C48" s="97">
        <f t="shared" ca="1" si="24"/>
        <v>1.9211610393424374</v>
      </c>
      <c r="D48" s="98">
        <f t="shared" si="114"/>
        <v>1</v>
      </c>
      <c r="E48" s="77">
        <f t="shared" ca="1" si="26"/>
        <v>59707704.898482673</v>
      </c>
      <c r="F48" s="77">
        <f t="shared" ca="1" si="27"/>
        <v>1739.5457830558348</v>
      </c>
      <c r="G48" s="77">
        <f t="shared" ca="1" si="28"/>
        <v>3738.7280764432853</v>
      </c>
      <c r="H48" s="77">
        <f t="shared" ca="1" si="29"/>
        <v>0</v>
      </c>
      <c r="I48" s="77">
        <f t="shared" ca="1" si="30"/>
        <v>4300.897196369734</v>
      </c>
      <c r="J48" s="54">
        <f t="shared" ca="1" si="31"/>
        <v>43.443406023936724</v>
      </c>
      <c r="K48" s="53">
        <f ca="1">OFFSET('National statistics'!$A$6,MATCH(R0_estimation!$A48,'National statistics'!$A$7:$A$5000,0),MATCH(R0_estimation!K$16 &amp; "_Running14daysNew",'National statistics'!$B$1:$HA$1,0))</f>
        <v>484</v>
      </c>
      <c r="L48" s="97">
        <f t="shared" ca="1" si="32"/>
        <v>2.7782873101034609</v>
      </c>
      <c r="M48" s="98">
        <f t="shared" ca="1" si="105"/>
        <v>1.3891436550517304</v>
      </c>
      <c r="N48" s="77">
        <f t="shared" ca="1" si="34"/>
        <v>6870395.9721745076</v>
      </c>
      <c r="O48" s="77">
        <f t="shared" ca="1" si="35"/>
        <v>92.569189467057129</v>
      </c>
      <c r="P48" s="77">
        <f t="shared" ca="1" si="36"/>
        <v>153.58903029438423</v>
      </c>
      <c r="Q48" s="77">
        <f t="shared" ca="1" si="37"/>
        <v>0</v>
      </c>
      <c r="R48" s="77">
        <f t="shared" ca="1" si="38"/>
        <v>120.83246641694456</v>
      </c>
      <c r="S48" s="54">
        <f t="shared" ca="1" si="39"/>
        <v>1.2205299638075204</v>
      </c>
      <c r="T48" s="53">
        <f ca="1">OFFSET('National statistics'!$A$6,MATCH(R0_estimation!$A48,'National statistics'!$A$7:$A$5000,0),MATCH(R0_estimation!T$16 &amp; "_Running14daysNew",'National statistics'!$B$1:$HA$1,0))</f>
        <v>15</v>
      </c>
      <c r="U48" s="97">
        <f t="shared" ca="1" si="40"/>
        <v>1.0062710569511544</v>
      </c>
      <c r="V48" s="98">
        <f t="shared" ca="1" si="106"/>
        <v>0.50313552847557719</v>
      </c>
      <c r="W48" s="77">
        <f t="shared" ca="1" si="42"/>
        <v>2808733.420319831</v>
      </c>
      <c r="X48" s="77">
        <f t="shared" ca="1" si="43"/>
        <v>23.585778640684719</v>
      </c>
      <c r="Y48" s="77">
        <f t="shared" ca="1" si="44"/>
        <v>82.154495760974797</v>
      </c>
      <c r="Z48" s="77">
        <f t="shared" ca="1" si="45"/>
        <v>0</v>
      </c>
      <c r="AA48" s="77">
        <f t="shared" ca="1" si="46"/>
        <v>168.26906584053017</v>
      </c>
      <c r="AB48" s="54">
        <f t="shared" ca="1" si="47"/>
        <v>1.6996875337427291</v>
      </c>
      <c r="AC48" s="53">
        <f ca="1">OFFSET('National statistics'!$A$6,MATCH(R0_estimation!$A48,'National statistics'!$A$7:$A$5000,0),MATCH(R0_estimation!AC$16 &amp; "_Running14daysNew",'National statistics'!$B$1:$HA$1,0))</f>
        <v>463</v>
      </c>
      <c r="AD48" s="97">
        <f t="shared" ca="1" si="48"/>
        <v>1.1513150830584011</v>
      </c>
      <c r="AE48" s="98">
        <f t="shared" ca="1" si="107"/>
        <v>0.57565754152920057</v>
      </c>
      <c r="AF48" s="77">
        <f t="shared" ca="1" si="50"/>
        <v>15636747.343724504</v>
      </c>
      <c r="AG48" s="77">
        <f t="shared" ca="1" si="51"/>
        <v>272.58234957346275</v>
      </c>
      <c r="AH48" s="77">
        <f t="shared" ca="1" si="52"/>
        <v>855.9145016945929</v>
      </c>
      <c r="AI48" s="77">
        <f t="shared" ca="1" si="53"/>
        <v>0</v>
      </c>
      <c r="AJ48" s="77">
        <f t="shared" ca="1" si="54"/>
        <v>1544.7276635208202</v>
      </c>
      <c r="AK48" s="54">
        <f t="shared" ca="1" si="55"/>
        <v>15.603309732533532</v>
      </c>
      <c r="AL48" s="53">
        <f ca="1">OFFSET('National statistics'!$A$6,MATCH(R0_estimation!$A48,'National statistics'!$A$7:$A$5000,0),MATCH(R0_estimation!AL$16 &amp; "_Running14daysNew",'National statistics'!$B$1:$HA$1,0))</f>
        <v>437</v>
      </c>
      <c r="AM48" s="97">
        <f t="shared" ca="1" si="56"/>
        <v>1.4899002769655674</v>
      </c>
      <c r="AN48" s="98">
        <f t="shared" ca="1" si="108"/>
        <v>0.74495013848278369</v>
      </c>
      <c r="AO48" s="77">
        <f t="shared" ca="1" si="58"/>
        <v>10999488.418766104</v>
      </c>
      <c r="AP48" s="77">
        <f t="shared" ca="1" si="59"/>
        <v>141.54758548266261</v>
      </c>
      <c r="AQ48" s="77">
        <f t="shared" ca="1" si="60"/>
        <v>366.10339335938949</v>
      </c>
      <c r="AR48" s="77">
        <f t="shared" ca="1" si="61"/>
        <v>0</v>
      </c>
      <c r="AS48" s="77">
        <f t="shared" ca="1" si="62"/>
        <v>527.99891987602541</v>
      </c>
      <c r="AT48" s="54">
        <f t="shared" ca="1" si="63"/>
        <v>5.3333224229901566</v>
      </c>
      <c r="AU48" s="53">
        <f ca="1">OFFSET('National statistics'!$A$6,MATCH(R0_estimation!$A48,'National statistics'!$A$7:$A$5000,0),MATCH(R0_estimation!AU$16 &amp; "_Running14daysNew",'National statistics'!$B$1:$HA$1,0))</f>
        <v>13</v>
      </c>
      <c r="AV48" s="97">
        <f t="shared" ca="1" si="64"/>
        <v>1.7150884819427765</v>
      </c>
      <c r="AW48" s="98">
        <f t="shared" ca="1" si="109"/>
        <v>0.85754424097138826</v>
      </c>
      <c r="AX48" s="77">
        <f t="shared" ca="1" si="66"/>
        <v>5853756.0547853606</v>
      </c>
      <c r="AY48" s="77">
        <f t="shared" ca="1" si="67"/>
        <v>13.003253176142621</v>
      </c>
      <c r="AZ48" s="77">
        <f t="shared" ca="1" si="68"/>
        <v>30.330865609576186</v>
      </c>
      <c r="BA48" s="77">
        <f t="shared" ca="1" si="69"/>
        <v>0</v>
      </c>
      <c r="BB48" s="77">
        <f t="shared" ca="1" si="70"/>
        <v>39.033970275041071</v>
      </c>
      <c r="BC48" s="54">
        <f t="shared" ca="1" si="71"/>
        <v>0.39428252803071795</v>
      </c>
      <c r="BD48" s="53">
        <f ca="1">OFFSET('National statistics'!$A$6,MATCH(R0_estimation!$A48,'National statistics'!$A$7:$A$5000,0),MATCH(R0_estimation!BD$16 &amp; "_Running14daysNew",'National statistics'!$B$1:$HA$1,0))</f>
        <v>4</v>
      </c>
      <c r="BE48" s="97">
        <f t="shared" ca="1" si="72"/>
        <v>1.4435626881707697</v>
      </c>
      <c r="BF48" s="98">
        <f t="shared" ca="1" si="110"/>
        <v>0.72178134408538486</v>
      </c>
      <c r="BG48" s="77">
        <f t="shared" ca="1" si="74"/>
        <v>4809139.2802597294</v>
      </c>
      <c r="BH48" s="77">
        <f t="shared" ca="1" si="75"/>
        <v>7.6382821209500831</v>
      </c>
      <c r="BI48" s="77">
        <f t="shared" ca="1" si="76"/>
        <v>20.223129258179419</v>
      </c>
      <c r="BJ48" s="77">
        <f t="shared" ca="1" si="77"/>
        <v>0</v>
      </c>
      <c r="BK48" s="77">
        <f t="shared" ca="1" si="78"/>
        <v>30.189781958108341</v>
      </c>
      <c r="BL48" s="54">
        <f t="shared" ca="1" si="79"/>
        <v>0.30494729250614494</v>
      </c>
      <c r="BM48" s="53">
        <f ca="1">OFFSET('National statistics'!$A$6,MATCH(R0_estimation!$A48,'National statistics'!$A$7:$A$5000,0),MATCH(R0_estimation!BM$16 &amp; "_Running14daysNew",'National statistics'!$B$1:$HA$1,0))</f>
        <v>6</v>
      </c>
      <c r="BN48" s="97">
        <f t="shared" ca="1" si="80"/>
        <v>1.9865205416387972</v>
      </c>
      <c r="BO48" s="98">
        <f t="shared" ca="1" si="111"/>
        <v>0.99326027081939861</v>
      </c>
      <c r="BP48" s="77">
        <f t="shared" ca="1" si="82"/>
        <v>4107585.9439726872</v>
      </c>
      <c r="BQ48" s="77">
        <f t="shared" ca="1" si="83"/>
        <v>8.9456807852771707</v>
      </c>
      <c r="BR48" s="77">
        <f t="shared" ca="1" si="84"/>
        <v>18.769909103190241</v>
      </c>
      <c r="BS48" s="77">
        <f t="shared" ca="1" si="85"/>
        <v>0</v>
      </c>
      <c r="BT48" s="77">
        <f t="shared" ca="1" si="86"/>
        <v>21.29509549038039</v>
      </c>
      <c r="BU48" s="54">
        <f t="shared" ca="1" si="87"/>
        <v>0.21510197465030698</v>
      </c>
      <c r="BV48" s="53">
        <f ca="1">OFFSET('National statistics'!$A$6,MATCH(R0_estimation!$A48,'National statistics'!$A$7:$A$5000,0),MATCH(R0_estimation!BV$16 &amp; "_Running14daysNew",'National statistics'!$B$1:$HA$1,0))</f>
        <v>1</v>
      </c>
      <c r="BW48" s="97">
        <f t="shared" ca="1" si="88"/>
        <v>1.3799241468388452</v>
      </c>
      <c r="BX48" s="98">
        <f t="shared" ca="1" si="112"/>
        <v>0.68996207341942262</v>
      </c>
      <c r="BY48" s="77">
        <f t="shared" ca="1" si="90"/>
        <v>1322204.7498779017</v>
      </c>
      <c r="BZ48" s="77">
        <f t="shared" ca="1" si="91"/>
        <v>3.6428120790928658</v>
      </c>
      <c r="CA48" s="77">
        <f t="shared" ca="1" si="92"/>
        <v>9.9742852151222259</v>
      </c>
      <c r="CB48" s="77">
        <f t="shared" ca="1" si="93"/>
        <v>0</v>
      </c>
      <c r="CC48" s="77">
        <f t="shared" ca="1" si="94"/>
        <v>15.574776209533852</v>
      </c>
      <c r="CD48" s="54">
        <f t="shared" ca="1" si="95"/>
        <v>0.15732097181347324</v>
      </c>
      <c r="CE48" s="53">
        <f ca="1">OFFSET('National statistics'!$A$6,MATCH(R0_estimation!$A48,'National statistics'!$A$7:$A$5000,0),MATCH(R0_estimation!CE$16 &amp; "_Running14daysNew",'National statistics'!$B$1:$HA$1,0))</f>
        <v>1120</v>
      </c>
      <c r="CF48" s="97">
        <f t="shared" ca="1" si="96"/>
        <v>2.4331242245373454</v>
      </c>
      <c r="CG48" s="98">
        <f t="shared" ca="1" si="113"/>
        <v>1.2165621122686727</v>
      </c>
      <c r="CH48" s="77">
        <f t="shared" ca="1" si="98"/>
        <v>7301134.8236354422</v>
      </c>
      <c r="CI48" s="77">
        <f t="shared" ca="1" si="99"/>
        <v>831.78279316006945</v>
      </c>
      <c r="CJ48" s="77">
        <f t="shared" ca="1" si="100"/>
        <v>1513.0655678085923</v>
      </c>
      <c r="CK48" s="77">
        <f t="shared" ca="1" si="101"/>
        <v>0</v>
      </c>
      <c r="CL48" s="77">
        <f t="shared" ca="1" si="102"/>
        <v>1389.1999610504645</v>
      </c>
      <c r="CM48" s="54">
        <f t="shared" ca="1" si="103"/>
        <v>14.032322838893579</v>
      </c>
      <c r="CO48" s="209"/>
      <c r="CP48" s="210"/>
    </row>
    <row r="49" spans="1:94">
      <c r="A49" s="83">
        <v>43949</v>
      </c>
      <c r="B49" s="53">
        <f ca="1">OFFSET('National statistics'!$A$6,MATCH(R0_estimation!$A49,'National statistics'!$A$7:$A$5000,0),MATCH(R0_estimation!B$16 &amp; "_Running14daysNew",'National statistics'!$B$1:$HA$1,0))</f>
        <v>2606</v>
      </c>
      <c r="C49" s="97">
        <f t="shared" ca="1" si="24"/>
        <v>1.9211610393424374</v>
      </c>
      <c r="D49" s="98">
        <f t="shared" si="114"/>
        <v>1</v>
      </c>
      <c r="E49" s="77">
        <f t="shared" ca="1" si="26"/>
        <v>59707191.932589948</v>
      </c>
      <c r="F49" s="77">
        <f t="shared" ca="1" si="27"/>
        <v>1817.625230017482</v>
      </c>
      <c r="G49" s="77">
        <f t="shared" ca="1" si="28"/>
        <v>3906.5625167470089</v>
      </c>
      <c r="H49" s="77">
        <f t="shared" ca="1" si="29"/>
        <v>0</v>
      </c>
      <c r="I49" s="77">
        <f t="shared" ca="1" si="30"/>
        <v>4565.2786817753667</v>
      </c>
      <c r="J49" s="54">
        <f t="shared" ca="1" si="31"/>
        <v>46.113926078539073</v>
      </c>
      <c r="K49" s="53">
        <f ca="1">OFFSET('National statistics'!$A$6,MATCH(R0_estimation!$A49,'National statistics'!$A$7:$A$5000,0),MATCH(R0_estimation!K$16 &amp; "_Running14daysNew",'National statistics'!$B$1:$HA$1,0))</f>
        <v>442</v>
      </c>
      <c r="L49" s="97">
        <f t="shared" ca="1" si="32"/>
        <v>2.7782873101034609</v>
      </c>
      <c r="M49" s="98">
        <f t="shared" ca="1" si="105"/>
        <v>1.3891436550517304</v>
      </c>
      <c r="N49" s="77">
        <f t="shared" ca="1" si="34"/>
        <v>6870365.4941986809</v>
      </c>
      <c r="O49" s="77">
        <f t="shared" ca="1" si="35"/>
        <v>99.904867927142305</v>
      </c>
      <c r="P49" s="77">
        <f t="shared" ca="1" si="36"/>
        <v>165.76068264012105</v>
      </c>
      <c r="Q49" s="77">
        <f t="shared" ca="1" si="37"/>
        <v>0</v>
      </c>
      <c r="R49" s="77">
        <f t="shared" ca="1" si="38"/>
        <v>131.69340498776174</v>
      </c>
      <c r="S49" s="54">
        <f t="shared" ca="1" si="39"/>
        <v>1.3302364140177949</v>
      </c>
      <c r="T49" s="53">
        <f ca="1">OFFSET('National statistics'!$A$6,MATCH(R0_estimation!$A49,'National statistics'!$A$7:$A$5000,0),MATCH(R0_estimation!T$16 &amp; "_Running14daysNew",'National statistics'!$B$1:$HA$1,0))</f>
        <v>15</v>
      </c>
      <c r="U49" s="97">
        <f t="shared" ca="1" si="40"/>
        <v>1.0062710569511544</v>
      </c>
      <c r="V49" s="98">
        <f t="shared" ca="1" si="106"/>
        <v>0.50313552847557719</v>
      </c>
      <c r="W49" s="77">
        <f t="shared" ca="1" si="42"/>
        <v>2808727.515917893</v>
      </c>
      <c r="X49" s="77">
        <f t="shared" ca="1" si="43"/>
        <v>23.593735918300506</v>
      </c>
      <c r="Y49" s="77">
        <f t="shared" ca="1" si="44"/>
        <v>82.182762152504921</v>
      </c>
      <c r="Z49" s="77">
        <f t="shared" ca="1" si="45"/>
        <v>0</v>
      </c>
      <c r="AA49" s="77">
        <f t="shared" ca="1" si="46"/>
        <v>174.07856232648481</v>
      </c>
      <c r="AB49" s="54">
        <f t="shared" ca="1" si="47"/>
        <v>1.7583693164291396</v>
      </c>
      <c r="AC49" s="53">
        <f ca="1">OFFSET('National statistics'!$A$6,MATCH(R0_estimation!$A49,'National statistics'!$A$7:$A$5000,0),MATCH(R0_estimation!AC$16 &amp; "_Running14daysNew",'National statistics'!$B$1:$HA$1,0))</f>
        <v>468</v>
      </c>
      <c r="AD49" s="97">
        <f t="shared" ca="1" si="48"/>
        <v>1.1513150830584011</v>
      </c>
      <c r="AE49" s="98">
        <f t="shared" ca="1" si="107"/>
        <v>0.57565754152920057</v>
      </c>
      <c r="AF49" s="77">
        <f t="shared" ca="1" si="50"/>
        <v>15636676.968093226</v>
      </c>
      <c r="AG49" s="77">
        <f t="shared" ca="1" si="51"/>
        <v>274.81239345787452</v>
      </c>
      <c r="AH49" s="77">
        <f t="shared" ca="1" si="52"/>
        <v>862.92333896691616</v>
      </c>
      <c r="AI49" s="77">
        <f t="shared" ca="1" si="53"/>
        <v>0</v>
      </c>
      <c r="AJ49" s="77">
        <f t="shared" ca="1" si="54"/>
        <v>1605.253046140652</v>
      </c>
      <c r="AK49" s="54">
        <f t="shared" ca="1" si="55"/>
        <v>16.214677233743956</v>
      </c>
      <c r="AL49" s="53">
        <f ca="1">OFFSET('National statistics'!$A$6,MATCH(R0_estimation!$A49,'National statistics'!$A$7:$A$5000,0),MATCH(R0_estimation!AL$16 &amp; "_Running14daysNew",'National statistics'!$B$1:$HA$1,0))</f>
        <v>430</v>
      </c>
      <c r="AM49" s="97">
        <f t="shared" ca="1" si="56"/>
        <v>1.4899002769655674</v>
      </c>
      <c r="AN49" s="98">
        <f t="shared" ca="1" si="108"/>
        <v>0.74495013848278369</v>
      </c>
      <c r="AO49" s="77">
        <f t="shared" ca="1" si="58"/>
        <v>10999449.461180761</v>
      </c>
      <c r="AP49" s="77">
        <f t="shared" ca="1" si="59"/>
        <v>145.11827445397597</v>
      </c>
      <c r="AQ49" s="77">
        <f t="shared" ca="1" si="60"/>
        <v>375.34004734724158</v>
      </c>
      <c r="AR49" s="77">
        <f t="shared" ca="1" si="61"/>
        <v>0</v>
      </c>
      <c r="AS49" s="77">
        <f t="shared" ca="1" si="62"/>
        <v>553.88765983501082</v>
      </c>
      <c r="AT49" s="54">
        <f t="shared" ca="1" si="63"/>
        <v>5.594824846818292</v>
      </c>
      <c r="AU49" s="53">
        <f ca="1">OFFSET('National statistics'!$A$6,MATCH(R0_estimation!$A49,'National statistics'!$A$7:$A$5000,0),MATCH(R0_estimation!AU$16 &amp; "_Running14daysNew",'National statistics'!$B$1:$HA$1,0))</f>
        <v>12</v>
      </c>
      <c r="AV49" s="97">
        <f t="shared" ca="1" si="64"/>
        <v>1.7150884819427765</v>
      </c>
      <c r="AW49" s="98">
        <f t="shared" ca="1" si="109"/>
        <v>0.85754424097138826</v>
      </c>
      <c r="AX49" s="77">
        <f t="shared" ca="1" si="66"/>
        <v>5853752.3391149109</v>
      </c>
      <c r="AY49" s="77">
        <f t="shared" ca="1" si="67"/>
        <v>13.468110331432154</v>
      </c>
      <c r="AZ49" s="77">
        <f t="shared" ca="1" si="68"/>
        <v>31.415188502927833</v>
      </c>
      <c r="BA49" s="77">
        <f t="shared" ca="1" si="69"/>
        <v>0</v>
      </c>
      <c r="BB49" s="77">
        <f t="shared" ca="1" si="70"/>
        <v>41.178795771718242</v>
      </c>
      <c r="BC49" s="54">
        <f t="shared" ca="1" si="71"/>
        <v>0.41594743203755807</v>
      </c>
      <c r="BD49" s="53">
        <f ca="1">OFFSET('National statistics'!$A$6,MATCH(R0_estimation!$A49,'National statistics'!$A$7:$A$5000,0),MATCH(R0_estimation!BD$16 &amp; "_Running14daysNew",'National statistics'!$B$1:$HA$1,0))</f>
        <v>4</v>
      </c>
      <c r="BE49" s="97">
        <f t="shared" ca="1" si="72"/>
        <v>1.4435626881707697</v>
      </c>
      <c r="BF49" s="98">
        <f t="shared" ca="1" si="110"/>
        <v>0.72178134408538486</v>
      </c>
      <c r="BG49" s="77">
        <f t="shared" ca="1" si="74"/>
        <v>4809137.1950452691</v>
      </c>
      <c r="BH49" s="77">
        <f t="shared" ca="1" si="75"/>
        <v>7.8139260511401512</v>
      </c>
      <c r="BI49" s="77">
        <f t="shared" ca="1" si="76"/>
        <v>20.68819055568984</v>
      </c>
      <c r="BJ49" s="77">
        <f t="shared" ca="1" si="77"/>
        <v>0</v>
      </c>
      <c r="BK49" s="77">
        <f t="shared" ca="1" si="78"/>
        <v>31.619846098508173</v>
      </c>
      <c r="BL49" s="54">
        <f t="shared" ca="1" si="79"/>
        <v>0.31939238483341598</v>
      </c>
      <c r="BM49" s="53">
        <f ca="1">OFFSET('National statistics'!$A$6,MATCH(R0_estimation!$A49,'National statistics'!$A$7:$A$5000,0),MATCH(R0_estimation!BM$16 &amp; "_Running14daysNew",'National statistics'!$B$1:$HA$1,0))</f>
        <v>7</v>
      </c>
      <c r="BN49" s="97">
        <f t="shared" ca="1" si="80"/>
        <v>1.9865205416387972</v>
      </c>
      <c r="BO49" s="98">
        <f t="shared" ca="1" si="111"/>
        <v>0.99326027081939861</v>
      </c>
      <c r="BP49" s="77">
        <f t="shared" ca="1" si="82"/>
        <v>4107583.2806608938</v>
      </c>
      <c r="BQ49" s="77">
        <f t="shared" ca="1" si="83"/>
        <v>9.3725723822880731</v>
      </c>
      <c r="BR49" s="77">
        <f t="shared" ca="1" si="84"/>
        <v>19.665621506424518</v>
      </c>
      <c r="BS49" s="77">
        <f t="shared" ca="1" si="85"/>
        <v>0</v>
      </c>
      <c r="BT49" s="77">
        <f t="shared" ca="1" si="86"/>
        <v>22.622396205534557</v>
      </c>
      <c r="BU49" s="54">
        <f t="shared" ca="1" si="87"/>
        <v>0.22850905258115714</v>
      </c>
      <c r="BV49" s="53">
        <f ca="1">OFFSET('National statistics'!$A$6,MATCH(R0_estimation!$A49,'National statistics'!$A$7:$A$5000,0),MATCH(R0_estimation!BV$16 &amp; "_Running14daysNew",'National statistics'!$B$1:$HA$1,0))</f>
        <v>1</v>
      </c>
      <c r="BW49" s="97">
        <f t="shared" ca="1" si="88"/>
        <v>1.3799241468388452</v>
      </c>
      <c r="BX49" s="98">
        <f t="shared" ca="1" si="112"/>
        <v>0.68996207341942262</v>
      </c>
      <c r="BY49" s="77">
        <f t="shared" ca="1" si="90"/>
        <v>1322203.7667741058</v>
      </c>
      <c r="BZ49" s="77">
        <f t="shared" ca="1" si="91"/>
        <v>3.7152128553067145</v>
      </c>
      <c r="CA49" s="77">
        <f t="shared" ca="1" si="92"/>
        <v>10.17253929095814</v>
      </c>
      <c r="CB49" s="77">
        <f t="shared" ca="1" si="93"/>
        <v>0</v>
      </c>
      <c r="CC49" s="77">
        <f t="shared" ca="1" si="94"/>
        <v>16.280100664031782</v>
      </c>
      <c r="CD49" s="54">
        <f t="shared" ca="1" si="95"/>
        <v>0.16444546125284626</v>
      </c>
      <c r="CE49" s="53">
        <f ca="1">OFFSET('National statistics'!$A$6,MATCH(R0_estimation!$A49,'National statistics'!$A$7:$A$5000,0),MATCH(R0_estimation!CE$16 &amp; "_Running14daysNew",'National statistics'!$B$1:$HA$1,0))</f>
        <v>1227</v>
      </c>
      <c r="CF49" s="97">
        <f t="shared" ca="1" si="96"/>
        <v>2.4331242245373454</v>
      </c>
      <c r="CG49" s="98">
        <f t="shared" ca="1" si="113"/>
        <v>1.2165621122686727</v>
      </c>
      <c r="CH49" s="77">
        <f t="shared" ca="1" si="98"/>
        <v>7300871.9954485362</v>
      </c>
      <c r="CI49" s="77">
        <f t="shared" ca="1" si="99"/>
        <v>886.66528177640839</v>
      </c>
      <c r="CJ49" s="77">
        <f t="shared" ca="1" si="100"/>
        <v>1612.9351541122817</v>
      </c>
      <c r="CK49" s="77">
        <f t="shared" ca="1" si="101"/>
        <v>0</v>
      </c>
      <c r="CL49" s="77">
        <f t="shared" ca="1" si="102"/>
        <v>1496.1953119169293</v>
      </c>
      <c r="CM49" s="54">
        <f t="shared" ca="1" si="103"/>
        <v>15.11308395875686</v>
      </c>
      <c r="CO49" s="209"/>
      <c r="CP49" s="210"/>
    </row>
    <row r="50" spans="1:94">
      <c r="A50" s="83">
        <v>43950</v>
      </c>
      <c r="B50" s="53">
        <f ca="1">OFFSET('National statistics'!$A$6,MATCH(R0_estimation!$A50,'National statistics'!$A$7:$A$5000,0),MATCH(R0_estimation!B$16 &amp; "_Running14daysNew",'National statistics'!$B$1:$HA$1,0))</f>
        <v>2867</v>
      </c>
      <c r="C50" s="97">
        <f t="shared" ca="1" si="24"/>
        <v>1.9211610393424374</v>
      </c>
      <c r="D50" s="98">
        <f t="shared" si="114"/>
        <v>1</v>
      </c>
      <c r="E50" s="77">
        <f t="shared" ca="1" si="26"/>
        <v>59706655.943836242</v>
      </c>
      <c r="F50" s="77">
        <f t="shared" ca="1" si="27"/>
        <v>1899.207676220411</v>
      </c>
      <c r="G50" s="77">
        <f t="shared" ca="1" si="28"/>
        <v>4081.9286444837358</v>
      </c>
      <c r="H50" s="77">
        <f t="shared" ca="1" si="29"/>
        <v>0</v>
      </c>
      <c r="I50" s="77">
        <f t="shared" ca="1" si="30"/>
        <v>4841.5284597453337</v>
      </c>
      <c r="J50" s="54">
        <f t="shared" ca="1" si="31"/>
        <v>48.904327876215511</v>
      </c>
      <c r="K50" s="53">
        <f ca="1">OFFSET('National statistics'!$A$6,MATCH(R0_estimation!$A50,'National statistics'!$A$7:$A$5000,0),MATCH(R0_estimation!K$16 &amp; "_Running14daysNew",'National statistics'!$B$1:$HA$1,0))</f>
        <v>431</v>
      </c>
      <c r="L50" s="97">
        <f t="shared" ca="1" si="32"/>
        <v>2.7782873101034609</v>
      </c>
      <c r="M50" s="98">
        <f t="shared" ca="1" si="105"/>
        <v>1.3891436550517304</v>
      </c>
      <c r="N50" s="77">
        <f t="shared" ca="1" si="34"/>
        <v>6870332.6010438902</v>
      </c>
      <c r="O50" s="77">
        <f t="shared" ca="1" si="35"/>
        <v>107.82180573626505</v>
      </c>
      <c r="P50" s="77">
        <f t="shared" ca="1" si="36"/>
        <v>178.89685086189797</v>
      </c>
      <c r="Q50" s="77">
        <f t="shared" ca="1" si="37"/>
        <v>0</v>
      </c>
      <c r="R50" s="77">
        <f t="shared" ca="1" si="38"/>
        <v>143.41505326017031</v>
      </c>
      <c r="S50" s="54">
        <f t="shared" ca="1" si="39"/>
        <v>1.4486369016178813</v>
      </c>
      <c r="T50" s="53">
        <f ca="1">OFFSET('National statistics'!$A$6,MATCH(R0_estimation!$A50,'National statistics'!$A$7:$A$5000,0),MATCH(R0_estimation!T$16 &amp; "_Running14daysNew",'National statistics'!$B$1:$HA$1,0))</f>
        <v>16</v>
      </c>
      <c r="U50" s="97">
        <f t="shared" ca="1" si="40"/>
        <v>1.0062710569511544</v>
      </c>
      <c r="V50" s="98">
        <f t="shared" ca="1" si="106"/>
        <v>0.50313552847557719</v>
      </c>
      <c r="W50" s="77">
        <f t="shared" ca="1" si="42"/>
        <v>2808721.6094967569</v>
      </c>
      <c r="X50" s="77">
        <f t="shared" ca="1" si="43"/>
        <v>23.601723074864783</v>
      </c>
      <c r="Y50" s="77">
        <f t="shared" ca="1" si="44"/>
        <v>82.210998835472552</v>
      </c>
      <c r="Z50" s="77">
        <f t="shared" ca="1" si="45"/>
        <v>0</v>
      </c>
      <c r="AA50" s="77">
        <f t="shared" ca="1" si="46"/>
        <v>179.89005765012624</v>
      </c>
      <c r="AB50" s="54">
        <f t="shared" ca="1" si="47"/>
        <v>1.8170712893952146</v>
      </c>
      <c r="AC50" s="53">
        <f ca="1">OFFSET('National statistics'!$A$6,MATCH(R0_estimation!$A50,'National statistics'!$A$7:$A$5000,0),MATCH(R0_estimation!AC$16 &amp; "_Running14daysNew",'National statistics'!$B$1:$HA$1,0))</f>
        <v>478</v>
      </c>
      <c r="AD50" s="97">
        <f t="shared" ca="1" si="48"/>
        <v>1.1513150830584011</v>
      </c>
      <c r="AE50" s="98">
        <f t="shared" ca="1" si="107"/>
        <v>0.57565754152920057</v>
      </c>
      <c r="AF50" s="77">
        <f t="shared" ca="1" si="50"/>
        <v>15636606.016492736</v>
      </c>
      <c r="AG50" s="77">
        <f t="shared" ca="1" si="51"/>
        <v>277.06089558444762</v>
      </c>
      <c r="AH50" s="77">
        <f t="shared" ca="1" si="52"/>
        <v>869.98905597660507</v>
      </c>
      <c r="AI50" s="77">
        <f t="shared" ca="1" si="53"/>
        <v>0</v>
      </c>
      <c r="AJ50" s="77">
        <f t="shared" ca="1" si="54"/>
        <v>1666.274053681884</v>
      </c>
      <c r="AK50" s="54">
        <f t="shared" ca="1" si="55"/>
        <v>16.831051047291751</v>
      </c>
      <c r="AL50" s="53">
        <f ca="1">OFFSET('National statistics'!$A$6,MATCH(R0_estimation!$A50,'National statistics'!$A$7:$A$5000,0),MATCH(R0_estimation!AL$16 &amp; "_Running14daysNew",'National statistics'!$B$1:$HA$1,0))</f>
        <v>437</v>
      </c>
      <c r="AM50" s="97">
        <f t="shared" ca="1" si="56"/>
        <v>1.4899002769655674</v>
      </c>
      <c r="AN50" s="98">
        <f t="shared" ca="1" si="108"/>
        <v>0.74495013848278369</v>
      </c>
      <c r="AO50" s="77">
        <f t="shared" ca="1" si="58"/>
        <v>10999409.520850377</v>
      </c>
      <c r="AP50" s="77">
        <f t="shared" ca="1" si="59"/>
        <v>148.77903622458638</v>
      </c>
      <c r="AQ50" s="77">
        <f t="shared" ca="1" si="60"/>
        <v>384.80961257878977</v>
      </c>
      <c r="AR50" s="77">
        <f t="shared" ca="1" si="61"/>
        <v>0</v>
      </c>
      <c r="AS50" s="77">
        <f t="shared" ca="1" si="62"/>
        <v>580.42956318313713</v>
      </c>
      <c r="AT50" s="54">
        <f t="shared" ca="1" si="63"/>
        <v>5.8629248806377499</v>
      </c>
      <c r="AU50" s="53">
        <f ca="1">OFFSET('National statistics'!$A$6,MATCH(R0_estimation!$A50,'National statistics'!$A$7:$A$5000,0),MATCH(R0_estimation!AU$16 &amp; "_Running14daysNew",'National statistics'!$B$1:$HA$1,0))</f>
        <v>11</v>
      </c>
      <c r="AV50" s="97">
        <f t="shared" ca="1" si="64"/>
        <v>1.7150884819427765</v>
      </c>
      <c r="AW50" s="98">
        <f t="shared" ca="1" si="109"/>
        <v>0.85754424097138826</v>
      </c>
      <c r="AX50" s="77">
        <f t="shared" ca="1" si="66"/>
        <v>5853748.4906123513</v>
      </c>
      <c r="AY50" s="77">
        <f t="shared" ca="1" si="67"/>
        <v>13.949585307699255</v>
      </c>
      <c r="AZ50" s="77">
        <f t="shared" ca="1" si="68"/>
        <v>32.538274049862451</v>
      </c>
      <c r="BA50" s="77">
        <f t="shared" ca="1" si="69"/>
        <v>0</v>
      </c>
      <c r="BB50" s="77">
        <f t="shared" ca="1" si="70"/>
        <v>43.400298387282426</v>
      </c>
      <c r="BC50" s="54">
        <f t="shared" ca="1" si="71"/>
        <v>0.43838685239679226</v>
      </c>
      <c r="BD50" s="53">
        <f ca="1">OFFSET('National statistics'!$A$6,MATCH(R0_estimation!$A50,'National statistics'!$A$7:$A$5000,0),MATCH(R0_estimation!BD$16 &amp; "_Running14daysNew",'National statistics'!$B$1:$HA$1,0))</f>
        <v>9</v>
      </c>
      <c r="BE50" s="97">
        <f t="shared" ca="1" si="72"/>
        <v>1.4435626881707697</v>
      </c>
      <c r="BF50" s="98">
        <f t="shared" ca="1" si="110"/>
        <v>0.72178134408538486</v>
      </c>
      <c r="BG50" s="77">
        <f t="shared" ca="1" si="74"/>
        <v>4809135.0618790817</v>
      </c>
      <c r="BH50" s="77">
        <f t="shared" ca="1" si="75"/>
        <v>7.9936107254811883</v>
      </c>
      <c r="BI50" s="77">
        <f t="shared" ca="1" si="76"/>
        <v>21.163944171639891</v>
      </c>
      <c r="BJ50" s="77">
        <f t="shared" ca="1" si="77"/>
        <v>0</v>
      </c>
      <c r="BK50" s="77">
        <f t="shared" ca="1" si="78"/>
        <v>33.082796716374808</v>
      </c>
      <c r="BL50" s="54">
        <f t="shared" ca="1" si="79"/>
        <v>0.33416966380176588</v>
      </c>
      <c r="BM50" s="53">
        <f ca="1">OFFSET('National statistics'!$A$6,MATCH(R0_estimation!$A50,'National statistics'!$A$7:$A$5000,0),MATCH(R0_estimation!BM$16 &amp; "_Running14daysNew",'National statistics'!$B$1:$HA$1,0))</f>
        <v>6</v>
      </c>
      <c r="BN50" s="97">
        <f t="shared" ca="1" si="80"/>
        <v>1.9865205416387972</v>
      </c>
      <c r="BO50" s="98">
        <f t="shared" ca="1" si="111"/>
        <v>0.99326027081939861</v>
      </c>
      <c r="BP50" s="77">
        <f t="shared" ca="1" si="82"/>
        <v>4107580.4902559109</v>
      </c>
      <c r="BQ50" s="77">
        <f t="shared" ca="1" si="83"/>
        <v>9.8198342697366563</v>
      </c>
      <c r="BR50" s="77">
        <f t="shared" ca="1" si="84"/>
        <v>20.60407735153764</v>
      </c>
      <c r="BS50" s="77">
        <f t="shared" ca="1" si="85"/>
        <v>0</v>
      </c>
      <c r="BT50" s="77">
        <f t="shared" ca="1" si="86"/>
        <v>24.013036583488862</v>
      </c>
      <c r="BU50" s="54">
        <f t="shared" ca="1" si="87"/>
        <v>0.24255592508574608</v>
      </c>
      <c r="BV50" s="53">
        <f ca="1">OFFSET('National statistics'!$A$6,MATCH(R0_estimation!$A50,'National statistics'!$A$7:$A$5000,0),MATCH(R0_estimation!BV$16 &amp; "_Running14daysNew",'National statistics'!$B$1:$HA$1,0))</f>
        <v>1</v>
      </c>
      <c r="BW50" s="97">
        <f t="shared" ca="1" si="88"/>
        <v>1.3799241468388452</v>
      </c>
      <c r="BX50" s="98">
        <f t="shared" ca="1" si="112"/>
        <v>0.68996207341942262</v>
      </c>
      <c r="BY50" s="77">
        <f t="shared" ca="1" si="90"/>
        <v>1322202.7641303681</v>
      </c>
      <c r="BZ50" s="77">
        <f t="shared" ca="1" si="91"/>
        <v>3.7890533792651553</v>
      </c>
      <c r="CA50" s="77">
        <f t="shared" ca="1" si="92"/>
        <v>10.374732555430667</v>
      </c>
      <c r="CB50" s="77">
        <f t="shared" ca="1" si="93"/>
        <v>0</v>
      </c>
      <c r="CC50" s="77">
        <f t="shared" ca="1" si="94"/>
        <v>16.999444513892392</v>
      </c>
      <c r="CD50" s="54">
        <f t="shared" ca="1" si="95"/>
        <v>0.1717115607463878</v>
      </c>
      <c r="CE50" s="53">
        <f ca="1">OFFSET('National statistics'!$A$6,MATCH(R0_estimation!$A50,'National statistics'!$A$7:$A$5000,0),MATCH(R0_estimation!CE$16 &amp; "_Running14daysNew",'National statistics'!$B$1:$HA$1,0))</f>
        <v>1478</v>
      </c>
      <c r="CF50" s="97">
        <f t="shared" ca="1" si="96"/>
        <v>2.4331242245373454</v>
      </c>
      <c r="CG50" s="98">
        <f t="shared" ca="1" si="113"/>
        <v>1.2165621122686727</v>
      </c>
      <c r="CH50" s="77">
        <f t="shared" ca="1" si="98"/>
        <v>7300591.8293847973</v>
      </c>
      <c r="CI50" s="77">
        <f t="shared" ca="1" si="99"/>
        <v>945.16502507166376</v>
      </c>
      <c r="CJ50" s="77">
        <f t="shared" ca="1" si="100"/>
        <v>1719.3918206912208</v>
      </c>
      <c r="CK50" s="77">
        <f t="shared" ca="1" si="101"/>
        <v>0</v>
      </c>
      <c r="CL50" s="77">
        <f t="shared" ca="1" si="102"/>
        <v>1610.2528692434407</v>
      </c>
      <c r="CM50" s="54">
        <f t="shared" ca="1" si="103"/>
        <v>16.26518049740849</v>
      </c>
      <c r="CO50" s="209"/>
      <c r="CP50" s="210"/>
    </row>
    <row r="51" spans="1:94">
      <c r="A51" s="83">
        <v>43951</v>
      </c>
      <c r="B51" s="53">
        <f ca="1">OFFSET('National statistics'!$A$6,MATCH(R0_estimation!$A51,'National statistics'!$A$7:$A$5000,0),MATCH(R0_estimation!B$16 &amp; "_Running14daysNew",'National statistics'!$B$1:$HA$1,0))</f>
        <v>3058</v>
      </c>
      <c r="C51" s="97">
        <f t="shared" ref="C51:C82" ca="1" si="115">IF(ISERROR(OFFSET($O$4,MATCH(B$16,$N$5:$N$14,0),MATCH(TEXT($A51,"dd-mmm-yy") &amp; "_R0",$P$2:$AP$2,0))),C50,OFFSET($O$4,MATCH(B$16,$N$5:$N$14,0),MATCH(TEXT($A51,"dd-mmm-yy") &amp; "_R0",$P$2:$AP$2,0)))</f>
        <v>1.9211610393424374</v>
      </c>
      <c r="D51" s="98">
        <f t="shared" si="114"/>
        <v>1</v>
      </c>
      <c r="E51" s="77">
        <f t="shared" ref="E51:E82" ca="1" si="116">E50-E50*(C50/14)*G50*G$16/SUM(E50:I50)-E50*(D50/14)*H$16*H50/SUM(E50:I50)</f>
        <v>59706095.899475157</v>
      </c>
      <c r="F51" s="77">
        <f t="shared" ref="F51:F82" ca="1" si="117">F50+E50*(C50/14)*G50*G$16/SUM(E50:I50)+E50*(D50/14)*H$16*H50/SUM(E50:I50)-F50/4</f>
        <v>1984.4501182475751</v>
      </c>
      <c r="G51" s="77">
        <f t="shared" ref="G51:G82" ca="1" si="118">G50+G$16*F50/4-G50/14</f>
        <v>4265.1642317900005</v>
      </c>
      <c r="H51" s="77">
        <f t="shared" ref="H51:H82" ca="1" si="119">H50+H$16*F50/4-H50/14</f>
        <v>0</v>
      </c>
      <c r="I51" s="77">
        <f t="shared" ref="I51:I82" ca="1" si="120">I50+H50/14+(G50/14)*(1-J$16)</f>
        <v>5130.1791281766837</v>
      </c>
      <c r="J51" s="54">
        <f t="shared" ref="J51:J82" ca="1" si="121">J50+(G50/14)*(J$16)</f>
        <v>51.819991193703892</v>
      </c>
      <c r="K51" s="53">
        <f ca="1">OFFSET('National statistics'!$A$6,MATCH(R0_estimation!$A51,'National statistics'!$A$7:$A$5000,0),MATCH(R0_estimation!K$16 &amp; "_Running14daysNew",'National statistics'!$B$1:$HA$1,0))</f>
        <v>427</v>
      </c>
      <c r="L51" s="97">
        <f t="shared" ref="L51:L82" ca="1" si="122">IF(ISERROR(OFFSET($O$4,MATCH(K$16,$N$5:$N$14,0),MATCH(TEXT($A51,"dd-mmm-yy") &amp; "_R0",$P$2:$AP$2,0))),L50,OFFSET($O$4,MATCH(K$16,$N$5:$N$14,0),MATCH(TEXT($A51,"dd-mmm-yy") &amp; "_R0",$P$2:$AP$2,0)))</f>
        <v>2.7782873101034609</v>
      </c>
      <c r="M51" s="98">
        <f t="shared" ca="1" si="105"/>
        <v>1.3891436550517304</v>
      </c>
      <c r="N51" s="77">
        <f t="shared" ref="N51:N82" ca="1" si="123">N50-N50*(L50/14)*P50/SUM(N50:R50)-N50*(M50/14)*Q50/SUM(N50:R50)</f>
        <v>6870297.1013485361</v>
      </c>
      <c r="O51" s="77">
        <f t="shared" ref="O51:O82" ca="1" si="124">O50+N50*(L50/14)*P50/SUM(N50:R50)+N50*(M50/14)*Q50/SUM(N50:R50)-O50/4</f>
        <v>116.36604965596966</v>
      </c>
      <c r="P51" s="77">
        <f t="shared" ref="P51:P82" ca="1" si="125">P50+(O50/4)*P$16-P50/14</f>
        <v>193.07395580582869</v>
      </c>
      <c r="Q51" s="77">
        <f t="shared" ref="Q51:Q82" ca="1" si="126">Q50+(O50/4)*Q$16-Q50/14</f>
        <v>0</v>
      </c>
      <c r="R51" s="77">
        <f t="shared" ref="R51:R82" ca="1" si="127">R50+Q50/14+(P50/14)*(1-S$16)</f>
        <v>156.06561628540453</v>
      </c>
      <c r="S51" s="54">
        <f t="shared" ref="S51:S82" ca="1" si="128">S50+(P50/14)*(S$16)</f>
        <v>1.5764203665192369</v>
      </c>
      <c r="T51" s="53">
        <f ca="1">OFFSET('National statistics'!$A$6,MATCH(R0_estimation!$A51,'National statistics'!$A$7:$A$5000,0),MATCH(R0_estimation!T$16 &amp; "_Running14daysNew",'National statistics'!$B$1:$HA$1,0))</f>
        <v>18</v>
      </c>
      <c r="U51" s="97">
        <f t="shared" ref="U51:U82" ca="1" si="129">IF(ISERROR(OFFSET($O$4,MATCH(T$16,$N$5:$N$14,0),MATCH(TEXT($A51,"dd-mmm-yy") &amp; "_R0",$P$2:$AP$2,0))),U50,OFFSET($O$4,MATCH(T$16,$N$5:$N$14,0),MATCH(TEXT($A51,"dd-mmm-yy") &amp; "_R0",$P$2:$AP$2,0)))</f>
        <v>1.0062710569511544</v>
      </c>
      <c r="V51" s="98">
        <f t="shared" ca="1" si="106"/>
        <v>0.50313552847557719</v>
      </c>
      <c r="W51" s="77">
        <f t="shared" ref="W51:W82" ca="1" si="130">W50-W50*(U50/14)*Y50/SUM(W50:AA50)-W50*(V50/14)*Z50/SUM(W50:AA50)</f>
        <v>2808715.7010585703</v>
      </c>
      <c r="X51" s="77">
        <f t="shared" ref="X51:X82" ca="1" si="131">X50+W50*(U50/14)*Y50/SUM(W50:AA50)+W50*(V50/14)*Z50/SUM(W50:AA50)-X50/4</f>
        <v>23.609730492848207</v>
      </c>
      <c r="Y51" s="77">
        <f t="shared" ref="Y51:Y82" ca="1" si="132">Y50+(X50/4)*Y$16-Y50/14</f>
        <v>82.239215401654988</v>
      </c>
      <c r="Z51" s="77">
        <f t="shared" ref="Z51:Z82" ca="1" si="133">Z50+(X50/4)*Z$16-Z50/14</f>
        <v>0</v>
      </c>
      <c r="AA51" s="77">
        <f t="shared" ref="AA51:AA82" ca="1" si="134">AA50+Z50/14+(Y50/14)*(1-AB$16)</f>
        <v>185.70354971063466</v>
      </c>
      <c r="AB51" s="54">
        <f t="shared" ref="AB51:AB82" ca="1" si="135">AB50+(Y50/14)*(AB$16)</f>
        <v>1.875793431420552</v>
      </c>
      <c r="AC51" s="53">
        <f ca="1">OFFSET('National statistics'!$A$6,MATCH(R0_estimation!$A51,'National statistics'!$A$7:$A$5000,0),MATCH(R0_estimation!AC$16 &amp; "_Running14daysNew",'National statistics'!$B$1:$HA$1,0))</f>
        <v>477</v>
      </c>
      <c r="AD51" s="97">
        <f t="shared" ref="AD51:AD82" ca="1" si="136">IF(ISERROR(OFFSET($O$4,MATCH(AC$16,$N$5:$N$14,0),MATCH(TEXT($A51,"dd-mmm-yy") &amp; "_R0",$P$2:$AP$2,0))),AD50,OFFSET($O$4,MATCH(AC$16,$N$5:$N$14,0),MATCH(TEXT($A51,"dd-mmm-yy") &amp; "_R0",$P$2:$AP$2,0)))</f>
        <v>1.1513150830584011</v>
      </c>
      <c r="AE51" s="98">
        <f t="shared" ca="1" si="107"/>
        <v>0.57565754152920057</v>
      </c>
      <c r="AF51" s="77">
        <f t="shared" ref="AF51:AF82" ca="1" si="137">AF50-AF50*(AD50/14)*AH50/SUM(AF50:AJ50)-AF50*(AE50/14)*AI50/SUM(AF50:AJ50)</f>
        <v>15636534.484254019</v>
      </c>
      <c r="AG51" s="77">
        <f t="shared" ref="AG51:AG82" ca="1" si="138">AG50+AF50*(AD50/14)*AH50/SUM(AF50:AJ50)+AF50*(AE50/14)*AI50/SUM(AF50:AJ50)-AG50/4</f>
        <v>279.32791040421728</v>
      </c>
      <c r="AH51" s="77">
        <f t="shared" ref="AH51:AH82" ca="1" si="139">AH50+(AG50/4)*AH$16-AH50/14</f>
        <v>877.11220444581659</v>
      </c>
      <c r="AI51" s="77">
        <f t="shared" ref="AI51:AI82" ca="1" si="140">AI50+(AG50/4)*AI$16-AI50/14</f>
        <v>0</v>
      </c>
      <c r="AJ51" s="77">
        <f t="shared" ref="AJ51:AJ82" ca="1" si="141">AJ50+AI50/14+(AH50/14)*(1-AK$16)</f>
        <v>1727.7947083545153</v>
      </c>
      <c r="AK51" s="54">
        <f t="shared" ref="AK51:AK82" ca="1" si="142">AK50+(AH50/14)*(AK$16)</f>
        <v>17.452471801560755</v>
      </c>
      <c r="AL51" s="53">
        <f ca="1">OFFSET('National statistics'!$A$6,MATCH(R0_estimation!$A51,'National statistics'!$A$7:$A$5000,0),MATCH(R0_estimation!AL$16 &amp; "_Running14daysNew",'National statistics'!$B$1:$HA$1,0))</f>
        <v>441</v>
      </c>
      <c r="AM51" s="97">
        <f t="shared" ref="AM51:AM82" ca="1" si="143">IF(ISERROR(OFFSET($O$4,MATCH(AL$16,$N$5:$N$14,0),MATCH(TEXT($A51,"dd-mmm-yy") &amp; "_R0",$P$2:$AP$2,0))),AM50,OFFSET($O$4,MATCH(AL$16,$N$5:$N$14,0),MATCH(TEXT($A51,"dd-mmm-yy") &amp; "_R0",$P$2:$AP$2,0)))</f>
        <v>1.4899002769655674</v>
      </c>
      <c r="AN51" s="98">
        <f t="shared" ca="1" si="108"/>
        <v>0.74495013848278369</v>
      </c>
      <c r="AO51" s="77">
        <f t="shared" ref="AO51:AO82" ca="1" si="144">AO50-AO50*(AM50/14)*AQ50/SUM(AO50:AS50)-AO50*(AN50/14)*AR50/SUM(AO50:AS50)</f>
        <v>10999368.573001256</v>
      </c>
      <c r="AP51" s="77">
        <f t="shared" ref="AP51:AP82" ca="1" si="145">AP50+AO50*(AM50/14)*AQ50/SUM(AO50:AS50)+AO50*(AN50/14)*AR50/SUM(AO50:AS50)-AP50/4</f>
        <v>152.53212628910723</v>
      </c>
      <c r="AQ51" s="77">
        <f t="shared" ref="AQ51:AQ82" ca="1" si="146">AQ50+(AP50/4)*AQ$16-AQ50/14</f>
        <v>394.51797073645139</v>
      </c>
      <c r="AR51" s="77">
        <f t="shared" ref="AR51:AR82" ca="1" si="147">AR50+(AP50/4)*AR$16-AR50/14</f>
        <v>0</v>
      </c>
      <c r="AS51" s="77">
        <f t="shared" ref="AS51:AS82" ca="1" si="148">AS50+AR50/14+(AQ50/14)*(1-AT$16)</f>
        <v>607.6411000726373</v>
      </c>
      <c r="AT51" s="54">
        <f t="shared" ref="AT51:AT82" ca="1" si="149">AT50+(AQ50/14)*(AT$16)</f>
        <v>6.1377888896226001</v>
      </c>
      <c r="AU51" s="53">
        <f ca="1">OFFSET('National statistics'!$A$6,MATCH(R0_estimation!$A51,'National statistics'!$A$7:$A$5000,0),MATCH(R0_estimation!AU$16 &amp; "_Running14daysNew",'National statistics'!$B$1:$HA$1,0))</f>
        <v>6</v>
      </c>
      <c r="AV51" s="97">
        <f t="shared" ref="AV51:AV82" ca="1" si="150">IF(ISERROR(OFFSET($O$4,MATCH(AU$16,$N$5:$N$14,0),MATCH(TEXT($A51,"dd-mmm-yy") &amp; "_R0",$P$2:$AP$2,0))),AV50,OFFSET($O$4,MATCH(AU$16,$N$5:$N$14,0),MATCH(TEXT($A51,"dd-mmm-yy") &amp; "_R0",$P$2:$AP$2,0)))</f>
        <v>1.7150884819427765</v>
      </c>
      <c r="AW51" s="98">
        <f t="shared" ca="1" si="109"/>
        <v>0.85754424097138826</v>
      </c>
      <c r="AX51" s="77">
        <f t="shared" ref="AX51:AX82" ca="1" si="151">AX50-AX50*(AV50/14)*AZ50/SUM(AX50:BB50)-AX50*(AW50/14)*BA50/SUM(AX50:BB50)</f>
        <v>5853744.504529343</v>
      </c>
      <c r="AY51" s="77">
        <f t="shared" ref="AY51:AY82" ca="1" si="152">AY50+AX50*(AV50/14)*AZ50/SUM(AX50:BB50)+AX50*(AW50/14)*BA50/SUM(AX50:BB50)-AY50/4</f>
        <v>14.448271989363903</v>
      </c>
      <c r="AZ51" s="77">
        <f t="shared" ref="AZ51:AZ82" ca="1" si="153">AZ50+(AY50/4)*AZ$16-AZ50/14</f>
        <v>33.701507944654239</v>
      </c>
      <c r="BA51" s="77">
        <f t="shared" ref="BA51:BA82" ca="1" si="154">BA50+(AY50/4)*BA$16-BA50/14</f>
        <v>0</v>
      </c>
      <c r="BB51" s="77">
        <f t="shared" ref="BB51:BB82" ca="1" si="155">BB50+BA50/14+(AZ50/14)*(1-BC$16)</f>
        <v>45.701219195094126</v>
      </c>
      <c r="BC51" s="54">
        <f t="shared" ref="BC51:BC82" ca="1" si="156">BC50+(AZ50/14)*(BC$16)</f>
        <v>0.46162847671812257</v>
      </c>
      <c r="BD51" s="53">
        <f ca="1">OFFSET('National statistics'!$A$6,MATCH(R0_estimation!$A51,'National statistics'!$A$7:$A$5000,0),MATCH(R0_estimation!BD$16 &amp; "_Running14daysNew",'National statistics'!$B$1:$HA$1,0))</f>
        <v>14</v>
      </c>
      <c r="BE51" s="97">
        <f t="shared" ref="BE51:BE82" ca="1" si="157">IF(ISERROR(OFFSET($O$4,MATCH(BD$16,$N$5:$N$14,0),MATCH(TEXT($A51,"dd-mmm-yy") &amp; "_R0",$P$2:$AP$2,0))),BE50,OFFSET($O$4,MATCH(BD$16,$N$5:$N$14,0),MATCH(TEXT($A51,"dd-mmm-yy") &amp; "_R0",$P$2:$AP$2,0)))</f>
        <v>1.4435626881707697</v>
      </c>
      <c r="BF51" s="98">
        <f t="shared" ca="1" si="110"/>
        <v>0.72178134408538486</v>
      </c>
      <c r="BG51" s="77">
        <f t="shared" ref="BG51:BG82" ca="1" si="158">BG50-BG50*(BE50/14)*BI50/SUM(BG50:BK50)-BG50*(BF50/14)*BJ50/SUM(BG50:BK50)</f>
        <v>4809132.8796587428</v>
      </c>
      <c r="BH51" s="77">
        <f t="shared" ref="BH51:BH82" ca="1" si="159">BH50+BG50*(BE50/14)*BI50/SUM(BG50:BK50)+BG50*(BF50/14)*BJ50/SUM(BG50:BK50)-BH50/4</f>
        <v>8.1774283830559291</v>
      </c>
      <c r="BI51" s="77">
        <f t="shared" ref="BI51:BI82" ca="1" si="160">BI50+(BH50/4)*BI$16-BI50/14</f>
        <v>21.650636555035909</v>
      </c>
      <c r="BJ51" s="77">
        <f t="shared" ref="BJ51:BJ82" ca="1" si="161">BJ50+(BH50/4)*BJ$16-BJ50/14</f>
        <v>0</v>
      </c>
      <c r="BK51" s="77">
        <f t="shared" ref="BK51:BK82" ca="1" si="162">BK50+BJ50/14+(BI50/14)*(1-BL$16)</f>
        <v>34.579389911369347</v>
      </c>
      <c r="BL51" s="54">
        <f t="shared" ref="BL51:BL82" ca="1" si="163">BL50+(BI50/14)*(BL$16)</f>
        <v>0.34928676678150866</v>
      </c>
      <c r="BM51" s="53">
        <f ca="1">OFFSET('National statistics'!$A$6,MATCH(R0_estimation!$A51,'National statistics'!$A$7:$A$5000,0),MATCH(R0_estimation!BM$16 &amp; "_Running14daysNew",'National statistics'!$B$1:$HA$1,0))</f>
        <v>7</v>
      </c>
      <c r="BN51" s="97">
        <f t="shared" ref="BN51:BN82" ca="1" si="164">IF(ISERROR(OFFSET($O$4,MATCH(BM$16,$N$5:$N$14,0),MATCH(TEXT($A51,"dd-mmm-yy") &amp; "_R0",$P$2:$AP$2,0))),BN50,OFFSET($O$4,MATCH(BM$16,$N$5:$N$14,0),MATCH(TEXT($A51,"dd-mmm-yy") &amp; "_R0",$P$2:$AP$2,0)))</f>
        <v>1.9865205416387972</v>
      </c>
      <c r="BO51" s="98">
        <f t="shared" ca="1" si="111"/>
        <v>0.99326027081939861</v>
      </c>
      <c r="BP51" s="77">
        <f t="shared" ref="BP51:BP82" ca="1" si="165">BP50-BP50*(BN50/14)*BR50/SUM(BP50:BT50)-BP50*(BO50/14)*BS50/SUM(BP50:BT50)</f>
        <v>4107577.5666930205</v>
      </c>
      <c r="BQ51" s="77">
        <f t="shared" ref="BQ51:BQ82" ca="1" si="166">BQ50+BP50*(BN50/14)*BR50/SUM(BP50:BT50)+BP50*(BO50/14)*BS50/SUM(BP50:BT50)-BQ50/4</f>
        <v>10.288438592643189</v>
      </c>
      <c r="BR51" s="77">
        <f t="shared" ref="BR51:BR82" ca="1" si="167">BR50+(BQ50/4)*BR$16-BR50/14</f>
        <v>21.587316108147689</v>
      </c>
      <c r="BS51" s="77">
        <f t="shared" ref="BS51:BS82" ca="1" si="168">BS50+(BQ50/4)*BS$16-BS50/14</f>
        <v>0</v>
      </c>
      <c r="BT51" s="77">
        <f t="shared" ref="BT51:BT82" ca="1" si="169">BT50+BS50/14+(BR50/14)*(1-BU$16)</f>
        <v>25.470039196204738</v>
      </c>
      <c r="BU51" s="54">
        <f t="shared" ref="BU51:BU82" ca="1" si="170">BU50+(BR50/14)*(BU$16)</f>
        <v>0.25727312319398726</v>
      </c>
      <c r="BV51" s="53">
        <f ca="1">OFFSET('National statistics'!$A$6,MATCH(R0_estimation!$A51,'National statistics'!$A$7:$A$5000,0),MATCH(R0_estimation!BV$16 &amp; "_Running14daysNew",'National statistics'!$B$1:$HA$1,0))</f>
        <v>1</v>
      </c>
      <c r="BW51" s="97">
        <f t="shared" ref="BW51:BW82" ca="1" si="171">IF(ISERROR(OFFSET($O$4,MATCH(BV$16,$N$5:$N$14,0),MATCH(TEXT($A51,"dd-mmm-yy") &amp; "_R0",$P$2:$AP$2,0))),BW50,OFFSET($O$4,MATCH(BV$16,$N$5:$N$14,0),MATCH(TEXT($A51,"dd-mmm-yy") &amp; "_R0",$P$2:$AP$2,0)))</f>
        <v>1.3799241468388452</v>
      </c>
      <c r="BX51" s="98">
        <f t="shared" ca="1" si="112"/>
        <v>0.68996207341942262</v>
      </c>
      <c r="BY51" s="77">
        <f t="shared" ref="BY51:BY82" ca="1" si="172">BY50-BY50*(BW50/14)*CA50/SUM(BY50:CC50)-BY50*(BX50/14)*CB50/SUM(BY50:CC50)</f>
        <v>1322201.7415584715</v>
      </c>
      <c r="BZ51" s="77">
        <f t="shared" ref="BZ51:BZ82" ca="1" si="173">BZ50+BY50*(BW50/14)*CA50/SUM(BY50:CC50)+BY50*(BX50/14)*CB50/SUM(BY50:CC50)-BZ50/4</f>
        <v>3.8643619311450941</v>
      </c>
      <c r="CA51" s="77">
        <f t="shared" ref="CA51:CA82" ca="1" si="174">CA50+(BZ50/4)*CA$16-CA50/14</f>
        <v>10.580943574859051</v>
      </c>
      <c r="CB51" s="77">
        <f t="shared" ref="CB51:CB82" ca="1" si="175">CB50+(BZ50/4)*CB$16-CB50/14</f>
        <v>0</v>
      </c>
      <c r="CC51" s="77">
        <f t="shared" ref="CC51:CC82" ca="1" si="176">CC50+CB50/14+(CA50/14)*(1-CD$16)</f>
        <v>17.733086316026419</v>
      </c>
      <c r="CD51" s="54">
        <f t="shared" ref="CD51:CD82" ca="1" si="177">CD50+(CA50/14)*(CD$16)</f>
        <v>0.17912208400026686</v>
      </c>
      <c r="CE51" s="53">
        <f ca="1">OFFSET('National statistics'!$A$6,MATCH(R0_estimation!$A51,'National statistics'!$A$7:$A$5000,0),MATCH(R0_estimation!CE$16 &amp; "_Running14daysNew",'National statistics'!$B$1:$HA$1,0))</f>
        <v>1667</v>
      </c>
      <c r="CF51" s="97">
        <f t="shared" ref="CF51:CF82" ca="1" si="178">IF(ISERROR(OFFSET($O$4,MATCH(CE$16,$N$5:$N$14,0),MATCH(TEXT($A51,"dd-mmm-yy") &amp; "_R0",$P$2:$AP$2,0))),CF50,OFFSET($O$4,MATCH(CE$16,$N$5:$N$14,0),MATCH(TEXT($A51,"dd-mmm-yy") &amp; "_R0",$P$2:$AP$2,0)))</f>
        <v>2.4331242245373454</v>
      </c>
      <c r="CG51" s="98">
        <f t="shared" ca="1" si="113"/>
        <v>1.2165621122686727</v>
      </c>
      <c r="CH51" s="77">
        <f t="shared" ref="CH51:CH82" ca="1" si="179">CH50-CH50*(CF50/14)*CJ50/SUM(CH50:CL50)-CH50*(CG50/14)*CK50/SUM(CH50:CL50)</f>
        <v>7300293.1832627431</v>
      </c>
      <c r="CI51" s="77">
        <f t="shared" ref="CI51:CI82" ca="1" si="180">CI50+CH50*(CF50/14)*CJ50/SUM(CH50:CL50)+CH50*(CG50/14)*CK50/SUM(CH50:CL50)-CI50/4</f>
        <v>1007.5198908583068</v>
      </c>
      <c r="CJ51" s="77">
        <f t="shared" ref="CJ51:CJ82" ca="1" si="181">CJ50+(CI50/4)*CJ$16-CJ50/14</f>
        <v>1832.8693754811925</v>
      </c>
      <c r="CK51" s="77">
        <f t="shared" ref="CK51:CK82" ca="1" si="182">CK50+(CI50/4)*CK$16-CK50/14</f>
        <v>0</v>
      </c>
      <c r="CL51" s="77">
        <f t="shared" ref="CL51:CL82" ca="1" si="183">CL50+CK50/14+(CJ50/14)*(1-CM$16)</f>
        <v>1731.8384337066057</v>
      </c>
      <c r="CM51" s="54">
        <f t="shared" ref="CM51:CM82" ca="1" si="184">CM50+(CJ50/14)*(CM$16)</f>
        <v>17.493317512187932</v>
      </c>
      <c r="CO51" s="209"/>
      <c r="CP51" s="210"/>
    </row>
    <row r="52" spans="1:94">
      <c r="A52" s="83">
        <v>43952</v>
      </c>
      <c r="B52" s="53">
        <f ca="1">OFFSET('National statistics'!$A$6,MATCH(R0_estimation!$A52,'National statistics'!$A$7:$A$5000,0),MATCH(R0_estimation!B$16 &amp; "_Running14daysNew",'National statistics'!$B$1:$HA$1,0))</f>
        <v>3190</v>
      </c>
      <c r="C52" s="97">
        <f t="shared" ca="1" si="115"/>
        <v>1.9211610393424374</v>
      </c>
      <c r="D52" s="98">
        <f t="shared" si="114"/>
        <v>1</v>
      </c>
      <c r="E52" s="77">
        <f t="shared" ca="1" si="116"/>
        <v>59705510.720483534</v>
      </c>
      <c r="F52" s="77">
        <f t="shared" ca="1" si="117"/>
        <v>2073.5165803100917</v>
      </c>
      <c r="G52" s="77">
        <f t="shared" ca="1" si="118"/>
        <v>4456.6221733668945</v>
      </c>
      <c r="H52" s="77">
        <f t="shared" ca="1" si="119"/>
        <v>0</v>
      </c>
      <c r="I52" s="77">
        <f t="shared" ca="1" si="120"/>
        <v>5431.7871702818338</v>
      </c>
      <c r="J52" s="54">
        <f t="shared" ca="1" si="121"/>
        <v>54.866537073553893</v>
      </c>
      <c r="K52" s="53">
        <f ca="1">OFFSET('National statistics'!$A$6,MATCH(R0_estimation!$A52,'National statistics'!$A$7:$A$5000,0),MATCH(R0_estimation!K$16 &amp; "_Running14daysNew",'National statistics'!$B$1:$HA$1,0))</f>
        <v>445</v>
      </c>
      <c r="L52" s="97">
        <f t="shared" ca="1" si="122"/>
        <v>2.7782873101034609</v>
      </c>
      <c r="M52" s="98">
        <f t="shared" ca="1" si="105"/>
        <v>1.3891436550517304</v>
      </c>
      <c r="N52" s="77">
        <f t="shared" ca="1" si="123"/>
        <v>6870258.7885929421</v>
      </c>
      <c r="O52" s="77">
        <f t="shared" ca="1" si="124"/>
        <v>125.58729283637471</v>
      </c>
      <c r="P52" s="77">
        <f t="shared" ca="1" si="125"/>
        <v>208.3744713765476</v>
      </c>
      <c r="Q52" s="77">
        <f t="shared" ca="1" si="126"/>
        <v>0</v>
      </c>
      <c r="R52" s="77">
        <f t="shared" ca="1" si="127"/>
        <v>169.71870316024527</v>
      </c>
      <c r="S52" s="54">
        <f t="shared" ca="1" si="128"/>
        <v>1.7143303349519716</v>
      </c>
      <c r="T52" s="53">
        <f ca="1">OFFSET('National statistics'!$A$6,MATCH(R0_estimation!$A52,'National statistics'!$A$7:$A$5000,0),MATCH(R0_estimation!T$16 &amp; "_Running14daysNew",'National statistics'!$B$1:$HA$1,0))</f>
        <v>18</v>
      </c>
      <c r="U52" s="97">
        <f t="shared" ca="1" si="129"/>
        <v>1.0062710569511544</v>
      </c>
      <c r="V52" s="98">
        <f t="shared" ca="1" si="106"/>
        <v>0.50313552847557719</v>
      </c>
      <c r="W52" s="77">
        <f t="shared" ca="1" si="130"/>
        <v>2808709.7906047916</v>
      </c>
      <c r="X52" s="77">
        <f t="shared" ca="1" si="131"/>
        <v>23.617751648469103</v>
      </c>
      <c r="Y52" s="77">
        <f t="shared" ca="1" si="132"/>
        <v>82.267418353320252</v>
      </c>
      <c r="Z52" s="77">
        <f t="shared" ca="1" si="133"/>
        <v>0</v>
      </c>
      <c r="AA52" s="77">
        <f t="shared" ca="1" si="134"/>
        <v>191.51903708546598</v>
      </c>
      <c r="AB52" s="54">
        <f t="shared" ca="1" si="135"/>
        <v>1.9345357281360198</v>
      </c>
      <c r="AC52" s="53">
        <f ca="1">OFFSET('National statistics'!$A$6,MATCH(R0_estimation!$A52,'National statistics'!$A$7:$A$5000,0),MATCH(R0_estimation!AC$16 &amp; "_Running14daysNew",'National statistics'!$B$1:$HA$1,0))</f>
        <v>489</v>
      </c>
      <c r="AD52" s="97">
        <f t="shared" ca="1" si="136"/>
        <v>1.1513150830584011</v>
      </c>
      <c r="AE52" s="98">
        <f t="shared" ca="1" si="107"/>
        <v>0.57565754152920057</v>
      </c>
      <c r="AF52" s="77">
        <f t="shared" ca="1" si="137"/>
        <v>15636462.366662852</v>
      </c>
      <c r="AG52" s="77">
        <f t="shared" ca="1" si="138"/>
        <v>281.6135239708542</v>
      </c>
      <c r="AH52" s="77">
        <f t="shared" ca="1" si="139"/>
        <v>884.29331030074115</v>
      </c>
      <c r="AI52" s="77">
        <f t="shared" ca="1" si="140"/>
        <v>0</v>
      </c>
      <c r="AJ52" s="77">
        <f t="shared" ca="1" si="141"/>
        <v>1789.8190713831837</v>
      </c>
      <c r="AK52" s="54">
        <f t="shared" ca="1" si="142"/>
        <v>18.078980519022053</v>
      </c>
      <c r="AL52" s="53">
        <f ca="1">OFFSET('National statistics'!$A$6,MATCH(R0_estimation!$A52,'National statistics'!$A$7:$A$5000,0),MATCH(R0_estimation!AL$16 &amp; "_Running14daysNew",'National statistics'!$B$1:$HA$1,0))</f>
        <v>415</v>
      </c>
      <c r="AM52" s="97">
        <f t="shared" ca="1" si="143"/>
        <v>1.4899002769655674</v>
      </c>
      <c r="AN52" s="98">
        <f t="shared" ca="1" si="108"/>
        <v>0.74495013848278369</v>
      </c>
      <c r="AO52" s="77">
        <f t="shared" ca="1" si="144"/>
        <v>10999326.592234464</v>
      </c>
      <c r="AP52" s="77">
        <f t="shared" ca="1" si="145"/>
        <v>156.37986150959085</v>
      </c>
      <c r="AQ52" s="77">
        <f t="shared" ca="1" si="146"/>
        <v>404.47114725612454</v>
      </c>
      <c r="AR52" s="77">
        <f t="shared" ca="1" si="147"/>
        <v>0</v>
      </c>
      <c r="AS52" s="77">
        <f t="shared" ca="1" si="148"/>
        <v>635.53915657471498</v>
      </c>
      <c r="AT52" s="54">
        <f t="shared" ca="1" si="149"/>
        <v>6.4195874401486366</v>
      </c>
      <c r="AU52" s="53">
        <f ca="1">OFFSET('National statistics'!$A$6,MATCH(R0_estimation!$A52,'National statistics'!$A$7:$A$5000,0),MATCH(R0_estimation!AU$16 &amp; "_Running14daysNew",'National statistics'!$B$1:$HA$1,0))</f>
        <v>8</v>
      </c>
      <c r="AV52" s="97">
        <f t="shared" ca="1" si="150"/>
        <v>1.7150884819427765</v>
      </c>
      <c r="AW52" s="98">
        <f t="shared" ca="1" si="109"/>
        <v>0.85754424097138826</v>
      </c>
      <c r="AX52" s="77">
        <f t="shared" ca="1" si="151"/>
        <v>5853740.3759478135</v>
      </c>
      <c r="AY52" s="77">
        <f t="shared" ca="1" si="152"/>
        <v>14.964785521373965</v>
      </c>
      <c r="AZ52" s="77">
        <f t="shared" ca="1" si="153"/>
        <v>34.906325374519909</v>
      </c>
      <c r="BA52" s="77">
        <f t="shared" ca="1" si="154"/>
        <v>0</v>
      </c>
      <c r="BB52" s="77">
        <f t="shared" ca="1" si="155"/>
        <v>48.084397256894675</v>
      </c>
      <c r="BC52" s="54">
        <f t="shared" ca="1" si="156"/>
        <v>0.48570098239287562</v>
      </c>
      <c r="BD52" s="53">
        <f ca="1">OFFSET('National statistics'!$A$6,MATCH(R0_estimation!$A52,'National statistics'!$A$7:$A$5000,0),MATCH(R0_estimation!BD$16 &amp; "_Running14daysNew",'National statistics'!$B$1:$HA$1,0))</f>
        <v>12</v>
      </c>
      <c r="BE52" s="97">
        <f t="shared" ca="1" si="157"/>
        <v>1.4435626881707697</v>
      </c>
      <c r="BF52" s="98">
        <f t="shared" ca="1" si="110"/>
        <v>0.72178134408538486</v>
      </c>
      <c r="BG52" s="77">
        <f t="shared" ca="1" si="158"/>
        <v>4809130.6472564191</v>
      </c>
      <c r="BH52" s="77">
        <f t="shared" ca="1" si="159"/>
        <v>8.3654736111702093</v>
      </c>
      <c r="BI52" s="77">
        <f t="shared" ca="1" si="160"/>
        <v>22.14851961115447</v>
      </c>
      <c r="BJ52" s="77">
        <f t="shared" ca="1" si="161"/>
        <v>0</v>
      </c>
      <c r="BK52" s="77">
        <f t="shared" ca="1" si="162"/>
        <v>36.110399210618311</v>
      </c>
      <c r="BL52" s="54">
        <f t="shared" ca="1" si="163"/>
        <v>0.3647515071779629</v>
      </c>
      <c r="BM52" s="53">
        <f ca="1">OFFSET('National statistics'!$A$6,MATCH(R0_estimation!$A52,'National statistics'!$A$7:$A$5000,0),MATCH(R0_estimation!BM$16 &amp; "_Running14daysNew",'National statistics'!$B$1:$HA$1,0))</f>
        <v>11</v>
      </c>
      <c r="BN52" s="97">
        <f t="shared" ca="1" si="164"/>
        <v>1.9865205416387972</v>
      </c>
      <c r="BO52" s="98">
        <f t="shared" ca="1" si="111"/>
        <v>0.99326027081939861</v>
      </c>
      <c r="BP52" s="77">
        <f t="shared" ca="1" si="165"/>
        <v>4107574.5036181491</v>
      </c>
      <c r="BQ52" s="77">
        <f t="shared" ca="1" si="166"/>
        <v>10.779403815800761</v>
      </c>
      <c r="BR52" s="77">
        <f t="shared" ca="1" si="167"/>
        <v>22.61747460572651</v>
      </c>
      <c r="BS52" s="77">
        <f t="shared" ca="1" si="168"/>
        <v>0</v>
      </c>
      <c r="BT52" s="77">
        <f t="shared" ca="1" si="169"/>
        <v>26.996570835280895</v>
      </c>
      <c r="BU52" s="54">
        <f t="shared" ca="1" si="170"/>
        <v>0.27269263469980703</v>
      </c>
      <c r="BV52" s="53">
        <f ca="1">OFFSET('National statistics'!$A$6,MATCH(R0_estimation!$A52,'National statistics'!$A$7:$A$5000,0),MATCH(R0_estimation!BV$16 &amp; "_Running14daysNew",'National statistics'!$B$1:$HA$1,0))</f>
        <v>2</v>
      </c>
      <c r="BW52" s="97">
        <f t="shared" ca="1" si="171"/>
        <v>1.3799241468388452</v>
      </c>
      <c r="BX52" s="98">
        <f t="shared" ca="1" si="112"/>
        <v>0.68996207341942262</v>
      </c>
      <c r="BY52" s="77">
        <f t="shared" ca="1" si="172"/>
        <v>1322200.6986624571</v>
      </c>
      <c r="BZ52" s="77">
        <f t="shared" ca="1" si="173"/>
        <v>3.9411674628013946</v>
      </c>
      <c r="CA52" s="77">
        <f t="shared" ca="1" si="174"/>
        <v>10.79125237372682</v>
      </c>
      <c r="CB52" s="77">
        <f t="shared" ca="1" si="175"/>
        <v>0</v>
      </c>
      <c r="CC52" s="77">
        <f t="shared" ca="1" si="176"/>
        <v>18.481310183105737</v>
      </c>
      <c r="CD52" s="54">
        <f t="shared" ca="1" si="177"/>
        <v>0.18667990083945191</v>
      </c>
      <c r="CE52" s="53">
        <f ca="1">OFFSET('National statistics'!$A$6,MATCH(R0_estimation!$A52,'National statistics'!$A$7:$A$5000,0),MATCH(R0_estimation!CE$16 &amp; "_Running14daysNew",'National statistics'!$B$1:$HA$1,0))</f>
        <v>1790</v>
      </c>
      <c r="CF52" s="97">
        <f t="shared" ca="1" si="178"/>
        <v>2.4331242245373454</v>
      </c>
      <c r="CG52" s="98">
        <f t="shared" ca="1" si="113"/>
        <v>1.2165621122686727</v>
      </c>
      <c r="CH52" s="77">
        <f t="shared" ca="1" si="179"/>
        <v>7299974.8398665776</v>
      </c>
      <c r="CI52" s="77">
        <f t="shared" ca="1" si="180"/>
        <v>1073.9833143090425</v>
      </c>
      <c r="CJ52" s="77">
        <f t="shared" ca="1" si="181"/>
        <v>1953.8301070899695</v>
      </c>
      <c r="CK52" s="77">
        <f t="shared" ca="1" si="182"/>
        <v>0</v>
      </c>
      <c r="CL52" s="77">
        <f t="shared" ca="1" si="183"/>
        <v>1861.4484824013471</v>
      </c>
      <c r="CM52" s="54">
        <f t="shared" ca="1" si="184"/>
        <v>18.802509923245928</v>
      </c>
      <c r="CO52" s="209"/>
      <c r="CP52" s="210"/>
    </row>
    <row r="53" spans="1:94">
      <c r="A53" s="83">
        <v>43953</v>
      </c>
      <c r="B53" s="53">
        <f ca="1">OFFSET('National statistics'!$A$6,MATCH(R0_estimation!$A53,'National statistics'!$A$7:$A$5000,0),MATCH(R0_estimation!B$16 &amp; "_Running14daysNew",'National statistics'!$B$1:$HA$1,0))</f>
        <v>3327</v>
      </c>
      <c r="C53" s="97">
        <f t="shared" ca="1" si="115"/>
        <v>1.9211610393424374</v>
      </c>
      <c r="D53" s="98">
        <f t="shared" si="114"/>
        <v>1</v>
      </c>
      <c r="E53" s="77">
        <f t="shared" ca="1" si="116"/>
        <v>59704899.279493093</v>
      </c>
      <c r="F53" s="77">
        <f t="shared" ca="1" si="117"/>
        <v>2166.5784256751117</v>
      </c>
      <c r="G53" s="77">
        <f t="shared" ca="1" si="118"/>
        <v>4656.6711632039251</v>
      </c>
      <c r="H53" s="77">
        <f t="shared" ca="1" si="119"/>
        <v>0</v>
      </c>
      <c r="I53" s="77">
        <f t="shared" ca="1" si="120"/>
        <v>5746.9340239699213</v>
      </c>
      <c r="J53" s="54">
        <f t="shared" ca="1" si="121"/>
        <v>58.04983862595882</v>
      </c>
      <c r="K53" s="53">
        <f ca="1">OFFSET('National statistics'!$A$6,MATCH(R0_estimation!$A53,'National statistics'!$A$7:$A$5000,0),MATCH(R0_estimation!K$16 &amp; "_Running14daysNew",'National statistics'!$B$1:$HA$1,0))</f>
        <v>462</v>
      </c>
      <c r="L53" s="97">
        <f t="shared" ca="1" si="122"/>
        <v>2.7782873101034609</v>
      </c>
      <c r="M53" s="98">
        <f t="shared" ca="1" si="105"/>
        <v>1.3891436550517304</v>
      </c>
      <c r="N53" s="77">
        <f t="shared" ca="1" si="123"/>
        <v>6870217.4398993766</v>
      </c>
      <c r="O53" s="77">
        <f t="shared" ca="1" si="124"/>
        <v>135.53916319302027</v>
      </c>
      <c r="P53" s="77">
        <f t="shared" ca="1" si="125"/>
        <v>224.88740377303074</v>
      </c>
      <c r="Q53" s="77">
        <f t="shared" ca="1" si="126"/>
        <v>0</v>
      </c>
      <c r="R53" s="77">
        <f t="shared" ca="1" si="127"/>
        <v>184.45375506472971</v>
      </c>
      <c r="S53" s="54">
        <f t="shared" ca="1" si="128"/>
        <v>1.8631692430780771</v>
      </c>
      <c r="T53" s="53">
        <f ca="1">OFFSET('National statistics'!$A$6,MATCH(R0_estimation!$A53,'National statistics'!$A$7:$A$5000,0),MATCH(R0_estimation!T$16 &amp; "_Running14daysNew",'National statistics'!$B$1:$HA$1,0))</f>
        <v>21</v>
      </c>
      <c r="U53" s="97">
        <f t="shared" ca="1" si="129"/>
        <v>1.0062710569511544</v>
      </c>
      <c r="V53" s="98">
        <f t="shared" ca="1" si="106"/>
        <v>0.50313552847557719</v>
      </c>
      <c r="W53" s="77">
        <f t="shared" ca="1" si="130"/>
        <v>2808703.8781364118</v>
      </c>
      <c r="X53" s="77">
        <f t="shared" ca="1" si="131"/>
        <v>23.625782116209784</v>
      </c>
      <c r="Y53" s="77">
        <f t="shared" ca="1" si="132"/>
        <v>82.295612097343223</v>
      </c>
      <c r="Z53" s="77">
        <f t="shared" ca="1" si="133"/>
        <v>0</v>
      </c>
      <c r="AA53" s="77">
        <f t="shared" ca="1" si="134"/>
        <v>197.33651881187933</v>
      </c>
      <c r="AB53" s="54">
        <f t="shared" ca="1" si="135"/>
        <v>1.993298169816963</v>
      </c>
      <c r="AC53" s="53">
        <f ca="1">OFFSET('National statistics'!$A$6,MATCH(R0_estimation!$A53,'National statistics'!$A$7:$A$5000,0),MATCH(R0_estimation!AC$16 &amp; "_Running14daysNew",'National statistics'!$B$1:$HA$1,0))</f>
        <v>497</v>
      </c>
      <c r="AD53" s="97">
        <f t="shared" ca="1" si="136"/>
        <v>1.1513150830584011</v>
      </c>
      <c r="AE53" s="98">
        <f t="shared" ca="1" si="107"/>
        <v>0.57565754152920057</v>
      </c>
      <c r="AF53" s="77">
        <f t="shared" ca="1" si="137"/>
        <v>15636389.658961914</v>
      </c>
      <c r="AG53" s="77">
        <f t="shared" ca="1" si="138"/>
        <v>283.91784391626766</v>
      </c>
      <c r="AH53" s="77">
        <f t="shared" ca="1" si="139"/>
        <v>891.53288341483039</v>
      </c>
      <c r="AI53" s="77">
        <f t="shared" ca="1" si="140"/>
        <v>0</v>
      </c>
      <c r="AJ53" s="77">
        <f t="shared" ca="1" si="141"/>
        <v>1852.3512411830218</v>
      </c>
      <c r="AK53" s="54">
        <f t="shared" ca="1" si="142"/>
        <v>18.710618597808296</v>
      </c>
      <c r="AL53" s="53">
        <f ca="1">OFFSET('National statistics'!$A$6,MATCH(R0_estimation!$A53,'National statistics'!$A$7:$A$5000,0),MATCH(R0_estimation!AL$16 &amp; "_Running14daysNew",'National statistics'!$B$1:$HA$1,0))</f>
        <v>447</v>
      </c>
      <c r="AM53" s="97">
        <f t="shared" ca="1" si="143"/>
        <v>1.4899002769655674</v>
      </c>
      <c r="AN53" s="98">
        <f t="shared" ca="1" si="108"/>
        <v>0.74495013848278369</v>
      </c>
      <c r="AO53" s="77">
        <f t="shared" ca="1" si="144"/>
        <v>10999283.552510561</v>
      </c>
      <c r="AP53" s="77">
        <f t="shared" ca="1" si="145"/>
        <v>160.32462003588017</v>
      </c>
      <c r="AQ53" s="77">
        <f t="shared" ca="1" si="146"/>
        <v>414.67531640094194</v>
      </c>
      <c r="AR53" s="77">
        <f t="shared" ca="1" si="147"/>
        <v>0</v>
      </c>
      <c r="AS53" s="77">
        <f t="shared" ca="1" si="148"/>
        <v>664.14104484496954</v>
      </c>
      <c r="AT53" s="54">
        <f t="shared" ca="1" si="149"/>
        <v>6.7084954024744397</v>
      </c>
      <c r="AU53" s="53">
        <f ca="1">OFFSET('National statistics'!$A$6,MATCH(R0_estimation!$A53,'National statistics'!$A$7:$A$5000,0),MATCH(R0_estimation!AU$16 &amp; "_Running14daysNew",'National statistics'!$B$1:$HA$1,0))</f>
        <v>5</v>
      </c>
      <c r="AV53" s="97">
        <f t="shared" ca="1" si="150"/>
        <v>1.7150884819427765</v>
      </c>
      <c r="AW53" s="98">
        <f t="shared" ca="1" si="109"/>
        <v>0.85754424097138826</v>
      </c>
      <c r="AX53" s="77">
        <f t="shared" ca="1" si="151"/>
        <v>5853736.0997738987</v>
      </c>
      <c r="AY53" s="77">
        <f t="shared" ca="1" si="152"/>
        <v>15.499763055453489</v>
      </c>
      <c r="AZ53" s="77">
        <f t="shared" ca="1" si="153"/>
        <v>36.154212799540545</v>
      </c>
      <c r="BA53" s="77">
        <f t="shared" ca="1" si="154"/>
        <v>0</v>
      </c>
      <c r="BB53" s="77">
        <f t="shared" ca="1" si="155"/>
        <v>50.552773122664298</v>
      </c>
      <c r="BC53" s="54">
        <f t="shared" ca="1" si="156"/>
        <v>0.51063407194610411</v>
      </c>
      <c r="BD53" s="53">
        <f ca="1">OFFSET('National statistics'!$A$6,MATCH(R0_estimation!$A53,'National statistics'!$A$7:$A$5000,0),MATCH(R0_estimation!BD$16 &amp; "_Running14daysNew",'National statistics'!$B$1:$HA$1,0))</f>
        <v>15</v>
      </c>
      <c r="BE53" s="97">
        <f t="shared" ca="1" si="157"/>
        <v>1.4435626881707697</v>
      </c>
      <c r="BF53" s="98">
        <f t="shared" ca="1" si="110"/>
        <v>0.72178134408538486</v>
      </c>
      <c r="BG53" s="77">
        <f t="shared" ca="1" si="158"/>
        <v>4809128.363518307</v>
      </c>
      <c r="BH53" s="77">
        <f t="shared" ca="1" si="159"/>
        <v>8.5578433207232418</v>
      </c>
      <c r="BI53" s="77">
        <f t="shared" ca="1" si="160"/>
        <v>22.657850898864563</v>
      </c>
      <c r="BJ53" s="77">
        <f t="shared" ca="1" si="161"/>
        <v>0</v>
      </c>
      <c r="BK53" s="77">
        <f t="shared" ca="1" si="162"/>
        <v>37.676615954549952</v>
      </c>
      <c r="BL53" s="54">
        <f t="shared" ca="1" si="163"/>
        <v>0.38057187832878753</v>
      </c>
      <c r="BM53" s="53">
        <f ca="1">OFFSET('National statistics'!$A$6,MATCH(R0_estimation!$A53,'National statistics'!$A$7:$A$5000,0),MATCH(R0_estimation!BM$16 &amp; "_Running14daysNew",'National statistics'!$B$1:$HA$1,0))</f>
        <v>11</v>
      </c>
      <c r="BN53" s="97">
        <f t="shared" ca="1" si="164"/>
        <v>1.9865205416387972</v>
      </c>
      <c r="BO53" s="98">
        <f t="shared" ca="1" si="111"/>
        <v>0.99326027081939861</v>
      </c>
      <c r="BP53" s="77">
        <f t="shared" ca="1" si="165"/>
        <v>4107571.2943740557</v>
      </c>
      <c r="BQ53" s="77">
        <f t="shared" ca="1" si="166"/>
        <v>11.293796955381907</v>
      </c>
      <c r="BR53" s="77">
        <f t="shared" ca="1" si="167"/>
        <v>23.696791659267664</v>
      </c>
      <c r="BS53" s="77">
        <f t="shared" ca="1" si="168"/>
        <v>0</v>
      </c>
      <c r="BT53" s="77">
        <f t="shared" ca="1" si="169"/>
        <v>28.595949396685842</v>
      </c>
      <c r="BU53" s="54">
        <f t="shared" ca="1" si="170"/>
        <v>0.28884797370389742</v>
      </c>
      <c r="BV53" s="53">
        <f ca="1">OFFSET('National statistics'!$A$6,MATCH(R0_estimation!$A53,'National statistics'!$A$7:$A$5000,0),MATCH(R0_estimation!BV$16 &amp; "_Running14daysNew",'National statistics'!$B$1:$HA$1,0))</f>
        <v>7</v>
      </c>
      <c r="BW53" s="97">
        <f t="shared" ca="1" si="171"/>
        <v>1.3799241468388452</v>
      </c>
      <c r="BX53" s="98">
        <f t="shared" ca="1" si="112"/>
        <v>0.68996207341942262</v>
      </c>
      <c r="BY53" s="77">
        <f t="shared" ca="1" si="172"/>
        <v>1322199.6350384806</v>
      </c>
      <c r="BZ53" s="77">
        <f t="shared" ca="1" si="173"/>
        <v>4.0194995734804575</v>
      </c>
      <c r="CA53" s="77">
        <f t="shared" ca="1" si="174"/>
        <v>11.005740498446682</v>
      </c>
      <c r="CB53" s="77">
        <f t="shared" ca="1" si="175"/>
        <v>0</v>
      </c>
      <c r="CC53" s="77">
        <f t="shared" ca="1" si="176"/>
        <v>19.244405886676418</v>
      </c>
      <c r="CD53" s="54">
        <f t="shared" ca="1" si="177"/>
        <v>0.19438793824925679</v>
      </c>
      <c r="CE53" s="53">
        <f ca="1">OFFSET('National statistics'!$A$6,MATCH(R0_estimation!$A53,'National statistics'!$A$7:$A$5000,0),MATCH(R0_estimation!CE$16 &amp; "_Running14daysNew",'National statistics'!$B$1:$HA$1,0))</f>
        <v>1862</v>
      </c>
      <c r="CF53" s="97">
        <f t="shared" ca="1" si="178"/>
        <v>2.4331242245373454</v>
      </c>
      <c r="CG53" s="98">
        <f t="shared" ca="1" si="113"/>
        <v>1.2165621122686727</v>
      </c>
      <c r="CH53" s="77">
        <f t="shared" ca="1" si="179"/>
        <v>7299635.5020454638</v>
      </c>
      <c r="CI53" s="77">
        <f t="shared" ca="1" si="180"/>
        <v>1144.825306845285</v>
      </c>
      <c r="CJ53" s="77">
        <f t="shared" ca="1" si="181"/>
        <v>2082.7666423036608</v>
      </c>
      <c r="CK53" s="77">
        <f t="shared" ca="1" si="182"/>
        <v>0</v>
      </c>
      <c r="CL53" s="77">
        <f t="shared" ca="1" si="183"/>
        <v>1999.6121828312807</v>
      </c>
      <c r="CM53" s="54">
        <f t="shared" ca="1" si="184"/>
        <v>20.198102856881622</v>
      </c>
      <c r="CO53" s="209"/>
      <c r="CP53" s="210"/>
    </row>
    <row r="54" spans="1:94">
      <c r="A54" s="83">
        <v>43954</v>
      </c>
      <c r="B54" s="53">
        <f ca="1">OFFSET('National statistics'!$A$6,MATCH(R0_estimation!$A54,'National statistics'!$A$7:$A$5000,0),MATCH(R0_estimation!B$16 &amp; "_Running14daysNew",'National statistics'!$B$1:$HA$1,0))</f>
        <v>3660</v>
      </c>
      <c r="C54" s="97">
        <f t="shared" ca="1" si="115"/>
        <v>1.9211610393424374</v>
      </c>
      <c r="D54" s="98">
        <f t="shared" si="114"/>
        <v>1</v>
      </c>
      <c r="E54" s="77">
        <f t="shared" ca="1" si="116"/>
        <v>59704260.398629881</v>
      </c>
      <c r="F54" s="77">
        <f t="shared" ca="1" si="117"/>
        <v>2263.8146824681521</v>
      </c>
      <c r="G54" s="77">
        <f t="shared" ca="1" si="118"/>
        <v>4865.6964008224222</v>
      </c>
      <c r="H54" s="77">
        <f t="shared" ca="1" si="119"/>
        <v>0</v>
      </c>
      <c r="I54" s="77">
        <f t="shared" ca="1" si="120"/>
        <v>6076.2271990821991</v>
      </c>
      <c r="J54" s="54">
        <f t="shared" ca="1" si="121"/>
        <v>61.376032313961623</v>
      </c>
      <c r="K54" s="53">
        <f ca="1">OFFSET('National statistics'!$A$6,MATCH(R0_estimation!$A54,'National statistics'!$A$7:$A$5000,0),MATCH(R0_estimation!K$16 &amp; "_Running14daysNew",'National statistics'!$B$1:$HA$1,0))</f>
        <v>481</v>
      </c>
      <c r="L54" s="97">
        <f t="shared" ca="1" si="122"/>
        <v>2.7782873101034609</v>
      </c>
      <c r="M54" s="98">
        <f t="shared" ca="1" si="105"/>
        <v>1.3891436550517304</v>
      </c>
      <c r="N54" s="77">
        <f t="shared" ca="1" si="123"/>
        <v>6870172.814737184</v>
      </c>
      <c r="O54" s="77">
        <f t="shared" ca="1" si="124"/>
        <v>146.27953458726915</v>
      </c>
      <c r="P54" s="77">
        <f t="shared" ca="1" si="125"/>
        <v>242.70880858749791</v>
      </c>
      <c r="Q54" s="77">
        <f t="shared" ca="1" si="126"/>
        <v>0</v>
      </c>
      <c r="R54" s="77">
        <f t="shared" ca="1" si="127"/>
        <v>200.35650718867973</v>
      </c>
      <c r="S54" s="54">
        <f t="shared" ca="1" si="128"/>
        <v>2.0238031029159562</v>
      </c>
      <c r="T54" s="53">
        <f ca="1">OFFSET('National statistics'!$A$6,MATCH(R0_estimation!$A54,'National statistics'!$A$7:$A$5000,0),MATCH(R0_estimation!T$16 &amp; "_Running14daysNew",'National statistics'!$B$1:$HA$1,0))</f>
        <v>20</v>
      </c>
      <c r="U54" s="97">
        <f t="shared" ca="1" si="129"/>
        <v>1.0062710569511544</v>
      </c>
      <c r="V54" s="98">
        <f t="shared" ca="1" si="106"/>
        <v>0.50313552847557719</v>
      </c>
      <c r="W54" s="77">
        <f t="shared" ca="1" si="130"/>
        <v>2808697.9636541051</v>
      </c>
      <c r="X54" s="77">
        <f t="shared" ca="1" si="131"/>
        <v>23.633818893652403</v>
      </c>
      <c r="Y54" s="77">
        <f t="shared" ca="1" si="132"/>
        <v>82.323799619442582</v>
      </c>
      <c r="Z54" s="77">
        <f t="shared" ca="1" si="133"/>
        <v>0</v>
      </c>
      <c r="AA54" s="77">
        <f t="shared" ca="1" si="134"/>
        <v>203.1559942387629</v>
      </c>
      <c r="AB54" s="54">
        <f t="shared" ca="1" si="135"/>
        <v>2.0520807498864939</v>
      </c>
      <c r="AC54" s="53">
        <f ca="1">OFFSET('National statistics'!$A$6,MATCH(R0_estimation!$A54,'National statistics'!$A$7:$A$5000,0),MATCH(R0_estimation!AC$16 &amp; "_Running14daysNew",'National statistics'!$B$1:$HA$1,0))</f>
        <v>476</v>
      </c>
      <c r="AD54" s="97">
        <f t="shared" ca="1" si="136"/>
        <v>1.1513150830584011</v>
      </c>
      <c r="AE54" s="98">
        <f t="shared" ca="1" si="107"/>
        <v>0.57565754152920057</v>
      </c>
      <c r="AF54" s="77">
        <f t="shared" ca="1" si="137"/>
        <v>15636316.356352119</v>
      </c>
      <c r="AG54" s="77">
        <f t="shared" ca="1" si="138"/>
        <v>286.24099273342387</v>
      </c>
      <c r="AH54" s="77">
        <f t="shared" ca="1" si="139"/>
        <v>898.83142414998088</v>
      </c>
      <c r="AI54" s="77">
        <f t="shared" ca="1" si="140"/>
        <v>0</v>
      </c>
      <c r="AJ54" s="77">
        <f t="shared" ca="1" si="141"/>
        <v>1915.395352224499</v>
      </c>
      <c r="AK54" s="54">
        <f t="shared" ca="1" si="142"/>
        <v>19.347427800247459</v>
      </c>
      <c r="AL54" s="53">
        <f ca="1">OFFSET('National statistics'!$A$6,MATCH(R0_estimation!$A54,'National statistics'!$A$7:$A$5000,0),MATCH(R0_estimation!AL$16 &amp; "_Running14daysNew",'National statistics'!$B$1:$HA$1,0))</f>
        <v>459</v>
      </c>
      <c r="AM54" s="97">
        <f t="shared" ca="1" si="143"/>
        <v>1.4899002769655674</v>
      </c>
      <c r="AN54" s="98">
        <f t="shared" ca="1" si="108"/>
        <v>0.74495013848278369</v>
      </c>
      <c r="AO54" s="77">
        <f t="shared" ca="1" si="144"/>
        <v>10999239.427133804</v>
      </c>
      <c r="AP54" s="77">
        <f t="shared" ca="1" si="145"/>
        <v>164.3688417839511</v>
      </c>
      <c r="AQ54" s="77">
        <f t="shared" ca="1" si="146"/>
        <v>425.13680595270182</v>
      </c>
      <c r="AR54" s="77">
        <f t="shared" ca="1" si="147"/>
        <v>0</v>
      </c>
      <c r="AS54" s="77">
        <f t="shared" ca="1" si="148"/>
        <v>693.46451364760753</v>
      </c>
      <c r="AT54" s="54">
        <f t="shared" ca="1" si="149"/>
        <v>7.0046920570465412</v>
      </c>
      <c r="AU54" s="53">
        <f ca="1">OFFSET('National statistics'!$A$6,MATCH(R0_estimation!$A54,'National statistics'!$A$7:$A$5000,0),MATCH(R0_estimation!AU$16 &amp; "_Running14daysNew",'National statistics'!$B$1:$HA$1,0))</f>
        <v>5</v>
      </c>
      <c r="AV54" s="97">
        <f t="shared" ca="1" si="150"/>
        <v>1.7150884819427765</v>
      </c>
      <c r="AW54" s="98">
        <f t="shared" ca="1" si="109"/>
        <v>0.85754424097138826</v>
      </c>
      <c r="AX54" s="77">
        <f t="shared" ca="1" si="151"/>
        <v>5853731.6707316628</v>
      </c>
      <c r="AY54" s="77">
        <f t="shared" ca="1" si="152"/>
        <v>16.053864527707468</v>
      </c>
      <c r="AZ54" s="77">
        <f t="shared" ca="1" si="153"/>
        <v>37.446709792008164</v>
      </c>
      <c r="BA54" s="77">
        <f t="shared" ca="1" si="154"/>
        <v>0</v>
      </c>
      <c r="BB54" s="77">
        <f t="shared" ca="1" si="155"/>
        <v>53.109392456346093</v>
      </c>
      <c r="BC54" s="54">
        <f t="shared" ca="1" si="156"/>
        <v>0.53645850966006159</v>
      </c>
      <c r="BD54" s="53">
        <f ca="1">OFFSET('National statistics'!$A$6,MATCH(R0_estimation!$A54,'National statistics'!$A$7:$A$5000,0),MATCH(R0_estimation!BD$16 &amp; "_Running14daysNew",'National statistics'!$B$1:$HA$1,0))</f>
        <v>23</v>
      </c>
      <c r="BE54" s="97">
        <f t="shared" ca="1" si="157"/>
        <v>1.4435626881707697</v>
      </c>
      <c r="BF54" s="98">
        <f t="shared" ca="1" si="110"/>
        <v>0.72178134408538486</v>
      </c>
      <c r="BG54" s="77">
        <f t="shared" ca="1" si="158"/>
        <v>4809126.0272640493</v>
      </c>
      <c r="BH54" s="77">
        <f t="shared" ca="1" si="159"/>
        <v>8.7546367480730751</v>
      </c>
      <c r="BI54" s="77">
        <f t="shared" ca="1" si="160"/>
        <v>23.178893807697904</v>
      </c>
      <c r="BJ54" s="77">
        <f t="shared" ca="1" si="161"/>
        <v>0</v>
      </c>
      <c r="BK54" s="77">
        <f t="shared" ca="1" si="162"/>
        <v>39.278849696683949</v>
      </c>
      <c r="BL54" s="54">
        <f t="shared" ca="1" si="163"/>
        <v>0.39675605754226223</v>
      </c>
      <c r="BM54" s="53">
        <f ca="1">OFFSET('National statistics'!$A$6,MATCH(R0_estimation!$A54,'National statistics'!$A$7:$A$5000,0),MATCH(R0_estimation!BM$16 &amp; "_Running14daysNew",'National statistics'!$B$1:$HA$1,0))</f>
        <v>12</v>
      </c>
      <c r="BN54" s="97">
        <f t="shared" ca="1" si="164"/>
        <v>1.9865205416387972</v>
      </c>
      <c r="BO54" s="98">
        <f t="shared" ca="1" si="111"/>
        <v>0.99326027081939861</v>
      </c>
      <c r="BP54" s="77">
        <f t="shared" ca="1" si="165"/>
        <v>4107567.9319858635</v>
      </c>
      <c r="BQ54" s="77">
        <f t="shared" ca="1" si="166"/>
        <v>11.832735908679929</v>
      </c>
      <c r="BR54" s="77">
        <f t="shared" ca="1" si="167"/>
        <v>24.827612922451166</v>
      </c>
      <c r="BS54" s="77">
        <f t="shared" ca="1" si="168"/>
        <v>0</v>
      </c>
      <c r="BT54" s="77">
        <f t="shared" ca="1" si="169"/>
        <v>30.271651092591199</v>
      </c>
      <c r="BU54" s="54">
        <f t="shared" ca="1" si="170"/>
        <v>0.30577425346051718</v>
      </c>
      <c r="BV54" s="53">
        <f ca="1">OFFSET('National statistics'!$A$6,MATCH(R0_estimation!$A54,'National statistics'!$A$7:$A$5000,0),MATCH(R0_estimation!BV$16 &amp; "_Running14daysNew",'National statistics'!$B$1:$HA$1,0))</f>
        <v>8</v>
      </c>
      <c r="BW54" s="97">
        <f t="shared" ca="1" si="171"/>
        <v>1.3799241468388452</v>
      </c>
      <c r="BX54" s="98">
        <f t="shared" ca="1" si="112"/>
        <v>0.68996207341942262</v>
      </c>
      <c r="BY54" s="77">
        <f t="shared" ca="1" si="172"/>
        <v>1322198.5502746629</v>
      </c>
      <c r="BZ54" s="77">
        <f t="shared" ca="1" si="173"/>
        <v>4.0993884978866557</v>
      </c>
      <c r="CA54" s="77">
        <f t="shared" ca="1" si="174"/>
        <v>11.224491070499177</v>
      </c>
      <c r="CB54" s="77">
        <f t="shared" ca="1" si="175"/>
        <v>0</v>
      </c>
      <c r="CC54" s="77">
        <f t="shared" ca="1" si="176"/>
        <v>20.022668964780863</v>
      </c>
      <c r="CD54" s="54">
        <f t="shared" ca="1" si="177"/>
        <v>0.20224918146243298</v>
      </c>
      <c r="CE54" s="53">
        <f ca="1">OFFSET('National statistics'!$A$6,MATCH(R0_estimation!$A54,'National statistics'!$A$7:$A$5000,0),MATCH(R0_estimation!CE$16 &amp; "_Running14daysNew",'National statistics'!$B$1:$HA$1,0))</f>
        <v>2176</v>
      </c>
      <c r="CF54" s="97">
        <f t="shared" ca="1" si="178"/>
        <v>2.4331242245373454</v>
      </c>
      <c r="CG54" s="98">
        <f t="shared" ca="1" si="113"/>
        <v>1.2165621122686727</v>
      </c>
      <c r="CH54" s="77">
        <f t="shared" ca="1" si="179"/>
        <v>7299273.7874966497</v>
      </c>
      <c r="CI54" s="77">
        <f t="shared" ca="1" si="180"/>
        <v>1220.3335289481793</v>
      </c>
      <c r="CJ54" s="77">
        <f t="shared" ca="1" si="181"/>
        <v>2220.2039231361491</v>
      </c>
      <c r="CK54" s="77">
        <f t="shared" ca="1" si="182"/>
        <v>0</v>
      </c>
      <c r="CL54" s="77">
        <f t="shared" ca="1" si="183"/>
        <v>2146.8935382513255</v>
      </c>
      <c r="CM54" s="54">
        <f t="shared" ca="1" si="184"/>
        <v>21.685793315669951</v>
      </c>
      <c r="CO54" s="209"/>
      <c r="CP54" s="210"/>
    </row>
    <row r="55" spans="1:94">
      <c r="A55" s="83">
        <v>43955</v>
      </c>
      <c r="B55" s="53">
        <f ca="1">OFFSET('National statistics'!$A$6,MATCH(R0_estimation!$A55,'National statistics'!$A$7:$A$5000,0),MATCH(R0_estimation!B$16 &amp; "_Running14daysNew",'National statistics'!$B$1:$HA$1,0))</f>
        <v>3950</v>
      </c>
      <c r="C55" s="97">
        <f t="shared" ca="1" si="115"/>
        <v>1.9211610393424374</v>
      </c>
      <c r="D55" s="98">
        <f t="shared" si="114"/>
        <v>1</v>
      </c>
      <c r="E55" s="77">
        <f t="shared" ca="1" si="116"/>
        <v>59703592.84725748</v>
      </c>
      <c r="F55" s="77">
        <f t="shared" ca="1" si="117"/>
        <v>2365.4123842490762</v>
      </c>
      <c r="G55" s="77">
        <f t="shared" ca="1" si="118"/>
        <v>5084.1003285235729</v>
      </c>
      <c r="H55" s="77">
        <f t="shared" ca="1" si="119"/>
        <v>0</v>
      </c>
      <c r="I55" s="77">
        <f t="shared" ca="1" si="120"/>
        <v>6420.3014445689278</v>
      </c>
      <c r="J55" s="54">
        <f t="shared" ca="1" si="121"/>
        <v>64.851529743120494</v>
      </c>
      <c r="K55" s="53">
        <f ca="1">OFFSET('National statistics'!$A$6,MATCH(R0_estimation!$A55,'National statistics'!$A$7:$A$5000,0),MATCH(R0_estimation!K$16 &amp; "_Running14daysNew",'National statistics'!$B$1:$HA$1,0))</f>
        <v>504</v>
      </c>
      <c r="L55" s="97">
        <f t="shared" ca="1" si="122"/>
        <v>2.7782873101034609</v>
      </c>
      <c r="M55" s="98">
        <f t="shared" ca="1" si="105"/>
        <v>1.3891436550517304</v>
      </c>
      <c r="N55" s="77">
        <f t="shared" ca="1" si="123"/>
        <v>6870124.653525535</v>
      </c>
      <c r="O55" s="77">
        <f t="shared" ca="1" si="124"/>
        <v>157.87086258929804</v>
      </c>
      <c r="P55" s="77">
        <f t="shared" ca="1" si="125"/>
        <v>261.94234876377965</v>
      </c>
      <c r="Q55" s="77">
        <f t="shared" ca="1" si="126"/>
        <v>0</v>
      </c>
      <c r="R55" s="77">
        <f t="shared" ca="1" si="127"/>
        <v>217.51948722450993</v>
      </c>
      <c r="S55" s="54">
        <f t="shared" ca="1" si="128"/>
        <v>2.1971665376213121</v>
      </c>
      <c r="T55" s="53">
        <f ca="1">OFFSET('National statistics'!$A$6,MATCH(R0_estimation!$A55,'National statistics'!$A$7:$A$5000,0),MATCH(R0_estimation!T$16 &amp; "_Running14daysNew",'National statistics'!$B$1:$HA$1,0))</f>
        <v>20</v>
      </c>
      <c r="U55" s="97">
        <f t="shared" ca="1" si="129"/>
        <v>1.0062710569511544</v>
      </c>
      <c r="V55" s="98">
        <f t="shared" ca="1" si="106"/>
        <v>0.50313552847557719</v>
      </c>
      <c r="W55" s="77">
        <f t="shared" ca="1" si="130"/>
        <v>2808692.0471583316</v>
      </c>
      <c r="X55" s="77">
        <f t="shared" ca="1" si="131"/>
        <v>23.64185994356421</v>
      </c>
      <c r="Y55" s="77">
        <f t="shared" ca="1" si="132"/>
        <v>82.351982941466929</v>
      </c>
      <c r="Z55" s="77">
        <f t="shared" ca="1" si="133"/>
        <v>0</v>
      </c>
      <c r="AA55" s="77">
        <f t="shared" ca="1" si="134"/>
        <v>208.97746292613778</v>
      </c>
      <c r="AB55" s="54">
        <f t="shared" ca="1" si="135"/>
        <v>2.1108834639003815</v>
      </c>
      <c r="AC55" s="53">
        <f ca="1">OFFSET('National statistics'!$A$6,MATCH(R0_estimation!$A55,'National statistics'!$A$7:$A$5000,0),MATCH(R0_estimation!AC$16 &amp; "_Running14daysNew",'National statistics'!$B$1:$HA$1,0))</f>
        <v>491</v>
      </c>
      <c r="AD55" s="97">
        <f t="shared" ca="1" si="136"/>
        <v>1.1513150830584011</v>
      </c>
      <c r="AE55" s="98">
        <f t="shared" ca="1" si="107"/>
        <v>0.57565754152920057</v>
      </c>
      <c r="AF55" s="77">
        <f t="shared" ca="1" si="137"/>
        <v>15636242.453993393</v>
      </c>
      <c r="AG55" s="77">
        <f t="shared" ca="1" si="138"/>
        <v>288.58310327627697</v>
      </c>
      <c r="AH55" s="77">
        <f t="shared" ca="1" si="139"/>
        <v>906.18942775119535</v>
      </c>
      <c r="AI55" s="77">
        <f t="shared" ca="1" si="140"/>
        <v>0</v>
      </c>
      <c r="AJ55" s="77">
        <f t="shared" ca="1" si="141"/>
        <v>1978.9555743608191</v>
      </c>
      <c r="AK55" s="54">
        <f t="shared" ca="1" si="142"/>
        <v>19.989450246068873</v>
      </c>
      <c r="AL55" s="53">
        <f ca="1">OFFSET('National statistics'!$A$6,MATCH(R0_estimation!$A55,'National statistics'!$A$7:$A$5000,0),MATCH(R0_estimation!AL$16 &amp; "_Running14daysNew",'National statistics'!$B$1:$HA$1,0))</f>
        <v>467</v>
      </c>
      <c r="AM55" s="97">
        <f t="shared" ca="1" si="143"/>
        <v>1.4899002769655674</v>
      </c>
      <c r="AN55" s="98">
        <f t="shared" ca="1" si="108"/>
        <v>0.74495013848278369</v>
      </c>
      <c r="AO55" s="77">
        <f t="shared" ca="1" si="144"/>
        <v>10999194.18873585</v>
      </c>
      <c r="AP55" s="77">
        <f t="shared" ca="1" si="145"/>
        <v>168.51502929196775</v>
      </c>
      <c r="AQ55" s="77">
        <f t="shared" ca="1" si="146"/>
        <v>435.86210168778234</v>
      </c>
      <c r="AR55" s="77">
        <f t="shared" ca="1" si="147"/>
        <v>0</v>
      </c>
      <c r="AS55" s="77">
        <f t="shared" ca="1" si="148"/>
        <v>723.52775921140574</v>
      </c>
      <c r="AT55" s="54">
        <f t="shared" ca="1" si="149"/>
        <v>7.3083612041556139</v>
      </c>
      <c r="AU55" s="53">
        <f ca="1">OFFSET('National statistics'!$A$6,MATCH(R0_estimation!$A55,'National statistics'!$A$7:$A$5000,0),MATCH(R0_estimation!AU$16 &amp; "_Running14daysNew",'National statistics'!$B$1:$HA$1,0))</f>
        <v>7</v>
      </c>
      <c r="AV55" s="97">
        <f t="shared" ca="1" si="150"/>
        <v>1.7150884819427765</v>
      </c>
      <c r="AW55" s="98">
        <f t="shared" ca="1" si="109"/>
        <v>0.85754424097138826</v>
      </c>
      <c r="AX55" s="77">
        <f t="shared" ca="1" si="151"/>
        <v>5853727.0833565919</v>
      </c>
      <c r="AY55" s="77">
        <f t="shared" ca="1" si="152"/>
        <v>16.62777346701418</v>
      </c>
      <c r="AZ55" s="77">
        <f t="shared" ca="1" si="153"/>
        <v>38.785410938791593</v>
      </c>
      <c r="BA55" s="77">
        <f t="shared" ca="1" si="154"/>
        <v>0</v>
      </c>
      <c r="BB55" s="77">
        <f t="shared" ca="1" si="155"/>
        <v>55.757409791638096</v>
      </c>
      <c r="BC55" s="54">
        <f t="shared" ca="1" si="156"/>
        <v>0.563206159511496</v>
      </c>
      <c r="BD55" s="53">
        <f ca="1">OFFSET('National statistics'!$A$6,MATCH(R0_estimation!$A55,'National statistics'!$A$7:$A$5000,0),MATCH(R0_estimation!BD$16 &amp; "_Running14daysNew",'National statistics'!$B$1:$HA$1,0))</f>
        <v>30</v>
      </c>
      <c r="BE55" s="97">
        <f t="shared" ca="1" si="157"/>
        <v>1.4435626881707697</v>
      </c>
      <c r="BF55" s="98">
        <f t="shared" ca="1" si="110"/>
        <v>0.72178134408538486</v>
      </c>
      <c r="BG55" s="77">
        <f t="shared" ca="1" si="158"/>
        <v>4809123.6372861359</v>
      </c>
      <c r="BH55" s="77">
        <f t="shared" ca="1" si="159"/>
        <v>8.9559554746848438</v>
      </c>
      <c r="BI55" s="77">
        <f t="shared" ca="1" si="160"/>
        <v>23.711917722737748</v>
      </c>
      <c r="BJ55" s="77">
        <f t="shared" ca="1" si="161"/>
        <v>0</v>
      </c>
      <c r="BK55" s="77">
        <f t="shared" ca="1" si="162"/>
        <v>40.917928615942586</v>
      </c>
      <c r="BL55" s="54">
        <f t="shared" ca="1" si="163"/>
        <v>0.41331241026204646</v>
      </c>
      <c r="BM55" s="53">
        <f ca="1">OFFSET('National statistics'!$A$6,MATCH(R0_estimation!$A55,'National statistics'!$A$7:$A$5000,0),MATCH(R0_estimation!BM$16 &amp; "_Running14daysNew",'National statistics'!$B$1:$HA$1,0))</f>
        <v>10</v>
      </c>
      <c r="BN55" s="97">
        <f t="shared" ca="1" si="164"/>
        <v>1.9865205416387972</v>
      </c>
      <c r="BO55" s="98">
        <f t="shared" ca="1" si="111"/>
        <v>0.99326027081939861</v>
      </c>
      <c r="BP55" s="77">
        <f t="shared" ca="1" si="165"/>
        <v>4107564.4091459052</v>
      </c>
      <c r="BQ55" s="77">
        <f t="shared" ca="1" si="166"/>
        <v>12.397391889700414</v>
      </c>
      <c r="BR55" s="77">
        <f t="shared" ca="1" si="167"/>
        <v>26.01239597658892</v>
      </c>
      <c r="BS55" s="77">
        <f t="shared" ca="1" si="168"/>
        <v>0</v>
      </c>
      <c r="BT55" s="77">
        <f t="shared" ca="1" si="169"/>
        <v>32.027318006393102</v>
      </c>
      <c r="BU55" s="54">
        <f t="shared" ca="1" si="170"/>
        <v>0.32350826269083943</v>
      </c>
      <c r="BV55" s="53">
        <f ca="1">OFFSET('National statistics'!$A$6,MATCH(R0_estimation!$A55,'National statistics'!$A$7:$A$5000,0),MATCH(R0_estimation!BV$16 &amp; "_Running14daysNew",'National statistics'!$B$1:$HA$1,0))</f>
        <v>7</v>
      </c>
      <c r="BW55" s="97">
        <f t="shared" ca="1" si="171"/>
        <v>1.3799241468388452</v>
      </c>
      <c r="BX55" s="98">
        <f t="shared" ca="1" si="112"/>
        <v>0.68996207341942262</v>
      </c>
      <c r="BY55" s="77">
        <f t="shared" ca="1" si="172"/>
        <v>1322197.4439509339</v>
      </c>
      <c r="BZ55" s="77">
        <f t="shared" ca="1" si="173"/>
        <v>4.1808651024658783</v>
      </c>
      <c r="CA55" s="77">
        <f t="shared" ca="1" si="174"/>
        <v>11.447588832792329</v>
      </c>
      <c r="CB55" s="77">
        <f t="shared" ca="1" si="175"/>
        <v>0</v>
      </c>
      <c r="CC55" s="77">
        <f t="shared" ca="1" si="176"/>
        <v>20.816400833337589</v>
      </c>
      <c r="CD55" s="54">
        <f t="shared" ca="1" si="177"/>
        <v>0.21026667508421812</v>
      </c>
      <c r="CE55" s="53">
        <f ca="1">OFFSET('National statistics'!$A$6,MATCH(R0_estimation!$A55,'National statistics'!$A$7:$A$5000,0),MATCH(R0_estimation!CE$16 &amp; "_Running14daysNew",'National statistics'!$B$1:$HA$1,0))</f>
        <v>2414</v>
      </c>
      <c r="CF55" s="97">
        <f t="shared" ca="1" si="178"/>
        <v>2.4331242245373454</v>
      </c>
      <c r="CG55" s="98">
        <f t="shared" ca="1" si="113"/>
        <v>1.2165621122686727</v>
      </c>
      <c r="CH55" s="77">
        <f t="shared" ca="1" si="179"/>
        <v>7298888.2232125802</v>
      </c>
      <c r="CI55" s="77">
        <f t="shared" ca="1" si="180"/>
        <v>1300.814430780634</v>
      </c>
      <c r="CJ55" s="77">
        <f t="shared" ca="1" si="181"/>
        <v>2366.7013108634687</v>
      </c>
      <c r="CK55" s="77">
        <f t="shared" ca="1" si="182"/>
        <v>0</v>
      </c>
      <c r="CL55" s="77">
        <f t="shared" ca="1" si="183"/>
        <v>2303.8936728159533</v>
      </c>
      <c r="CM55" s="54">
        <f t="shared" ca="1" si="184"/>
        <v>23.271653260767202</v>
      </c>
      <c r="CO55" s="209"/>
      <c r="CP55" s="210"/>
    </row>
    <row r="56" spans="1:94">
      <c r="A56" s="83">
        <v>43956</v>
      </c>
      <c r="B56" s="53">
        <f ca="1">OFFSET('National statistics'!$A$6,MATCH(R0_estimation!$A56,'National statistics'!$A$7:$A$5000,0),MATCH(R0_estimation!B$16 &amp; "_Running14daysNew",'National statistics'!$B$1:$HA$1,0))</f>
        <v>4140</v>
      </c>
      <c r="C56" s="97">
        <f t="shared" ca="1" si="115"/>
        <v>1.9211610393424374</v>
      </c>
      <c r="D56" s="98">
        <f t="shared" si="114"/>
        <v>1</v>
      </c>
      <c r="E56" s="77">
        <f t="shared" ca="1" si="116"/>
        <v>59702895.339619808</v>
      </c>
      <c r="F56" s="77">
        <f t="shared" ca="1" si="117"/>
        <v>2471.5669258595708</v>
      </c>
      <c r="G56" s="77">
        <f t="shared" ca="1" si="118"/>
        <v>5312.3034011198724</v>
      </c>
      <c r="H56" s="77">
        <f t="shared" ca="1" si="119"/>
        <v>0</v>
      </c>
      <c r="I56" s="77">
        <f t="shared" ca="1" si="120"/>
        <v>6779.8199678002375</v>
      </c>
      <c r="J56" s="54">
        <f t="shared" ca="1" si="121"/>
        <v>68.483029977780191</v>
      </c>
      <c r="K56" s="53">
        <f ca="1">OFFSET('National statistics'!$A$6,MATCH(R0_estimation!$A56,'National statistics'!$A$7:$A$5000,0),MATCH(R0_estimation!K$16 &amp; "_Running14daysNew",'National statistics'!$B$1:$HA$1,0))</f>
        <v>493</v>
      </c>
      <c r="L56" s="97">
        <f t="shared" ca="1" si="122"/>
        <v>2.7782873101034609</v>
      </c>
      <c r="M56" s="98">
        <f t="shared" ca="1" si="105"/>
        <v>1.3891436550517304</v>
      </c>
      <c r="N56" s="77">
        <f t="shared" ca="1" si="123"/>
        <v>6870072.6761257304</v>
      </c>
      <c r="O56" s="77">
        <f t="shared" ca="1" si="124"/>
        <v>170.38054674698998</v>
      </c>
      <c r="P56" s="77">
        <f t="shared" ca="1" si="125"/>
        <v>282.69989664226273</v>
      </c>
      <c r="Q56" s="77">
        <f t="shared" ca="1" si="126"/>
        <v>0</v>
      </c>
      <c r="R56" s="77">
        <f t="shared" ca="1" si="127"/>
        <v>236.04255331566293</v>
      </c>
      <c r="S56" s="54">
        <f t="shared" ca="1" si="128"/>
        <v>2.3842682153097261</v>
      </c>
      <c r="T56" s="53">
        <f ca="1">OFFSET('National statistics'!$A$6,MATCH(R0_estimation!$A56,'National statistics'!$A$7:$A$5000,0),MATCH(R0_estimation!T$16 &amp; "_Running14daysNew",'National statistics'!$B$1:$HA$1,0))</f>
        <v>22</v>
      </c>
      <c r="U56" s="97">
        <f t="shared" ca="1" si="129"/>
        <v>1.0062710569511544</v>
      </c>
      <c r="V56" s="98">
        <f t="shared" ca="1" si="106"/>
        <v>0.50313552847557719</v>
      </c>
      <c r="W56" s="77">
        <f t="shared" ca="1" si="130"/>
        <v>2808686.1286494061</v>
      </c>
      <c r="X56" s="77">
        <f t="shared" ca="1" si="131"/>
        <v>23.649903883327198</v>
      </c>
      <c r="Y56" s="77">
        <f t="shared" ca="1" si="132"/>
        <v>82.380163431538918</v>
      </c>
      <c r="Z56" s="77">
        <f t="shared" ca="1" si="133"/>
        <v>0</v>
      </c>
      <c r="AA56" s="77">
        <f t="shared" ca="1" si="134"/>
        <v>214.80092457699865</v>
      </c>
      <c r="AB56" s="54">
        <f t="shared" ca="1" si="135"/>
        <v>2.1697063088585722</v>
      </c>
      <c r="AC56" s="53">
        <f ca="1">OFFSET('National statistics'!$A$6,MATCH(R0_estimation!$A56,'National statistics'!$A$7:$A$5000,0),MATCH(R0_estimation!AC$16 &amp; "_Running14daysNew",'National statistics'!$B$1:$HA$1,0))</f>
        <v>498</v>
      </c>
      <c r="AD56" s="97">
        <f t="shared" ca="1" si="136"/>
        <v>1.1513150830584011</v>
      </c>
      <c r="AE56" s="98">
        <f t="shared" ca="1" si="107"/>
        <v>0.57565754152920057</v>
      </c>
      <c r="AF56" s="77">
        <f t="shared" ca="1" si="137"/>
        <v>15636167.947005104</v>
      </c>
      <c r="AG56" s="77">
        <f t="shared" ca="1" si="138"/>
        <v>290.94431574603067</v>
      </c>
      <c r="AH56" s="77">
        <f t="shared" ca="1" si="139"/>
        <v>913.60738730232208</v>
      </c>
      <c r="AI56" s="77">
        <f t="shared" ca="1" si="140"/>
        <v>0</v>
      </c>
      <c r="AJ56" s="77">
        <f t="shared" ca="1" si="141"/>
        <v>2043.0361124660822</v>
      </c>
      <c r="AK56" s="54">
        <f t="shared" ca="1" si="142"/>
        <v>20.636728408748297</v>
      </c>
      <c r="AL56" s="53">
        <f ca="1">OFFSET('National statistics'!$A$6,MATCH(R0_estimation!$A56,'National statistics'!$A$7:$A$5000,0),MATCH(R0_estimation!AL$16 &amp; "_Running14daysNew",'National statistics'!$B$1:$HA$1,0))</f>
        <v>471</v>
      </c>
      <c r="AM56" s="97">
        <f t="shared" ca="1" si="143"/>
        <v>1.4899002769655674</v>
      </c>
      <c r="AN56" s="98">
        <f t="shared" ca="1" si="108"/>
        <v>0.74495013848278369</v>
      </c>
      <c r="AO56" s="77">
        <f t="shared" ca="1" si="144"/>
        <v>10999147.809258983</v>
      </c>
      <c r="AP56" s="77">
        <f t="shared" ca="1" si="145"/>
        <v>172.76574883658796</v>
      </c>
      <c r="AQ56" s="77">
        <f t="shared" ca="1" si="146"/>
        <v>446.85785174736122</v>
      </c>
      <c r="AR56" s="77">
        <f t="shared" ca="1" si="147"/>
        <v>0</v>
      </c>
      <c r="AS56" s="77">
        <f t="shared" ca="1" si="148"/>
        <v>754.34943640218466</v>
      </c>
      <c r="AT56" s="54">
        <f t="shared" ca="1" si="149"/>
        <v>7.6196912767897444</v>
      </c>
      <c r="AU56" s="53">
        <f ca="1">OFFSET('National statistics'!$A$6,MATCH(R0_estimation!$A56,'National statistics'!$A$7:$A$5000,0),MATCH(R0_estimation!AU$16 &amp; "_Running14daysNew",'National statistics'!$B$1:$HA$1,0))</f>
        <v>8</v>
      </c>
      <c r="AV56" s="97">
        <f t="shared" ca="1" si="150"/>
        <v>1.7150884819427765</v>
      </c>
      <c r="AW56" s="98">
        <f t="shared" ca="1" si="109"/>
        <v>0.85754424097138826</v>
      </c>
      <c r="AX56" s="77">
        <f t="shared" ca="1" si="151"/>
        <v>5853722.3319888581</v>
      </c>
      <c r="AY56" s="77">
        <f t="shared" ca="1" si="152"/>
        <v>17.222197834218044</v>
      </c>
      <c r="AZ56" s="77">
        <f t="shared" ca="1" si="153"/>
        <v>40.171967809917163</v>
      </c>
      <c r="BA56" s="77">
        <f t="shared" ca="1" si="154"/>
        <v>0</v>
      </c>
      <c r="BB56" s="77">
        <f t="shared" ca="1" si="155"/>
        <v>58.500092422309791</v>
      </c>
      <c r="BC56" s="54">
        <f t="shared" ca="1" si="156"/>
        <v>0.59091002446777574</v>
      </c>
      <c r="BD56" s="53">
        <f ca="1">OFFSET('National statistics'!$A$6,MATCH(R0_estimation!$A56,'National statistics'!$A$7:$A$5000,0),MATCH(R0_estimation!BD$16 &amp; "_Running14daysNew",'National statistics'!$B$1:$HA$1,0))</f>
        <v>33</v>
      </c>
      <c r="BE56" s="97">
        <f t="shared" ca="1" si="157"/>
        <v>1.4435626881707697</v>
      </c>
      <c r="BF56" s="98">
        <f t="shared" ca="1" si="110"/>
        <v>0.72178134408538486</v>
      </c>
      <c r="BG56" s="77">
        <f t="shared" ca="1" si="158"/>
        <v>4809121.192349283</v>
      </c>
      <c r="BH56" s="77">
        <f t="shared" ca="1" si="159"/>
        <v>9.1619034588596673</v>
      </c>
      <c r="BI56" s="77">
        <f t="shared" ca="1" si="160"/>
        <v>24.257198182641979</v>
      </c>
      <c r="BJ56" s="77">
        <f t="shared" ca="1" si="161"/>
        <v>0</v>
      </c>
      <c r="BK56" s="77">
        <f t="shared" ca="1" si="162"/>
        <v>42.594699940621901</v>
      </c>
      <c r="BL56" s="54">
        <f t="shared" ca="1" si="163"/>
        <v>0.43024949434971627</v>
      </c>
      <c r="BM56" s="53">
        <f ca="1">OFFSET('National statistics'!$A$6,MATCH(R0_estimation!$A56,'National statistics'!$A$7:$A$5000,0),MATCH(R0_estimation!BM$16 &amp; "_Running14daysNew",'National statistics'!$B$1:$HA$1,0))</f>
        <v>11</v>
      </c>
      <c r="BN56" s="97">
        <f t="shared" ca="1" si="164"/>
        <v>1.9865205416387972</v>
      </c>
      <c r="BO56" s="98">
        <f t="shared" ca="1" si="111"/>
        <v>0.99326027081939861</v>
      </c>
      <c r="BP56" s="77">
        <f t="shared" ca="1" si="165"/>
        <v>4107560.7181978449</v>
      </c>
      <c r="BQ56" s="77">
        <f t="shared" ca="1" si="166"/>
        <v>12.988991977562019</v>
      </c>
      <c r="BR56" s="77">
        <f t="shared" ca="1" si="167"/>
        <v>27.253715664971956</v>
      </c>
      <c r="BS56" s="77">
        <f t="shared" ca="1" si="168"/>
        <v>0</v>
      </c>
      <c r="BT56" s="77">
        <f t="shared" ca="1" si="169"/>
        <v>33.866766007594748</v>
      </c>
      <c r="BU56" s="54">
        <f t="shared" ca="1" si="170"/>
        <v>0.34208854553126011</v>
      </c>
      <c r="BV56" s="53">
        <f ca="1">OFFSET('National statistics'!$A$6,MATCH(R0_estimation!$A56,'National statistics'!$A$7:$A$5000,0),MATCH(R0_estimation!BV$16 &amp; "_Running14daysNew",'National statistics'!$B$1:$HA$1,0))</f>
        <v>10</v>
      </c>
      <c r="BW56" s="97">
        <f t="shared" ca="1" si="171"/>
        <v>1.3799241468388452</v>
      </c>
      <c r="BX56" s="98">
        <f t="shared" ca="1" si="112"/>
        <v>0.68996207341942262</v>
      </c>
      <c r="BY56" s="77">
        <f t="shared" ca="1" si="172"/>
        <v>1322196.3156388735</v>
      </c>
      <c r="BZ56" s="77">
        <f t="shared" ca="1" si="173"/>
        <v>4.2639608871835915</v>
      </c>
      <c r="CA56" s="77">
        <f t="shared" ca="1" si="174"/>
        <v>11.675120191780776</v>
      </c>
      <c r="CB56" s="77">
        <f t="shared" ca="1" si="175"/>
        <v>0</v>
      </c>
      <c r="CC56" s="77">
        <f t="shared" ca="1" si="176"/>
        <v>21.625908900799331</v>
      </c>
      <c r="CD56" s="54">
        <f t="shared" ca="1" si="177"/>
        <v>0.21844352425049834</v>
      </c>
      <c r="CE56" s="53">
        <f ca="1">OFFSET('National statistics'!$A$6,MATCH(R0_estimation!$A56,'National statistics'!$A$7:$A$5000,0),MATCH(R0_estimation!CE$16 &amp; "_Running14daysNew",'National statistics'!$B$1:$HA$1,0))</f>
        <v>2594</v>
      </c>
      <c r="CF56" s="97">
        <f t="shared" ca="1" si="178"/>
        <v>2.4331242245373454</v>
      </c>
      <c r="CG56" s="98">
        <f t="shared" ca="1" si="113"/>
        <v>1.2165621122686727</v>
      </c>
      <c r="CH56" s="77">
        <f t="shared" ca="1" si="179"/>
        <v>7298477.2395709585</v>
      </c>
      <c r="CI56" s="77">
        <f t="shared" ca="1" si="180"/>
        <v>1386.5944647074282</v>
      </c>
      <c r="CJ56" s="77">
        <f t="shared" ca="1" si="181"/>
        <v>2522.8548249255223</v>
      </c>
      <c r="CK56" s="77">
        <f t="shared" ca="1" si="182"/>
        <v>0</v>
      </c>
      <c r="CL56" s="77">
        <f t="shared" ca="1" si="183"/>
        <v>2471.253265512727</v>
      </c>
      <c r="CM56" s="54">
        <f t="shared" ca="1" si="184"/>
        <v>24.962154197098251</v>
      </c>
      <c r="CO56" s="209"/>
      <c r="CP56" s="210"/>
    </row>
    <row r="57" spans="1:94">
      <c r="A57" s="83">
        <v>43957</v>
      </c>
      <c r="B57" s="53">
        <f ca="1">OFFSET('National statistics'!$A$6,MATCH(R0_estimation!$A57,'National statistics'!$A$7:$A$5000,0),MATCH(R0_estimation!B$16 &amp; "_Running14daysNew",'National statistics'!$B$1:$HA$1,0))</f>
        <v>4124</v>
      </c>
      <c r="C57" s="97">
        <f t="shared" ca="1" si="115"/>
        <v>1.9211610393424374</v>
      </c>
      <c r="D57" s="98">
        <f t="shared" si="114"/>
        <v>1</v>
      </c>
      <c r="E57" s="77">
        <f t="shared" ca="1" si="116"/>
        <v>59702166.532379091</v>
      </c>
      <c r="F57" s="77">
        <f t="shared" ca="1" si="117"/>
        <v>2582.4824351126463</v>
      </c>
      <c r="G57" s="77">
        <f t="shared" ca="1" si="118"/>
        <v>5550.7448896476308</v>
      </c>
      <c r="H57" s="77">
        <f t="shared" ca="1" si="119"/>
        <v>0</v>
      </c>
      <c r="I57" s="77">
        <f t="shared" ca="1" si="120"/>
        <v>7155.4757083080003</v>
      </c>
      <c r="J57" s="54">
        <f t="shared" ca="1" si="121"/>
        <v>72.277532407151526</v>
      </c>
      <c r="K57" s="53">
        <f ca="1">OFFSET('National statistics'!$A$6,MATCH(R0_estimation!$A57,'National statistics'!$A$7:$A$5000,0),MATCH(R0_estimation!K$16 &amp; "_Running14daysNew",'National statistics'!$B$1:$HA$1,0))</f>
        <v>472</v>
      </c>
      <c r="L57" s="97">
        <f t="shared" ca="1" si="122"/>
        <v>2.7782873101034609</v>
      </c>
      <c r="M57" s="98">
        <f t="shared" ca="1" si="105"/>
        <v>1.3891436550517304</v>
      </c>
      <c r="N57" s="77">
        <f t="shared" ca="1" si="123"/>
        <v>6870016.5802143533</v>
      </c>
      <c r="O57" s="77">
        <f t="shared" ca="1" si="124"/>
        <v>183.88132143711505</v>
      </c>
      <c r="P57" s="77">
        <f t="shared" ca="1" si="125"/>
        <v>305.1021835688486</v>
      </c>
      <c r="Q57" s="77">
        <f t="shared" ca="1" si="126"/>
        <v>0</v>
      </c>
      <c r="R57" s="77">
        <f t="shared" ca="1" si="127"/>
        <v>256.03347457822292</v>
      </c>
      <c r="S57" s="54">
        <f t="shared" ca="1" si="128"/>
        <v>2.5861967129113426</v>
      </c>
      <c r="T57" s="53">
        <f ca="1">OFFSET('National statistics'!$A$6,MATCH(R0_estimation!$A57,'National statistics'!$A$7:$A$5000,0),MATCH(R0_estimation!T$16 &amp; "_Running14daysNew",'National statistics'!$B$1:$HA$1,0))</f>
        <v>24</v>
      </c>
      <c r="U57" s="97">
        <f t="shared" ca="1" si="129"/>
        <v>1.0062710569511544</v>
      </c>
      <c r="V57" s="98">
        <f t="shared" ca="1" si="106"/>
        <v>0.50313552847557719</v>
      </c>
      <c r="W57" s="77">
        <f t="shared" ca="1" si="130"/>
        <v>2808680.2081275443</v>
      </c>
      <c r="X57" s="77">
        <f t="shared" ca="1" si="131"/>
        <v>23.657949774300732</v>
      </c>
      <c r="Y57" s="77">
        <f t="shared" ca="1" si="132"/>
        <v>82.408342014403658</v>
      </c>
      <c r="Z57" s="77">
        <f t="shared" ca="1" si="133"/>
        <v>0</v>
      </c>
      <c r="AA57" s="77">
        <f t="shared" ca="1" si="134"/>
        <v>220.62637899108606</v>
      </c>
      <c r="AB57" s="54">
        <f t="shared" ca="1" si="135"/>
        <v>2.2285492827382427</v>
      </c>
      <c r="AC57" s="53">
        <f ca="1">OFFSET('National statistics'!$A$6,MATCH(R0_estimation!$A57,'National statistics'!$A$7:$A$5000,0),MATCH(R0_estimation!AC$16 &amp; "_Running14daysNew",'National statistics'!$B$1:$HA$1,0))</f>
        <v>496</v>
      </c>
      <c r="AD57" s="97">
        <f t="shared" ca="1" si="136"/>
        <v>1.1513150830584011</v>
      </c>
      <c r="AE57" s="98">
        <f t="shared" ca="1" si="107"/>
        <v>0.57565754152920057</v>
      </c>
      <c r="AF57" s="77">
        <f t="shared" ca="1" si="137"/>
        <v>15636092.830466241</v>
      </c>
      <c r="AG57" s="77">
        <f t="shared" ca="1" si="138"/>
        <v>293.3247756738283</v>
      </c>
      <c r="AH57" s="77">
        <f t="shared" ca="1" si="139"/>
        <v>921.08579571723521</v>
      </c>
      <c r="AI57" s="77">
        <f t="shared" ca="1" si="140"/>
        <v>0</v>
      </c>
      <c r="AJ57" s="77">
        <f t="shared" ca="1" si="141"/>
        <v>2107.6412062824606</v>
      </c>
      <c r="AK57" s="54">
        <f t="shared" ca="1" si="142"/>
        <v>21.289305113964243</v>
      </c>
      <c r="AL57" s="53">
        <f ca="1">OFFSET('National statistics'!$A$6,MATCH(R0_estimation!$A57,'National statistics'!$A$7:$A$5000,0),MATCH(R0_estimation!AL$16 &amp; "_Running14daysNew",'National statistics'!$B$1:$HA$1,0))</f>
        <v>431</v>
      </c>
      <c r="AM57" s="97">
        <f t="shared" ca="1" si="143"/>
        <v>1.4899002769655674</v>
      </c>
      <c r="AN57" s="98">
        <f t="shared" ca="1" si="108"/>
        <v>0.74495013848278369</v>
      </c>
      <c r="AO57" s="77">
        <f t="shared" ca="1" si="144"/>
        <v>10999100.259938877</v>
      </c>
      <c r="AP57" s="77">
        <f t="shared" ca="1" si="145"/>
        <v>177.12363173310322</v>
      </c>
      <c r="AQ57" s="77">
        <f t="shared" ca="1" si="146"/>
        <v>458.13087097455389</v>
      </c>
      <c r="AR57" s="77">
        <f t="shared" ca="1" si="147"/>
        <v>0</v>
      </c>
      <c r="AS57" s="77">
        <f t="shared" ca="1" si="148"/>
        <v>785.94867020431946</v>
      </c>
      <c r="AT57" s="54">
        <f t="shared" ca="1" si="149"/>
        <v>7.9388754566092885</v>
      </c>
      <c r="AU57" s="53">
        <f ca="1">OFFSET('National statistics'!$A$6,MATCH(R0_estimation!$A57,'National statistics'!$A$7:$A$5000,0),MATCH(R0_estimation!AU$16 &amp; "_Running14daysNew",'National statistics'!$B$1:$HA$1,0))</f>
        <v>8</v>
      </c>
      <c r="AV57" s="97">
        <f t="shared" ca="1" si="150"/>
        <v>1.7150884819427765</v>
      </c>
      <c r="AW57" s="98">
        <f t="shared" ca="1" si="109"/>
        <v>0.85754424097138826</v>
      </c>
      <c r="AX57" s="77">
        <f t="shared" ca="1" si="151"/>
        <v>5853717.4107663408</v>
      </c>
      <c r="AY57" s="77">
        <f t="shared" ca="1" si="152"/>
        <v>17.837870892523419</v>
      </c>
      <c r="AZ57" s="77">
        <f t="shared" ca="1" si="153"/>
        <v>41.608090996334731</v>
      </c>
      <c r="BA57" s="77">
        <f t="shared" ca="1" si="154"/>
        <v>0</v>
      </c>
      <c r="BB57" s="77">
        <f t="shared" ca="1" si="155"/>
        <v>61.340824431725359</v>
      </c>
      <c r="BC57" s="54">
        <f t="shared" ca="1" si="156"/>
        <v>0.61960428718914518</v>
      </c>
      <c r="BD57" s="53">
        <f ca="1">OFFSET('National statistics'!$A$6,MATCH(R0_estimation!$A57,'National statistics'!$A$7:$A$5000,0),MATCH(R0_estimation!BD$16 &amp; "_Running14daysNew",'National statistics'!$B$1:$HA$1,0))</f>
        <v>34</v>
      </c>
      <c r="BE57" s="97">
        <f t="shared" ca="1" si="157"/>
        <v>1.4435626881707697</v>
      </c>
      <c r="BF57" s="98">
        <f t="shared" ca="1" si="110"/>
        <v>0.72178134408538486</v>
      </c>
      <c r="BG57" s="77">
        <f t="shared" ca="1" si="158"/>
        <v>4809118.6911898013</v>
      </c>
      <c r="BH57" s="77">
        <f t="shared" ca="1" si="159"/>
        <v>9.3725870758156749</v>
      </c>
      <c r="BI57" s="77">
        <f t="shared" ca="1" si="160"/>
        <v>24.81501703431104</v>
      </c>
      <c r="BJ57" s="77">
        <f t="shared" ca="1" si="161"/>
        <v>0</v>
      </c>
      <c r="BK57" s="77">
        <f t="shared" ca="1" si="162"/>
        <v>44.310030383537296</v>
      </c>
      <c r="BL57" s="54">
        <f t="shared" ca="1" si="163"/>
        <v>0.44757606448017484</v>
      </c>
      <c r="BM57" s="53">
        <f ca="1">OFFSET('National statistics'!$A$6,MATCH(R0_estimation!$A57,'National statistics'!$A$7:$A$5000,0),MATCH(R0_estimation!BM$16 &amp; "_Running14daysNew",'National statistics'!$B$1:$HA$1,0))</f>
        <v>14</v>
      </c>
      <c r="BN57" s="97">
        <f t="shared" ca="1" si="164"/>
        <v>1.9865205416387972</v>
      </c>
      <c r="BO57" s="98">
        <f t="shared" ca="1" si="111"/>
        <v>0.99326027081939861</v>
      </c>
      <c r="BP57" s="77">
        <f t="shared" ca="1" si="165"/>
        <v>4107556.851120044</v>
      </c>
      <c r="BQ57" s="77">
        <f t="shared" ca="1" si="166"/>
        <v>13.608821784287606</v>
      </c>
      <c r="BR57" s="77">
        <f t="shared" ca="1" si="167"/>
        <v>28.554269683293036</v>
      </c>
      <c r="BS57" s="77">
        <f t="shared" ca="1" si="168"/>
        <v>0</v>
      </c>
      <c r="BT57" s="77">
        <f t="shared" ca="1" si="169"/>
        <v>35.793993043903477</v>
      </c>
      <c r="BU57" s="54">
        <f t="shared" ca="1" si="170"/>
        <v>0.36155548529195436</v>
      </c>
      <c r="BV57" s="53">
        <f ca="1">OFFSET('National statistics'!$A$6,MATCH(R0_estimation!$A57,'National statistics'!$A$7:$A$5000,0),MATCH(R0_estimation!BV$16 &amp; "_Running14daysNew",'National statistics'!$B$1:$HA$1,0))</f>
        <v>10</v>
      </c>
      <c r="BW57" s="97">
        <f t="shared" ca="1" si="171"/>
        <v>1.3799241468388452</v>
      </c>
      <c r="BX57" s="98">
        <f t="shared" ca="1" si="112"/>
        <v>0.68996207341942262</v>
      </c>
      <c r="BY57" s="77">
        <f t="shared" ca="1" si="172"/>
        <v>1322195.1649015478</v>
      </c>
      <c r="BZ57" s="77">
        <f t="shared" ca="1" si="173"/>
        <v>4.3487079910056483</v>
      </c>
      <c r="CA57" s="77">
        <f t="shared" ca="1" si="174"/>
        <v>11.907173257020904</v>
      </c>
      <c r="CB57" s="77">
        <f t="shared" ca="1" si="175"/>
        <v>0</v>
      </c>
      <c r="CC57" s="77">
        <f t="shared" ca="1" si="176"/>
        <v>22.451506685789543</v>
      </c>
      <c r="CD57" s="54">
        <f t="shared" ca="1" si="177"/>
        <v>0.22678289581605604</v>
      </c>
      <c r="CE57" s="53">
        <f ca="1">OFFSET('National statistics'!$A$6,MATCH(R0_estimation!$A57,'National statistics'!$A$7:$A$5000,0),MATCH(R0_estimation!CE$16 &amp; "_Running14daysNew",'National statistics'!$B$1:$HA$1,0))</f>
        <v>2635</v>
      </c>
      <c r="CF57" s="97">
        <f t="shared" ca="1" si="178"/>
        <v>2.4331242245373454</v>
      </c>
      <c r="CG57" s="98">
        <f t="shared" ca="1" si="113"/>
        <v>1.2165621122686727</v>
      </c>
      <c r="CH57" s="77">
        <f t="shared" ca="1" si="179"/>
        <v>7298039.1640454801</v>
      </c>
      <c r="CI57" s="77">
        <f t="shared" ca="1" si="180"/>
        <v>1478.0213740094559</v>
      </c>
      <c r="CJ57" s="77">
        <f t="shared" ca="1" si="181"/>
        <v>2689.2995250362706</v>
      </c>
      <c r="CK57" s="77">
        <f t="shared" ca="1" si="182"/>
        <v>0</v>
      </c>
      <c r="CL57" s="77">
        <f t="shared" ca="1" si="183"/>
        <v>2649.6551424181748</v>
      </c>
      <c r="CM57" s="54">
        <f t="shared" ca="1" si="184"/>
        <v>26.764193357759339</v>
      </c>
      <c r="CO57" s="209"/>
      <c r="CP57" s="210"/>
    </row>
    <row r="58" spans="1:94">
      <c r="A58" s="83">
        <v>43958</v>
      </c>
      <c r="B58" s="53">
        <f ca="1">OFFSET('National statistics'!$A$6,MATCH(R0_estimation!$A58,'National statistics'!$A$7:$A$5000,0),MATCH(R0_estimation!B$16 &amp; "_Running14daysNew",'National statistics'!$B$1:$HA$1,0))</f>
        <v>4255</v>
      </c>
      <c r="C58" s="97">
        <f t="shared" ca="1" si="115"/>
        <v>1.9211610393424374</v>
      </c>
      <c r="D58" s="98">
        <f t="shared" si="114"/>
        <v>1</v>
      </c>
      <c r="E58" s="77">
        <f t="shared" ca="1" si="116"/>
        <v>59701405.022044472</v>
      </c>
      <c r="F58" s="77">
        <f t="shared" ca="1" si="117"/>
        <v>2698.3721609512199</v>
      </c>
      <c r="G58" s="77">
        <f t="shared" ca="1" si="118"/>
        <v>5799.883720593818</v>
      </c>
      <c r="H58" s="77">
        <f t="shared" ca="1" si="119"/>
        <v>0</v>
      </c>
      <c r="I58" s="77">
        <f t="shared" ca="1" si="120"/>
        <v>7547.9926683616541</v>
      </c>
      <c r="J58" s="54">
        <f t="shared" ca="1" si="121"/>
        <v>76.242350185471267</v>
      </c>
      <c r="K58" s="53">
        <f ca="1">OFFSET('National statistics'!$A$6,MATCH(R0_estimation!$A58,'National statistics'!$A$7:$A$5000,0),MATCH(R0_estimation!K$16 &amp; "_Running14daysNew",'National statistics'!$B$1:$HA$1,0))</f>
        <v>512</v>
      </c>
      <c r="L58" s="97">
        <f t="shared" ca="1" si="122"/>
        <v>2.7782873101034609</v>
      </c>
      <c r="M58" s="98">
        <f t="shared" ca="1" si="105"/>
        <v>1.3891436550517304</v>
      </c>
      <c r="N58" s="77">
        <f t="shared" ca="1" si="123"/>
        <v>6869956.0395278921</v>
      </c>
      <c r="O58" s="77">
        <f t="shared" ca="1" si="124"/>
        <v>198.45167753859602</v>
      </c>
      <c r="P58" s="77">
        <f t="shared" ca="1" si="125"/>
        <v>329.27950081606673</v>
      </c>
      <c r="Q58" s="77">
        <f t="shared" ca="1" si="126"/>
        <v>0</v>
      </c>
      <c r="R58" s="77">
        <f t="shared" ca="1" si="127"/>
        <v>277.60855755916293</v>
      </c>
      <c r="S58" s="54">
        <f t="shared" ca="1" si="128"/>
        <v>2.8041268440319489</v>
      </c>
      <c r="T58" s="53">
        <f ca="1">OFFSET('National statistics'!$A$6,MATCH(R0_estimation!$A58,'National statistics'!$A$7:$A$5000,0),MATCH(R0_estimation!T$16 &amp; "_Running14daysNew",'National statistics'!$B$1:$HA$1,0))</f>
        <v>28</v>
      </c>
      <c r="U58" s="97">
        <f t="shared" ca="1" si="129"/>
        <v>1.0062710569511544</v>
      </c>
      <c r="V58" s="98">
        <f t="shared" ca="1" si="106"/>
        <v>0.50313552847557719</v>
      </c>
      <c r="W58" s="77">
        <f t="shared" ca="1" si="130"/>
        <v>2808674.2855928959</v>
      </c>
      <c r="X58" s="77">
        <f t="shared" ca="1" si="131"/>
        <v>23.665996978961466</v>
      </c>
      <c r="Y58" s="77">
        <f t="shared" ca="1" si="132"/>
        <v>82.436519314092862</v>
      </c>
      <c r="Z58" s="77">
        <f t="shared" ca="1" si="133"/>
        <v>0</v>
      </c>
      <c r="AA58" s="77">
        <f t="shared" ca="1" si="134"/>
        <v>226.45382603353318</v>
      </c>
      <c r="AB58" s="54">
        <f t="shared" ca="1" si="135"/>
        <v>2.2874123841771024</v>
      </c>
      <c r="AC58" s="53">
        <f ca="1">OFFSET('National statistics'!$A$6,MATCH(R0_estimation!$A58,'National statistics'!$A$7:$A$5000,0),MATCH(R0_estimation!AC$16 &amp; "_Running14daysNew",'National statistics'!$B$1:$HA$1,0))</f>
        <v>552</v>
      </c>
      <c r="AD58" s="97">
        <f t="shared" ca="1" si="136"/>
        <v>1.1513150830584011</v>
      </c>
      <c r="AE58" s="98">
        <f t="shared" ca="1" si="107"/>
        <v>0.57565754152920057</v>
      </c>
      <c r="AF58" s="77">
        <f t="shared" ca="1" si="137"/>
        <v>15636017.099415425</v>
      </c>
      <c r="AG58" s="77">
        <f t="shared" ca="1" si="138"/>
        <v>295.72463257145023</v>
      </c>
      <c r="AH58" s="77">
        <f t="shared" ca="1" si="139"/>
        <v>928.62514708446122</v>
      </c>
      <c r="AI58" s="77">
        <f t="shared" ca="1" si="140"/>
        <v>0</v>
      </c>
      <c r="AJ58" s="77">
        <f t="shared" ca="1" si="141"/>
        <v>2172.7751304081794</v>
      </c>
      <c r="AK58" s="54">
        <f t="shared" ca="1" si="142"/>
        <v>21.947223539476553</v>
      </c>
      <c r="AL58" s="53">
        <f ca="1">OFFSET('National statistics'!$A$6,MATCH(R0_estimation!$A58,'National statistics'!$A$7:$A$5000,0),MATCH(R0_estimation!AL$16 &amp; "_Running14daysNew",'National statistics'!$B$1:$HA$1,0))</f>
        <v>397</v>
      </c>
      <c r="AM58" s="97">
        <f t="shared" ca="1" si="143"/>
        <v>1.4899002769655674</v>
      </c>
      <c r="AN58" s="98">
        <f t="shared" ca="1" si="108"/>
        <v>0.74495013848278369</v>
      </c>
      <c r="AO58" s="77">
        <f t="shared" ca="1" si="144"/>
        <v>10999051.511286907</v>
      </c>
      <c r="AP58" s="77">
        <f t="shared" ca="1" si="145"/>
        <v>181.59137576982408</v>
      </c>
      <c r="AQ58" s="77">
        <f t="shared" ca="1" si="146"/>
        <v>469.68814526679012</v>
      </c>
      <c r="AR58" s="77">
        <f t="shared" ca="1" si="147"/>
        <v>0</v>
      </c>
      <c r="AS58" s="77">
        <f t="shared" ca="1" si="148"/>
        <v>818.34506750894866</v>
      </c>
      <c r="AT58" s="54">
        <f t="shared" ca="1" si="149"/>
        <v>8.2661117930196841</v>
      </c>
      <c r="AU58" s="53">
        <f ca="1">OFFSET('National statistics'!$A$6,MATCH(R0_estimation!$A58,'National statistics'!$A$7:$A$5000,0),MATCH(R0_estimation!AU$16 &amp; "_Running14daysNew",'National statistics'!$B$1:$HA$1,0))</f>
        <v>9</v>
      </c>
      <c r="AV58" s="97">
        <f t="shared" ca="1" si="150"/>
        <v>1.7150884819427765</v>
      </c>
      <c r="AW58" s="98">
        <f t="shared" ca="1" si="109"/>
        <v>0.85754424097138826</v>
      </c>
      <c r="AX58" s="77">
        <f t="shared" ca="1" si="151"/>
        <v>5853712.3136174008</v>
      </c>
      <c r="AY58" s="77">
        <f t="shared" ca="1" si="152"/>
        <v>18.475552109752783</v>
      </c>
      <c r="AZ58" s="77">
        <f t="shared" ca="1" si="153"/>
        <v>43.095552219727395</v>
      </c>
      <c r="BA58" s="77">
        <f t="shared" ca="1" si="154"/>
        <v>0</v>
      </c>
      <c r="BB58" s="77">
        <f t="shared" ca="1" si="155"/>
        <v>64.283110866466174</v>
      </c>
      <c r="BC58" s="54">
        <f t="shared" ca="1" si="156"/>
        <v>0.64932435218652718</v>
      </c>
      <c r="BD58" s="53">
        <f ca="1">OFFSET('National statistics'!$A$6,MATCH(R0_estimation!$A58,'National statistics'!$A$7:$A$5000,0),MATCH(R0_estimation!BD$16 &amp; "_Running14daysNew",'National statistics'!$B$1:$HA$1,0))</f>
        <v>36</v>
      </c>
      <c r="BE58" s="97">
        <f t="shared" ca="1" si="157"/>
        <v>1.4435626881707697</v>
      </c>
      <c r="BF58" s="98">
        <f t="shared" ca="1" si="110"/>
        <v>0.72178134408538486</v>
      </c>
      <c r="BG58" s="77">
        <f t="shared" ca="1" si="158"/>
        <v>4809116.1325149443</v>
      </c>
      <c r="BH58" s="77">
        <f t="shared" ca="1" si="159"/>
        <v>9.5881151636867177</v>
      </c>
      <c r="BI58" s="77">
        <f t="shared" ca="1" si="160"/>
        <v>25.385662586528454</v>
      </c>
      <c r="BJ58" s="77">
        <f t="shared" ca="1" si="161"/>
        <v>0</v>
      </c>
      <c r="BK58" s="77">
        <f t="shared" ca="1" si="162"/>
        <v>46.064806588106435</v>
      </c>
      <c r="BL58" s="54">
        <f t="shared" ca="1" si="163"/>
        <v>0.46530107664753989</v>
      </c>
      <c r="BM58" s="53">
        <f ca="1">OFFSET('National statistics'!$A$6,MATCH(R0_estimation!$A58,'National statistics'!$A$7:$A$5000,0),MATCH(R0_estimation!BM$16 &amp; "_Running14daysNew",'National statistics'!$B$1:$HA$1,0))</f>
        <v>15</v>
      </c>
      <c r="BN58" s="97">
        <f t="shared" ca="1" si="164"/>
        <v>1.9865205416387972</v>
      </c>
      <c r="BO58" s="98">
        <f t="shared" ca="1" si="111"/>
        <v>0.99326027081939861</v>
      </c>
      <c r="BP58" s="77">
        <f t="shared" ca="1" si="165"/>
        <v>4107552.7995081339</v>
      </c>
      <c r="BQ58" s="77">
        <f t="shared" ca="1" si="166"/>
        <v>14.258228248432397</v>
      </c>
      <c r="BR58" s="77">
        <f t="shared" ca="1" si="167"/>
        <v>29.91688443770115</v>
      </c>
      <c r="BS58" s="77">
        <f t="shared" ca="1" si="168"/>
        <v>0</v>
      </c>
      <c r="BT58" s="77">
        <f t="shared" ca="1" si="169"/>
        <v>37.813187828650626</v>
      </c>
      <c r="BU58" s="54">
        <f t="shared" ca="1" si="170"/>
        <v>0.38195139220859226</v>
      </c>
      <c r="BV58" s="53">
        <f ca="1">OFFSET('National statistics'!$A$6,MATCH(R0_estimation!$A58,'National statistics'!$A$7:$A$5000,0),MATCH(R0_estimation!BV$16 &amp; "_Running14daysNew",'National statistics'!$B$1:$HA$1,0))</f>
        <v>11</v>
      </c>
      <c r="BW58" s="97">
        <f t="shared" ca="1" si="171"/>
        <v>1.3799241468388452</v>
      </c>
      <c r="BX58" s="98">
        <f t="shared" ca="1" si="112"/>
        <v>0.68996207341942262</v>
      </c>
      <c r="BY58" s="77">
        <f t="shared" ca="1" si="172"/>
        <v>1322193.9912933412</v>
      </c>
      <c r="BZ58" s="77">
        <f t="shared" ca="1" si="173"/>
        <v>4.4351391999032721</v>
      </c>
      <c r="CA58" s="77">
        <f t="shared" ca="1" si="174"/>
        <v>12.143837879270823</v>
      </c>
      <c r="CB58" s="77">
        <f t="shared" ca="1" si="175"/>
        <v>0</v>
      </c>
      <c r="CC58" s="77">
        <f t="shared" ca="1" si="176"/>
        <v>23.293513937536019</v>
      </c>
      <c r="CD58" s="54">
        <f t="shared" ca="1" si="177"/>
        <v>0.23528801957107098</v>
      </c>
      <c r="CE58" s="53">
        <f ca="1">OFFSET('National statistics'!$A$6,MATCH(R0_estimation!$A58,'National statistics'!$A$7:$A$5000,0),MATCH(R0_estimation!CE$16 &amp; "_Running14daysNew",'National statistics'!$B$1:$HA$1,0))</f>
        <v>2695</v>
      </c>
      <c r="CF58" s="97">
        <f t="shared" ca="1" si="178"/>
        <v>2.4331242245373454</v>
      </c>
      <c r="CG58" s="98">
        <f t="shared" ca="1" si="113"/>
        <v>1.2165621122686727</v>
      </c>
      <c r="CH58" s="77">
        <f t="shared" ca="1" si="179"/>
        <v>7297572.2145136809</v>
      </c>
      <c r="CI58" s="77">
        <f t="shared" ca="1" si="180"/>
        <v>1575.4655623059625</v>
      </c>
      <c r="CJ58" s="77">
        <f t="shared" ca="1" si="181"/>
        <v>2866.7120453217585</v>
      </c>
      <c r="CK58" s="77">
        <f t="shared" ca="1" si="182"/>
        <v>0</v>
      </c>
      <c r="CL58" s="77">
        <f t="shared" ca="1" si="183"/>
        <v>2839.8270374028825</v>
      </c>
      <c r="CM58" s="54">
        <f t="shared" ca="1" si="184"/>
        <v>28.685121589928105</v>
      </c>
      <c r="CO58" s="209"/>
      <c r="CP58" s="210"/>
    </row>
    <row r="59" spans="1:94">
      <c r="A59" s="83">
        <v>43959</v>
      </c>
      <c r="B59" s="53">
        <f ca="1">OFFSET('National statistics'!$A$6,MATCH(R0_estimation!$A59,'National statistics'!$A$7:$A$5000,0),MATCH(R0_estimation!B$16 &amp; "_Running14daysNew",'National statistics'!$B$1:$HA$1,0))</f>
        <v>4648</v>
      </c>
      <c r="C59" s="97">
        <f t="shared" ca="1" si="115"/>
        <v>1.9211610393424374</v>
      </c>
      <c r="D59" s="98">
        <f t="shared" si="114"/>
        <v>1</v>
      </c>
      <c r="E59" s="77">
        <f t="shared" ca="1" si="116"/>
        <v>59700609.342286438</v>
      </c>
      <c r="F59" s="77">
        <f t="shared" ca="1" si="117"/>
        <v>2819.4588787495982</v>
      </c>
      <c r="G59" s="77">
        <f t="shared" ca="1" si="118"/>
        <v>6060.1993522177791</v>
      </c>
      <c r="H59" s="77">
        <f t="shared" ca="1" si="119"/>
        <v>0</v>
      </c>
      <c r="I59" s="77">
        <f t="shared" ca="1" si="120"/>
        <v>7958.1273028893602</v>
      </c>
      <c r="J59" s="54">
        <f t="shared" ca="1" si="121"/>
        <v>80.385124271609712</v>
      </c>
      <c r="K59" s="53">
        <f ca="1">OFFSET('National statistics'!$A$6,MATCH(R0_estimation!$A59,'National statistics'!$A$7:$A$5000,0),MATCH(R0_estimation!K$16 &amp; "_Running14daysNew",'National statistics'!$B$1:$HA$1,0))</f>
        <v>509</v>
      </c>
      <c r="L59" s="97">
        <f t="shared" ca="1" si="122"/>
        <v>2.7782873101034609</v>
      </c>
      <c r="M59" s="98">
        <f t="shared" ca="1" si="105"/>
        <v>1.3891436550517304</v>
      </c>
      <c r="N59" s="77">
        <f t="shared" ca="1" si="123"/>
        <v>6869890.7019687034</v>
      </c>
      <c r="O59" s="77">
        <f t="shared" ca="1" si="124"/>
        <v>214.17631734268616</v>
      </c>
      <c r="P59" s="77">
        <f t="shared" ca="1" si="125"/>
        <v>355.37245585671093</v>
      </c>
      <c r="Q59" s="77">
        <f t="shared" ca="1" si="126"/>
        <v>0</v>
      </c>
      <c r="R59" s="77">
        <f t="shared" ca="1" si="127"/>
        <v>300.89332225972765</v>
      </c>
      <c r="S59" s="54">
        <f t="shared" ca="1" si="128"/>
        <v>3.0393264874719965</v>
      </c>
      <c r="T59" s="53">
        <f ca="1">OFFSET('National statistics'!$A$6,MATCH(R0_estimation!$A59,'National statistics'!$A$7:$A$5000,0),MATCH(R0_estimation!T$16 &amp; "_Running14daysNew",'National statistics'!$B$1:$HA$1,0))</f>
        <v>22</v>
      </c>
      <c r="U59" s="97">
        <f t="shared" ca="1" si="129"/>
        <v>1.0062710569511544</v>
      </c>
      <c r="V59" s="98">
        <f t="shared" ca="1" si="106"/>
        <v>0.50313552847557719</v>
      </c>
      <c r="W59" s="77">
        <f t="shared" ca="1" si="130"/>
        <v>2808668.3610455659</v>
      </c>
      <c r="X59" s="77">
        <f t="shared" ca="1" si="131"/>
        <v>23.674045064011658</v>
      </c>
      <c r="Y59" s="77">
        <f t="shared" ca="1" si="132"/>
        <v>82.464695750683731</v>
      </c>
      <c r="Z59" s="77">
        <f t="shared" ca="1" si="133"/>
        <v>0</v>
      </c>
      <c r="AA59" s="77">
        <f t="shared" ca="1" si="134"/>
        <v>232.28326561360117</v>
      </c>
      <c r="AB59" s="54">
        <f t="shared" ca="1" si="135"/>
        <v>2.3462956122585972</v>
      </c>
      <c r="AC59" s="53">
        <f ca="1">OFFSET('National statistics'!$A$6,MATCH(R0_estimation!$A59,'National statistics'!$A$7:$A$5000,0),MATCH(R0_estimation!AC$16 &amp; "_Running14daysNew",'National statistics'!$B$1:$HA$1,0))</f>
        <v>570</v>
      </c>
      <c r="AD59" s="97">
        <f t="shared" ca="1" si="136"/>
        <v>1.1513150830584011</v>
      </c>
      <c r="AE59" s="98">
        <f t="shared" ca="1" si="107"/>
        <v>0.57565754152920057</v>
      </c>
      <c r="AF59" s="77">
        <f t="shared" ca="1" si="137"/>
        <v>15635940.748850824</v>
      </c>
      <c r="AG59" s="77">
        <f t="shared" ca="1" si="138"/>
        <v>298.14403902985237</v>
      </c>
      <c r="AH59" s="77">
        <f t="shared" ca="1" si="139"/>
        <v>936.22593757843367</v>
      </c>
      <c r="AI59" s="77">
        <f t="shared" ca="1" si="140"/>
        <v>0</v>
      </c>
      <c r="AJ59" s="77">
        <f t="shared" ca="1" si="141"/>
        <v>2238.4421943805805</v>
      </c>
      <c r="AK59" s="54">
        <f t="shared" ca="1" si="142"/>
        <v>22.610527215965455</v>
      </c>
      <c r="AL59" s="53">
        <f ca="1">OFFSET('National statistics'!$A$6,MATCH(R0_estimation!$A59,'National statistics'!$A$7:$A$5000,0),MATCH(R0_estimation!AL$16 &amp; "_Running14daysNew",'National statistics'!$B$1:$HA$1,0))</f>
        <v>412</v>
      </c>
      <c r="AM59" s="97">
        <f t="shared" ca="1" si="143"/>
        <v>1.4899002769655674</v>
      </c>
      <c r="AN59" s="98">
        <f t="shared" ca="1" si="108"/>
        <v>0.74495013848278369</v>
      </c>
      <c r="AO59" s="77">
        <f t="shared" ca="1" si="144"/>
        <v>10999001.533071989</v>
      </c>
      <c r="AP59" s="77">
        <f t="shared" ca="1" si="145"/>
        <v>186.1717467446548</v>
      </c>
      <c r="AQ59" s="77">
        <f t="shared" ca="1" si="146"/>
        <v>481.53683597590395</v>
      </c>
      <c r="AR59" s="77">
        <f t="shared" ca="1" si="147"/>
        <v>0</v>
      </c>
      <c r="AS59" s="77">
        <f t="shared" ca="1" si="148"/>
        <v>851.55872920995739</v>
      </c>
      <c r="AT59" s="54">
        <f t="shared" ca="1" si="149"/>
        <v>8.6016033253531052</v>
      </c>
      <c r="AU59" s="53">
        <f ca="1">OFFSET('National statistics'!$A$6,MATCH(R0_estimation!$A59,'National statistics'!$A$7:$A$5000,0),MATCH(R0_estimation!AU$16 &amp; "_Running14daysNew",'National statistics'!$B$1:$HA$1,0))</f>
        <v>9</v>
      </c>
      <c r="AV59" s="97">
        <f t="shared" ca="1" si="150"/>
        <v>1.7150884819427765</v>
      </c>
      <c r="AW59" s="98">
        <f t="shared" ca="1" si="109"/>
        <v>0.85754424097138826</v>
      </c>
      <c r="AX59" s="77">
        <f t="shared" ca="1" si="151"/>
        <v>5853707.0342533896</v>
      </c>
      <c r="AY59" s="77">
        <f t="shared" ca="1" si="152"/>
        <v>19.136028093316064</v>
      </c>
      <c r="AZ59" s="77">
        <f t="shared" ca="1" si="153"/>
        <v>44.63618651718506</v>
      </c>
      <c r="BA59" s="77">
        <f t="shared" ca="1" si="154"/>
        <v>0</v>
      </c>
      <c r="BB59" s="77">
        <f t="shared" ca="1" si="155"/>
        <v>67.330582059146892</v>
      </c>
      <c r="BC59" s="54">
        <f t="shared" ca="1" si="156"/>
        <v>0.68010688948633247</v>
      </c>
      <c r="BD59" s="53">
        <f ca="1">OFFSET('National statistics'!$A$6,MATCH(R0_estimation!$A59,'National statistics'!$A$7:$A$5000,0),MATCH(R0_estimation!BD$16 &amp; "_Running14daysNew",'National statistics'!$B$1:$HA$1,0))</f>
        <v>36</v>
      </c>
      <c r="BE59" s="97">
        <f t="shared" ca="1" si="157"/>
        <v>1.4435626881707697</v>
      </c>
      <c r="BF59" s="98">
        <f t="shared" ca="1" si="110"/>
        <v>0.72178134408538486</v>
      </c>
      <c r="BG59" s="77">
        <f t="shared" ca="1" si="158"/>
        <v>4809113.5150022432</v>
      </c>
      <c r="BH59" s="77">
        <f t="shared" ca="1" si="159"/>
        <v>9.8085990738529443</v>
      </c>
      <c r="BI59" s="77">
        <f t="shared" ca="1" si="160"/>
        <v>25.969429764126673</v>
      </c>
      <c r="BJ59" s="77">
        <f t="shared" ca="1" si="161"/>
        <v>0</v>
      </c>
      <c r="BK59" s="77">
        <f t="shared" ca="1" si="162"/>
        <v>47.859935585296661</v>
      </c>
      <c r="BL59" s="54">
        <f t="shared" ca="1" si="163"/>
        <v>0.48343369278077453</v>
      </c>
      <c r="BM59" s="53">
        <f ca="1">OFFSET('National statistics'!$A$6,MATCH(R0_estimation!$A59,'National statistics'!$A$7:$A$5000,0),MATCH(R0_estimation!BM$16 &amp; "_Running14daysNew",'National statistics'!$B$1:$HA$1,0))</f>
        <v>17</v>
      </c>
      <c r="BN59" s="97">
        <f t="shared" ca="1" si="164"/>
        <v>1.9865205416387972</v>
      </c>
      <c r="BO59" s="98">
        <f t="shared" ca="1" si="111"/>
        <v>0.99326027081939861</v>
      </c>
      <c r="BP59" s="77">
        <f t="shared" ca="1" si="165"/>
        <v>4107548.5545567591</v>
      </c>
      <c r="BQ59" s="77">
        <f t="shared" ca="1" si="166"/>
        <v>14.938622561019871</v>
      </c>
      <c r="BR59" s="77">
        <f t="shared" ca="1" si="167"/>
        <v>31.344521182830597</v>
      </c>
      <c r="BS59" s="77">
        <f t="shared" ca="1" si="168"/>
        <v>0</v>
      </c>
      <c r="BT59" s="77">
        <f t="shared" ca="1" si="169"/>
        <v>39.928738942459496</v>
      </c>
      <c r="BU59" s="54">
        <f t="shared" ca="1" si="170"/>
        <v>0.40332059537837878</v>
      </c>
      <c r="BV59" s="53">
        <f ca="1">OFFSET('National statistics'!$A$6,MATCH(R0_estimation!$A59,'National statistics'!$A$7:$A$5000,0),MATCH(R0_estimation!BV$16 &amp; "_Running14daysNew",'National statistics'!$B$1:$HA$1,0))</f>
        <v>11</v>
      </c>
      <c r="BW59" s="97">
        <f t="shared" ca="1" si="171"/>
        <v>1.3799241468388452</v>
      </c>
      <c r="BX59" s="98">
        <f t="shared" ca="1" si="112"/>
        <v>0.68996207341942262</v>
      </c>
      <c r="BY59" s="77">
        <f t="shared" ca="1" si="172"/>
        <v>1322192.7943597846</v>
      </c>
      <c r="BZ59" s="77">
        <f t="shared" ca="1" si="173"/>
        <v>4.523287956607569</v>
      </c>
      <c r="CA59" s="77">
        <f t="shared" ca="1" si="174"/>
        <v>12.385205687870155</v>
      </c>
      <c r="CB59" s="77">
        <f t="shared" ca="1" si="175"/>
        <v>0</v>
      </c>
      <c r="CC59" s="77">
        <f t="shared" ca="1" si="176"/>
        <v>24.152256758998742</v>
      </c>
      <c r="CD59" s="54">
        <f t="shared" ca="1" si="177"/>
        <v>0.24396218948483586</v>
      </c>
      <c r="CE59" s="53">
        <f ca="1">OFFSET('National statistics'!$A$6,MATCH(R0_estimation!$A59,'National statistics'!$A$7:$A$5000,0),MATCH(R0_estimation!CE$16 &amp; "_Running14daysNew",'National statistics'!$B$1:$HA$1,0))</f>
        <v>3062</v>
      </c>
      <c r="CF59" s="97">
        <f t="shared" ca="1" si="178"/>
        <v>2.4331242245373454</v>
      </c>
      <c r="CG59" s="98">
        <f t="shared" ca="1" si="113"/>
        <v>1.2165621122686727</v>
      </c>
      <c r="CH59" s="77">
        <f t="shared" ca="1" si="179"/>
        <v>7297074.4921369869</v>
      </c>
      <c r="CI59" s="77">
        <f t="shared" ca="1" si="180"/>
        <v>1679.3215484238849</v>
      </c>
      <c r="CJ59" s="77">
        <f t="shared" ca="1" si="181"/>
        <v>3055.813289803838</v>
      </c>
      <c r="CK59" s="77">
        <f t="shared" ca="1" si="182"/>
        <v>0</v>
      </c>
      <c r="CL59" s="77">
        <f t="shared" ca="1" si="183"/>
        <v>3042.5445320363497</v>
      </c>
      <c r="CM59" s="54">
        <f t="shared" ca="1" si="184"/>
        <v>30.732773050872218</v>
      </c>
      <c r="CO59" s="209"/>
      <c r="CP59" s="210"/>
    </row>
    <row r="60" spans="1:94">
      <c r="A60" s="83">
        <v>43960</v>
      </c>
      <c r="B60" s="53">
        <f ca="1">OFFSET('National statistics'!$A$6,MATCH(R0_estimation!$A60,'National statistics'!$A$7:$A$5000,0),MATCH(R0_estimation!B$16 &amp; "_Running14daysNew",'National statistics'!$B$1:$HA$1,0))</f>
        <v>5061</v>
      </c>
      <c r="C60" s="97">
        <f t="shared" ca="1" si="115"/>
        <v>1.9211610393424374</v>
      </c>
      <c r="D60" s="98">
        <f t="shared" si="114"/>
        <v>1</v>
      </c>
      <c r="E60" s="77">
        <f t="shared" ca="1" si="116"/>
        <v>59699777.961132027</v>
      </c>
      <c r="F60" s="77">
        <f t="shared" ca="1" si="117"/>
        <v>2945.975313472537</v>
      </c>
      <c r="G60" s="77">
        <f t="shared" ca="1" si="118"/>
        <v>6332.1926896039095</v>
      </c>
      <c r="H60" s="77">
        <f t="shared" ca="1" si="119"/>
        <v>0</v>
      </c>
      <c r="I60" s="77">
        <f t="shared" ca="1" si="120"/>
        <v>8386.6699713676171</v>
      </c>
      <c r="J60" s="54">
        <f t="shared" ca="1" si="121"/>
        <v>84.713838094622417</v>
      </c>
      <c r="K60" s="53">
        <f ca="1">OFFSET('National statistics'!$A$6,MATCH(R0_estimation!$A60,'National statistics'!$A$7:$A$5000,0),MATCH(R0_estimation!K$16 &amp; "_Running14daysNew",'National statistics'!$B$1:$HA$1,0))</f>
        <v>597</v>
      </c>
      <c r="L60" s="97">
        <f t="shared" ca="1" si="122"/>
        <v>2.7782873101034609</v>
      </c>
      <c r="M60" s="98">
        <f t="shared" ca="1" si="105"/>
        <v>1.3891436550517304</v>
      </c>
      <c r="N60" s="77">
        <f t="shared" ca="1" si="123"/>
        <v>6869820.1875614077</v>
      </c>
      <c r="O60" s="77">
        <f t="shared" ca="1" si="124"/>
        <v>231.14664530269772</v>
      </c>
      <c r="P60" s="77">
        <f t="shared" ca="1" si="125"/>
        <v>383.53278834547456</v>
      </c>
      <c r="Q60" s="77">
        <f t="shared" ca="1" si="126"/>
        <v>0</v>
      </c>
      <c r="R60" s="77">
        <f t="shared" ca="1" si="127"/>
        <v>326.02323163816652</v>
      </c>
      <c r="S60" s="54">
        <f t="shared" ca="1" si="128"/>
        <v>3.2931639559410759</v>
      </c>
      <c r="T60" s="53">
        <f ca="1">OFFSET('National statistics'!$A$6,MATCH(R0_estimation!$A60,'National statistics'!$A$7:$A$5000,0),MATCH(R0_estimation!T$16 &amp; "_Running14daysNew",'National statistics'!$B$1:$HA$1,0))</f>
        <v>23</v>
      </c>
      <c r="U60" s="97">
        <f t="shared" ca="1" si="129"/>
        <v>1.0062710569511544</v>
      </c>
      <c r="V60" s="98">
        <f t="shared" ca="1" si="106"/>
        <v>0.50313552847557719</v>
      </c>
      <c r="W60" s="77">
        <f t="shared" ca="1" si="130"/>
        <v>2808662.4344856292</v>
      </c>
      <c r="X60" s="77">
        <f t="shared" ca="1" si="131"/>
        <v>23.682093734664534</v>
      </c>
      <c r="Y60" s="77">
        <f t="shared" ca="1" si="132"/>
        <v>82.492871605923511</v>
      </c>
      <c r="Z60" s="77">
        <f t="shared" ca="1" si="133"/>
        <v>0</v>
      </c>
      <c r="AA60" s="77">
        <f t="shared" ca="1" si="134"/>
        <v>238.11469767025667</v>
      </c>
      <c r="AB60" s="54">
        <f t="shared" ca="1" si="135"/>
        <v>2.4051989663662283</v>
      </c>
      <c r="AC60" s="53">
        <f ca="1">OFFSET('National statistics'!$A$6,MATCH(R0_estimation!$A60,'National statistics'!$A$7:$A$5000,0),MATCH(R0_estimation!AC$16 &amp; "_Running14daysNew",'National statistics'!$B$1:$HA$1,0))</f>
        <v>606</v>
      </c>
      <c r="AD60" s="97">
        <f t="shared" ca="1" si="136"/>
        <v>1.1513150830584011</v>
      </c>
      <c r="AE60" s="98">
        <f t="shared" ca="1" si="107"/>
        <v>0.57565754152920057</v>
      </c>
      <c r="AF60" s="77">
        <f t="shared" ca="1" si="137"/>
        <v>15635863.773729978</v>
      </c>
      <c r="AG60" s="77">
        <f t="shared" ca="1" si="138"/>
        <v>300.58315011794986</v>
      </c>
      <c r="AH60" s="77">
        <f t="shared" ca="1" si="139"/>
        <v>943.88866608029446</v>
      </c>
      <c r="AI60" s="77">
        <f t="shared" ca="1" si="140"/>
        <v>0</v>
      </c>
      <c r="AJ60" s="77">
        <f t="shared" ca="1" si="141"/>
        <v>2304.6467428236269</v>
      </c>
      <c r="AK60" s="54">
        <f t="shared" ca="1" si="142"/>
        <v>23.279260028521477</v>
      </c>
      <c r="AL60" s="53">
        <f ca="1">OFFSET('National statistics'!$A$6,MATCH(R0_estimation!$A60,'National statistics'!$A$7:$A$5000,0),MATCH(R0_estimation!AL$16 &amp; "_Running14daysNew",'National statistics'!$B$1:$HA$1,0))</f>
        <v>461</v>
      </c>
      <c r="AM60" s="97">
        <f t="shared" ca="1" si="143"/>
        <v>1.4899002769655674</v>
      </c>
      <c r="AN60" s="98">
        <f t="shared" ca="1" si="108"/>
        <v>0.74495013848278369</v>
      </c>
      <c r="AO60" s="77">
        <f t="shared" ca="1" si="144"/>
        <v>10998950.294301964</v>
      </c>
      <c r="AP60" s="77">
        <f t="shared" ca="1" si="145"/>
        <v>190.86758008326498</v>
      </c>
      <c r="AQ60" s="77">
        <f t="shared" ca="1" si="146"/>
        <v>493.68428437807449</v>
      </c>
      <c r="AR60" s="77">
        <f t="shared" ca="1" si="147"/>
        <v>0</v>
      </c>
      <c r="AS60" s="77">
        <f t="shared" ca="1" si="148"/>
        <v>885.61026261111056</v>
      </c>
      <c r="AT60" s="54">
        <f t="shared" ca="1" si="149"/>
        <v>8.9455582081930363</v>
      </c>
      <c r="AU60" s="53">
        <f ca="1">OFFSET('National statistics'!$A$6,MATCH(R0_estimation!$A60,'National statistics'!$A$7:$A$5000,0),MATCH(R0_estimation!AU$16 &amp; "_Running14daysNew",'National statistics'!$B$1:$HA$1,0))</f>
        <v>16</v>
      </c>
      <c r="AV60" s="97">
        <f t="shared" ca="1" si="150"/>
        <v>1.7150884819427765</v>
      </c>
      <c r="AW60" s="98">
        <f t="shared" ca="1" si="109"/>
        <v>0.85754424097138826</v>
      </c>
      <c r="AX60" s="77">
        <f t="shared" ca="1" si="151"/>
        <v>5853701.5661609005</v>
      </c>
      <c r="AY60" s="77">
        <f t="shared" ca="1" si="152"/>
        <v>19.820113558870929</v>
      </c>
      <c r="AZ60" s="77">
        <f t="shared" ca="1" si="153"/>
        <v>46.231894503572285</v>
      </c>
      <c r="BA60" s="77">
        <f t="shared" ca="1" si="154"/>
        <v>0</v>
      </c>
      <c r="BB60" s="77">
        <f t="shared" ca="1" si="155"/>
        <v>70.486998105719266</v>
      </c>
      <c r="BC60" s="54">
        <f t="shared" ca="1" si="156"/>
        <v>0.71198987985575035</v>
      </c>
      <c r="BD60" s="53">
        <f ca="1">OFFSET('National statistics'!$A$6,MATCH(R0_estimation!$A60,'National statistics'!$A$7:$A$5000,0),MATCH(R0_estimation!BD$16 &amp; "_Running14daysNew",'National statistics'!$B$1:$HA$1,0))</f>
        <v>38</v>
      </c>
      <c r="BE60" s="97">
        <f t="shared" ca="1" si="157"/>
        <v>1.4435626881707697</v>
      </c>
      <c r="BF60" s="98">
        <f t="shared" ca="1" si="110"/>
        <v>0.72178134408538486</v>
      </c>
      <c r="BG60" s="77">
        <f t="shared" ca="1" si="158"/>
        <v>4809110.8372988245</v>
      </c>
      <c r="BH60" s="77">
        <f t="shared" ca="1" si="159"/>
        <v>10.034152724573945</v>
      </c>
      <c r="BI60" s="77">
        <f t="shared" ca="1" si="160"/>
        <v>26.566620263723717</v>
      </c>
      <c r="BJ60" s="77">
        <f t="shared" ca="1" si="161"/>
        <v>0</v>
      </c>
      <c r="BK60" s="77">
        <f t="shared" ca="1" si="162"/>
        <v>49.696345261474193</v>
      </c>
      <c r="BL60" s="54">
        <f t="shared" ca="1" si="163"/>
        <v>0.50198328546943638</v>
      </c>
      <c r="BM60" s="53">
        <f ca="1">OFFSET('National statistics'!$A$6,MATCH(R0_estimation!$A60,'National statistics'!$A$7:$A$5000,0),MATCH(R0_estimation!BM$16 &amp; "_Running14daysNew",'National statistics'!$B$1:$HA$1,0))</f>
        <v>13</v>
      </c>
      <c r="BN60" s="97">
        <f t="shared" ca="1" si="164"/>
        <v>1.9865205416387972</v>
      </c>
      <c r="BO60" s="98">
        <f t="shared" ca="1" si="111"/>
        <v>0.99326027081939861</v>
      </c>
      <c r="BP60" s="77">
        <f t="shared" ca="1" si="165"/>
        <v>4107544.1070404495</v>
      </c>
      <c r="BQ60" s="77">
        <f t="shared" ca="1" si="166"/>
        <v>15.651483230385441</v>
      </c>
      <c r="BR60" s="77">
        <f t="shared" ca="1" si="167"/>
        <v>32.840282452883386</v>
      </c>
      <c r="BS60" s="77">
        <f t="shared" ca="1" si="168"/>
        <v>0</v>
      </c>
      <c r="BT60" s="77">
        <f t="shared" ca="1" si="169"/>
        <v>42.145244368959659</v>
      </c>
      <c r="BU60" s="54">
        <f t="shared" ca="1" si="170"/>
        <v>0.42570953908040066</v>
      </c>
      <c r="BV60" s="53">
        <f ca="1">OFFSET('National statistics'!$A$6,MATCH(R0_estimation!$A60,'National statistics'!$A$7:$A$5000,0),MATCH(R0_estimation!BV$16 &amp; "_Running14daysNew",'National statistics'!$B$1:$HA$1,0))</f>
        <v>12</v>
      </c>
      <c r="BW60" s="97">
        <f t="shared" ca="1" si="171"/>
        <v>1.3799241468388452</v>
      </c>
      <c r="BX60" s="98">
        <f t="shared" ca="1" si="112"/>
        <v>0.68996207341942262</v>
      </c>
      <c r="BY60" s="77">
        <f t="shared" ca="1" si="172"/>
        <v>1322191.5736373805</v>
      </c>
      <c r="BZ60" s="77">
        <f t="shared" ca="1" si="173"/>
        <v>4.613188371605025</v>
      </c>
      <c r="CA60" s="77">
        <f t="shared" ca="1" si="174"/>
        <v>12.631370127888465</v>
      </c>
      <c r="CB60" s="77">
        <f t="shared" ca="1" si="175"/>
        <v>0</v>
      </c>
      <c r="CC60" s="77">
        <f t="shared" ca="1" si="176"/>
        <v>25.028067732640988</v>
      </c>
      <c r="CD60" s="54">
        <f t="shared" ca="1" si="177"/>
        <v>0.25280876497617166</v>
      </c>
      <c r="CE60" s="53">
        <f ca="1">OFFSET('National statistics'!$A$6,MATCH(R0_estimation!$A60,'National statistics'!$A$7:$A$5000,0),MATCH(R0_estimation!CE$16 &amp; "_Running14daysNew",'National statistics'!$B$1:$HA$1,0))</f>
        <v>3295</v>
      </c>
      <c r="CF60" s="97">
        <f t="shared" ca="1" si="178"/>
        <v>2.4331242245373454</v>
      </c>
      <c r="CG60" s="98">
        <f t="shared" ca="1" si="113"/>
        <v>1.2165621122686727</v>
      </c>
      <c r="CH60" s="77">
        <f t="shared" ca="1" si="179"/>
        <v>7296543.9737866195</v>
      </c>
      <c r="CI60" s="77">
        <f t="shared" ca="1" si="180"/>
        <v>1790.0095116849907</v>
      </c>
      <c r="CJ60" s="77">
        <f t="shared" ca="1" si="181"/>
        <v>3257.3712990666777</v>
      </c>
      <c r="CK60" s="77">
        <f t="shared" ca="1" si="182"/>
        <v>0</v>
      </c>
      <c r="CL60" s="77">
        <f t="shared" ca="1" si="183"/>
        <v>3258.6341861010496</v>
      </c>
      <c r="CM60" s="54">
        <f t="shared" ca="1" si="184"/>
        <v>32.915496829303528</v>
      </c>
      <c r="CO60" s="209"/>
      <c r="CP60" s="210"/>
    </row>
    <row r="61" spans="1:94">
      <c r="A61" s="83">
        <v>43961</v>
      </c>
      <c r="B61" s="53">
        <f ca="1">OFFSET('National statistics'!$A$6,MATCH(R0_estimation!$A61,'National statistics'!$A$7:$A$5000,0),MATCH(R0_estimation!B$16 &amp; "_Running14daysNew",'National statistics'!$B$1:$HA$1,0))</f>
        <v>5516</v>
      </c>
      <c r="C61" s="97">
        <f t="shared" ca="1" si="115"/>
        <v>1.9211610393424374</v>
      </c>
      <c r="D61" s="98">
        <f t="shared" si="114"/>
        <v>1</v>
      </c>
      <c r="E61" s="77">
        <f t="shared" ca="1" si="116"/>
        <v>59698909.278035685</v>
      </c>
      <c r="F61" s="77">
        <f t="shared" ca="1" si="117"/>
        <v>3078.1645814442109</v>
      </c>
      <c r="G61" s="77">
        <f t="shared" ca="1" si="118"/>
        <v>6616.3870401431932</v>
      </c>
      <c r="H61" s="77">
        <f t="shared" ca="1" si="119"/>
        <v>0</v>
      </c>
      <c r="I61" s="77">
        <f t="shared" ca="1" si="120"/>
        <v>8834.4464544181792</v>
      </c>
      <c r="J61" s="54">
        <f t="shared" ca="1" si="121"/>
        <v>89.236832872910924</v>
      </c>
      <c r="K61" s="53">
        <f ca="1">OFFSET('National statistics'!$A$6,MATCH(R0_estimation!$A61,'National statistics'!$A$7:$A$5000,0),MATCH(R0_estimation!K$16 &amp; "_Running14daysNew",'National statistics'!$B$1:$HA$1,0))</f>
        <v>736</v>
      </c>
      <c r="L61" s="97">
        <f t="shared" ca="1" si="122"/>
        <v>2.7782873101034609</v>
      </c>
      <c r="M61" s="98">
        <f t="shared" ca="1" si="105"/>
        <v>1.3891436550517304</v>
      </c>
      <c r="N61" s="77">
        <f t="shared" ca="1" si="123"/>
        <v>6869744.0862479573</v>
      </c>
      <c r="O61" s="77">
        <f t="shared" ca="1" si="124"/>
        <v>249.46129742761994</v>
      </c>
      <c r="P61" s="77">
        <f t="shared" ca="1" si="125"/>
        <v>413.92425050361504</v>
      </c>
      <c r="Q61" s="77">
        <f t="shared" ca="1" si="126"/>
        <v>0</v>
      </c>
      <c r="R61" s="77">
        <f t="shared" ca="1" si="127"/>
        <v>353.14447881402509</v>
      </c>
      <c r="S61" s="54">
        <f t="shared" ca="1" si="128"/>
        <v>3.5671159476164149</v>
      </c>
      <c r="T61" s="53">
        <f ca="1">OFFSET('National statistics'!$A$6,MATCH(R0_estimation!$A61,'National statistics'!$A$7:$A$5000,0),MATCH(R0_estimation!T$16 &amp; "_Running14daysNew",'National statistics'!$B$1:$HA$1,0))</f>
        <v>24</v>
      </c>
      <c r="U61" s="97">
        <f t="shared" ca="1" si="129"/>
        <v>1.0062710569511544</v>
      </c>
      <c r="V61" s="98">
        <f t="shared" ca="1" si="106"/>
        <v>0.50313552847557719</v>
      </c>
      <c r="W61" s="77">
        <f t="shared" ca="1" si="130"/>
        <v>2808656.5059131403</v>
      </c>
      <c r="X61" s="77">
        <f t="shared" ca="1" si="131"/>
        <v>23.690142790074766</v>
      </c>
      <c r="Y61" s="77">
        <f t="shared" ca="1" si="132"/>
        <v>82.521047067737967</v>
      </c>
      <c r="Z61" s="77">
        <f t="shared" ca="1" si="133"/>
        <v>0</v>
      </c>
      <c r="AA61" s="77">
        <f t="shared" ca="1" si="134"/>
        <v>243.94812216238984</v>
      </c>
      <c r="AB61" s="54">
        <f t="shared" ca="1" si="135"/>
        <v>2.4641224460847453</v>
      </c>
      <c r="AC61" s="53">
        <f ca="1">OFFSET('National statistics'!$A$6,MATCH(R0_estimation!$A61,'National statistics'!$A$7:$A$5000,0),MATCH(R0_estimation!AC$16 &amp; "_Running14daysNew",'National statistics'!$B$1:$HA$1,0))</f>
        <v>621</v>
      </c>
      <c r="AD61" s="97">
        <f t="shared" ca="1" si="136"/>
        <v>1.1513150830584011</v>
      </c>
      <c r="AE61" s="98">
        <f t="shared" ca="1" si="107"/>
        <v>0.57565754152920057</v>
      </c>
      <c r="AF61" s="77">
        <f t="shared" ca="1" si="137"/>
        <v>15635786.168969585</v>
      </c>
      <c r="AG61" s="77">
        <f t="shared" ca="1" si="138"/>
        <v>303.0421229827013</v>
      </c>
      <c r="AH61" s="77">
        <f t="shared" ca="1" si="139"/>
        <v>951.61383460404659</v>
      </c>
      <c r="AI61" s="77">
        <f t="shared" ca="1" si="140"/>
        <v>0</v>
      </c>
      <c r="AJ61" s="77">
        <f t="shared" ca="1" si="141"/>
        <v>2371.393155639305</v>
      </c>
      <c r="AK61" s="54">
        <f t="shared" ca="1" si="142"/>
        <v>23.953466218578832</v>
      </c>
      <c r="AL61" s="53">
        <f ca="1">OFFSET('National statistics'!$A$6,MATCH(R0_estimation!$A61,'National statistics'!$A$7:$A$5000,0),MATCH(R0_estimation!AL$16 &amp; "_Running14daysNew",'National statistics'!$B$1:$HA$1,0))</f>
        <v>490</v>
      </c>
      <c r="AM61" s="97">
        <f t="shared" ca="1" si="143"/>
        <v>1.4899002769655674</v>
      </c>
      <c r="AN61" s="98">
        <f t="shared" ca="1" si="108"/>
        <v>0.74495013848278369</v>
      </c>
      <c r="AO61" s="77">
        <f t="shared" ca="1" si="144"/>
        <v>10998897.763204502</v>
      </c>
      <c r="AP61" s="77">
        <f t="shared" ca="1" si="145"/>
        <v>195.68178252576433</v>
      </c>
      <c r="AQ61" s="77">
        <f t="shared" ca="1" si="146"/>
        <v>506.13801622902821</v>
      </c>
      <c r="AR61" s="77">
        <f t="shared" ca="1" si="147"/>
        <v>0</v>
      </c>
      <c r="AS61" s="77">
        <f t="shared" ca="1" si="148"/>
        <v>920.52079414927437</v>
      </c>
      <c r="AT61" s="54">
        <f t="shared" ca="1" si="149"/>
        <v>9.2981898398916609</v>
      </c>
      <c r="AU61" s="53">
        <f ca="1">OFFSET('National statistics'!$A$6,MATCH(R0_estimation!$A61,'National statistics'!$A$7:$A$5000,0),MATCH(R0_estimation!AU$16 &amp; "_Running14daysNew",'National statistics'!$B$1:$HA$1,0))</f>
        <v>18</v>
      </c>
      <c r="AV61" s="97">
        <f t="shared" ca="1" si="150"/>
        <v>1.7150884819427765</v>
      </c>
      <c r="AW61" s="98">
        <f t="shared" ca="1" si="109"/>
        <v>0.85754424097138826</v>
      </c>
      <c r="AX61" s="77">
        <f t="shared" ca="1" si="151"/>
        <v>5853695.9025937356</v>
      </c>
      <c r="AY61" s="77">
        <f t="shared" ca="1" si="152"/>
        <v>20.52865233375443</v>
      </c>
      <c r="AZ61" s="77">
        <f t="shared" ca="1" si="153"/>
        <v>47.884644714463427</v>
      </c>
      <c r="BA61" s="77">
        <f t="shared" ca="1" si="154"/>
        <v>0</v>
      </c>
      <c r="BB61" s="77">
        <f t="shared" ca="1" si="155"/>
        <v>73.756253502757588</v>
      </c>
      <c r="BC61" s="54">
        <f t="shared" ca="1" si="156"/>
        <v>0.74501266164401625</v>
      </c>
      <c r="BD61" s="53">
        <f ca="1">OFFSET('National statistics'!$A$6,MATCH(R0_estimation!$A61,'National statistics'!$A$7:$A$5000,0),MATCH(R0_estimation!BD$16 &amp; "_Running14daysNew",'National statistics'!$B$1:$HA$1,0))</f>
        <v>38</v>
      </c>
      <c r="BE61" s="97">
        <f t="shared" ca="1" si="157"/>
        <v>1.4435626881707697</v>
      </c>
      <c r="BF61" s="98">
        <f t="shared" ca="1" si="110"/>
        <v>0.72178134408538486</v>
      </c>
      <c r="BG61" s="77">
        <f t="shared" ca="1" si="158"/>
        <v>4809108.098020711</v>
      </c>
      <c r="BH61" s="77">
        <f t="shared" ca="1" si="159"/>
        <v>10.264892657260285</v>
      </c>
      <c r="BI61" s="77">
        <f t="shared" ca="1" si="160"/>
        <v>27.177542711744081</v>
      </c>
      <c r="BJ61" s="77">
        <f t="shared" ca="1" si="161"/>
        <v>0</v>
      </c>
      <c r="BK61" s="77">
        <f t="shared" ca="1" si="162"/>
        <v>51.574984837266086</v>
      </c>
      <c r="BL61" s="54">
        <f t="shared" ca="1" si="163"/>
        <v>0.52095944280066764</v>
      </c>
      <c r="BM61" s="53">
        <f ca="1">OFFSET('National statistics'!$A$6,MATCH(R0_estimation!$A61,'National statistics'!$A$7:$A$5000,0),MATCH(R0_estimation!BM$16 &amp; "_Running14daysNew",'National statistics'!$B$1:$HA$1,0))</f>
        <v>17</v>
      </c>
      <c r="BN61" s="97">
        <f t="shared" ca="1" si="164"/>
        <v>1.9865205416387972</v>
      </c>
      <c r="BO61" s="98">
        <f t="shared" ca="1" si="111"/>
        <v>0.99326027081939861</v>
      </c>
      <c r="BP61" s="77">
        <f t="shared" ca="1" si="165"/>
        <v>4107539.4472935796</v>
      </c>
      <c r="BQ61" s="77">
        <f t="shared" ca="1" si="166"/>
        <v>16.39835929272876</v>
      </c>
      <c r="BR61" s="77">
        <f t="shared" ca="1" si="167"/>
        <v>34.407418799559508</v>
      </c>
      <c r="BS61" s="77">
        <f t="shared" ca="1" si="168"/>
        <v>0</v>
      </c>
      <c r="BT61" s="77">
        <f t="shared" ca="1" si="169"/>
        <v>44.467521485270701</v>
      </c>
      <c r="BU61" s="54">
        <f t="shared" ca="1" si="170"/>
        <v>0.44916688368960306</v>
      </c>
      <c r="BV61" s="53">
        <f ca="1">OFFSET('National statistics'!$A$6,MATCH(R0_estimation!$A61,'National statistics'!$A$7:$A$5000,0),MATCH(R0_estimation!BV$16 &amp; "_Running14daysNew",'National statistics'!$B$1:$HA$1,0))</f>
        <v>12</v>
      </c>
      <c r="BW61" s="97">
        <f t="shared" ca="1" si="171"/>
        <v>1.3799241468388452</v>
      </c>
      <c r="BX61" s="98">
        <f t="shared" ca="1" si="112"/>
        <v>0.68996207341942262</v>
      </c>
      <c r="BY61" s="77">
        <f t="shared" ca="1" si="172"/>
        <v>1322190.328653424</v>
      </c>
      <c r="BZ61" s="77">
        <f t="shared" ca="1" si="173"/>
        <v>4.7048752350407277</v>
      </c>
      <c r="CA61" s="77">
        <f t="shared" ca="1" si="174"/>
        <v>12.882426497369117</v>
      </c>
      <c r="CB61" s="77">
        <f t="shared" ca="1" si="175"/>
        <v>0</v>
      </c>
      <c r="CC61" s="77">
        <f t="shared" ca="1" si="176"/>
        <v>25.921286048827387</v>
      </c>
      <c r="CD61" s="54">
        <f t="shared" ca="1" si="177"/>
        <v>0.26183117221037772</v>
      </c>
      <c r="CE61" s="53">
        <f ca="1">OFFSET('National statistics'!$A$6,MATCH(R0_estimation!$A61,'National statistics'!$A$7:$A$5000,0),MATCH(R0_estimation!CE$16 &amp; "_Running14daysNew",'National statistics'!$B$1:$HA$1,0))</f>
        <v>3560</v>
      </c>
      <c r="CF61" s="97">
        <f t="shared" ca="1" si="178"/>
        <v>2.4331242245373454</v>
      </c>
      <c r="CG61" s="98">
        <f t="shared" ca="1" si="113"/>
        <v>1.2165621122686727</v>
      </c>
      <c r="CH61" s="77">
        <f t="shared" ca="1" si="179"/>
        <v>7295978.5039875647</v>
      </c>
      <c r="CI61" s="77">
        <f t="shared" ca="1" si="180"/>
        <v>1907.9769328182335</v>
      </c>
      <c r="CJ61" s="77">
        <f t="shared" ca="1" si="181"/>
        <v>3472.2042984831623</v>
      </c>
      <c r="CK61" s="77">
        <f t="shared" ca="1" si="182"/>
        <v>0</v>
      </c>
      <c r="CL61" s="77">
        <f t="shared" ca="1" si="183"/>
        <v>3488.9768708207648</v>
      </c>
      <c r="CM61" s="54">
        <f t="shared" ca="1" si="184"/>
        <v>35.242190614351152</v>
      </c>
      <c r="CO61" s="209"/>
      <c r="CP61" s="210"/>
    </row>
    <row r="62" spans="1:94">
      <c r="A62" s="83">
        <v>43962</v>
      </c>
      <c r="B62" s="53">
        <f ca="1">OFFSET('National statistics'!$A$6,MATCH(R0_estimation!$A62,'National statistics'!$A$7:$A$5000,0),MATCH(R0_estimation!B$16 &amp; "_Running14daysNew",'National statistics'!$B$1:$HA$1,0))</f>
        <v>5854</v>
      </c>
      <c r="C62" s="97">
        <f t="shared" ca="1" si="115"/>
        <v>1.9211610393424374</v>
      </c>
      <c r="D62" s="98">
        <f t="shared" si="114"/>
        <v>1</v>
      </c>
      <c r="E62" s="77">
        <f t="shared" ca="1" si="116"/>
        <v>59698001.620820254</v>
      </c>
      <c r="F62" s="77">
        <f t="shared" ca="1" si="117"/>
        <v>3216.2806515153297</v>
      </c>
      <c r="G62" s="77">
        <f t="shared" ca="1" si="118"/>
        <v>6913.3291112083043</v>
      </c>
      <c r="H62" s="77">
        <f t="shared" ca="1" si="119"/>
        <v>0</v>
      </c>
      <c r="I62" s="77">
        <f t="shared" ca="1" si="120"/>
        <v>9302.3195379711615</v>
      </c>
      <c r="J62" s="54">
        <f t="shared" ca="1" si="121"/>
        <v>93.962823615870349</v>
      </c>
      <c r="K62" s="53">
        <f ca="1">OFFSET('National statistics'!$A$6,MATCH(R0_estimation!$A62,'National statistics'!$A$7:$A$5000,0),MATCH(R0_estimation!K$16 &amp; "_Running14daysNew",'National statistics'!$B$1:$HA$1,0))</f>
        <v>768</v>
      </c>
      <c r="L62" s="97">
        <f t="shared" ca="1" si="122"/>
        <v>2.7782873101034609</v>
      </c>
      <c r="M62" s="98">
        <f t="shared" ca="1" si="105"/>
        <v>1.3891436550517304</v>
      </c>
      <c r="N62" s="77">
        <f t="shared" ca="1" si="123"/>
        <v>6869661.9555086875</v>
      </c>
      <c r="O62" s="77">
        <f t="shared" ca="1" si="124"/>
        <v>269.22671234065155</v>
      </c>
      <c r="P62" s="77">
        <f t="shared" ca="1" si="125"/>
        <v>446.72355696740465</v>
      </c>
      <c r="Q62" s="77">
        <f t="shared" ca="1" si="126"/>
        <v>0</v>
      </c>
      <c r="R62" s="77">
        <f t="shared" ca="1" si="127"/>
        <v>382.41483652820932</v>
      </c>
      <c r="S62" s="54">
        <f t="shared" ca="1" si="128"/>
        <v>3.8627761265475686</v>
      </c>
      <c r="T62" s="53">
        <f ca="1">OFFSET('National statistics'!$A$6,MATCH(R0_estimation!$A62,'National statistics'!$A$7:$A$5000,0),MATCH(R0_estimation!T$16 &amp; "_Running14daysNew",'National statistics'!$B$1:$HA$1,0))</f>
        <v>24</v>
      </c>
      <c r="U62" s="97">
        <f t="shared" ca="1" si="129"/>
        <v>1.0062710569511544</v>
      </c>
      <c r="V62" s="98">
        <f t="shared" ca="1" si="106"/>
        <v>0.50313552847557719</v>
      </c>
      <c r="W62" s="77">
        <f t="shared" ca="1" si="130"/>
        <v>2808650.5753281396</v>
      </c>
      <c r="X62" s="77">
        <f t="shared" ca="1" si="131"/>
        <v>23.698192093110194</v>
      </c>
      <c r="Y62" s="77">
        <f t="shared" ca="1" si="132"/>
        <v>82.549222260418233</v>
      </c>
      <c r="Z62" s="77">
        <f t="shared" ca="1" si="133"/>
        <v>0</v>
      </c>
      <c r="AA62" s="77">
        <f t="shared" ca="1" si="134"/>
        <v>249.78353906217987</v>
      </c>
      <c r="AB62" s="54">
        <f t="shared" ca="1" si="135"/>
        <v>2.5230660511331298</v>
      </c>
      <c r="AC62" s="53">
        <f ca="1">OFFSET('National statistics'!$A$6,MATCH(R0_estimation!$A62,'National statistics'!$A$7:$A$5000,0),MATCH(R0_estimation!AC$16 &amp; "_Running14daysNew",'National statistics'!$B$1:$HA$1,0))</f>
        <v>618</v>
      </c>
      <c r="AD62" s="97">
        <f t="shared" ca="1" si="136"/>
        <v>1.1513150830584011</v>
      </c>
      <c r="AE62" s="98">
        <f t="shared" ca="1" si="107"/>
        <v>0.57565754152920057</v>
      </c>
      <c r="AF62" s="77">
        <f t="shared" ca="1" si="137"/>
        <v>15635707.929445237</v>
      </c>
      <c r="AG62" s="77">
        <f t="shared" ca="1" si="138"/>
        <v>305.52111658416214</v>
      </c>
      <c r="AH62" s="77">
        <f t="shared" ca="1" si="139"/>
        <v>959.40194859229007</v>
      </c>
      <c r="AI62" s="77">
        <f t="shared" ca="1" si="140"/>
        <v>0</v>
      </c>
      <c r="AJ62" s="77">
        <f t="shared" ca="1" si="141"/>
        <v>2438.6858482291627</v>
      </c>
      <c r="AK62" s="54">
        <f t="shared" ca="1" si="142"/>
        <v>24.633190386153149</v>
      </c>
      <c r="AL62" s="53">
        <f ca="1">OFFSET('National statistics'!$A$6,MATCH(R0_estimation!$A62,'National statistics'!$A$7:$A$5000,0),MATCH(R0_estimation!AL$16 &amp; "_Running14daysNew",'National statistics'!$B$1:$HA$1,0))</f>
        <v>470</v>
      </c>
      <c r="AM62" s="97">
        <f t="shared" ca="1" si="143"/>
        <v>1.4899002769655674</v>
      </c>
      <c r="AN62" s="98">
        <f t="shared" ca="1" si="108"/>
        <v>0.74495013848278369</v>
      </c>
      <c r="AO62" s="77">
        <f t="shared" ca="1" si="144"/>
        <v>10998843.907207523</v>
      </c>
      <c r="AP62" s="77">
        <f t="shared" ca="1" si="145"/>
        <v>200.61733387369247</v>
      </c>
      <c r="AQ62" s="77">
        <f t="shared" ca="1" si="146"/>
        <v>518.90574641553872</v>
      </c>
      <c r="AR62" s="77">
        <f t="shared" ca="1" si="147"/>
        <v>0</v>
      </c>
      <c r="AS62" s="77">
        <f t="shared" ca="1" si="148"/>
        <v>956.31198243975564</v>
      </c>
      <c r="AT62" s="54">
        <f t="shared" ca="1" si="149"/>
        <v>9.6597169943409664</v>
      </c>
      <c r="AU62" s="53">
        <f ca="1">OFFSET('National statistics'!$A$6,MATCH(R0_estimation!$A62,'National statistics'!$A$7:$A$5000,0),MATCH(R0_estimation!AU$16 &amp; "_Running14daysNew",'National statistics'!$B$1:$HA$1,0))</f>
        <v>18</v>
      </c>
      <c r="AV62" s="97">
        <f t="shared" ca="1" si="150"/>
        <v>1.7150884819427765</v>
      </c>
      <c r="AW62" s="98">
        <f t="shared" ca="1" si="109"/>
        <v>0.85754424097138826</v>
      </c>
      <c r="AX62" s="77">
        <f t="shared" ca="1" si="151"/>
        <v>5853690.0365645895</v>
      </c>
      <c r="AY62" s="77">
        <f t="shared" ca="1" si="152"/>
        <v>21.262518396347325</v>
      </c>
      <c r="AZ62" s="77">
        <f t="shared" ca="1" si="153"/>
        <v>49.596476032583219</v>
      </c>
      <c r="BA62" s="77">
        <f t="shared" ca="1" si="154"/>
        <v>0</v>
      </c>
      <c r="BB62" s="77">
        <f t="shared" ca="1" si="155"/>
        <v>77.142381950423214</v>
      </c>
      <c r="BC62" s="54">
        <f t="shared" ca="1" si="156"/>
        <v>0.77921597929720443</v>
      </c>
      <c r="BD62" s="53">
        <f ca="1">OFFSET('National statistics'!$A$6,MATCH(R0_estimation!$A62,'National statistics'!$A$7:$A$5000,0),MATCH(R0_estimation!BD$16 &amp; "_Running14daysNew",'National statistics'!$B$1:$HA$1,0))</f>
        <v>37</v>
      </c>
      <c r="BE62" s="97">
        <f t="shared" ca="1" si="157"/>
        <v>1.4435626881707697</v>
      </c>
      <c r="BF62" s="98">
        <f t="shared" ca="1" si="110"/>
        <v>0.72178134408538486</v>
      </c>
      <c r="BG62" s="77">
        <f t="shared" ca="1" si="158"/>
        <v>4809105.295752109</v>
      </c>
      <c r="BH62" s="77">
        <f t="shared" ca="1" si="159"/>
        <v>10.500938094958807</v>
      </c>
      <c r="BI62" s="77">
        <f t="shared" ca="1" si="160"/>
        <v>27.80251282522029</v>
      </c>
      <c r="BJ62" s="77">
        <f t="shared" ca="1" si="161"/>
        <v>0</v>
      </c>
      <c r="BK62" s="77">
        <f t="shared" ca="1" si="162"/>
        <v>53.496825357596563</v>
      </c>
      <c r="BL62" s="54">
        <f t="shared" ca="1" si="163"/>
        <v>0.54037197330905629</v>
      </c>
      <c r="BM62" s="53">
        <f ca="1">OFFSET('National statistics'!$A$6,MATCH(R0_estimation!$A62,'National statistics'!$A$7:$A$5000,0),MATCH(R0_estimation!BM$16 &amp; "_Running14daysNew",'National statistics'!$B$1:$HA$1,0))</f>
        <v>22</v>
      </c>
      <c r="BN62" s="97">
        <f t="shared" ca="1" si="164"/>
        <v>1.9865205416387972</v>
      </c>
      <c r="BO62" s="98">
        <f t="shared" ca="1" si="111"/>
        <v>0.99326027081939861</v>
      </c>
      <c r="BP62" s="77">
        <f t="shared" ca="1" si="165"/>
        <v>4107534.5651893737</v>
      </c>
      <c r="BQ62" s="77">
        <f t="shared" ca="1" si="166"/>
        <v>17.180873675427385</v>
      </c>
      <c r="BR62" s="77">
        <f t="shared" ca="1" si="167"/>
        <v>36.049335851344594</v>
      </c>
      <c r="BS62" s="77">
        <f t="shared" ca="1" si="168"/>
        <v>0</v>
      </c>
      <c r="BT62" s="77">
        <f t="shared" ca="1" si="169"/>
        <v>46.900617528953838</v>
      </c>
      <c r="BU62" s="54">
        <f t="shared" ca="1" si="170"/>
        <v>0.47374361140357413</v>
      </c>
      <c r="BV62" s="53">
        <f ca="1">OFFSET('National statistics'!$A$6,MATCH(R0_estimation!$A62,'National statistics'!$A$7:$A$5000,0),MATCH(R0_estimation!BV$16 &amp; "_Running14daysNew",'National statistics'!$B$1:$HA$1,0))</f>
        <v>13</v>
      </c>
      <c r="BW62" s="97">
        <f t="shared" ca="1" si="171"/>
        <v>1.3799241468388452</v>
      </c>
      <c r="BX62" s="98">
        <f t="shared" ca="1" si="112"/>
        <v>0.68996207341942262</v>
      </c>
      <c r="BY62" s="77">
        <f t="shared" ca="1" si="172"/>
        <v>1322189.058925821</v>
      </c>
      <c r="BZ62" s="77">
        <f t="shared" ca="1" si="173"/>
        <v>4.7983840293116087</v>
      </c>
      <c r="CA62" s="77">
        <f t="shared" ca="1" si="174"/>
        <v>13.138471984888648</v>
      </c>
      <c r="CB62" s="77">
        <f t="shared" ca="1" si="175"/>
        <v>0</v>
      </c>
      <c r="CC62" s="77">
        <f t="shared" ca="1" si="176"/>
        <v>26.83225763685563</v>
      </c>
      <c r="CD62" s="54">
        <f t="shared" ca="1" si="177"/>
        <v>0.27103290542278424</v>
      </c>
      <c r="CE62" s="53">
        <f ca="1">OFFSET('National statistics'!$A$6,MATCH(R0_estimation!$A62,'National statistics'!$A$7:$A$5000,0),MATCH(R0_estimation!CE$16 &amp; "_Running14daysNew",'National statistics'!$B$1:$HA$1,0))</f>
        <v>3884</v>
      </c>
      <c r="CF62" s="97">
        <f t="shared" ca="1" si="178"/>
        <v>2.4331242245373454</v>
      </c>
      <c r="CG62" s="98">
        <f t="shared" ca="1" si="113"/>
        <v>1.2165621122686727</v>
      </c>
      <c r="CH62" s="77">
        <f t="shared" ca="1" si="179"/>
        <v>7295375.7863512328</v>
      </c>
      <c r="CI62" s="77">
        <f t="shared" ca="1" si="180"/>
        <v>2033.7003359453602</v>
      </c>
      <c r="CJ62" s="77">
        <f t="shared" ca="1" si="181"/>
        <v>3701.1839389389233</v>
      </c>
      <c r="CK62" s="77">
        <f t="shared" ca="1" si="182"/>
        <v>0</v>
      </c>
      <c r="CL62" s="77">
        <f t="shared" ca="1" si="183"/>
        <v>3734.5113176420741</v>
      </c>
      <c r="CM62" s="54">
        <f t="shared" ca="1" si="184"/>
        <v>37.722336541839127</v>
      </c>
      <c r="CO62" s="209"/>
      <c r="CP62" s="210"/>
    </row>
    <row r="63" spans="1:94">
      <c r="A63" s="83">
        <v>43963</v>
      </c>
      <c r="B63" s="53">
        <f ca="1">OFFSET('National statistics'!$A$6,MATCH(R0_estimation!$A63,'National statistics'!$A$7:$A$5000,0),MATCH(R0_estimation!B$16 &amp; "_Running14daysNew",'National statistics'!$B$1:$HA$1,0))</f>
        <v>6347</v>
      </c>
      <c r="C63" s="97">
        <f t="shared" ca="1" si="115"/>
        <v>1.9211610393424374</v>
      </c>
      <c r="D63" s="98">
        <f t="shared" si="114"/>
        <v>1</v>
      </c>
      <c r="E63" s="77">
        <f t="shared" ca="1" si="116"/>
        <v>59697053.242482439</v>
      </c>
      <c r="F63" s="77">
        <f t="shared" ca="1" si="117"/>
        <v>3360.588826451964</v>
      </c>
      <c r="G63" s="77">
        <f t="shared" ca="1" si="118"/>
        <v>7223.590051857972</v>
      </c>
      <c r="H63" s="77">
        <f t="shared" ca="1" si="119"/>
        <v>0</v>
      </c>
      <c r="I63" s="77">
        <f t="shared" ca="1" si="120"/>
        <v>9791.190667978035</v>
      </c>
      <c r="J63" s="54">
        <f t="shared" ca="1" si="121"/>
        <v>98.900915838161993</v>
      </c>
      <c r="K63" s="53">
        <f ca="1">OFFSET('National statistics'!$A$6,MATCH(R0_estimation!$A63,'National statistics'!$A$7:$A$5000,0),MATCH(R0_estimation!K$16 &amp; "_Running14daysNew",'National statistics'!$B$1:$HA$1,0))</f>
        <v>888</v>
      </c>
      <c r="L63" s="97">
        <f t="shared" ca="1" si="122"/>
        <v>2.7782873101034609</v>
      </c>
      <c r="M63" s="98">
        <f t="shared" ca="1" si="105"/>
        <v>1.3891436550517304</v>
      </c>
      <c r="N63" s="77">
        <f t="shared" ca="1" si="123"/>
        <v>6869573.3177956864</v>
      </c>
      <c r="O63" s="77">
        <f t="shared" ca="1" si="124"/>
        <v>290.5577472564745</v>
      </c>
      <c r="P63" s="77">
        <f t="shared" ca="1" si="125"/>
        <v>482.12140955489571</v>
      </c>
      <c r="Q63" s="77">
        <f t="shared" ca="1" si="126"/>
        <v>0</v>
      </c>
      <c r="R63" s="77">
        <f t="shared" ca="1" si="127"/>
        <v>414.00457377090436</v>
      </c>
      <c r="S63" s="54">
        <f t="shared" ca="1" si="128"/>
        <v>4.181864381524286</v>
      </c>
      <c r="T63" s="53">
        <f ca="1">OFFSET('National statistics'!$A$6,MATCH(R0_estimation!$A63,'National statistics'!$A$7:$A$5000,0),MATCH(R0_estimation!T$16 &amp; "_Running14daysNew",'National statistics'!$B$1:$HA$1,0))</f>
        <v>22</v>
      </c>
      <c r="U63" s="97">
        <f t="shared" ca="1" si="129"/>
        <v>1.0062710569511544</v>
      </c>
      <c r="V63" s="98">
        <f t="shared" ca="1" si="106"/>
        <v>0.50313552847557719</v>
      </c>
      <c r="W63" s="77">
        <f t="shared" ca="1" si="130"/>
        <v>2808644.6427306593</v>
      </c>
      <c r="X63" s="77">
        <f t="shared" ca="1" si="131"/>
        <v>23.70624154985012</v>
      </c>
      <c r="Y63" s="77">
        <f t="shared" ca="1" si="132"/>
        <v>82.577397265094476</v>
      </c>
      <c r="Z63" s="77">
        <f t="shared" ca="1" si="133"/>
        <v>0</v>
      </c>
      <c r="AA63" s="77">
        <f t="shared" ca="1" si="134"/>
        <v>255.62094835059517</v>
      </c>
      <c r="AB63" s="54">
        <f t="shared" ca="1" si="135"/>
        <v>2.5820297813191426</v>
      </c>
      <c r="AC63" s="53">
        <f ca="1">OFFSET('National statistics'!$A$6,MATCH(R0_estimation!$A63,'National statistics'!$A$7:$A$5000,0),MATCH(R0_estimation!AC$16 &amp; "_Running14daysNew",'National statistics'!$B$1:$HA$1,0))</f>
        <v>637</v>
      </c>
      <c r="AD63" s="97">
        <f t="shared" ca="1" si="136"/>
        <v>1.1513150830584011</v>
      </c>
      <c r="AE63" s="98">
        <f t="shared" ca="1" si="107"/>
        <v>0.57565754152920057</v>
      </c>
      <c r="AF63" s="77">
        <f t="shared" ca="1" si="137"/>
        <v>15635629.049991153</v>
      </c>
      <c r="AG63" s="77">
        <f t="shared" ca="1" si="138"/>
        <v>308.02029152104109</v>
      </c>
      <c r="AH63" s="77">
        <f t="shared" ca="1" si="139"/>
        <v>967.25351712459565</v>
      </c>
      <c r="AI63" s="77">
        <f t="shared" ca="1" si="140"/>
        <v>0</v>
      </c>
      <c r="AJ63" s="77">
        <f t="shared" ca="1" si="141"/>
        <v>2506.5292717367602</v>
      </c>
      <c r="AK63" s="54">
        <f t="shared" ca="1" si="142"/>
        <v>25.318477492290498</v>
      </c>
      <c r="AL63" s="53">
        <f ca="1">OFFSET('National statistics'!$A$6,MATCH(R0_estimation!$A63,'National statistics'!$A$7:$A$5000,0),MATCH(R0_estimation!AL$16 &amp; "_Running14daysNew",'National statistics'!$B$1:$HA$1,0))</f>
        <v>475</v>
      </c>
      <c r="AM63" s="97">
        <f t="shared" ca="1" si="143"/>
        <v>1.4899002769655674</v>
      </c>
      <c r="AN63" s="98">
        <f t="shared" ca="1" si="108"/>
        <v>0.74495013848278369</v>
      </c>
      <c r="AO63" s="77">
        <f t="shared" ca="1" si="144"/>
        <v>10998788.692919135</v>
      </c>
      <c r="AP63" s="77">
        <f t="shared" ca="1" si="145"/>
        <v>205.67728879235071</v>
      </c>
      <c r="AQ63" s="77">
        <f t="shared" ca="1" si="146"/>
        <v>531.99538371142341</v>
      </c>
      <c r="AR63" s="77">
        <f t="shared" ca="1" si="147"/>
        <v>0</v>
      </c>
      <c r="AS63" s="77">
        <f t="shared" ca="1" si="148"/>
        <v>993.00603165056873</v>
      </c>
      <c r="AT63" s="54">
        <f t="shared" ca="1" si="149"/>
        <v>10.030363956066351</v>
      </c>
      <c r="AU63" s="53">
        <f ca="1">OFFSET('National statistics'!$A$6,MATCH(R0_estimation!$A63,'National statistics'!$A$7:$A$5000,0),MATCH(R0_estimation!AU$16 &amp; "_Running14daysNew",'National statistics'!$B$1:$HA$1,0))</f>
        <v>18</v>
      </c>
      <c r="AV63" s="97">
        <f t="shared" ca="1" si="150"/>
        <v>1.7150884819427765</v>
      </c>
      <c r="AW63" s="98">
        <f t="shared" ca="1" si="109"/>
        <v>0.85754424097138826</v>
      </c>
      <c r="AX63" s="77">
        <f t="shared" ca="1" si="151"/>
        <v>5853683.9608364338</v>
      </c>
      <c r="AY63" s="77">
        <f t="shared" ca="1" si="152"/>
        <v>22.022616952600806</v>
      </c>
      <c r="AZ63" s="77">
        <f t="shared" ca="1" si="153"/>
        <v>51.369500200771249</v>
      </c>
      <c r="BA63" s="77">
        <f t="shared" ca="1" si="154"/>
        <v>0</v>
      </c>
      <c r="BB63" s="77">
        <f t="shared" ca="1" si="155"/>
        <v>80.649561327013032</v>
      </c>
      <c r="BC63" s="54">
        <f t="shared" ca="1" si="156"/>
        <v>0.81464203360619247</v>
      </c>
      <c r="BD63" s="53">
        <f ca="1">OFFSET('National statistics'!$A$6,MATCH(R0_estimation!$A63,'National statistics'!$A$7:$A$5000,0),MATCH(R0_estimation!BD$16 &amp; "_Running14daysNew",'National statistics'!$B$1:$HA$1,0))</f>
        <v>37</v>
      </c>
      <c r="BE63" s="97">
        <f t="shared" ca="1" si="157"/>
        <v>1.4435626881707697</v>
      </c>
      <c r="BF63" s="98">
        <f t="shared" ca="1" si="110"/>
        <v>0.72178134408538486</v>
      </c>
      <c r="BG63" s="77">
        <f t="shared" ca="1" si="158"/>
        <v>4809102.4290446779</v>
      </c>
      <c r="BH63" s="77">
        <f t="shared" ca="1" si="159"/>
        <v>10.742411002784428</v>
      </c>
      <c r="BI63" s="77">
        <f t="shared" ca="1" si="160"/>
        <v>28.441853575729972</v>
      </c>
      <c r="BJ63" s="77">
        <f t="shared" ca="1" si="161"/>
        <v>0</v>
      </c>
      <c r="BK63" s="77">
        <f t="shared" ca="1" si="162"/>
        <v>55.462860193094286</v>
      </c>
      <c r="BL63" s="54">
        <f t="shared" ca="1" si="163"/>
        <v>0.56023091104135647</v>
      </c>
      <c r="BM63" s="53">
        <f ca="1">OFFSET('National statistics'!$A$6,MATCH(R0_estimation!$A63,'National statistics'!$A$7:$A$5000,0),MATCH(R0_estimation!BM$16 &amp; "_Running14daysNew",'National statistics'!$B$1:$HA$1,0))</f>
        <v>22</v>
      </c>
      <c r="BN63" s="97">
        <f t="shared" ca="1" si="164"/>
        <v>1.9865205416387972</v>
      </c>
      <c r="BO63" s="98">
        <f t="shared" ca="1" si="111"/>
        <v>0.99326027081939861</v>
      </c>
      <c r="BP63" s="77">
        <f t="shared" ca="1" si="165"/>
        <v>4107529.4501179098</v>
      </c>
      <c r="BQ63" s="77">
        <f t="shared" ca="1" si="166"/>
        <v>18.000726720454267</v>
      </c>
      <c r="BR63" s="77">
        <f t="shared" ca="1" si="167"/>
        <v>37.769601709391111</v>
      </c>
      <c r="BS63" s="77">
        <f t="shared" ca="1" si="168"/>
        <v>0</v>
      </c>
      <c r="BT63" s="77">
        <f t="shared" ca="1" si="169"/>
        <v>49.449820564156063</v>
      </c>
      <c r="BU63" s="54">
        <f t="shared" ca="1" si="170"/>
        <v>0.49949313701167741</v>
      </c>
      <c r="BV63" s="53">
        <f ca="1">OFFSET('National statistics'!$A$6,MATCH(R0_estimation!$A63,'National statistics'!$A$7:$A$5000,0),MATCH(R0_estimation!BV$16 &amp; "_Running14daysNew",'National statistics'!$B$1:$HA$1,0))</f>
        <v>13</v>
      </c>
      <c r="BW63" s="97">
        <f t="shared" ca="1" si="171"/>
        <v>1.3799241468388452</v>
      </c>
      <c r="BX63" s="98">
        <f t="shared" ca="1" si="112"/>
        <v>0.68996207341942262</v>
      </c>
      <c r="BY63" s="77">
        <f t="shared" ca="1" si="172"/>
        <v>1322187.7639629007</v>
      </c>
      <c r="BZ63" s="77">
        <f t="shared" ca="1" si="173"/>
        <v>4.8937509422080838</v>
      </c>
      <c r="CA63" s="77">
        <f t="shared" ca="1" si="174"/>
        <v>13.399605707581646</v>
      </c>
      <c r="CB63" s="77">
        <f t="shared" ca="1" si="175"/>
        <v>0</v>
      </c>
      <c r="CC63" s="77">
        <f t="shared" ca="1" si="176"/>
        <v>27.761335298644184</v>
      </c>
      <c r="CD63" s="54">
        <f t="shared" ca="1" si="177"/>
        <v>0.2804175282691333</v>
      </c>
      <c r="CE63" s="53">
        <f ca="1">OFFSET('National statistics'!$A$6,MATCH(R0_estimation!$A63,'National statistics'!$A$7:$A$5000,0),MATCH(R0_estimation!CE$16 &amp; "_Running14daysNew",'National statistics'!$B$1:$HA$1,0))</f>
        <v>4235</v>
      </c>
      <c r="CF63" s="97">
        <f t="shared" ca="1" si="178"/>
        <v>2.4331242245373454</v>
      </c>
      <c r="CG63" s="98">
        <f t="shared" ca="1" si="113"/>
        <v>1.2165621122686727</v>
      </c>
      <c r="CH63" s="77">
        <f t="shared" ca="1" si="179"/>
        <v>7294733.3744658614</v>
      </c>
      <c r="CI63" s="77">
        <f t="shared" ca="1" si="180"/>
        <v>2167.687137330814</v>
      </c>
      <c r="CJ63" s="77">
        <f t="shared" ca="1" si="181"/>
        <v>3945.2387415724829</v>
      </c>
      <c r="CK63" s="77">
        <f t="shared" ca="1" si="182"/>
        <v>0</v>
      </c>
      <c r="CL63" s="77">
        <f t="shared" ca="1" si="183"/>
        <v>3996.2378961813265</v>
      </c>
      <c r="CM63" s="54">
        <f t="shared" ca="1" si="184"/>
        <v>40.366039355366929</v>
      </c>
      <c r="CO63" s="209"/>
      <c r="CP63" s="210"/>
    </row>
    <row r="64" spans="1:94">
      <c r="A64" s="83">
        <v>43964</v>
      </c>
      <c r="B64" s="53">
        <f ca="1">OFFSET('National statistics'!$A$6,MATCH(R0_estimation!$A64,'National statistics'!$A$7:$A$5000,0),MATCH(R0_estimation!B$16 &amp; "_Running14daysNew",'National statistics'!$B$1:$HA$1,0))</f>
        <v>6719</v>
      </c>
      <c r="C64" s="97">
        <f t="shared" ca="1" si="115"/>
        <v>1.9211610393424374</v>
      </c>
      <c r="D64" s="98">
        <f t="shared" si="114"/>
        <v>1</v>
      </c>
      <c r="E64" s="77">
        <f t="shared" ca="1" si="116"/>
        <v>59696062.317856871</v>
      </c>
      <c r="F64" s="77">
        <f t="shared" ca="1" si="117"/>
        <v>3511.3662454049581</v>
      </c>
      <c r="G64" s="77">
        <f t="shared" ca="1" si="118"/>
        <v>7547.7665404811078</v>
      </c>
      <c r="H64" s="77">
        <f t="shared" ca="1" si="119"/>
        <v>0</v>
      </c>
      <c r="I64" s="77">
        <f t="shared" ca="1" si="120"/>
        <v>10302.001678787992</v>
      </c>
      <c r="J64" s="54">
        <f t="shared" ca="1" si="121"/>
        <v>104.06062301806054</v>
      </c>
      <c r="K64" s="53">
        <f ca="1">OFFSET('National statistics'!$A$6,MATCH(R0_estimation!$A64,'National statistics'!$A$7:$A$5000,0),MATCH(R0_estimation!K$16 &amp; "_Running14daysNew",'National statistics'!$B$1:$HA$1,0))</f>
        <v>904</v>
      </c>
      <c r="L64" s="97">
        <f t="shared" ca="1" si="122"/>
        <v>2.7782873101034609</v>
      </c>
      <c r="M64" s="98">
        <f t="shared" ca="1" si="105"/>
        <v>1.3891436550517304</v>
      </c>
      <c r="N64" s="77">
        <f t="shared" ca="1" si="123"/>
        <v>6869477.6577637475</v>
      </c>
      <c r="O64" s="77">
        <f t="shared" ca="1" si="124"/>
        <v>313.57834238116754</v>
      </c>
      <c r="P64" s="77">
        <f t="shared" ca="1" si="125"/>
        <v>520.32360282937884</v>
      </c>
      <c r="Q64" s="77">
        <f t="shared" ca="1" si="126"/>
        <v>0</v>
      </c>
      <c r="R64" s="77">
        <f t="shared" ca="1" si="127"/>
        <v>448.09744487514342</v>
      </c>
      <c r="S64" s="54">
        <f t="shared" ca="1" si="128"/>
        <v>4.5262368169206404</v>
      </c>
      <c r="T64" s="53">
        <f ca="1">OFFSET('National statistics'!$A$6,MATCH(R0_estimation!$A64,'National statistics'!$A$7:$A$5000,0),MATCH(R0_estimation!T$16 &amp; "_Running14daysNew",'National statistics'!$B$1:$HA$1,0))</f>
        <v>25</v>
      </c>
      <c r="U64" s="97">
        <f t="shared" ca="1" si="129"/>
        <v>1.0062710569511544</v>
      </c>
      <c r="V64" s="98">
        <f t="shared" ca="1" si="106"/>
        <v>0.50313552847557719</v>
      </c>
      <c r="W64" s="77">
        <f t="shared" ca="1" si="130"/>
        <v>2808638.708120726</v>
      </c>
      <c r="X64" s="77">
        <f t="shared" ca="1" si="131"/>
        <v>23.714291095680508</v>
      </c>
      <c r="Y64" s="77">
        <f t="shared" ca="1" si="132"/>
        <v>82.605572133621692</v>
      </c>
      <c r="Z64" s="77">
        <f t="shared" ca="1" si="133"/>
        <v>0</v>
      </c>
      <c r="AA64" s="77">
        <f t="shared" ca="1" si="134"/>
        <v>261.46035001434115</v>
      </c>
      <c r="AB64" s="54">
        <f t="shared" ca="1" si="135"/>
        <v>2.6410136365084957</v>
      </c>
      <c r="AC64" s="53">
        <f ca="1">OFFSET('National statistics'!$A$6,MATCH(R0_estimation!$A64,'National statistics'!$A$7:$A$5000,0),MATCH(R0_estimation!AC$16 &amp; "_Running14daysNew",'National statistics'!$B$1:$HA$1,0))</f>
        <v>666</v>
      </c>
      <c r="AD64" s="97">
        <f t="shared" ca="1" si="136"/>
        <v>1.1513150830584011</v>
      </c>
      <c r="AE64" s="98">
        <f t="shared" ca="1" si="107"/>
        <v>0.57565754152920057</v>
      </c>
      <c r="AF64" s="77">
        <f t="shared" ca="1" si="137"/>
        <v>15635549.525399877</v>
      </c>
      <c r="AG64" s="77">
        <f t="shared" ca="1" si="138"/>
        <v>310.53980991694857</v>
      </c>
      <c r="AH64" s="77">
        <f t="shared" ca="1" si="139"/>
        <v>975.16905306738477</v>
      </c>
      <c r="AI64" s="77">
        <f t="shared" ca="1" si="140"/>
        <v>0</v>
      </c>
      <c r="AJ64" s="77">
        <f t="shared" ca="1" si="141"/>
        <v>2574.9279133048567</v>
      </c>
      <c r="AK64" s="54">
        <f t="shared" ca="1" si="142"/>
        <v>26.009372861665209</v>
      </c>
      <c r="AL64" s="53">
        <f ca="1">OFFSET('National statistics'!$A$6,MATCH(R0_estimation!$A64,'National statistics'!$A$7:$A$5000,0),MATCH(R0_estimation!AL$16 &amp; "_Running14daysNew",'National statistics'!$B$1:$HA$1,0))</f>
        <v>457</v>
      </c>
      <c r="AM64" s="97">
        <f t="shared" ca="1" si="143"/>
        <v>1.4899002769655674</v>
      </c>
      <c r="AN64" s="98">
        <f t="shared" ca="1" si="108"/>
        <v>0.74495013848278369</v>
      </c>
      <c r="AO64" s="77">
        <f t="shared" ca="1" si="144"/>
        <v>10998732.086107064</v>
      </c>
      <c r="AP64" s="77">
        <f t="shared" ca="1" si="145"/>
        <v>210.86477866561154</v>
      </c>
      <c r="AQ64" s="77">
        <f t="shared" ca="1" si="146"/>
        <v>545.41503564440939</v>
      </c>
      <c r="AR64" s="77">
        <f t="shared" ca="1" si="147"/>
        <v>0</v>
      </c>
      <c r="AS64" s="77">
        <f t="shared" ca="1" si="148"/>
        <v>1030.6257052130193</v>
      </c>
      <c r="AT64" s="54">
        <f t="shared" ca="1" si="149"/>
        <v>10.410360658717368</v>
      </c>
      <c r="AU64" s="53">
        <f ca="1">OFFSET('National statistics'!$A$6,MATCH(R0_estimation!$A64,'National statistics'!$A$7:$A$5000,0),MATCH(R0_estimation!AU$16 &amp; "_Running14daysNew",'National statistics'!$B$1:$HA$1,0))</f>
        <v>18</v>
      </c>
      <c r="AV64" s="97">
        <f t="shared" ca="1" si="150"/>
        <v>1.7150884819427765</v>
      </c>
      <c r="AW64" s="98">
        <f t="shared" ca="1" si="109"/>
        <v>0.85754424097138826</v>
      </c>
      <c r="AX64" s="77">
        <f t="shared" ca="1" si="151"/>
        <v>5853677.6679135971</v>
      </c>
      <c r="AY64" s="77">
        <f t="shared" ca="1" si="152"/>
        <v>22.809885551016436</v>
      </c>
      <c r="AZ64" s="77">
        <f t="shared" ca="1" si="153"/>
        <v>53.205904424580645</v>
      </c>
      <c r="BA64" s="77">
        <f t="shared" ca="1" si="154"/>
        <v>0</v>
      </c>
      <c r="BB64" s="77">
        <f t="shared" ca="1" si="155"/>
        <v>84.282118841210433</v>
      </c>
      <c r="BC64" s="54">
        <f t="shared" ca="1" si="156"/>
        <v>0.85133453374960055</v>
      </c>
      <c r="BD64" s="53">
        <f ca="1">OFFSET('National statistics'!$A$6,MATCH(R0_estimation!$A64,'National statistics'!$A$7:$A$5000,0),MATCH(R0_estimation!BD$16 &amp; "_Running14daysNew",'National statistics'!$B$1:$HA$1,0))</f>
        <v>35</v>
      </c>
      <c r="BE64" s="97">
        <f t="shared" ca="1" si="157"/>
        <v>1.4435626881707697</v>
      </c>
      <c r="BF64" s="98">
        <f t="shared" ca="1" si="110"/>
        <v>0.72178134408538486</v>
      </c>
      <c r="BG64" s="77">
        <f t="shared" ca="1" si="158"/>
        <v>4809099.4964167802</v>
      </c>
      <c r="BH64" s="77">
        <f t="shared" ca="1" si="159"/>
        <v>10.989436150134511</v>
      </c>
      <c r="BI64" s="77">
        <f t="shared" ca="1" si="160"/>
        <v>29.095895356731081</v>
      </c>
      <c r="BJ64" s="77">
        <f t="shared" ca="1" si="161"/>
        <v>0</v>
      </c>
      <c r="BK64" s="77">
        <f t="shared" ca="1" si="162"/>
        <v>57.474105553092336</v>
      </c>
      <c r="BL64" s="54">
        <f t="shared" ca="1" si="163"/>
        <v>0.58054652073830648</v>
      </c>
      <c r="BM64" s="53">
        <f ca="1">OFFSET('National statistics'!$A$6,MATCH(R0_estimation!$A64,'National statistics'!$A$7:$A$5000,0),MATCH(R0_estimation!BM$16 &amp; "_Running14daysNew",'National statistics'!$B$1:$HA$1,0))</f>
        <v>23</v>
      </c>
      <c r="BN64" s="97">
        <f t="shared" ca="1" si="164"/>
        <v>1.9865205416387972</v>
      </c>
      <c r="BO64" s="98">
        <f t="shared" ca="1" si="111"/>
        <v>0.99326027081939861</v>
      </c>
      <c r="BP64" s="77">
        <f t="shared" ca="1" si="165"/>
        <v>4107524.0909630745</v>
      </c>
      <c r="BQ64" s="77">
        <f t="shared" ca="1" si="166"/>
        <v>18.859699875561372</v>
      </c>
      <c r="BR64" s="77">
        <f t="shared" ca="1" si="167"/>
        <v>39.571954695976743</v>
      </c>
      <c r="BS64" s="77">
        <f t="shared" ca="1" si="168"/>
        <v>0</v>
      </c>
      <c r="BT64" s="77">
        <f t="shared" ca="1" si="169"/>
        <v>52.120670970748719</v>
      </c>
      <c r="BU64" s="54">
        <f t="shared" ca="1" si="170"/>
        <v>0.52647142394695678</v>
      </c>
      <c r="BV64" s="53">
        <f ca="1">OFFSET('National statistics'!$A$6,MATCH(R0_estimation!$A64,'National statistics'!$A$7:$A$5000,0),MATCH(R0_estimation!BV$16 &amp; "_Running14daysNew",'National statistics'!$B$1:$HA$1,0))</f>
        <v>13</v>
      </c>
      <c r="BW64" s="97">
        <f t="shared" ca="1" si="171"/>
        <v>1.3799241468388452</v>
      </c>
      <c r="BX64" s="98">
        <f t="shared" ca="1" si="112"/>
        <v>0.68996207341942262</v>
      </c>
      <c r="BY64" s="77">
        <f t="shared" ca="1" si="172"/>
        <v>1322186.4432632269</v>
      </c>
      <c r="BZ64" s="77">
        <f t="shared" ca="1" si="173"/>
        <v>4.991012880512657</v>
      </c>
      <c r="CA64" s="77">
        <f t="shared" ca="1" si="174"/>
        <v>13.665928749734979</v>
      </c>
      <c r="CB64" s="77">
        <f t="shared" ca="1" si="175"/>
        <v>0</v>
      </c>
      <c r="CC64" s="77">
        <f t="shared" ca="1" si="176"/>
        <v>28.708878845108885</v>
      </c>
      <c r="CD64" s="54">
        <f t="shared" ca="1" si="177"/>
        <v>0.28998867520312022</v>
      </c>
      <c r="CE64" s="53">
        <f ca="1">OFFSET('National statistics'!$A$6,MATCH(R0_estimation!$A64,'National statistics'!$A$7:$A$5000,0),MATCH(R0_estimation!CE$16 &amp; "_Running14daysNew",'National statistics'!$B$1:$HA$1,0))</f>
        <v>4578</v>
      </c>
      <c r="CF64" s="97">
        <f t="shared" ca="1" si="178"/>
        <v>2.4331242245373454</v>
      </c>
      <c r="CG64" s="98">
        <f t="shared" ca="1" si="113"/>
        <v>1.2165621122686727</v>
      </c>
      <c r="CH64" s="77">
        <f t="shared" ca="1" si="179"/>
        <v>7294048.6622120291</v>
      </c>
      <c r="CI64" s="77">
        <f t="shared" ca="1" si="180"/>
        <v>2310.4776068307319</v>
      </c>
      <c r="CJ64" s="77">
        <f t="shared" ca="1" si="181"/>
        <v>4205.3577586500096</v>
      </c>
      <c r="CK64" s="77">
        <f t="shared" ca="1" si="182"/>
        <v>0</v>
      </c>
      <c r="CL64" s="77">
        <f t="shared" ca="1" si="183"/>
        <v>4275.222635763952</v>
      </c>
      <c r="CM64" s="54">
        <f t="shared" ca="1" si="184"/>
        <v>43.184067027918701</v>
      </c>
      <c r="CO64" s="209"/>
      <c r="CP64" s="210"/>
    </row>
    <row r="65" spans="1:94">
      <c r="A65" s="83">
        <v>43965</v>
      </c>
      <c r="B65" s="53">
        <f ca="1">OFFSET('National statistics'!$A$6,MATCH(R0_estimation!$A65,'National statistics'!$A$7:$A$5000,0),MATCH(R0_estimation!B$16 &amp; "_Running14daysNew",'National statistics'!$B$1:$HA$1,0))</f>
        <v>7092</v>
      </c>
      <c r="C65" s="97">
        <f t="shared" ca="1" si="115"/>
        <v>1.9211610393424374</v>
      </c>
      <c r="D65" s="98">
        <f t="shared" si="114"/>
        <v>1</v>
      </c>
      <c r="E65" s="77">
        <f t="shared" ca="1" si="116"/>
        <v>59695026.940132573</v>
      </c>
      <c r="F65" s="77">
        <f t="shared" ca="1" si="117"/>
        <v>3668.9024083546037</v>
      </c>
      <c r="G65" s="77">
        <f t="shared" ca="1" si="118"/>
        <v>7886.4819203694115</v>
      </c>
      <c r="H65" s="77">
        <f t="shared" ca="1" si="119"/>
        <v>0</v>
      </c>
      <c r="I65" s="77">
        <f t="shared" ca="1" si="120"/>
        <v>10835.736598436299</v>
      </c>
      <c r="J65" s="54">
        <f t="shared" ca="1" si="121"/>
        <v>109.4518848326899</v>
      </c>
      <c r="K65" s="53">
        <f ca="1">OFFSET('National statistics'!$A$6,MATCH(R0_estimation!$A65,'National statistics'!$A$7:$A$5000,0),MATCH(R0_estimation!K$16 &amp; "_Running14daysNew",'National statistics'!$B$1:$HA$1,0))</f>
        <v>922</v>
      </c>
      <c r="L65" s="97">
        <f t="shared" ca="1" si="122"/>
        <v>2.7782873101034609</v>
      </c>
      <c r="M65" s="98">
        <f t="shared" ca="1" si="105"/>
        <v>1.3891436550517304</v>
      </c>
      <c r="N65" s="77">
        <f t="shared" ca="1" si="123"/>
        <v>6869374.4192830259</v>
      </c>
      <c r="O65" s="77">
        <f t="shared" ca="1" si="124"/>
        <v>338.42223750721575</v>
      </c>
      <c r="P65" s="77">
        <f t="shared" ca="1" si="125"/>
        <v>561.55221679400086</v>
      </c>
      <c r="Q65" s="77">
        <f t="shared" ca="1" si="126"/>
        <v>0</v>
      </c>
      <c r="R65" s="77">
        <f t="shared" ca="1" si="127"/>
        <v>484.89175678950664</v>
      </c>
      <c r="S65" s="54">
        <f t="shared" ca="1" si="128"/>
        <v>4.8978965332273399</v>
      </c>
      <c r="T65" s="53">
        <f ca="1">OFFSET('National statistics'!$A$6,MATCH(R0_estimation!$A65,'National statistics'!$A$7:$A$5000,0),MATCH(R0_estimation!T$16 &amp; "_Running14daysNew",'National statistics'!$B$1:$HA$1,0))</f>
        <v>29</v>
      </c>
      <c r="U65" s="97">
        <f t="shared" ca="1" si="129"/>
        <v>1.0062710569511544</v>
      </c>
      <c r="V65" s="98">
        <f t="shared" ca="1" si="106"/>
        <v>0.50313552847557719</v>
      </c>
      <c r="W65" s="77">
        <f t="shared" ca="1" si="130"/>
        <v>2808632.7714983621</v>
      </c>
      <c r="X65" s="77">
        <f t="shared" ca="1" si="131"/>
        <v>23.722340685863326</v>
      </c>
      <c r="Y65" s="77">
        <f t="shared" ca="1" si="132"/>
        <v>82.633746897997412</v>
      </c>
      <c r="Z65" s="77">
        <f t="shared" ca="1" si="133"/>
        <v>0</v>
      </c>
      <c r="AA65" s="77">
        <f t="shared" ca="1" si="134"/>
        <v>267.30174404379011</v>
      </c>
      <c r="AB65" s="54">
        <f t="shared" ca="1" si="135"/>
        <v>2.7000176166039398</v>
      </c>
      <c r="AC65" s="53">
        <f ca="1">OFFSET('National statistics'!$A$6,MATCH(R0_estimation!$A65,'National statistics'!$A$7:$A$5000,0),MATCH(R0_estimation!AC$16 &amp; "_Running14daysNew",'National statistics'!$B$1:$HA$1,0))</f>
        <v>689</v>
      </c>
      <c r="AD65" s="97">
        <f t="shared" ca="1" si="136"/>
        <v>1.1513150830584011</v>
      </c>
      <c r="AE65" s="98">
        <f t="shared" ca="1" si="107"/>
        <v>0.57565754152920057</v>
      </c>
      <c r="AF65" s="77">
        <f t="shared" ca="1" si="137"/>
        <v>15635469.350421967</v>
      </c>
      <c r="AG65" s="77">
        <f t="shared" ca="1" si="138"/>
        <v>313.07983534735519</v>
      </c>
      <c r="AH65" s="77">
        <f t="shared" ca="1" si="139"/>
        <v>983.14907318466589</v>
      </c>
      <c r="AI65" s="77">
        <f t="shared" ca="1" si="140"/>
        <v>0</v>
      </c>
      <c r="AJ65" s="77">
        <f t="shared" ca="1" si="141"/>
        <v>2643.8862963431934</v>
      </c>
      <c r="AK65" s="54">
        <f t="shared" ca="1" si="142"/>
        <v>26.70592218528477</v>
      </c>
      <c r="AL65" s="53">
        <f ca="1">OFFSET('National statistics'!$A$6,MATCH(R0_estimation!$A65,'National statistics'!$A$7:$A$5000,0),MATCH(R0_estimation!AL$16 &amp; "_Running14daysNew",'National statistics'!$B$1:$HA$1,0))</f>
        <v>464</v>
      </c>
      <c r="AM65" s="97">
        <f t="shared" ca="1" si="143"/>
        <v>1.4899002769655674</v>
      </c>
      <c r="AN65" s="98">
        <f t="shared" ca="1" si="108"/>
        <v>0.74495013848278369</v>
      </c>
      <c r="AO65" s="77">
        <f t="shared" ca="1" si="144"/>
        <v>10998674.051677562</v>
      </c>
      <c r="AP65" s="77">
        <f t="shared" ca="1" si="145"/>
        <v>216.1830135017276</v>
      </c>
      <c r="AQ65" s="77">
        <f t="shared" ca="1" si="146"/>
        <v>559.17301347906869</v>
      </c>
      <c r="AR65" s="77">
        <f t="shared" ca="1" si="147"/>
        <v>0</v>
      </c>
      <c r="AS65" s="77">
        <f t="shared" ca="1" si="148"/>
        <v>1069.1943398764454</v>
      </c>
      <c r="AT65" s="54">
        <f t="shared" ca="1" si="149"/>
        <v>10.799942827034803</v>
      </c>
      <c r="AU65" s="53">
        <f ca="1">OFFSET('National statistics'!$A$6,MATCH(R0_estimation!$A65,'National statistics'!$A$7:$A$5000,0),MATCH(R0_estimation!AU$16 &amp; "_Running14daysNew",'National statistics'!$B$1:$HA$1,0))</f>
        <v>23</v>
      </c>
      <c r="AV65" s="97">
        <f t="shared" ca="1" si="150"/>
        <v>1.7150884819427765</v>
      </c>
      <c r="AW65" s="98">
        <f t="shared" ca="1" si="109"/>
        <v>0.85754424097138826</v>
      </c>
      <c r="AX65" s="77">
        <f t="shared" ca="1" si="151"/>
        <v>5853671.1500325231</v>
      </c>
      <c r="AY65" s="77">
        <f t="shared" ca="1" si="152"/>
        <v>23.625295237427171</v>
      </c>
      <c r="AZ65" s="77">
        <f t="shared" ca="1" si="153"/>
        <v>55.107954067721849</v>
      </c>
      <c r="BA65" s="77">
        <f t="shared" ca="1" si="154"/>
        <v>0</v>
      </c>
      <c r="BB65" s="77">
        <f t="shared" ca="1" si="155"/>
        <v>88.044536368377209</v>
      </c>
      <c r="BC65" s="54">
        <f t="shared" ca="1" si="156"/>
        <v>0.88933875119572958</v>
      </c>
      <c r="BD65" s="53">
        <f ca="1">OFFSET('National statistics'!$A$6,MATCH(R0_estimation!$A65,'National statistics'!$A$7:$A$5000,0),MATCH(R0_estimation!BD$16 &amp; "_Running14daysNew",'National statistics'!$B$1:$HA$1,0))</f>
        <v>31</v>
      </c>
      <c r="BE65" s="97">
        <f t="shared" ca="1" si="157"/>
        <v>1.4435626881707697</v>
      </c>
      <c r="BF65" s="98">
        <f t="shared" ca="1" si="110"/>
        <v>0.72178134408538486</v>
      </c>
      <c r="BG65" s="77">
        <f t="shared" ca="1" si="158"/>
        <v>4809096.4963527182</v>
      </c>
      <c r="BH65" s="77">
        <f t="shared" ca="1" si="159"/>
        <v>11.242141174589943</v>
      </c>
      <c r="BI65" s="77">
        <f t="shared" ca="1" si="160"/>
        <v>29.764976154498203</v>
      </c>
      <c r="BJ65" s="77">
        <f t="shared" ca="1" si="161"/>
        <v>0</v>
      </c>
      <c r="BK65" s="77">
        <f t="shared" ca="1" si="162"/>
        <v>59.531601010461173</v>
      </c>
      <c r="BL65" s="54">
        <f t="shared" ca="1" si="163"/>
        <v>0.60132930313597155</v>
      </c>
      <c r="BM65" s="53">
        <f ca="1">OFFSET('National statistics'!$A$6,MATCH(R0_estimation!$A65,'National statistics'!$A$7:$A$5000,0),MATCH(R0_estimation!BM$16 &amp; "_Running14daysNew",'National statistics'!$B$1:$HA$1,0))</f>
        <v>27</v>
      </c>
      <c r="BN65" s="97">
        <f t="shared" ca="1" si="164"/>
        <v>1.9865205416387972</v>
      </c>
      <c r="BO65" s="98">
        <f t="shared" ca="1" si="111"/>
        <v>0.99326027081939861</v>
      </c>
      <c r="BP65" s="77">
        <f t="shared" ca="1" si="165"/>
        <v>4107518.4760784199</v>
      </c>
      <c r="BQ65" s="77">
        <f t="shared" ca="1" si="166"/>
        <v>19.759659561237093</v>
      </c>
      <c r="BR65" s="77">
        <f t="shared" ca="1" si="167"/>
        <v>41.46031147229732</v>
      </c>
      <c r="BS65" s="77">
        <f t="shared" ca="1" si="168"/>
        <v>0</v>
      </c>
      <c r="BT65" s="77">
        <f t="shared" ca="1" si="169"/>
        <v>54.91897348139279</v>
      </c>
      <c r="BU65" s="54">
        <f t="shared" ca="1" si="170"/>
        <v>0.55473710587265446</v>
      </c>
      <c r="BV65" s="53">
        <f ca="1">OFFSET('National statistics'!$A$6,MATCH(R0_estimation!$A65,'National statistics'!$A$7:$A$5000,0),MATCH(R0_estimation!BV$16 &amp; "_Running14daysNew",'National statistics'!$B$1:$HA$1,0))</f>
        <v>14</v>
      </c>
      <c r="BW65" s="97">
        <f t="shared" ca="1" si="171"/>
        <v>1.3799241468388452</v>
      </c>
      <c r="BX65" s="98">
        <f t="shared" ca="1" si="112"/>
        <v>0.68996207341942262</v>
      </c>
      <c r="BY65" s="77">
        <f t="shared" ca="1" si="172"/>
        <v>1322185.0963154032</v>
      </c>
      <c r="BZ65" s="77">
        <f t="shared" ca="1" si="173"/>
        <v>5.0902074839971441</v>
      </c>
      <c r="CA65" s="77">
        <f t="shared" ca="1" si="174"/>
        <v>13.937544202024931</v>
      </c>
      <c r="CB65" s="77">
        <f t="shared" ca="1" si="175"/>
        <v>0</v>
      </c>
      <c r="CC65" s="77">
        <f t="shared" ca="1" si="176"/>
        <v>29.675255235268715</v>
      </c>
      <c r="CD65" s="54">
        <f t="shared" ca="1" si="177"/>
        <v>0.29975005288150236</v>
      </c>
      <c r="CE65" s="53">
        <f ca="1">OFFSET('National statistics'!$A$6,MATCH(R0_estimation!$A65,'National statistics'!$A$7:$A$5000,0),MATCH(R0_estimation!CE$16 &amp; "_Running14daysNew",'National statistics'!$B$1:$HA$1,0))</f>
        <v>4893</v>
      </c>
      <c r="CF65" s="97">
        <f t="shared" ca="1" si="178"/>
        <v>2.4331242245373454</v>
      </c>
      <c r="CG65" s="98">
        <f t="shared" ca="1" si="113"/>
        <v>1.2165621122686727</v>
      </c>
      <c r="CH65" s="77">
        <f t="shared" ca="1" si="179"/>
        <v>7293318.8734689336</v>
      </c>
      <c r="CI65" s="77">
        <f t="shared" ca="1" si="180"/>
        <v>2462.6469482182492</v>
      </c>
      <c r="CJ65" s="77">
        <f t="shared" ca="1" si="181"/>
        <v>4482.5944633112631</v>
      </c>
      <c r="CK65" s="77">
        <f t="shared" ca="1" si="182"/>
        <v>0</v>
      </c>
      <c r="CL65" s="77">
        <f t="shared" ca="1" si="183"/>
        <v>4572.6015058399171</v>
      </c>
      <c r="CM65" s="54">
        <f t="shared" ca="1" si="184"/>
        <v>46.187893998382997</v>
      </c>
      <c r="CO65" s="209"/>
      <c r="CP65" s="210"/>
    </row>
    <row r="66" spans="1:94">
      <c r="A66" s="83">
        <v>43966</v>
      </c>
      <c r="B66" s="53">
        <f ca="1">OFFSET('National statistics'!$A$6,MATCH(R0_estimation!$A66,'National statistics'!$A$7:$A$5000,0),MATCH(R0_estimation!B$16 &amp; "_Running14daysNew",'National statistics'!$B$1:$HA$1,0))</f>
        <v>7573</v>
      </c>
      <c r="C66" s="97">
        <f t="shared" ca="1" si="115"/>
        <v>1.9211610393424374</v>
      </c>
      <c r="D66" s="98">
        <f t="shared" si="114"/>
        <v>1</v>
      </c>
      <c r="E66" s="77">
        <f t="shared" ca="1" si="116"/>
        <v>59693945.11721538</v>
      </c>
      <c r="F66" s="77">
        <f t="shared" ca="1" si="117"/>
        <v>3833.4997234617558</v>
      </c>
      <c r="G66" s="77">
        <f t="shared" ca="1" si="118"/>
        <v>8240.3873852888191</v>
      </c>
      <c r="H66" s="77">
        <f t="shared" ca="1" si="119"/>
        <v>0</v>
      </c>
      <c r="I66" s="77">
        <f t="shared" ca="1" si="120"/>
        <v>11393.423534233851</v>
      </c>
      <c r="J66" s="54">
        <f t="shared" ca="1" si="121"/>
        <v>115.08508620438234</v>
      </c>
      <c r="K66" s="53">
        <f ca="1">OFFSET('National statistics'!$A$6,MATCH(R0_estimation!$A66,'National statistics'!$A$7:$A$5000,0),MATCH(R0_estimation!K$16 &amp; "_Running14daysNew",'National statistics'!$B$1:$HA$1,0))</f>
        <v>971</v>
      </c>
      <c r="L66" s="97">
        <f t="shared" ca="1" si="122"/>
        <v>2.7782873101034609</v>
      </c>
      <c r="M66" s="98">
        <f t="shared" ca="1" si="105"/>
        <v>1.3891436550517304</v>
      </c>
      <c r="N66" s="77">
        <f t="shared" ca="1" si="123"/>
        <v>6869263.0022162916</v>
      </c>
      <c r="O66" s="77">
        <f t="shared" ca="1" si="124"/>
        <v>365.23374486438138</v>
      </c>
      <c r="P66" s="77">
        <f t="shared" ca="1" si="125"/>
        <v>606.04690354266188</v>
      </c>
      <c r="Q66" s="77">
        <f t="shared" ca="1" si="126"/>
        <v>0</v>
      </c>
      <c r="R66" s="77">
        <f t="shared" ca="1" si="127"/>
        <v>524.60152069136814</v>
      </c>
      <c r="S66" s="54">
        <f t="shared" ca="1" si="128"/>
        <v>5.2990052595087693</v>
      </c>
      <c r="T66" s="53">
        <f ca="1">OFFSET('National statistics'!$A$6,MATCH(R0_estimation!$A66,'National statistics'!$A$7:$A$5000,0),MATCH(R0_estimation!T$16 &amp; "_Running14daysNew",'National statistics'!$B$1:$HA$1,0))</f>
        <v>33</v>
      </c>
      <c r="U66" s="97">
        <f t="shared" ca="1" si="129"/>
        <v>1.0062710569511544</v>
      </c>
      <c r="V66" s="98">
        <f t="shared" ca="1" si="106"/>
        <v>0.50313552847557719</v>
      </c>
      <c r="W66" s="77">
        <f t="shared" ca="1" si="130"/>
        <v>2808626.8328635874</v>
      </c>
      <c r="X66" s="77">
        <f t="shared" ca="1" si="131"/>
        <v>23.730390289140416</v>
      </c>
      <c r="Y66" s="77">
        <f t="shared" ca="1" si="132"/>
        <v>82.661921576749151</v>
      </c>
      <c r="Z66" s="77">
        <f t="shared" ca="1" si="133"/>
        <v>0</v>
      </c>
      <c r="AA66" s="77">
        <f t="shared" ca="1" si="134"/>
        <v>273.14513043157706</v>
      </c>
      <c r="AB66" s="54">
        <f t="shared" ca="1" si="135"/>
        <v>2.759041721531081</v>
      </c>
      <c r="AC66" s="53">
        <f ca="1">OFFSET('National statistics'!$A$6,MATCH(R0_estimation!$A66,'National statistics'!$A$7:$A$5000,0),MATCH(R0_estimation!AC$16 &amp; "_Running14daysNew",'National statistics'!$B$1:$HA$1,0))</f>
        <v>703</v>
      </c>
      <c r="AD66" s="97">
        <f t="shared" ca="1" si="136"/>
        <v>1.1513150830584011</v>
      </c>
      <c r="AE66" s="98">
        <f t="shared" ca="1" si="107"/>
        <v>0.57565754152920057</v>
      </c>
      <c r="AF66" s="77">
        <f t="shared" ca="1" si="137"/>
        <v>15635388.519765684</v>
      </c>
      <c r="AG66" s="77">
        <f t="shared" ca="1" si="138"/>
        <v>315.64053279386201</v>
      </c>
      <c r="AH66" s="77">
        <f t="shared" ca="1" si="139"/>
        <v>991.19409822260013</v>
      </c>
      <c r="AI66" s="77">
        <f t="shared" ca="1" si="140"/>
        <v>0</v>
      </c>
      <c r="AJ66" s="77">
        <f t="shared" ca="1" si="141"/>
        <v>2713.408980804109</v>
      </c>
      <c r="AK66" s="54">
        <f t="shared" ca="1" si="142"/>
        <v>27.408171523273818</v>
      </c>
      <c r="AL66" s="53">
        <f ca="1">OFFSET('National statistics'!$A$6,MATCH(R0_estimation!$A66,'National statistics'!$A$7:$A$5000,0),MATCH(R0_estimation!AL$16 &amp; "_Running14daysNew",'National statistics'!$B$1:$HA$1,0))</f>
        <v>476</v>
      </c>
      <c r="AM66" s="97">
        <f t="shared" ca="1" si="143"/>
        <v>1.4899002769655674</v>
      </c>
      <c r="AN66" s="98">
        <f t="shared" ca="1" si="108"/>
        <v>0.74495013848278369</v>
      </c>
      <c r="AO66" s="77">
        <f t="shared" ca="1" si="144"/>
        <v>10998614.553653799</v>
      </c>
      <c r="AP66" s="77">
        <f t="shared" ca="1" si="145"/>
        <v>221.63528388957712</v>
      </c>
      <c r="AQ66" s="77">
        <f t="shared" ca="1" si="146"/>
        <v>573.27783732028138</v>
      </c>
      <c r="AR66" s="77">
        <f t="shared" ca="1" si="147"/>
        <v>0</v>
      </c>
      <c r="AS66" s="77">
        <f t="shared" ca="1" si="148"/>
        <v>1108.7358601153223</v>
      </c>
      <c r="AT66" s="54">
        <f t="shared" ca="1" si="149"/>
        <v>11.199352122376995</v>
      </c>
      <c r="AU66" s="53">
        <f ca="1">OFFSET('National statistics'!$A$6,MATCH(R0_estimation!$A66,'National statistics'!$A$7:$A$5000,0),MATCH(R0_estimation!AU$16 &amp; "_Running14daysNew",'National statistics'!$B$1:$HA$1,0))</f>
        <v>23</v>
      </c>
      <c r="AV66" s="97">
        <f t="shared" ca="1" si="150"/>
        <v>1.7150884819427765</v>
      </c>
      <c r="AW66" s="98">
        <f t="shared" ca="1" si="109"/>
        <v>0.85754424097138826</v>
      </c>
      <c r="AX66" s="77">
        <f t="shared" ca="1" si="151"/>
        <v>5853664.3991521997</v>
      </c>
      <c r="AY66" s="77">
        <f t="shared" ca="1" si="152"/>
        <v>24.469851750982219</v>
      </c>
      <c r="AZ66" s="77">
        <f t="shared" ca="1" si="153"/>
        <v>57.077995443669934</v>
      </c>
      <c r="BA66" s="77">
        <f t="shared" ca="1" si="154"/>
        <v>0</v>
      </c>
      <c r="BB66" s="77">
        <f t="shared" ca="1" si="155"/>
        <v>91.941455977451824</v>
      </c>
      <c r="BC66" s="54">
        <f t="shared" ca="1" si="156"/>
        <v>0.92870157552981658</v>
      </c>
      <c r="BD66" s="53">
        <f ca="1">OFFSET('National statistics'!$A$6,MATCH(R0_estimation!$A66,'National statistics'!$A$7:$A$5000,0),MATCH(R0_estimation!BD$16 &amp; "_Running14daysNew",'National statistics'!$B$1:$HA$1,0))</f>
        <v>32</v>
      </c>
      <c r="BE66" s="97">
        <f t="shared" ca="1" si="157"/>
        <v>1.4435626881707697</v>
      </c>
      <c r="BF66" s="98">
        <f t="shared" ca="1" si="110"/>
        <v>0.72178134408538486</v>
      </c>
      <c r="BG66" s="77">
        <f t="shared" ca="1" si="158"/>
        <v>4809093.4273019517</v>
      </c>
      <c r="BH66" s="77">
        <f t="shared" ca="1" si="159"/>
        <v>11.500656647451905</v>
      </c>
      <c r="BI66" s="77">
        <f t="shared" ca="1" si="160"/>
        <v>30.449441722824389</v>
      </c>
      <c r="BJ66" s="77">
        <f t="shared" ca="1" si="161"/>
        <v>0</v>
      </c>
      <c r="BK66" s="77">
        <f t="shared" ca="1" si="162"/>
        <v>61.636410038529263</v>
      </c>
      <c r="BL66" s="54">
        <f t="shared" ca="1" si="163"/>
        <v>0.62259000038918455</v>
      </c>
      <c r="BM66" s="53">
        <f ca="1">OFFSET('National statistics'!$A$6,MATCH(R0_estimation!$A66,'National statistics'!$A$7:$A$5000,0),MATCH(R0_estimation!BM$16 &amp; "_Running14daysNew",'National statistics'!$B$1:$HA$1,0))</f>
        <v>28</v>
      </c>
      <c r="BN66" s="97">
        <f t="shared" ca="1" si="164"/>
        <v>1.9865205416387972</v>
      </c>
      <c r="BO66" s="98">
        <f t="shared" ca="1" si="111"/>
        <v>0.99326027081939861</v>
      </c>
      <c r="BP66" s="77">
        <f t="shared" ca="1" si="165"/>
        <v>4107512.5932618692</v>
      </c>
      <c r="BQ66" s="77">
        <f t="shared" ca="1" si="166"/>
        <v>20.70256122181322</v>
      </c>
      <c r="BR66" s="77">
        <f t="shared" ca="1" si="167"/>
        <v>43.438775543156787</v>
      </c>
      <c r="BS66" s="77">
        <f t="shared" ca="1" si="168"/>
        <v>0</v>
      </c>
      <c r="BT66" s="77">
        <f t="shared" ca="1" si="169"/>
        <v>57.8508097926481</v>
      </c>
      <c r="BU66" s="54">
        <f t="shared" ca="1" si="170"/>
        <v>0.58435161406715252</v>
      </c>
      <c r="BV66" s="53">
        <f ca="1">OFFSET('National statistics'!$A$6,MATCH(R0_estimation!$A66,'National statistics'!$A$7:$A$5000,0),MATCH(R0_estimation!BV$16 &amp; "_Running14daysNew",'National statistics'!$B$1:$HA$1,0))</f>
        <v>16</v>
      </c>
      <c r="BW66" s="97">
        <f t="shared" ca="1" si="171"/>
        <v>1.3799241468388452</v>
      </c>
      <c r="BX66" s="98">
        <f t="shared" ca="1" si="112"/>
        <v>0.68996207341942262</v>
      </c>
      <c r="BY66" s="77">
        <f t="shared" ca="1" si="172"/>
        <v>1322183.7225978766</v>
      </c>
      <c r="BZ66" s="77">
        <f t="shared" ca="1" si="173"/>
        <v>5.1913731397819989</v>
      </c>
      <c r="CA66" s="77">
        <f t="shared" ca="1" si="174"/>
        <v>14.214557201451008</v>
      </c>
      <c r="CB66" s="77">
        <f t="shared" ca="1" si="175"/>
        <v>0</v>
      </c>
      <c r="CC66" s="77">
        <f t="shared" ca="1" si="176"/>
        <v>30.660838718126193</v>
      </c>
      <c r="CD66" s="54">
        <f t="shared" ca="1" si="177"/>
        <v>0.30970544159723445</v>
      </c>
      <c r="CE66" s="53">
        <f ca="1">OFFSET('National statistics'!$A$6,MATCH(R0_estimation!$A66,'National statistics'!$A$7:$A$5000,0),MATCH(R0_estimation!CE$16 &amp; "_Running14daysNew",'National statistics'!$B$1:$HA$1,0))</f>
        <v>5291</v>
      </c>
      <c r="CF66" s="97">
        <f t="shared" ca="1" si="178"/>
        <v>2.4331242245373454</v>
      </c>
      <c r="CG66" s="98">
        <f t="shared" ca="1" si="113"/>
        <v>1.2165621122686727</v>
      </c>
      <c r="CH66" s="77">
        <f t="shared" ca="1" si="179"/>
        <v>7292541.0511752963</v>
      </c>
      <c r="CI66" s="77">
        <f t="shared" ca="1" si="180"/>
        <v>2624.8075048010382</v>
      </c>
      <c r="CJ66" s="77">
        <f t="shared" ca="1" si="181"/>
        <v>4778.0708815578782</v>
      </c>
      <c r="CK66" s="77">
        <f t="shared" ca="1" si="182"/>
        <v>0</v>
      </c>
      <c r="CL66" s="77">
        <f t="shared" ca="1" si="183"/>
        <v>4889.5849714597853</v>
      </c>
      <c r="CM66" s="54">
        <f t="shared" ca="1" si="184"/>
        <v>49.389747186462472</v>
      </c>
      <c r="CO66" s="209"/>
      <c r="CP66" s="210"/>
    </row>
    <row r="67" spans="1:94">
      <c r="A67" s="83">
        <v>43967</v>
      </c>
      <c r="B67" s="53">
        <f ca="1">OFFSET('National statistics'!$A$6,MATCH(R0_estimation!$A67,'National statistics'!$A$7:$A$5000,0),MATCH(R0_estimation!B$16 &amp; "_Running14daysNew",'National statistics'!$B$1:$HA$1,0))</f>
        <v>8019</v>
      </c>
      <c r="C67" s="97">
        <f t="shared" ca="1" si="115"/>
        <v>1.9211610393424374</v>
      </c>
      <c r="D67" s="98">
        <f t="shared" si="114"/>
        <v>1</v>
      </c>
      <c r="E67" s="77">
        <f t="shared" ca="1" si="116"/>
        <v>59692814.767929681</v>
      </c>
      <c r="F67" s="77">
        <f t="shared" ca="1" si="117"/>
        <v>4005.4740782939953</v>
      </c>
      <c r="G67" s="77">
        <f t="shared" ca="1" si="118"/>
        <v>8610.1632172050558</v>
      </c>
      <c r="H67" s="77">
        <f t="shared" ca="1" si="119"/>
        <v>0</v>
      </c>
      <c r="I67" s="77">
        <f t="shared" ca="1" si="120"/>
        <v>11976.13664219356</v>
      </c>
      <c r="J67" s="54">
        <f t="shared" ca="1" si="121"/>
        <v>120.97107719387435</v>
      </c>
      <c r="K67" s="53">
        <f ca="1">OFFSET('National statistics'!$A$6,MATCH(R0_estimation!$A67,'National statistics'!$A$7:$A$5000,0),MATCH(R0_estimation!K$16 &amp; "_Running14daysNew",'National statistics'!$B$1:$HA$1,0))</f>
        <v>1080</v>
      </c>
      <c r="L67" s="97">
        <f t="shared" ca="1" si="122"/>
        <v>2.7782873101034609</v>
      </c>
      <c r="M67" s="98">
        <f t="shared" ca="1" si="105"/>
        <v>1.3891436550517304</v>
      </c>
      <c r="N67" s="77">
        <f t="shared" ca="1" si="123"/>
        <v>6869142.7589423433</v>
      </c>
      <c r="O67" s="77">
        <f t="shared" ca="1" si="124"/>
        <v>394.16858259658892</v>
      </c>
      <c r="P67" s="77">
        <f t="shared" ca="1" si="125"/>
        <v>654.06627521999576</v>
      </c>
      <c r="Q67" s="77">
        <f t="shared" ca="1" si="126"/>
        <v>0</v>
      </c>
      <c r="R67" s="77">
        <f t="shared" ca="1" si="127"/>
        <v>567.45769458474206</v>
      </c>
      <c r="S67" s="54">
        <f t="shared" ca="1" si="128"/>
        <v>5.7318959048963851</v>
      </c>
      <c r="T67" s="53">
        <f ca="1">OFFSET('National statistics'!$A$6,MATCH(R0_estimation!$A67,'National statistics'!$A$7:$A$5000,0),MATCH(R0_estimation!T$16 &amp; "_Running14daysNew",'National statistics'!$B$1:$HA$1,0))</f>
        <v>32</v>
      </c>
      <c r="U67" s="97">
        <f t="shared" ca="1" si="129"/>
        <v>1.0062710569511544</v>
      </c>
      <c r="V67" s="98">
        <f t="shared" ca="1" si="106"/>
        <v>0.50313552847557719</v>
      </c>
      <c r="W67" s="77">
        <f t="shared" ca="1" si="130"/>
        <v>2808620.8922164207</v>
      </c>
      <c r="X67" s="77">
        <f t="shared" ca="1" si="131"/>
        <v>23.738439883395454</v>
      </c>
      <c r="Y67" s="77">
        <f t="shared" ca="1" si="132"/>
        <v>82.690096179266462</v>
      </c>
      <c r="Z67" s="77">
        <f t="shared" ca="1" si="133"/>
        <v>0</v>
      </c>
      <c r="AA67" s="77">
        <f t="shared" ca="1" si="134"/>
        <v>278.9905091716472</v>
      </c>
      <c r="AB67" s="54">
        <f t="shared" ca="1" si="135"/>
        <v>2.8180859512287588</v>
      </c>
      <c r="AC67" s="53">
        <f ca="1">OFFSET('National statistics'!$A$6,MATCH(R0_estimation!$A67,'National statistics'!$A$7:$A$5000,0),MATCH(R0_estimation!AC$16 &amp; "_Running14daysNew",'National statistics'!$B$1:$HA$1,0))</f>
        <v>664</v>
      </c>
      <c r="AD67" s="97">
        <f t="shared" ca="1" si="136"/>
        <v>1.1513150830584011</v>
      </c>
      <c r="AE67" s="98">
        <f t="shared" ca="1" si="107"/>
        <v>0.57565754152920057</v>
      </c>
      <c r="AF67" s="77">
        <f t="shared" ca="1" si="137"/>
        <v>15635307.028096663</v>
      </c>
      <c r="AG67" s="77">
        <f t="shared" ca="1" si="138"/>
        <v>318.22206861680263</v>
      </c>
      <c r="AH67" s="77">
        <f t="shared" ca="1" si="139"/>
        <v>999.30465297659418</v>
      </c>
      <c r="AI67" s="77">
        <f t="shared" ca="1" si="140"/>
        <v>0</v>
      </c>
      <c r="AJ67" s="77">
        <f t="shared" ca="1" si="141"/>
        <v>2783.5005634641357</v>
      </c>
      <c r="AK67" s="54">
        <f t="shared" ca="1" si="142"/>
        <v>28.116167307718534</v>
      </c>
      <c r="AL67" s="53">
        <f ca="1">OFFSET('National statistics'!$A$6,MATCH(R0_estimation!$A67,'National statistics'!$A$7:$A$5000,0),MATCH(R0_estimation!AL$16 &amp; "_Running14daysNew",'National statistics'!$B$1:$HA$1,0))</f>
        <v>447</v>
      </c>
      <c r="AM67" s="97">
        <f t="shared" ca="1" si="143"/>
        <v>1.4899002769655674</v>
      </c>
      <c r="AN67" s="98">
        <f t="shared" ca="1" si="108"/>
        <v>0.74495013848278369</v>
      </c>
      <c r="AO67" s="77">
        <f t="shared" ca="1" si="144"/>
        <v>10998553.555153711</v>
      </c>
      <c r="AP67" s="77">
        <f t="shared" ca="1" si="145"/>
        <v>227.22496300538961</v>
      </c>
      <c r="AQ67" s="77">
        <f t="shared" ca="1" si="146"/>
        <v>587.73824134122708</v>
      </c>
      <c r="AR67" s="77">
        <f t="shared" ca="1" si="147"/>
        <v>0</v>
      </c>
      <c r="AS67" s="77">
        <f t="shared" ca="1" si="148"/>
        <v>1149.2747928972565</v>
      </c>
      <c r="AT67" s="54">
        <f t="shared" ca="1" si="149"/>
        <v>11.608836291891482</v>
      </c>
      <c r="AU67" s="53">
        <f ca="1">OFFSET('National statistics'!$A$6,MATCH(R0_estimation!$A67,'National statistics'!$A$7:$A$5000,0),MATCH(R0_estimation!AU$16 &amp; "_Running14daysNew",'National statistics'!$B$1:$HA$1,0))</f>
        <v>23</v>
      </c>
      <c r="AV67" s="97">
        <f t="shared" ca="1" si="150"/>
        <v>1.7150884819427765</v>
      </c>
      <c r="AW67" s="98">
        <f t="shared" ca="1" si="109"/>
        <v>0.85754424097138826</v>
      </c>
      <c r="AX67" s="77">
        <f t="shared" ca="1" si="151"/>
        <v>5853657.4069442498</v>
      </c>
      <c r="AY67" s="77">
        <f t="shared" ca="1" si="152"/>
        <v>25.344596762792865</v>
      </c>
      <c r="AZ67" s="77">
        <f t="shared" ca="1" si="153"/>
        <v>59.118458706867642</v>
      </c>
      <c r="BA67" s="77">
        <f t="shared" ca="1" si="154"/>
        <v>0</v>
      </c>
      <c r="BB67" s="77">
        <f t="shared" ca="1" si="155"/>
        <v>95.977685655254191</v>
      </c>
      <c r="BC67" s="54">
        <f t="shared" ca="1" si="156"/>
        <v>0.96947157227529512</v>
      </c>
      <c r="BD67" s="53">
        <f ca="1">OFFSET('National statistics'!$A$6,MATCH(R0_estimation!$A67,'National statistics'!$A$7:$A$5000,0),MATCH(R0_estimation!BD$16 &amp; "_Running14daysNew",'National statistics'!$B$1:$HA$1,0))</f>
        <v>28</v>
      </c>
      <c r="BE67" s="97">
        <f t="shared" ca="1" si="157"/>
        <v>1.4435626881707697</v>
      </c>
      <c r="BF67" s="98">
        <f t="shared" ca="1" si="110"/>
        <v>0.72178134408538486</v>
      </c>
      <c r="BG67" s="77">
        <f t="shared" ca="1" si="158"/>
        <v>4809090.2876782967</v>
      </c>
      <c r="BH67" s="77">
        <f t="shared" ca="1" si="159"/>
        <v>11.765116140893005</v>
      </c>
      <c r="BI67" s="77">
        <f t="shared" ca="1" si="160"/>
        <v>31.149645761628481</v>
      </c>
      <c r="BJ67" s="77">
        <f t="shared" ca="1" si="161"/>
        <v>0</v>
      </c>
      <c r="BK67" s="77">
        <f t="shared" ca="1" si="162"/>
        <v>63.789620560357562</v>
      </c>
      <c r="BL67" s="54">
        <f t="shared" ca="1" si="163"/>
        <v>0.64433960161977344</v>
      </c>
      <c r="BM67" s="53">
        <f ca="1">OFFSET('National statistics'!$A$6,MATCH(R0_estimation!$A67,'National statistics'!$A$7:$A$5000,0),MATCH(R0_estimation!BM$16 &amp; "_Running14daysNew",'National statistics'!$B$1:$HA$1,0))</f>
        <v>29</v>
      </c>
      <c r="BN67" s="97">
        <f t="shared" ca="1" si="164"/>
        <v>1.9865205416387972</v>
      </c>
      <c r="BO67" s="98">
        <f t="shared" ca="1" si="111"/>
        <v>0.99326027081939861</v>
      </c>
      <c r="BP67" s="77">
        <f t="shared" ca="1" si="165"/>
        <v>4107506.4297292158</v>
      </c>
      <c r="BQ67" s="77">
        <f t="shared" ca="1" si="166"/>
        <v>21.690453569486699</v>
      </c>
      <c r="BR67" s="77">
        <f t="shared" ca="1" si="167"/>
        <v>45.511646166956041</v>
      </c>
      <c r="BS67" s="77">
        <f t="shared" ca="1" si="168"/>
        <v>0</v>
      </c>
      <c r="BT67" s="77">
        <f t="shared" ca="1" si="169"/>
        <v>60.922551777485616</v>
      </c>
      <c r="BU67" s="54">
        <f t="shared" ca="1" si="170"/>
        <v>0.61537931088369313</v>
      </c>
      <c r="BV67" s="53">
        <f ca="1">OFFSET('National statistics'!$A$6,MATCH(R0_estimation!$A67,'National statistics'!$A$7:$A$5000,0),MATCH(R0_estimation!BV$16 &amp; "_Running14daysNew",'National statistics'!$B$1:$HA$1,0))</f>
        <v>12</v>
      </c>
      <c r="BW67" s="97">
        <f t="shared" ca="1" si="171"/>
        <v>1.3799241468388452</v>
      </c>
      <c r="BX67" s="98">
        <f t="shared" ca="1" si="112"/>
        <v>0.68996207341942262</v>
      </c>
      <c r="BY67" s="77">
        <f t="shared" ca="1" si="172"/>
        <v>1322182.3215787343</v>
      </c>
      <c r="BZ67" s="77">
        <f t="shared" ca="1" si="173"/>
        <v>5.2945489970356343</v>
      </c>
      <c r="CA67" s="77">
        <f t="shared" ca="1" si="174"/>
        <v>14.49707497200715</v>
      </c>
      <c r="CB67" s="77">
        <f t="shared" ca="1" si="175"/>
        <v>0</v>
      </c>
      <c r="CC67" s="77">
        <f t="shared" ca="1" si="176"/>
        <v>31.666010977371656</v>
      </c>
      <c r="CD67" s="54">
        <f t="shared" ca="1" si="177"/>
        <v>0.31985869674112805</v>
      </c>
      <c r="CE67" s="53">
        <f ca="1">OFFSET('National statistics'!$A$6,MATCH(R0_estimation!$A67,'National statistics'!$A$7:$A$5000,0),MATCH(R0_estimation!CE$16 &amp; "_Running14daysNew",'National statistics'!$B$1:$HA$1,0))</f>
        <v>5704</v>
      </c>
      <c r="CF67" s="97">
        <f t="shared" ca="1" si="178"/>
        <v>2.4331242245373454</v>
      </c>
      <c r="CG67" s="98">
        <f t="shared" ca="1" si="113"/>
        <v>1.2165621122686727</v>
      </c>
      <c r="CH67" s="77">
        <f t="shared" ca="1" si="179"/>
        <v>7291712.0457069175</v>
      </c>
      <c r="CI67" s="77">
        <f t="shared" ca="1" si="180"/>
        <v>2797.6110969792289</v>
      </c>
      <c r="CJ67" s="77">
        <f t="shared" ca="1" si="181"/>
        <v>5092.9819805040042</v>
      </c>
      <c r="CK67" s="77">
        <f t="shared" ca="1" si="182"/>
        <v>0</v>
      </c>
      <c r="CL67" s="77">
        <f t="shared" ca="1" si="183"/>
        <v>5227.4628409413781</v>
      </c>
      <c r="CM67" s="54">
        <f t="shared" ca="1" si="184"/>
        <v>52.802654959003817</v>
      </c>
      <c r="CO67" s="209"/>
      <c r="CP67" s="210"/>
    </row>
    <row r="68" spans="1:94">
      <c r="A68" s="83">
        <v>43968</v>
      </c>
      <c r="B68" s="53">
        <f ca="1">OFFSET('National statistics'!$A$6,MATCH(R0_estimation!$A68,'National statistics'!$A$7:$A$5000,0),MATCH(R0_estimation!B$16 &amp; "_Running14daysNew",'National statistics'!$B$1:$HA$1,0))</f>
        <v>8732</v>
      </c>
      <c r="C68" s="97">
        <f t="shared" ca="1" si="115"/>
        <v>1.9211610393424374</v>
      </c>
      <c r="D68" s="98">
        <f t="shared" si="114"/>
        <v>1</v>
      </c>
      <c r="E68" s="77">
        <f t="shared" ca="1" si="116"/>
        <v>59691633.718052469</v>
      </c>
      <c r="F68" s="77">
        <f t="shared" ca="1" si="117"/>
        <v>4185.1554359339143</v>
      </c>
      <c r="G68" s="77">
        <f t="shared" ca="1" si="118"/>
        <v>8996.5200784067638</v>
      </c>
      <c r="H68" s="77">
        <f t="shared" ca="1" si="119"/>
        <v>0</v>
      </c>
      <c r="I68" s="77">
        <f t="shared" ca="1" si="120"/>
        <v>12584.998183981632</v>
      </c>
      <c r="J68" s="54">
        <f t="shared" ca="1" si="121"/>
        <v>127.12119377759225</v>
      </c>
      <c r="K68" s="53">
        <f ca="1">OFFSET('National statistics'!$A$6,MATCH(R0_estimation!$A68,'National statistics'!$A$7:$A$5000,0),MATCH(R0_estimation!K$16 &amp; "_Running14daysNew",'National statistics'!$B$1:$HA$1,0))</f>
        <v>1162</v>
      </c>
      <c r="L68" s="97">
        <f t="shared" ca="1" si="122"/>
        <v>2.7782873101034609</v>
      </c>
      <c r="M68" s="98">
        <f t="shared" ca="1" si="105"/>
        <v>1.3891436550517304</v>
      </c>
      <c r="N68" s="77">
        <f t="shared" ca="1" si="123"/>
        <v>6869012.990605724</v>
      </c>
      <c r="O68" s="77">
        <f t="shared" ca="1" si="124"/>
        <v>425.39477356683136</v>
      </c>
      <c r="P68" s="77">
        <f t="shared" ca="1" si="125"/>
        <v>705.8894012105718</v>
      </c>
      <c r="Q68" s="77">
        <f t="shared" ca="1" si="126"/>
        <v>0</v>
      </c>
      <c r="R68" s="77">
        <f t="shared" ca="1" si="127"/>
        <v>613.70952404672744</v>
      </c>
      <c r="S68" s="54">
        <f t="shared" ca="1" si="128"/>
        <v>6.1990861014820968</v>
      </c>
      <c r="T68" s="53">
        <f ca="1">OFFSET('National statistics'!$A$6,MATCH(R0_estimation!$A68,'National statistics'!$A$7:$A$5000,0),MATCH(R0_estimation!T$16 &amp; "_Running14daysNew",'National statistics'!$B$1:$HA$1,0))</f>
        <v>36</v>
      </c>
      <c r="U68" s="97">
        <f t="shared" ca="1" si="129"/>
        <v>1.0062710569511544</v>
      </c>
      <c r="V68" s="98">
        <f t="shared" ca="1" si="106"/>
        <v>0.50313552847557719</v>
      </c>
      <c r="W68" s="77">
        <f t="shared" ca="1" si="130"/>
        <v>2808614.9495568806</v>
      </c>
      <c r="X68" s="77">
        <f t="shared" ca="1" si="131"/>
        <v>23.746489452711753</v>
      </c>
      <c r="Y68" s="77">
        <f t="shared" ca="1" si="132"/>
        <v>82.718270708739155</v>
      </c>
      <c r="Z68" s="77">
        <f t="shared" ca="1" si="133"/>
        <v>0</v>
      </c>
      <c r="AA68" s="77">
        <f t="shared" ca="1" si="134"/>
        <v>284.83788025860963</v>
      </c>
      <c r="AB68" s="54">
        <f t="shared" ca="1" si="135"/>
        <v>2.8771503056425205</v>
      </c>
      <c r="AC68" s="53">
        <f ca="1">OFFSET('National statistics'!$A$6,MATCH(R0_estimation!$A68,'National statistics'!$A$7:$A$5000,0),MATCH(R0_estimation!AC$16 &amp; "_Running14daysNew",'National statistics'!$B$1:$HA$1,0))</f>
        <v>705</v>
      </c>
      <c r="AD68" s="97">
        <f t="shared" ca="1" si="136"/>
        <v>1.1513150830584011</v>
      </c>
      <c r="AE68" s="98">
        <f t="shared" ca="1" si="107"/>
        <v>0.57565754152920057</v>
      </c>
      <c r="AF68" s="77">
        <f t="shared" ca="1" si="137"/>
        <v>15635224.870037585</v>
      </c>
      <c r="AG68" s="77">
        <f t="shared" ca="1" si="138"/>
        <v>320.82461054015641</v>
      </c>
      <c r="AH68" s="77">
        <f t="shared" ca="1" si="139"/>
        <v>1007.4812663467524</v>
      </c>
      <c r="AI68" s="77">
        <f t="shared" ca="1" si="140"/>
        <v>0</v>
      </c>
      <c r="AJ68" s="77">
        <f t="shared" ca="1" si="141"/>
        <v>2854.1656782103378</v>
      </c>
      <c r="AK68" s="54">
        <f t="shared" ca="1" si="142"/>
        <v>28.829956345558958</v>
      </c>
      <c r="AL68" s="53">
        <f ca="1">OFFSET('National statistics'!$A$6,MATCH(R0_estimation!$A68,'National statistics'!$A$7:$A$5000,0),MATCH(R0_estimation!AL$16 &amp; "_Running14daysNew",'National statistics'!$B$1:$HA$1,0))</f>
        <v>467</v>
      </c>
      <c r="AM68" s="97">
        <f t="shared" ca="1" si="143"/>
        <v>1.4899002769655674</v>
      </c>
      <c r="AN68" s="98">
        <f t="shared" ca="1" si="108"/>
        <v>0.74495013848278369</v>
      </c>
      <c r="AO68" s="77">
        <f t="shared" ca="1" si="144"/>
        <v>10998491.018367294</v>
      </c>
      <c r="AP68" s="77">
        <f t="shared" ca="1" si="145"/>
        <v>232.95550867040134</v>
      </c>
      <c r="AQ68" s="77">
        <f t="shared" ca="1" si="146"/>
        <v>602.56317913962971</v>
      </c>
      <c r="AR68" s="77">
        <f t="shared" ca="1" si="147"/>
        <v>0</v>
      </c>
      <c r="AS68" s="77">
        <f t="shared" ca="1" si="148"/>
        <v>1190.8362828206718</v>
      </c>
      <c r="AT68" s="54">
        <f t="shared" ca="1" si="149"/>
        <v>12.02864932142093</v>
      </c>
      <c r="AU68" s="53">
        <f ca="1">OFFSET('National statistics'!$A$6,MATCH(R0_estimation!$A68,'National statistics'!$A$7:$A$5000,0),MATCH(R0_estimation!AU$16 &amp; "_Running14daysNew",'National statistics'!$B$1:$HA$1,0))</f>
        <v>40</v>
      </c>
      <c r="AV68" s="97">
        <f t="shared" ca="1" si="150"/>
        <v>1.7150884819427765</v>
      </c>
      <c r="AW68" s="98">
        <f t="shared" ca="1" si="109"/>
        <v>0.85754424097138826</v>
      </c>
      <c r="AX68" s="77">
        <f t="shared" ca="1" si="151"/>
        <v>5853650.1647826629</v>
      </c>
      <c r="AY68" s="77">
        <f t="shared" ca="1" si="152"/>
        <v>26.250609158750876</v>
      </c>
      <c r="AZ68" s="77">
        <f t="shared" ca="1" si="153"/>
        <v>61.231860847075318</v>
      </c>
      <c r="BA68" s="77">
        <f t="shared" ca="1" si="154"/>
        <v>0</v>
      </c>
      <c r="BB68" s="77">
        <f t="shared" ca="1" si="155"/>
        <v>100.15820523523983</v>
      </c>
      <c r="BC68" s="54">
        <f t="shared" ca="1" si="156"/>
        <v>1.0116990427802006</v>
      </c>
      <c r="BD68" s="53">
        <f ca="1">OFFSET('National statistics'!$A$6,MATCH(R0_estimation!$A68,'National statistics'!$A$7:$A$5000,0),MATCH(R0_estimation!BD$16 &amp; "_Running14daysNew",'National statistics'!$B$1:$HA$1,0))</f>
        <v>25</v>
      </c>
      <c r="BE68" s="97">
        <f t="shared" ca="1" si="157"/>
        <v>1.4435626881707697</v>
      </c>
      <c r="BF68" s="98">
        <f t="shared" ca="1" si="110"/>
        <v>0.72178134408538486</v>
      </c>
      <c r="BG68" s="77">
        <f t="shared" ca="1" si="158"/>
        <v>4809087.0758591052</v>
      </c>
      <c r="BH68" s="77">
        <f t="shared" ca="1" si="159"/>
        <v>12.035656296721161</v>
      </c>
      <c r="BI68" s="77">
        <f t="shared" ca="1" si="160"/>
        <v>31.865950099592553</v>
      </c>
      <c r="BJ68" s="77">
        <f t="shared" ca="1" si="161"/>
        <v>0</v>
      </c>
      <c r="BK68" s="77">
        <f t="shared" ca="1" si="162"/>
        <v>65.992345510644142</v>
      </c>
      <c r="BL68" s="54">
        <f t="shared" ca="1" si="163"/>
        <v>0.66658934859236518</v>
      </c>
      <c r="BM68" s="53">
        <f ca="1">OFFSET('National statistics'!$A$6,MATCH(R0_estimation!$A68,'National statistics'!$A$7:$A$5000,0),MATCH(R0_estimation!BM$16 &amp; "_Running14daysNew",'National statistics'!$B$1:$HA$1,0))</f>
        <v>34</v>
      </c>
      <c r="BN68" s="97">
        <f t="shared" ca="1" si="164"/>
        <v>1.9865205416387972</v>
      </c>
      <c r="BO68" s="98">
        <f t="shared" ca="1" si="111"/>
        <v>0.99326027081939861</v>
      </c>
      <c r="BP68" s="77">
        <f t="shared" ca="1" si="165"/>
        <v>4107499.9720863625</v>
      </c>
      <c r="BQ68" s="77">
        <f t="shared" ca="1" si="166"/>
        <v>22.725483030432002</v>
      </c>
      <c r="BR68" s="77">
        <f t="shared" ca="1" si="167"/>
        <v>47.683427690259428</v>
      </c>
      <c r="BS68" s="77">
        <f t="shared" ca="1" si="168"/>
        <v>0</v>
      </c>
      <c r="BT68" s="77">
        <f t="shared" ca="1" si="169"/>
        <v>64.140875327863228</v>
      </c>
      <c r="BU68" s="54">
        <f t="shared" ca="1" si="170"/>
        <v>0.64788762957437607</v>
      </c>
      <c r="BV68" s="53">
        <f ca="1">OFFSET('National statistics'!$A$6,MATCH(R0_estimation!$A68,'National statistics'!$A$7:$A$5000,0),MATCH(R0_estimation!BV$16 &amp; "_Running14daysNew",'National statistics'!$B$1:$HA$1,0))</f>
        <v>13</v>
      </c>
      <c r="BW68" s="97">
        <f t="shared" ca="1" si="171"/>
        <v>1.3799241468388452</v>
      </c>
      <c r="BX68" s="98">
        <f t="shared" ca="1" si="112"/>
        <v>0.68996207341942262</v>
      </c>
      <c r="BY68" s="77">
        <f t="shared" ca="1" si="172"/>
        <v>1322180.8927155002</v>
      </c>
      <c r="BZ68" s="77">
        <f t="shared" ca="1" si="173"/>
        <v>5.3997749820011736</v>
      </c>
      <c r="CA68" s="77">
        <f t="shared" ca="1" si="174"/>
        <v>14.785206866122691</v>
      </c>
      <c r="CB68" s="77">
        <f t="shared" ca="1" si="175"/>
        <v>0</v>
      </c>
      <c r="CC68" s="77">
        <f t="shared" ca="1" si="176"/>
        <v>32.691161278963591</v>
      </c>
      <c r="CD68" s="54">
        <f t="shared" ca="1" si="177"/>
        <v>0.33021375029256173</v>
      </c>
      <c r="CE68" s="53">
        <f ca="1">OFFSET('National statistics'!$A$6,MATCH(R0_estimation!$A68,'National statistics'!$A$7:$A$5000,0),MATCH(R0_estimation!CE$16 &amp; "_Running14daysNew",'National statistics'!$B$1:$HA$1,0))</f>
        <v>6250</v>
      </c>
      <c r="CF68" s="97">
        <f t="shared" ca="1" si="178"/>
        <v>2.4331242245373454</v>
      </c>
      <c r="CG68" s="98">
        <f t="shared" ca="1" si="113"/>
        <v>1.2165621122686727</v>
      </c>
      <c r="CH68" s="77">
        <f t="shared" ca="1" si="179"/>
        <v>7290828.5025310377</v>
      </c>
      <c r="CI68" s="77">
        <f t="shared" ca="1" si="180"/>
        <v>2981.7514986141568</v>
      </c>
      <c r="CJ68" s="77">
        <f t="shared" ca="1" si="181"/>
        <v>5428.6003275699541</v>
      </c>
      <c r="CK68" s="77">
        <f t="shared" ca="1" si="182"/>
        <v>0</v>
      </c>
      <c r="CL68" s="77">
        <f t="shared" ca="1" si="183"/>
        <v>5587.6094238484466</v>
      </c>
      <c r="CM68" s="54">
        <f t="shared" ca="1" si="184"/>
        <v>56.440499230792391</v>
      </c>
      <c r="CO68" s="209"/>
      <c r="CP68" s="210"/>
    </row>
    <row r="69" spans="1:94">
      <c r="A69" s="83">
        <v>43969</v>
      </c>
      <c r="B69" s="53">
        <f ca="1">OFFSET('National statistics'!$A$6,MATCH(R0_estimation!$A69,'National statistics'!$A$7:$A$5000,0),MATCH(R0_estimation!B$16 &amp; "_Running14daysNew",'National statistics'!$B$1:$HA$1,0))</f>
        <v>9213</v>
      </c>
      <c r="C69" s="97">
        <f t="shared" ca="1" si="115"/>
        <v>1.9211610393424374</v>
      </c>
      <c r="D69" s="98">
        <f t="shared" si="114"/>
        <v>1</v>
      </c>
      <c r="E69" s="77">
        <f t="shared" ca="1" si="116"/>
        <v>59690399.696172401</v>
      </c>
      <c r="F69" s="77">
        <f t="shared" ca="1" si="117"/>
        <v>4372.888457016169</v>
      </c>
      <c r="G69" s="77">
        <f t="shared" ca="1" si="118"/>
        <v>9400.2003603611884</v>
      </c>
      <c r="H69" s="77">
        <f t="shared" ca="1" si="119"/>
        <v>0</v>
      </c>
      <c r="I69" s="77">
        <f t="shared" ca="1" si="120"/>
        <v>13221.180675240395</v>
      </c>
      <c r="J69" s="54">
        <f t="shared" ca="1" si="121"/>
        <v>133.54727954788279</v>
      </c>
      <c r="K69" s="53">
        <f ca="1">OFFSET('National statistics'!$A$6,MATCH(R0_estimation!$A69,'National statistics'!$A$7:$A$5000,0),MATCH(R0_estimation!K$16 &amp; "_Running14daysNew",'National statistics'!$B$1:$HA$1,0))</f>
        <v>1238</v>
      </c>
      <c r="L69" s="97">
        <f t="shared" ca="1" si="122"/>
        <v>2.7782873101034609</v>
      </c>
      <c r="M69" s="98">
        <f t="shared" ca="1" si="105"/>
        <v>1.3891436550517304</v>
      </c>
      <c r="N69" s="77">
        <f t="shared" ca="1" si="123"/>
        <v>6868872.9430713514</v>
      </c>
      <c r="O69" s="77">
        <f t="shared" ca="1" si="124"/>
        <v>459.09361454787398</v>
      </c>
      <c r="P69" s="77">
        <f t="shared" ca="1" si="125"/>
        <v>761.81742308723881</v>
      </c>
      <c r="Q69" s="77">
        <f t="shared" ca="1" si="126"/>
        <v>0</v>
      </c>
      <c r="R69" s="77">
        <f t="shared" ca="1" si="127"/>
        <v>663.62598884661793</v>
      </c>
      <c r="S69" s="54">
        <f t="shared" ca="1" si="128"/>
        <v>6.703292816632505</v>
      </c>
      <c r="T69" s="53">
        <f ca="1">OFFSET('National statistics'!$A$6,MATCH(R0_estimation!$A69,'National statistics'!$A$7:$A$5000,0),MATCH(R0_estimation!T$16 &amp; "_Running14daysNew",'National statistics'!$B$1:$HA$1,0))</f>
        <v>38</v>
      </c>
      <c r="U69" s="97">
        <f t="shared" ca="1" si="129"/>
        <v>1.0062710569511544</v>
      </c>
      <c r="V69" s="98">
        <f t="shared" ca="1" si="106"/>
        <v>0.50313552847557719</v>
      </c>
      <c r="W69" s="77">
        <f t="shared" ca="1" si="130"/>
        <v>2808609.0048849848</v>
      </c>
      <c r="X69" s="77">
        <f t="shared" ca="1" si="131"/>
        <v>23.754538985376804</v>
      </c>
      <c r="Y69" s="77">
        <f t="shared" ca="1" si="132"/>
        <v>82.746445164150003</v>
      </c>
      <c r="Z69" s="77">
        <f t="shared" ca="1" si="133"/>
        <v>0</v>
      </c>
      <c r="AA69" s="77">
        <f t="shared" ca="1" si="134"/>
        <v>290.68724368729903</v>
      </c>
      <c r="AB69" s="54">
        <f t="shared" ca="1" si="135"/>
        <v>2.9362347847201913</v>
      </c>
      <c r="AC69" s="53">
        <f ca="1">OFFSET('National statistics'!$A$6,MATCH(R0_estimation!$A69,'National statistics'!$A$7:$A$5000,0),MATCH(R0_estimation!AC$16 &amp; "_Running14daysNew",'National statistics'!$B$1:$HA$1,0))</f>
        <v>682</v>
      </c>
      <c r="AD69" s="97">
        <f t="shared" ca="1" si="136"/>
        <v>1.1513150830584011</v>
      </c>
      <c r="AE69" s="98">
        <f t="shared" ca="1" si="107"/>
        <v>0.57565754152920057</v>
      </c>
      <c r="AF69" s="77">
        <f t="shared" ca="1" si="137"/>
        <v>15635142.040167846</v>
      </c>
      <c r="AG69" s="77">
        <f t="shared" ca="1" si="138"/>
        <v>323.44832764473711</v>
      </c>
      <c r="AH69" s="77">
        <f t="shared" ca="1" si="139"/>
        <v>1015.7244713855949</v>
      </c>
      <c r="AI69" s="77">
        <f t="shared" ca="1" si="140"/>
        <v>0</v>
      </c>
      <c r="AJ69" s="77">
        <f t="shared" ca="1" si="141"/>
        <v>2925.4089963305723</v>
      </c>
      <c r="AK69" s="54">
        <f t="shared" ca="1" si="142"/>
        <v>29.549585821520925</v>
      </c>
      <c r="AL69" s="53">
        <f ca="1">OFFSET('National statistics'!$A$6,MATCH(R0_estimation!$A69,'National statistics'!$A$7:$A$5000,0),MATCH(R0_estimation!AL$16 &amp; "_Running14daysNew",'National statistics'!$B$1:$HA$1,0))</f>
        <v>461</v>
      </c>
      <c r="AM69" s="97">
        <f t="shared" ca="1" si="143"/>
        <v>1.4899002769655674</v>
      </c>
      <c r="AN69" s="98">
        <f t="shared" ca="1" si="108"/>
        <v>0.74495013848278369</v>
      </c>
      <c r="AO69" s="77">
        <f t="shared" ca="1" si="144"/>
        <v>10998426.904533336</v>
      </c>
      <c r="AP69" s="77">
        <f t="shared" ca="1" si="145"/>
        <v>238.83046546016504</v>
      </c>
      <c r="AQ69" s="77">
        <f t="shared" ca="1" si="146"/>
        <v>617.76182922582791</v>
      </c>
      <c r="AR69" s="77">
        <f t="shared" ca="1" si="147"/>
        <v>0</v>
      </c>
      <c r="AS69" s="77">
        <f t="shared" ca="1" si="148"/>
        <v>1233.44610763126</v>
      </c>
      <c r="AT69" s="54">
        <f t="shared" ca="1" si="149"/>
        <v>12.459051592234951</v>
      </c>
      <c r="AU69" s="53">
        <f ca="1">OFFSET('National statistics'!$A$6,MATCH(R0_estimation!$A69,'National statistics'!$A$7:$A$5000,0),MATCH(R0_estimation!AU$16 &amp; "_Running14daysNew",'National statistics'!$B$1:$HA$1,0))</f>
        <v>49</v>
      </c>
      <c r="AV69" s="97">
        <f t="shared" ca="1" si="150"/>
        <v>1.7150884819427765</v>
      </c>
      <c r="AW69" s="98">
        <f t="shared" ca="1" si="109"/>
        <v>0.85754424097138826</v>
      </c>
      <c r="AX69" s="77">
        <f t="shared" ca="1" si="151"/>
        <v>5853642.6637331638</v>
      </c>
      <c r="AY69" s="77">
        <f t="shared" ca="1" si="152"/>
        <v>27.189006368086545</v>
      </c>
      <c r="AZ69" s="77">
        <f t="shared" ca="1" si="153"/>
        <v>63.420808790543376</v>
      </c>
      <c r="BA69" s="77">
        <f t="shared" ca="1" si="154"/>
        <v>0</v>
      </c>
      <c r="BB69" s="77">
        <f t="shared" ca="1" si="155"/>
        <v>104.4881725379973</v>
      </c>
      <c r="BC69" s="54">
        <f t="shared" ca="1" si="156"/>
        <v>1.0554360862423973</v>
      </c>
      <c r="BD69" s="53">
        <f ca="1">OFFSET('National statistics'!$A$6,MATCH(R0_estimation!$A69,'National statistics'!$A$7:$A$5000,0),MATCH(R0_estimation!BD$16 &amp; "_Running14daysNew",'National statistics'!$B$1:$HA$1,0))</f>
        <v>23</v>
      </c>
      <c r="BE69" s="97">
        <f t="shared" ca="1" si="157"/>
        <v>1.4435626881707697</v>
      </c>
      <c r="BF69" s="98">
        <f t="shared" ca="1" si="110"/>
        <v>0.72178134408538486</v>
      </c>
      <c r="BG69" s="77">
        <f t="shared" ca="1" si="158"/>
        <v>4809083.7901844308</v>
      </c>
      <c r="BH69" s="77">
        <f t="shared" ca="1" si="159"/>
        <v>12.312416896767875</v>
      </c>
      <c r="BI69" s="77">
        <f t="shared" ca="1" si="160"/>
        <v>32.5987248809448</v>
      </c>
      <c r="BJ69" s="77">
        <f t="shared" ca="1" si="161"/>
        <v>0</v>
      </c>
      <c r="BK69" s="77">
        <f t="shared" ca="1" si="162"/>
        <v>68.245723410543903</v>
      </c>
      <c r="BL69" s="54">
        <f t="shared" ca="1" si="163"/>
        <v>0.68935074152064557</v>
      </c>
      <c r="BM69" s="53">
        <f ca="1">OFFSET('National statistics'!$A$6,MATCH(R0_estimation!$A69,'National statistics'!$A$7:$A$5000,0),MATCH(R0_estimation!BM$16 &amp; "_Running14daysNew",'National statistics'!$B$1:$HA$1,0))</f>
        <v>37</v>
      </c>
      <c r="BN69" s="97">
        <f t="shared" ca="1" si="164"/>
        <v>1.9865205416387972</v>
      </c>
      <c r="BO69" s="98">
        <f t="shared" ca="1" si="111"/>
        <v>0.99326027081939861</v>
      </c>
      <c r="BP69" s="77">
        <f t="shared" ca="1" si="165"/>
        <v>4107493.2063002326</v>
      </c>
      <c r="BQ69" s="77">
        <f t="shared" ca="1" si="166"/>
        <v>23.809898402611044</v>
      </c>
      <c r="BR69" s="77">
        <f t="shared" ca="1" si="167"/>
        <v>49.958839327134612</v>
      </c>
      <c r="BS69" s="77">
        <f t="shared" ca="1" si="168"/>
        <v>0</v>
      </c>
      <c r="BT69" s="77">
        <f t="shared" ca="1" si="169"/>
        <v>67.51277485738872</v>
      </c>
      <c r="BU69" s="54">
        <f t="shared" ca="1" si="170"/>
        <v>0.68194722078170422</v>
      </c>
      <c r="BV69" s="53">
        <f ca="1">OFFSET('National statistics'!$A$6,MATCH(R0_estimation!$A69,'National statistics'!$A$7:$A$5000,0),MATCH(R0_estimation!BV$16 &amp; "_Running14daysNew",'National statistics'!$B$1:$HA$1,0))</f>
        <v>12</v>
      </c>
      <c r="BW69" s="97">
        <f t="shared" ca="1" si="171"/>
        <v>1.3799241468388452</v>
      </c>
      <c r="BX69" s="98">
        <f t="shared" ca="1" si="112"/>
        <v>0.68996207341942262</v>
      </c>
      <c r="BY69" s="77">
        <f t="shared" ca="1" si="172"/>
        <v>1322179.4354549234</v>
      </c>
      <c r="BZ69" s="77">
        <f t="shared" ca="1" si="173"/>
        <v>5.507091813344382</v>
      </c>
      <c r="CA69" s="77">
        <f t="shared" ca="1" si="174"/>
        <v>15.079064406899933</v>
      </c>
      <c r="CB69" s="77">
        <f t="shared" ca="1" si="175"/>
        <v>0</v>
      </c>
      <c r="CC69" s="77">
        <f t="shared" ca="1" si="176"/>
        <v>33.736686621639407</v>
      </c>
      <c r="CD69" s="54">
        <f t="shared" ca="1" si="177"/>
        <v>0.34077461233979223</v>
      </c>
      <c r="CE69" s="53">
        <f ca="1">OFFSET('National statistics'!$A$6,MATCH(R0_estimation!$A69,'National statistics'!$A$7:$A$5000,0),MATCH(R0_estimation!CE$16 &amp; "_Running14daysNew",'National statistics'!$B$1:$HA$1,0))</f>
        <v>6673</v>
      </c>
      <c r="CF69" s="97">
        <f t="shared" ca="1" si="178"/>
        <v>2.4331242245373454</v>
      </c>
      <c r="CG69" s="98">
        <f t="shared" ca="1" si="113"/>
        <v>1.2165621122686727</v>
      </c>
      <c r="CH69" s="77">
        <f t="shared" ca="1" si="179"/>
        <v>7289886.8490957115</v>
      </c>
      <c r="CI69" s="77">
        <f t="shared" ca="1" si="180"/>
        <v>3177.9670592869816</v>
      </c>
      <c r="CJ69" s="77">
        <f t="shared" ca="1" si="181"/>
        <v>5786.2810359684972</v>
      </c>
      <c r="CK69" s="77">
        <f t="shared" ca="1" si="182"/>
        <v>0</v>
      </c>
      <c r="CL69" s="77">
        <f t="shared" ca="1" si="183"/>
        <v>5971.4890184408932</v>
      </c>
      <c r="CM69" s="54">
        <f t="shared" ca="1" si="184"/>
        <v>60.318070893342359</v>
      </c>
      <c r="CO69" s="209"/>
      <c r="CP69" s="210"/>
    </row>
    <row r="70" spans="1:94">
      <c r="A70" s="83">
        <v>43970</v>
      </c>
      <c r="B70" s="53">
        <f ca="1">OFFSET('National statistics'!$A$6,MATCH(R0_estimation!$A70,'National statistics'!$A$7:$A$5000,0),MATCH(R0_estimation!B$16 &amp; "_Running14daysNew",'National statistics'!$B$1:$HA$1,0))</f>
        <v>9625</v>
      </c>
      <c r="C70" s="97">
        <f t="shared" ca="1" si="115"/>
        <v>1.9211610393424374</v>
      </c>
      <c r="D70" s="98">
        <f t="shared" si="114"/>
        <v>1</v>
      </c>
      <c r="E70" s="77">
        <f t="shared" ca="1" si="116"/>
        <v>59689110.329366386</v>
      </c>
      <c r="F70" s="77">
        <f t="shared" ca="1" si="117"/>
        <v>4569.0331487806598</v>
      </c>
      <c r="G70" s="77">
        <f t="shared" ca="1" si="118"/>
        <v>9821.9795917322881</v>
      </c>
      <c r="H70" s="77">
        <f t="shared" ca="1" si="119"/>
        <v>0</v>
      </c>
      <c r="I70" s="77">
        <f t="shared" ca="1" si="120"/>
        <v>13885.909129294509</v>
      </c>
      <c r="J70" s="54">
        <f t="shared" ca="1" si="121"/>
        <v>140.26170837671222</v>
      </c>
      <c r="K70" s="53">
        <f ca="1">OFFSET('National statistics'!$A$6,MATCH(R0_estimation!$A70,'National statistics'!$A$7:$A$5000,0),MATCH(R0_estimation!K$16 &amp; "_Running14daysNew",'National statistics'!$B$1:$HA$1,0))</f>
        <v>1297</v>
      </c>
      <c r="L70" s="97">
        <f t="shared" ca="1" si="122"/>
        <v>2.7782873101034609</v>
      </c>
      <c r="M70" s="98">
        <f t="shared" ca="1" si="105"/>
        <v>1.3891436550517304</v>
      </c>
      <c r="N70" s="77">
        <f t="shared" ca="1" si="123"/>
        <v>6868721.8025610242</v>
      </c>
      <c r="O70" s="77">
        <f t="shared" ca="1" si="124"/>
        <v>495.46072123772376</v>
      </c>
      <c r="P70" s="77">
        <f t="shared" ca="1" si="125"/>
        <v>822.17529650369022</v>
      </c>
      <c r="Q70" s="77">
        <f t="shared" ca="1" si="126"/>
        <v>0</v>
      </c>
      <c r="R70" s="77">
        <f t="shared" ca="1" si="127"/>
        <v>717.49736376492979</v>
      </c>
      <c r="S70" s="54">
        <f t="shared" ca="1" si="128"/>
        <v>7.247448118837676</v>
      </c>
      <c r="T70" s="53">
        <f ca="1">OFFSET('National statistics'!$A$6,MATCH(R0_estimation!$A70,'National statistics'!$A$7:$A$5000,0),MATCH(R0_estimation!T$16 &amp; "_Running14daysNew",'National statistics'!$B$1:$HA$1,0))</f>
        <v>37</v>
      </c>
      <c r="U70" s="97">
        <f t="shared" ca="1" si="129"/>
        <v>1.0062710569511544</v>
      </c>
      <c r="V70" s="98">
        <f t="shared" ca="1" si="106"/>
        <v>0.50313552847557719</v>
      </c>
      <c r="W70" s="77">
        <f t="shared" ca="1" si="130"/>
        <v>2808603.0582007514</v>
      </c>
      <c r="X70" s="77">
        <f t="shared" ca="1" si="131"/>
        <v>23.76258847252889</v>
      </c>
      <c r="Y70" s="77">
        <f t="shared" ca="1" si="132"/>
        <v>82.77461954162635</v>
      </c>
      <c r="Z70" s="77">
        <f t="shared" ca="1" si="133"/>
        <v>0</v>
      </c>
      <c r="AA70" s="77">
        <f t="shared" ca="1" si="134"/>
        <v>296.53859945247819</v>
      </c>
      <c r="AB70" s="54">
        <f t="shared" ca="1" si="135"/>
        <v>2.9953393884088699</v>
      </c>
      <c r="AC70" s="53">
        <f ca="1">OFFSET('National statistics'!$A$6,MATCH(R0_estimation!$A70,'National statistics'!$A$7:$A$5000,0),MATCH(R0_estimation!AC$16 &amp; "_Running14daysNew",'National statistics'!$B$1:$HA$1,0))</f>
        <v>664</v>
      </c>
      <c r="AD70" s="97">
        <f t="shared" ca="1" si="136"/>
        <v>1.1513150830584011</v>
      </c>
      <c r="AE70" s="98">
        <f t="shared" ca="1" si="107"/>
        <v>0.57565754152920057</v>
      </c>
      <c r="AF70" s="77">
        <f t="shared" ca="1" si="137"/>
        <v>15635058.533023212</v>
      </c>
      <c r="AG70" s="77">
        <f t="shared" ca="1" si="138"/>
        <v>326.09339036695076</v>
      </c>
      <c r="AH70" s="77">
        <f t="shared" ca="1" si="139"/>
        <v>1024.0348053406651</v>
      </c>
      <c r="AI70" s="77">
        <f t="shared" ca="1" si="140"/>
        <v>0</v>
      </c>
      <c r="AJ70" s="77">
        <f t="shared" ca="1" si="141"/>
        <v>2997.2352268071249</v>
      </c>
      <c r="AK70" s="54">
        <f t="shared" ca="1" si="142"/>
        <v>30.275103301082066</v>
      </c>
      <c r="AL70" s="53">
        <f ca="1">OFFSET('National statistics'!$A$6,MATCH(R0_estimation!$A70,'National statistics'!$A$7:$A$5000,0),MATCH(R0_estimation!AL$16 &amp; "_Running14daysNew",'National statistics'!$B$1:$HA$1,0))</f>
        <v>474</v>
      </c>
      <c r="AM70" s="97">
        <f t="shared" ca="1" si="143"/>
        <v>1.4899002769655674</v>
      </c>
      <c r="AN70" s="98">
        <f t="shared" ca="1" si="108"/>
        <v>0.74495013848278369</v>
      </c>
      <c r="AO70" s="77">
        <f t="shared" ca="1" si="144"/>
        <v>10998361.173915565</v>
      </c>
      <c r="AP70" s="77">
        <f t="shared" ca="1" si="145"/>
        <v>244.85346686642742</v>
      </c>
      <c r="AQ70" s="77">
        <f t="shared" ca="1" si="146"/>
        <v>633.34360064616726</v>
      </c>
      <c r="AR70" s="77">
        <f t="shared" ca="1" si="147"/>
        <v>0</v>
      </c>
      <c r="AS70" s="77">
        <f t="shared" ca="1" si="148"/>
        <v>1277.130694126515</v>
      </c>
      <c r="AT70" s="54">
        <f t="shared" ca="1" si="149"/>
        <v>12.900310041681971</v>
      </c>
      <c r="AU70" s="53">
        <f ca="1">OFFSET('National statistics'!$A$6,MATCH(R0_estimation!$A70,'National statistics'!$A$7:$A$5000,0),MATCH(R0_estimation!AU$16 &amp; "_Running14daysNew",'National statistics'!$B$1:$HA$1,0))</f>
        <v>54</v>
      </c>
      <c r="AV70" s="97">
        <f t="shared" ca="1" si="150"/>
        <v>1.7150884819427765</v>
      </c>
      <c r="AW70" s="98">
        <f t="shared" ca="1" si="109"/>
        <v>0.85754424097138826</v>
      </c>
      <c r="AX70" s="77">
        <f t="shared" ca="1" si="151"/>
        <v>5853634.8945422005</v>
      </c>
      <c r="AY70" s="77">
        <f t="shared" ca="1" si="152"/>
        <v>28.160945739289929</v>
      </c>
      <c r="AZ70" s="77">
        <f t="shared" ca="1" si="153"/>
        <v>65.68800261181191</v>
      </c>
      <c r="BA70" s="77">
        <f t="shared" ca="1" si="154"/>
        <v>0</v>
      </c>
      <c r="BB70" s="77">
        <f t="shared" ca="1" si="155"/>
        <v>108.97292973104287</v>
      </c>
      <c r="BC70" s="54">
        <f t="shared" ca="1" si="156"/>
        <v>1.1007366639499283</v>
      </c>
      <c r="BD70" s="53">
        <f ca="1">OFFSET('National statistics'!$A$6,MATCH(R0_estimation!$A70,'National statistics'!$A$7:$A$5000,0),MATCH(R0_estimation!BD$16 &amp; "_Running14daysNew",'National statistics'!$B$1:$HA$1,0))</f>
        <v>21</v>
      </c>
      <c r="BE70" s="97">
        <f t="shared" ca="1" si="157"/>
        <v>1.4435626881707697</v>
      </c>
      <c r="BF70" s="98">
        <f t="shared" ca="1" si="110"/>
        <v>0.72178134408538486</v>
      </c>
      <c r="BG70" s="77">
        <f t="shared" ca="1" si="158"/>
        <v>4809080.4289561687</v>
      </c>
      <c r="BH70" s="77">
        <f t="shared" ca="1" si="159"/>
        <v>12.595540934921438</v>
      </c>
      <c r="BI70" s="77">
        <f t="shared" ca="1" si="160"/>
        <v>33.348348756497856</v>
      </c>
      <c r="BJ70" s="77">
        <f t="shared" ca="1" si="161"/>
        <v>0</v>
      </c>
      <c r="BK70" s="77">
        <f t="shared" ca="1" si="162"/>
        <v>70.550918955696432</v>
      </c>
      <c r="BL70" s="54">
        <f t="shared" ca="1" si="163"/>
        <v>0.71263554500703474</v>
      </c>
      <c r="BM70" s="53">
        <f ca="1">OFFSET('National statistics'!$A$6,MATCH(R0_estimation!$A70,'National statistics'!$A$7:$A$5000,0),MATCH(R0_estimation!BM$16 &amp; "_Running14daysNew",'National statistics'!$B$1:$HA$1,0))</f>
        <v>37</v>
      </c>
      <c r="BN70" s="97">
        <f t="shared" ca="1" si="164"/>
        <v>1.9865205416387972</v>
      </c>
      <c r="BO70" s="98">
        <f t="shared" ca="1" si="111"/>
        <v>0.99326027081939861</v>
      </c>
      <c r="BP70" s="77">
        <f t="shared" ca="1" si="165"/>
        <v>4107486.117668299</v>
      </c>
      <c r="BQ70" s="77">
        <f t="shared" ca="1" si="166"/>
        <v>24.946055735340476</v>
      </c>
      <c r="BR70" s="77">
        <f t="shared" ca="1" si="167"/>
        <v>52.342825404420616</v>
      </c>
      <c r="BS70" s="77">
        <f t="shared" ca="1" si="168"/>
        <v>0</v>
      </c>
      <c r="BT70" s="77">
        <f t="shared" ca="1" si="169"/>
        <v>71.045578495521809</v>
      </c>
      <c r="BU70" s="54">
        <f t="shared" ca="1" si="170"/>
        <v>0.71763210601537175</v>
      </c>
      <c r="BV70" s="53">
        <f ca="1">OFFSET('National statistics'!$A$6,MATCH(R0_estimation!$A70,'National statistics'!$A$7:$A$5000,0),MATCH(R0_estimation!BV$16 &amp; "_Running14daysNew",'National statistics'!$B$1:$HA$1,0))</f>
        <v>11</v>
      </c>
      <c r="BW70" s="97">
        <f t="shared" ca="1" si="171"/>
        <v>1.3799241468388452</v>
      </c>
      <c r="BX70" s="98">
        <f t="shared" ca="1" si="112"/>
        <v>0.68996207341942262</v>
      </c>
      <c r="BY70" s="77">
        <f t="shared" ca="1" si="172"/>
        <v>1322177.9492327657</v>
      </c>
      <c r="BZ70" s="77">
        <f t="shared" ca="1" si="173"/>
        <v>5.6165410178207278</v>
      </c>
      <c r="CA70" s="77">
        <f t="shared" ca="1" si="174"/>
        <v>15.378761331171747</v>
      </c>
      <c r="CB70" s="77">
        <f t="shared" ca="1" si="175"/>
        <v>0</v>
      </c>
      <c r="CC70" s="77">
        <f t="shared" ca="1" si="176"/>
        <v>34.802991890413047</v>
      </c>
      <c r="CD70" s="54">
        <f t="shared" ca="1" si="177"/>
        <v>0.35154537263043506</v>
      </c>
      <c r="CE70" s="53">
        <f ca="1">OFFSET('National statistics'!$A$6,MATCH(R0_estimation!$A70,'National statistics'!$A$7:$A$5000,0),MATCH(R0_estimation!CE$16 &amp; "_Running14daysNew",'National statistics'!$B$1:$HA$1,0))</f>
        <v>7030</v>
      </c>
      <c r="CF70" s="97">
        <f t="shared" ca="1" si="178"/>
        <v>2.4331242245373454</v>
      </c>
      <c r="CG70" s="98">
        <f t="shared" ca="1" si="113"/>
        <v>1.2165621122686727</v>
      </c>
      <c r="CH70" s="77">
        <f t="shared" ca="1" si="179"/>
        <v>7288883.2809104603</v>
      </c>
      <c r="CI70" s="77">
        <f t="shared" ca="1" si="180"/>
        <v>3387.0434797164489</v>
      </c>
      <c r="CJ70" s="77">
        <f t="shared" ca="1" si="181"/>
        <v>6167.4670125067787</v>
      </c>
      <c r="CK70" s="77">
        <f t="shared" ca="1" si="182"/>
        <v>0</v>
      </c>
      <c r="CL70" s="77">
        <f t="shared" ca="1" si="183"/>
        <v>6380.6617488415231</v>
      </c>
      <c r="CM70" s="54">
        <f t="shared" ca="1" si="184"/>
        <v>64.451128776177001</v>
      </c>
      <c r="CO70" s="209"/>
      <c r="CP70" s="210"/>
    </row>
    <row r="71" spans="1:94">
      <c r="A71" s="83">
        <v>43971</v>
      </c>
      <c r="B71" s="53">
        <f ca="1">OFFSET('National statistics'!$A$6,MATCH(R0_estimation!$A71,'National statistics'!$A$7:$A$5000,0),MATCH(R0_estimation!B$16 &amp; "_Running14daysNew",'National statistics'!$B$1:$HA$1,0))</f>
        <v>10005</v>
      </c>
      <c r="C71" s="97">
        <f t="shared" ca="1" si="115"/>
        <v>1.9211610393424374</v>
      </c>
      <c r="D71" s="98">
        <f t="shared" si="114"/>
        <v>1</v>
      </c>
      <c r="E71" s="77">
        <f t="shared" ca="1" si="116"/>
        <v>59687763.138685703</v>
      </c>
      <c r="F71" s="77">
        <f t="shared" ca="1" si="117"/>
        <v>4773.9655422711712</v>
      </c>
      <c r="G71" s="77">
        <f t="shared" ca="1" si="118"/>
        <v>10262.667908089434</v>
      </c>
      <c r="H71" s="77">
        <f t="shared" ca="1" si="119"/>
        <v>0</v>
      </c>
      <c r="I71" s="77">
        <f t="shared" ca="1" si="120"/>
        <v>14580.463400424149</v>
      </c>
      <c r="J71" s="54">
        <f t="shared" ca="1" si="121"/>
        <v>147.27740808509242</v>
      </c>
      <c r="K71" s="53">
        <f ca="1">OFFSET('National statistics'!$A$6,MATCH(R0_estimation!$A71,'National statistics'!$A$7:$A$5000,0),MATCH(R0_estimation!K$16 &amp; "_Running14daysNew",'National statistics'!$B$1:$HA$1,0))</f>
        <v>1366</v>
      </c>
      <c r="L71" s="97">
        <f t="shared" ca="1" si="122"/>
        <v>2.7782873101034609</v>
      </c>
      <c r="M71" s="98">
        <f t="shared" ref="M71:M134" ca="1" si="185">M70</f>
        <v>1.3891436550517304</v>
      </c>
      <c r="N71" s="77">
        <f t="shared" ca="1" si="123"/>
        <v>6868558.6909470055</v>
      </c>
      <c r="O71" s="77">
        <f t="shared" ca="1" si="124"/>
        <v>534.70715494701108</v>
      </c>
      <c r="P71" s="77">
        <f t="shared" ca="1" si="125"/>
        <v>887.31366992000039</v>
      </c>
      <c r="Q71" s="77">
        <f t="shared" ca="1" si="126"/>
        <v>0</v>
      </c>
      <c r="R71" s="77">
        <f t="shared" ca="1" si="127"/>
        <v>775.63690258911936</v>
      </c>
      <c r="S71" s="54">
        <f t="shared" ca="1" si="128"/>
        <v>7.8347161877688833</v>
      </c>
      <c r="T71" s="53">
        <f ca="1">OFFSET('National statistics'!$A$6,MATCH(R0_estimation!$A71,'National statistics'!$A$7:$A$5000,0),MATCH(R0_estimation!T$16 &amp; "_Running14daysNew",'National statistics'!$B$1:$HA$1,0))</f>
        <v>50</v>
      </c>
      <c r="U71" s="97">
        <f t="shared" ca="1" si="129"/>
        <v>1.0062710569511544</v>
      </c>
      <c r="V71" s="98">
        <f t="shared" ref="V71:V134" ca="1" si="186">V70</f>
        <v>0.50313552847557719</v>
      </c>
      <c r="W71" s="77">
        <f t="shared" ca="1" si="130"/>
        <v>2808597.1095041987</v>
      </c>
      <c r="X71" s="77">
        <f t="shared" ca="1" si="131"/>
        <v>23.770637907239159</v>
      </c>
      <c r="Y71" s="77">
        <f t="shared" ca="1" si="132"/>
        <v>82.802793835356681</v>
      </c>
      <c r="Z71" s="77">
        <f t="shared" ca="1" si="133"/>
        <v>0</v>
      </c>
      <c r="AA71" s="77">
        <f t="shared" ca="1" si="134"/>
        <v>302.39194754863604</v>
      </c>
      <c r="AB71" s="54">
        <f t="shared" ca="1" si="135"/>
        <v>3.0544641166528885</v>
      </c>
      <c r="AC71" s="53">
        <f ca="1">OFFSET('National statistics'!$A$6,MATCH(R0_estimation!$A71,'National statistics'!$A$7:$A$5000,0),MATCH(R0_estimation!AC$16 &amp; "_Running14daysNew",'National statistics'!$B$1:$HA$1,0))</f>
        <v>680</v>
      </c>
      <c r="AD71" s="97">
        <f t="shared" ca="1" si="136"/>
        <v>1.1513150830584011</v>
      </c>
      <c r="AE71" s="98">
        <f t="shared" ref="AE71:AE134" ca="1" si="187">AE70</f>
        <v>0.57565754152920057</v>
      </c>
      <c r="AF71" s="77">
        <f t="shared" ca="1" si="137"/>
        <v>15634974.343095485</v>
      </c>
      <c r="AG71" s="77">
        <f t="shared" ca="1" si="138"/>
        <v>328.75997050131059</v>
      </c>
      <c r="AH71" s="77">
        <f t="shared" ca="1" si="139"/>
        <v>1032.4128096937839</v>
      </c>
      <c r="AI71" s="77">
        <f t="shared" ca="1" si="140"/>
        <v>0</v>
      </c>
      <c r="AJ71" s="77">
        <f t="shared" ca="1" si="141"/>
        <v>3069.6491166133578</v>
      </c>
      <c r="AK71" s="54">
        <f t="shared" ca="1" si="142"/>
        <v>31.006556733468255</v>
      </c>
      <c r="AL71" s="53">
        <f ca="1">OFFSET('National statistics'!$A$6,MATCH(R0_estimation!$A71,'National statistics'!$A$7:$A$5000,0),MATCH(R0_estimation!AL$16 &amp; "_Running14daysNew",'National statistics'!$B$1:$HA$1,0))</f>
        <v>461</v>
      </c>
      <c r="AM71" s="97">
        <f t="shared" ca="1" si="143"/>
        <v>1.4899002769655674</v>
      </c>
      <c r="AN71" s="98">
        <f t="shared" ref="AN71:AN134" ca="1" si="188">AN70</f>
        <v>0.74495013848278369</v>
      </c>
      <c r="AO71" s="77">
        <f t="shared" ca="1" si="144"/>
        <v>10998293.785778202</v>
      </c>
      <c r="AP71" s="77">
        <f t="shared" ca="1" si="145"/>
        <v>251.02823751262167</v>
      </c>
      <c r="AQ71" s="77">
        <f t="shared" ca="1" si="146"/>
        <v>649.31813874519071</v>
      </c>
      <c r="AR71" s="77">
        <f t="shared" ca="1" si="147"/>
        <v>0</v>
      </c>
      <c r="AS71" s="77">
        <f t="shared" ca="1" si="148"/>
        <v>1321.9171344579224</v>
      </c>
      <c r="AT71" s="54">
        <f t="shared" ca="1" si="149"/>
        <v>13.352698327857805</v>
      </c>
      <c r="AU71" s="53">
        <f ca="1">OFFSET('National statistics'!$A$6,MATCH(R0_estimation!$A71,'National statistics'!$A$7:$A$5000,0),MATCH(R0_estimation!AU$16 &amp; "_Running14daysNew",'National statistics'!$B$1:$HA$1,0))</f>
        <v>53</v>
      </c>
      <c r="AV71" s="97">
        <f t="shared" ca="1" si="150"/>
        <v>1.7150884819427765</v>
      </c>
      <c r="AW71" s="98">
        <f t="shared" ref="AW71:AW134" ca="1" si="189">AW70</f>
        <v>0.85754424097138826</v>
      </c>
      <c r="AX71" s="77">
        <f t="shared" ca="1" si="151"/>
        <v>5853626.8476255396</v>
      </c>
      <c r="AY71" s="77">
        <f t="shared" ca="1" si="152"/>
        <v>29.167625965077221</v>
      </c>
      <c r="AZ71" s="77">
        <f t="shared" ca="1" si="153"/>
        <v>68.036238860076409</v>
      </c>
      <c r="BA71" s="77">
        <f t="shared" ca="1" si="154"/>
        <v>0</v>
      </c>
      <c r="BB71" s="77">
        <f t="shared" ca="1" si="155"/>
        <v>113.61800991573529</v>
      </c>
      <c r="BC71" s="54">
        <f t="shared" ca="1" si="156"/>
        <v>1.1476566658155083</v>
      </c>
      <c r="BD71" s="53">
        <f ca="1">OFFSET('National statistics'!$A$6,MATCH(R0_estimation!$A71,'National statistics'!$A$7:$A$5000,0),MATCH(R0_estimation!BD$16 &amp; "_Running14daysNew",'National statistics'!$B$1:$HA$1,0))</f>
        <v>36</v>
      </c>
      <c r="BE71" s="97">
        <f t="shared" ca="1" si="157"/>
        <v>1.4435626881707697</v>
      </c>
      <c r="BF71" s="98">
        <f t="shared" ref="BF71:BF134" ca="1" si="190">BF70</f>
        <v>0.72178134408538486</v>
      </c>
      <c r="BG71" s="77">
        <f t="shared" ca="1" si="158"/>
        <v>4809076.9904371789</v>
      </c>
      <c r="BH71" s="77">
        <f t="shared" ca="1" si="159"/>
        <v>12.885174690831834</v>
      </c>
      <c r="BI71" s="77">
        <f t="shared" ca="1" si="160"/>
        <v>34.115209079049798</v>
      </c>
      <c r="BJ71" s="77">
        <f t="shared" ca="1" si="161"/>
        <v>0</v>
      </c>
      <c r="BK71" s="77">
        <f t="shared" ca="1" si="162"/>
        <v>72.909123617763072</v>
      </c>
      <c r="BL71" s="54">
        <f t="shared" ca="1" si="163"/>
        <v>0.7364557941188189</v>
      </c>
      <c r="BM71" s="53">
        <f ca="1">OFFSET('National statistics'!$A$6,MATCH(R0_estimation!$A71,'National statistics'!$A$7:$A$5000,0),MATCH(R0_estimation!BM$16 &amp; "_Running14daysNew",'National statistics'!$B$1:$HA$1,0))</f>
        <v>35</v>
      </c>
      <c r="BN71" s="97">
        <f t="shared" ca="1" si="164"/>
        <v>1.9865205416387972</v>
      </c>
      <c r="BO71" s="98">
        <f t="shared" ref="BO71:BO134" ca="1" si="191">BO70</f>
        <v>0.99326027081939861</v>
      </c>
      <c r="BP71" s="77">
        <f t="shared" ca="1" si="165"/>
        <v>4107478.6907866593</v>
      </c>
      <c r="BQ71" s="77">
        <f t="shared" ca="1" si="166"/>
        <v>26.13642344115032</v>
      </c>
      <c r="BR71" s="77">
        <f t="shared" ca="1" si="167"/>
        <v>54.840566095082835</v>
      </c>
      <c r="BS71" s="77">
        <f t="shared" ca="1" si="168"/>
        <v>0</v>
      </c>
      <c r="BT71" s="77">
        <f t="shared" ca="1" si="169"/>
        <v>74.746964006262985</v>
      </c>
      <c r="BU71" s="54">
        <f t="shared" ca="1" si="170"/>
        <v>0.75501983844710074</v>
      </c>
      <c r="BV71" s="53">
        <f ca="1">OFFSET('National statistics'!$A$6,MATCH(R0_estimation!$A71,'National statistics'!$A$7:$A$5000,0),MATCH(R0_estimation!BV$16 &amp; "_Running14daysNew",'National statistics'!$B$1:$HA$1,0))</f>
        <v>12</v>
      </c>
      <c r="BW71" s="97">
        <f t="shared" ca="1" si="171"/>
        <v>1.3799241468388452</v>
      </c>
      <c r="BX71" s="98">
        <f t="shared" ref="BX71:BX134" ca="1" si="192">BX70</f>
        <v>0.68996207341942262</v>
      </c>
      <c r="BY71" s="77">
        <f t="shared" ca="1" si="172"/>
        <v>1322176.4334735828</v>
      </c>
      <c r="BZ71" s="77">
        <f t="shared" ca="1" si="173"/>
        <v>5.7281649462623303</v>
      </c>
      <c r="CA71" s="77">
        <f t="shared" ca="1" si="174"/>
        <v>15.684413633400375</v>
      </c>
      <c r="CB71" s="77">
        <f t="shared" ca="1" si="175"/>
        <v>0</v>
      </c>
      <c r="CC71" s="77">
        <f t="shared" ca="1" si="176"/>
        <v>35.890490013117336</v>
      </c>
      <c r="CD71" s="54">
        <f t="shared" ca="1" si="177"/>
        <v>0.3625302021527006</v>
      </c>
      <c r="CE71" s="53">
        <f ca="1">OFFSET('National statistics'!$A$6,MATCH(R0_estimation!$A71,'National statistics'!$A$7:$A$5000,0),MATCH(R0_estimation!CE$16 &amp; "_Running14daysNew",'National statistics'!$B$1:$HA$1,0))</f>
        <v>7312</v>
      </c>
      <c r="CF71" s="97">
        <f t="shared" ca="1" si="178"/>
        <v>2.4331242245373454</v>
      </c>
      <c r="CG71" s="98">
        <f t="shared" ref="CG71:CG134" ca="1" si="193">CG70</f>
        <v>1.2165621122686727</v>
      </c>
      <c r="CH71" s="77">
        <f t="shared" ca="1" si="179"/>
        <v>7287813.7467724755</v>
      </c>
      <c r="CI71" s="77">
        <f t="shared" ca="1" si="180"/>
        <v>3609.8167477716615</v>
      </c>
      <c r="CJ71" s="77">
        <f t="shared" ca="1" si="181"/>
        <v>6573.6945243996925</v>
      </c>
      <c r="CK71" s="77">
        <f t="shared" ca="1" si="182"/>
        <v>0</v>
      </c>
      <c r="CL71" s="77">
        <f t="shared" ca="1" si="183"/>
        <v>6816.7897732973597</v>
      </c>
      <c r="CM71" s="54">
        <f t="shared" ca="1" si="184"/>
        <v>68.856462356538984</v>
      </c>
      <c r="CO71" s="209"/>
      <c r="CP71" s="210"/>
    </row>
    <row r="72" spans="1:94">
      <c r="A72" s="83">
        <v>43972</v>
      </c>
      <c r="B72" s="53">
        <f ca="1">OFFSET('National statistics'!$A$6,MATCH(R0_estimation!$A72,'National statistics'!$A$7:$A$5000,0),MATCH(R0_estimation!B$16 &amp; "_Running14daysNew",'National statistics'!$B$1:$HA$1,0))</f>
        <v>10904</v>
      </c>
      <c r="C72" s="97">
        <f t="shared" ca="1" si="115"/>
        <v>1.9211610393424374</v>
      </c>
      <c r="D72" s="98">
        <f t="shared" si="114"/>
        <v>1</v>
      </c>
      <c r="E72" s="77">
        <f t="shared" ca="1" si="116"/>
        <v>59686355.534443557</v>
      </c>
      <c r="F72" s="77">
        <f t="shared" ca="1" si="117"/>
        <v>4988.0783988519197</v>
      </c>
      <c r="G72" s="77">
        <f t="shared" ca="1" si="118"/>
        <v>10723.111585936553</v>
      </c>
      <c r="H72" s="77">
        <f t="shared" ca="1" si="119"/>
        <v>0</v>
      </c>
      <c r="I72" s="77">
        <f t="shared" ca="1" si="120"/>
        <v>15306.180631067617</v>
      </c>
      <c r="J72" s="54">
        <f t="shared" ca="1" si="121"/>
        <v>154.60788516229917</v>
      </c>
      <c r="K72" s="53">
        <f ca="1">OFFSET('National statistics'!$A$6,MATCH(R0_estimation!$A72,'National statistics'!$A$7:$A$5000,0),MATCH(R0_estimation!K$16 &amp; "_Running14daysNew",'National statistics'!$B$1:$HA$1,0))</f>
        <v>1395</v>
      </c>
      <c r="L72" s="97">
        <f t="shared" ca="1" si="122"/>
        <v>2.7782873101034609</v>
      </c>
      <c r="M72" s="98">
        <f t="shared" ca="1" si="185"/>
        <v>1.3891436550517304</v>
      </c>
      <c r="N72" s="77">
        <f t="shared" ca="1" si="123"/>
        <v>6868382.6606759736</v>
      </c>
      <c r="O72" s="77">
        <f t="shared" ca="1" si="124"/>
        <v>577.06063724220667</v>
      </c>
      <c r="P72" s="77">
        <f t="shared" ca="1" si="125"/>
        <v>957.61091080532458</v>
      </c>
      <c r="Q72" s="77">
        <f t="shared" ca="1" si="126"/>
        <v>0</v>
      </c>
      <c r="R72" s="77">
        <f t="shared" ca="1" si="127"/>
        <v>838.38265496203371</v>
      </c>
      <c r="S72" s="54">
        <f t="shared" ca="1" si="128"/>
        <v>8.4685116662831685</v>
      </c>
      <c r="T72" s="53">
        <f ca="1">OFFSET('National statistics'!$A$6,MATCH(R0_estimation!$A72,'National statistics'!$A$7:$A$5000,0),MATCH(R0_estimation!T$16 &amp; "_Running14daysNew",'National statistics'!$B$1:$HA$1,0))</f>
        <v>49</v>
      </c>
      <c r="U72" s="97">
        <f t="shared" ca="1" si="129"/>
        <v>1.0062710569511544</v>
      </c>
      <c r="V72" s="98">
        <f t="shared" ca="1" si="186"/>
        <v>0.50313552847557719</v>
      </c>
      <c r="W72" s="77">
        <f t="shared" ca="1" si="130"/>
        <v>2808591.1587953451</v>
      </c>
      <c r="X72" s="77">
        <f t="shared" ca="1" si="131"/>
        <v>23.778687283889095</v>
      </c>
      <c r="Y72" s="77">
        <f t="shared" ca="1" si="132"/>
        <v>82.830968038212433</v>
      </c>
      <c r="Z72" s="77">
        <f t="shared" ca="1" si="133"/>
        <v>0</v>
      </c>
      <c r="AA72" s="77">
        <f t="shared" ca="1" si="134"/>
        <v>308.24728796985056</v>
      </c>
      <c r="AB72" s="54">
        <f t="shared" ca="1" si="135"/>
        <v>3.1136089693924291</v>
      </c>
      <c r="AC72" s="53">
        <f ca="1">OFFSET('National statistics'!$A$6,MATCH(R0_estimation!$A72,'National statistics'!$A$7:$A$5000,0),MATCH(R0_estimation!AC$16 &amp; "_Running14daysNew",'National statistics'!$B$1:$HA$1,0))</f>
        <v>649</v>
      </c>
      <c r="AD72" s="97">
        <f t="shared" ca="1" si="136"/>
        <v>1.1513150830584011</v>
      </c>
      <c r="AE72" s="98">
        <f t="shared" ca="1" si="187"/>
        <v>0.57565754152920057</v>
      </c>
      <c r="AF72" s="77">
        <f t="shared" ca="1" si="137"/>
        <v>15634889.464832155</v>
      </c>
      <c r="AG72" s="77">
        <f t="shared" ca="1" si="138"/>
        <v>331.44824120549123</v>
      </c>
      <c r="AH72" s="77">
        <f t="shared" ca="1" si="139"/>
        <v>1040.8590301981269</v>
      </c>
      <c r="AI72" s="77">
        <f t="shared" ca="1" si="140"/>
        <v>0</v>
      </c>
      <c r="AJ72" s="77">
        <f t="shared" ca="1" si="141"/>
        <v>3142.6554510131327</v>
      </c>
      <c r="AK72" s="54">
        <f t="shared" ca="1" si="142"/>
        <v>31.743994454678102</v>
      </c>
      <c r="AL72" s="53">
        <f ca="1">OFFSET('National statistics'!$A$6,MATCH(R0_estimation!$A72,'National statistics'!$A$7:$A$5000,0),MATCH(R0_estimation!AL$16 &amp; "_Running14daysNew",'National statistics'!$B$1:$HA$1,0))</f>
        <v>489</v>
      </c>
      <c r="AM72" s="97">
        <f t="shared" ca="1" si="143"/>
        <v>1.4899002769655674</v>
      </c>
      <c r="AN72" s="98">
        <f t="shared" ca="1" si="188"/>
        <v>0.74495013848278369</v>
      </c>
      <c r="AO72" s="77">
        <f t="shared" ca="1" si="144"/>
        <v>10998224.698360913</v>
      </c>
      <c r="AP72" s="77">
        <f t="shared" ca="1" si="145"/>
        <v>257.35859542411913</v>
      </c>
      <c r="AQ72" s="77">
        <f t="shared" ca="1" si="146"/>
        <v>665.69533107011819</v>
      </c>
      <c r="AR72" s="77">
        <f t="shared" ca="1" si="147"/>
        <v>0</v>
      </c>
      <c r="AS72" s="77">
        <f t="shared" ca="1" si="148"/>
        <v>1367.833202840618</v>
      </c>
      <c r="AT72" s="54">
        <f t="shared" ca="1" si="149"/>
        <v>13.816496998390084</v>
      </c>
      <c r="AU72" s="53">
        <f ca="1">OFFSET('National statistics'!$A$6,MATCH(R0_estimation!$A72,'National statistics'!$A$7:$A$5000,0),MATCH(R0_estimation!AU$16 &amp; "_Running14daysNew",'National statistics'!$B$1:$HA$1,0))</f>
        <v>80</v>
      </c>
      <c r="AV72" s="97">
        <f t="shared" ca="1" si="150"/>
        <v>1.7150884819427765</v>
      </c>
      <c r="AW72" s="98">
        <f t="shared" ca="1" si="189"/>
        <v>0.85754424097138826</v>
      </c>
      <c r="AX72" s="77">
        <f t="shared" ca="1" si="151"/>
        <v>5853618.5130564552</v>
      </c>
      <c r="AY72" s="77">
        <f t="shared" ca="1" si="152"/>
        <v>30.210288558143819</v>
      </c>
      <c r="AZ72" s="77">
        <f t="shared" ca="1" si="153"/>
        <v>70.468414004197399</v>
      </c>
      <c r="BA72" s="77">
        <f t="shared" ca="1" si="154"/>
        <v>0</v>
      </c>
      <c r="BB72" s="77">
        <f t="shared" ca="1" si="155"/>
        <v>118.42914394941212</v>
      </c>
      <c r="BC72" s="54">
        <f t="shared" ca="1" si="156"/>
        <v>1.1962539792869915</v>
      </c>
      <c r="BD72" s="53">
        <f ca="1">OFFSET('National statistics'!$A$6,MATCH(R0_estimation!$A72,'National statistics'!$A$7:$A$5000,0),MATCH(R0_estimation!BD$16 &amp; "_Running14daysNew",'National statistics'!$B$1:$HA$1,0))</f>
        <v>36</v>
      </c>
      <c r="BE72" s="97">
        <f t="shared" ca="1" si="157"/>
        <v>1.4435626881707697</v>
      </c>
      <c r="BF72" s="98">
        <f t="shared" ca="1" si="190"/>
        <v>0.72178134408538486</v>
      </c>
      <c r="BG72" s="77">
        <f t="shared" ca="1" si="158"/>
        <v>4809073.4728503916</v>
      </c>
      <c r="BH72" s="77">
        <f t="shared" ca="1" si="159"/>
        <v>13.181467805318373</v>
      </c>
      <c r="BI72" s="77">
        <f t="shared" ca="1" si="160"/>
        <v>34.899702103254199</v>
      </c>
      <c r="BJ72" s="77">
        <f t="shared" ca="1" si="161"/>
        <v>0</v>
      </c>
      <c r="BK72" s="77">
        <f t="shared" ca="1" si="162"/>
        <v>75.321556259781588</v>
      </c>
      <c r="BL72" s="54">
        <f t="shared" ca="1" si="163"/>
        <v>0.76082380060385446</v>
      </c>
      <c r="BM72" s="53">
        <f ca="1">OFFSET('National statistics'!$A$6,MATCH(R0_estimation!$A72,'National statistics'!$A$7:$A$5000,0),MATCH(R0_estimation!BM$16 &amp; "_Running14daysNew",'National statistics'!$B$1:$HA$1,0))</f>
        <v>37</v>
      </c>
      <c r="BN72" s="97">
        <f t="shared" ca="1" si="164"/>
        <v>1.9865205416387972</v>
      </c>
      <c r="BO72" s="98">
        <f t="shared" ca="1" si="191"/>
        <v>0.99326027081939861</v>
      </c>
      <c r="BP72" s="77">
        <f t="shared" ca="1" si="165"/>
        <v>4107470.9095165893</v>
      </c>
      <c r="BQ72" s="77">
        <f t="shared" ca="1" si="166"/>
        <v>27.383587650965268</v>
      </c>
      <c r="BR72" s="77">
        <f t="shared" ca="1" si="167"/>
        <v>57.457488662864499</v>
      </c>
      <c r="BS72" s="77">
        <f t="shared" ca="1" si="168"/>
        <v>0</v>
      </c>
      <c r="BT72" s="77">
        <f t="shared" ca="1" si="169"/>
        <v>78.624975465843846</v>
      </c>
      <c r="BU72" s="54">
        <f t="shared" ca="1" si="170"/>
        <v>0.79419167137215996</v>
      </c>
      <c r="BV72" s="53">
        <f ca="1">OFFSET('National statistics'!$A$6,MATCH(R0_estimation!$A72,'National statistics'!$A$7:$A$5000,0),MATCH(R0_estimation!BV$16 &amp; "_Running14daysNew",'National statistics'!$B$1:$HA$1,0))</f>
        <v>10</v>
      </c>
      <c r="BW72" s="97">
        <f t="shared" ca="1" si="171"/>
        <v>1.3799241468388452</v>
      </c>
      <c r="BX72" s="98">
        <f t="shared" ca="1" si="192"/>
        <v>0.68996207341942262</v>
      </c>
      <c r="BY72" s="77">
        <f t="shared" ca="1" si="172"/>
        <v>1322174.8875905026</v>
      </c>
      <c r="BZ72" s="77">
        <f t="shared" ca="1" si="173"/>
        <v>5.8420067898874457</v>
      </c>
      <c r="CA72" s="77">
        <f t="shared" ca="1" si="174"/>
        <v>15.996139610437359</v>
      </c>
      <c r="CB72" s="77">
        <f t="shared" ca="1" si="175"/>
        <v>0</v>
      </c>
      <c r="CC72" s="77">
        <f t="shared" ca="1" si="176"/>
        <v>36.999602120050646</v>
      </c>
      <c r="CD72" s="54">
        <f t="shared" ca="1" si="177"/>
        <v>0.37373335474798658</v>
      </c>
      <c r="CE72" s="53">
        <f ca="1">OFFSET('National statistics'!$A$6,MATCH(R0_estimation!$A72,'National statistics'!$A$7:$A$5000,0),MATCH(R0_estimation!CE$16 &amp; "_Running14daysNew",'National statistics'!$B$1:$HA$1,0))</f>
        <v>8159</v>
      </c>
      <c r="CF72" s="97">
        <f t="shared" ca="1" si="178"/>
        <v>2.4331242245373454</v>
      </c>
      <c r="CG72" s="98">
        <f t="shared" ca="1" si="193"/>
        <v>1.2165621122686727</v>
      </c>
      <c r="CH72" s="77">
        <f t="shared" ca="1" si="179"/>
        <v>7286673.9330906514</v>
      </c>
      <c r="CI72" s="77">
        <f t="shared" ca="1" si="180"/>
        <v>3847.176242652537</v>
      </c>
      <c r="CJ72" s="77">
        <f t="shared" ca="1" si="181"/>
        <v>7006.5991024569157</v>
      </c>
      <c r="CK72" s="77">
        <f t="shared" ca="1" si="182"/>
        <v>0</v>
      </c>
      <c r="CL72" s="77">
        <f t="shared" ca="1" si="183"/>
        <v>7281.6438860941953</v>
      </c>
      <c r="CM72" s="54">
        <f t="shared" ca="1" si="184"/>
        <v>73.551958445395911</v>
      </c>
      <c r="CO72" s="209"/>
      <c r="CP72" s="210"/>
    </row>
    <row r="73" spans="1:94">
      <c r="A73" s="83">
        <v>43973</v>
      </c>
      <c r="B73" s="53">
        <f ca="1">OFFSET('National statistics'!$A$6,MATCH(R0_estimation!$A73,'National statistics'!$A$7:$A$5000,0),MATCH(R0_estimation!B$16 &amp; "_Running14daysNew",'National statistics'!$B$1:$HA$1,0))</f>
        <v>11230</v>
      </c>
      <c r="C73" s="97">
        <f t="shared" ca="1" si="115"/>
        <v>1.9211610393424374</v>
      </c>
      <c r="D73" s="98">
        <f t="shared" si="114"/>
        <v>1</v>
      </c>
      <c r="E73" s="77">
        <f t="shared" ca="1" si="116"/>
        <v>59684884.811295435</v>
      </c>
      <c r="F73" s="77">
        <f t="shared" ca="1" si="117"/>
        <v>5211.7819472588544</v>
      </c>
      <c r="G73" s="77">
        <f t="shared" ca="1" si="118"/>
        <v>11204.194643796922</v>
      </c>
      <c r="H73" s="77">
        <f t="shared" ca="1" si="119"/>
        <v>0</v>
      </c>
      <c r="I73" s="77">
        <f t="shared" ca="1" si="120"/>
        <v>16064.457807501702</v>
      </c>
      <c r="J73" s="54">
        <f t="shared" ca="1" si="121"/>
        <v>162.26725058082528</v>
      </c>
      <c r="K73" s="53">
        <f ca="1">OFFSET('National statistics'!$A$6,MATCH(R0_estimation!$A73,'National statistics'!$A$7:$A$5000,0),MATCH(R0_estimation!K$16 &amp; "_Running14daysNew",'National statistics'!$B$1:$HA$1,0))</f>
        <v>1470</v>
      </c>
      <c r="L73" s="97">
        <f t="shared" ca="1" si="122"/>
        <v>2.7782873101034609</v>
      </c>
      <c r="M73" s="98">
        <f t="shared" ca="1" si="185"/>
        <v>1.3891436550517304</v>
      </c>
      <c r="N73" s="77">
        <f t="shared" ca="1" si="123"/>
        <v>6868192.6892946092</v>
      </c>
      <c r="O73" s="77">
        <f t="shared" ca="1" si="124"/>
        <v>622.76685929562325</v>
      </c>
      <c r="P73" s="77">
        <f t="shared" ca="1" si="125"/>
        <v>1033.4752907726388</v>
      </c>
      <c r="Q73" s="77">
        <f t="shared" ca="1" si="126"/>
        <v>0</v>
      </c>
      <c r="R73" s="77">
        <f t="shared" ca="1" si="127"/>
        <v>906.09942651183883</v>
      </c>
      <c r="S73" s="54">
        <f t="shared" ca="1" si="128"/>
        <v>9.1525194597155437</v>
      </c>
      <c r="T73" s="53">
        <f ca="1">OFFSET('National statistics'!$A$6,MATCH(R0_estimation!$A73,'National statistics'!$A$7:$A$5000,0),MATCH(R0_estimation!T$16 &amp; "_Running14daysNew",'National statistics'!$B$1:$HA$1,0))</f>
        <v>52</v>
      </c>
      <c r="U73" s="97">
        <f t="shared" ca="1" si="129"/>
        <v>1.0062710569511544</v>
      </c>
      <c r="V73" s="98">
        <f t="shared" ca="1" si="186"/>
        <v>0.50313552847557719</v>
      </c>
      <c r="W73" s="77">
        <f t="shared" ca="1" si="130"/>
        <v>2808585.2060742103</v>
      </c>
      <c r="X73" s="77">
        <f t="shared" ca="1" si="131"/>
        <v>23.786736597748273</v>
      </c>
      <c r="Y73" s="77">
        <f t="shared" ca="1" si="132"/>
        <v>82.859142142169532</v>
      </c>
      <c r="Z73" s="77">
        <f t="shared" ca="1" si="133"/>
        <v>0</v>
      </c>
      <c r="AA73" s="77">
        <f t="shared" ca="1" si="134"/>
        <v>314.10462070969561</v>
      </c>
      <c r="AB73" s="54">
        <f t="shared" ca="1" si="135"/>
        <v>3.172773946562581</v>
      </c>
      <c r="AC73" s="53">
        <f ca="1">OFFSET('National statistics'!$A$6,MATCH(R0_estimation!$A73,'National statistics'!$A$7:$A$5000,0),MATCH(R0_estimation!AC$16 &amp; "_Running14daysNew",'National statistics'!$B$1:$HA$1,0))</f>
        <v>670</v>
      </c>
      <c r="AD73" s="97">
        <f t="shared" ca="1" si="136"/>
        <v>1.1513150830584011</v>
      </c>
      <c r="AE73" s="98">
        <f t="shared" ca="1" si="187"/>
        <v>0.57565754152920057</v>
      </c>
      <c r="AF73" s="77">
        <f t="shared" ca="1" si="137"/>
        <v>15634803.892636051</v>
      </c>
      <c r="AG73" s="77">
        <f t="shared" ca="1" si="138"/>
        <v>334.15837700710915</v>
      </c>
      <c r="AH73" s="77">
        <f t="shared" ca="1" si="139"/>
        <v>1049.3740169139191</v>
      </c>
      <c r="AI73" s="77">
        <f t="shared" ca="1" si="140"/>
        <v>0</v>
      </c>
      <c r="AJ73" s="77">
        <f t="shared" ca="1" si="141"/>
        <v>3216.2590538628574</v>
      </c>
      <c r="AK73" s="54">
        <f t="shared" ca="1" si="142"/>
        <v>32.487465190533904</v>
      </c>
      <c r="AL73" s="53">
        <f ca="1">OFFSET('National statistics'!$A$6,MATCH(R0_estimation!$A73,'National statistics'!$A$7:$A$5000,0),MATCH(R0_estimation!AL$16 &amp; "_Running14daysNew",'National statistics'!$B$1:$HA$1,0))</f>
        <v>482</v>
      </c>
      <c r="AM73" s="97">
        <f t="shared" ca="1" si="143"/>
        <v>1.4899002769655674</v>
      </c>
      <c r="AN73" s="98">
        <f t="shared" ca="1" si="188"/>
        <v>0.74495013848278369</v>
      </c>
      <c r="AO73" s="77">
        <f t="shared" ca="1" si="144"/>
        <v>10998153.868853126</v>
      </c>
      <c r="AP73" s="77">
        <f t="shared" ca="1" si="145"/>
        <v>263.84845435445874</v>
      </c>
      <c r="AQ73" s="77">
        <f t="shared" ca="1" si="146"/>
        <v>682.48531342113961</v>
      </c>
      <c r="AR73" s="77">
        <f t="shared" ca="1" si="147"/>
        <v>0</v>
      </c>
      <c r="AS73" s="77">
        <f t="shared" ca="1" si="148"/>
        <v>1414.9073726805764</v>
      </c>
      <c r="AT73" s="54">
        <f t="shared" ca="1" si="149"/>
        <v>14.291993663440168</v>
      </c>
      <c r="AU73" s="53">
        <f ca="1">OFFSET('National statistics'!$A$6,MATCH(R0_estimation!$A73,'National statistics'!$A$7:$A$5000,0),MATCH(R0_estimation!AU$16 &amp; "_Running14daysNew",'National statistics'!$B$1:$HA$1,0))</f>
        <v>77</v>
      </c>
      <c r="AV73" s="97">
        <f t="shared" ca="1" si="150"/>
        <v>1.7150884819427765</v>
      </c>
      <c r="AW73" s="98">
        <f t="shared" ca="1" si="189"/>
        <v>0.85754424097138826</v>
      </c>
      <c r="AX73" s="77">
        <f t="shared" ca="1" si="151"/>
        <v>5853609.8805534942</v>
      </c>
      <c r="AY73" s="77">
        <f t="shared" ca="1" si="152"/>
        <v>31.290219379507768</v>
      </c>
      <c r="AZ73" s="77">
        <f t="shared" ca="1" si="153"/>
        <v>72.98752800057639</v>
      </c>
      <c r="BA73" s="77">
        <f t="shared" ca="1" si="154"/>
        <v>0</v>
      </c>
      <c r="BB73" s="77">
        <f t="shared" ca="1" si="155"/>
        <v>123.41226751113751</v>
      </c>
      <c r="BC73" s="54">
        <f t="shared" ca="1" si="156"/>
        <v>1.2465885607185612</v>
      </c>
      <c r="BD73" s="53">
        <f ca="1">OFFSET('National statistics'!$A$6,MATCH(R0_estimation!$A73,'National statistics'!$A$7:$A$5000,0),MATCH(R0_estimation!BD$16 &amp; "_Running14daysNew",'National statistics'!$B$1:$HA$1,0))</f>
        <v>38</v>
      </c>
      <c r="BE73" s="97">
        <f t="shared" ca="1" si="157"/>
        <v>1.4435626881707697</v>
      </c>
      <c r="BF73" s="98">
        <f t="shared" ca="1" si="190"/>
        <v>0.72178134408538486</v>
      </c>
      <c r="BG73" s="77">
        <f t="shared" ca="1" si="158"/>
        <v>4809069.8743778877</v>
      </c>
      <c r="BH73" s="77">
        <f t="shared" ca="1" si="159"/>
        <v>13.484573357514325</v>
      </c>
      <c r="BI73" s="77">
        <f t="shared" ca="1" si="160"/>
        <v>35.702233190065634</v>
      </c>
      <c r="BJ73" s="77">
        <f t="shared" ca="1" si="161"/>
        <v>0</v>
      </c>
      <c r="BK73" s="77">
        <f t="shared" ca="1" si="162"/>
        <v>77.78946376565456</v>
      </c>
      <c r="BL73" s="54">
        <f t="shared" ca="1" si="163"/>
        <v>0.78575215924903608</v>
      </c>
      <c r="BM73" s="53">
        <f ca="1">OFFSET('National statistics'!$A$6,MATCH(R0_estimation!$A73,'National statistics'!$A$7:$A$5000,0),MATCH(R0_estimation!BM$16 &amp; "_Running14daysNew",'National statistics'!$B$1:$HA$1,0))</f>
        <v>38</v>
      </c>
      <c r="BN73" s="97">
        <f t="shared" ca="1" si="164"/>
        <v>1.9865205416387972</v>
      </c>
      <c r="BO73" s="98">
        <f t="shared" ca="1" si="191"/>
        <v>0.99326027081939861</v>
      </c>
      <c r="BP73" s="77">
        <f t="shared" ca="1" si="165"/>
        <v>4107462.7569495034</v>
      </c>
      <c r="BQ73" s="77">
        <f t="shared" ca="1" si="166"/>
        <v>28.690257824160362</v>
      </c>
      <c r="BR73" s="77">
        <f t="shared" ca="1" si="167"/>
        <v>60.199279242544065</v>
      </c>
      <c r="BS73" s="77">
        <f t="shared" ca="1" si="168"/>
        <v>0</v>
      </c>
      <c r="BT73" s="77">
        <f t="shared" ca="1" si="169"/>
        <v>82.688040735574972</v>
      </c>
      <c r="BU73" s="54">
        <f t="shared" ca="1" si="170"/>
        <v>0.83523273470277748</v>
      </c>
      <c r="BV73" s="53">
        <f ca="1">OFFSET('National statistics'!$A$6,MATCH(R0_estimation!$A73,'National statistics'!$A$7:$A$5000,0),MATCH(R0_estimation!BV$16 &amp; "_Running14daysNew",'National statistics'!$B$1:$HA$1,0))</f>
        <v>12</v>
      </c>
      <c r="BW73" s="97">
        <f t="shared" ca="1" si="171"/>
        <v>1.3799241468388452</v>
      </c>
      <c r="BX73" s="98">
        <f t="shared" ca="1" si="192"/>
        <v>0.68996207341942262</v>
      </c>
      <c r="BY73" s="77">
        <f t="shared" ca="1" si="172"/>
        <v>1322173.310984998</v>
      </c>
      <c r="BZ73" s="77">
        <f t="shared" ca="1" si="173"/>
        <v>5.9581105969364172</v>
      </c>
      <c r="CA73" s="77">
        <f t="shared" ca="1" si="174"/>
        <v>16.314059907163692</v>
      </c>
      <c r="CB73" s="77">
        <f t="shared" ca="1" si="175"/>
        <v>0</v>
      </c>
      <c r="CC73" s="77">
        <f t="shared" ca="1" si="176"/>
        <v>38.130757706788714</v>
      </c>
      <c r="CD73" s="54">
        <f t="shared" ca="1" si="177"/>
        <v>0.38515916875544182</v>
      </c>
      <c r="CE73" s="53">
        <f ca="1">OFFSET('National statistics'!$A$6,MATCH(R0_estimation!$A73,'National statistics'!$A$7:$A$5000,0),MATCH(R0_estimation!CE$16 &amp; "_Running14daysNew",'National statistics'!$B$1:$HA$1,0))</f>
        <v>8391</v>
      </c>
      <c r="CF73" s="97">
        <f t="shared" ca="1" si="178"/>
        <v>2.4331242245373454</v>
      </c>
      <c r="CG73" s="98">
        <f t="shared" ca="1" si="193"/>
        <v>1.2165621122686727</v>
      </c>
      <c r="CH73" s="77">
        <f t="shared" ca="1" si="179"/>
        <v>7285459.24725773</v>
      </c>
      <c r="CI73" s="77">
        <f t="shared" ca="1" si="180"/>
        <v>4100.0680149104555</v>
      </c>
      <c r="CJ73" s="77">
        <f t="shared" ca="1" si="181"/>
        <v>7467.9217986588419</v>
      </c>
      <c r="CK73" s="77">
        <f t="shared" ca="1" si="182"/>
        <v>0</v>
      </c>
      <c r="CL73" s="77">
        <f t="shared" ca="1" si="183"/>
        <v>7777.1105369107918</v>
      </c>
      <c r="CM73" s="54">
        <f t="shared" ca="1" si="184"/>
        <v>78.556672090007993</v>
      </c>
      <c r="CO73" s="209"/>
      <c r="CP73" s="210"/>
    </row>
    <row r="74" spans="1:94">
      <c r="A74" s="83">
        <v>43974</v>
      </c>
      <c r="B74" s="53">
        <f ca="1">OFFSET('National statistics'!$A$6,MATCH(R0_estimation!$A74,'National statistics'!$A$7:$A$5000,0),MATCH(R0_estimation!B$16 &amp; "_Running14daysNew",'National statistics'!$B$1:$HA$1,0))</f>
        <v>11923</v>
      </c>
      <c r="C74" s="97">
        <f t="shared" ca="1" si="115"/>
        <v>1.9211610393424374</v>
      </c>
      <c r="D74" s="98">
        <f t="shared" si="114"/>
        <v>1</v>
      </c>
      <c r="E74" s="77">
        <f t="shared" ca="1" si="116"/>
        <v>59683348.143103428</v>
      </c>
      <c r="F74" s="77">
        <f t="shared" ca="1" si="117"/>
        <v>5445.5046524481531</v>
      </c>
      <c r="G74" s="77">
        <f t="shared" ca="1" si="118"/>
        <v>11706.840513197569</v>
      </c>
      <c r="H74" s="77">
        <f t="shared" ca="1" si="119"/>
        <v>0</v>
      </c>
      <c r="I74" s="77">
        <f t="shared" ca="1" si="120"/>
        <v>16856.754428741628</v>
      </c>
      <c r="J74" s="54">
        <f t="shared" ca="1" si="121"/>
        <v>170.27024675496594</v>
      </c>
      <c r="K74" s="53">
        <f ca="1">OFFSET('National statistics'!$A$6,MATCH(R0_estimation!$A74,'National statistics'!$A$7:$A$5000,0),MATCH(R0_estimation!K$16 &amp; "_Running14daysNew",'National statistics'!$B$1:$HA$1,0))</f>
        <v>1491</v>
      </c>
      <c r="L74" s="97">
        <f t="shared" ca="1" si="122"/>
        <v>2.7782873101034609</v>
      </c>
      <c r="M74" s="98">
        <f t="shared" ca="1" si="185"/>
        <v>1.3891436550517304</v>
      </c>
      <c r="N74" s="77">
        <f t="shared" ca="1" si="123"/>
        <v>6867987.6735458886</v>
      </c>
      <c r="O74" s="77">
        <f t="shared" ca="1" si="124"/>
        <v>672.09089319211773</v>
      </c>
      <c r="P74" s="77">
        <f t="shared" ca="1" si="125"/>
        <v>1115.3473419699276</v>
      </c>
      <c r="Q74" s="77">
        <f t="shared" ca="1" si="126"/>
        <v>0</v>
      </c>
      <c r="R74" s="77">
        <f t="shared" ca="1" si="127"/>
        <v>979.18089350218975</v>
      </c>
      <c r="S74" s="54">
        <f t="shared" ca="1" si="128"/>
        <v>9.8907160959817144</v>
      </c>
      <c r="T74" s="53">
        <f ca="1">OFFSET('National statistics'!$A$6,MATCH(R0_estimation!$A74,'National statistics'!$A$7:$A$5000,0),MATCH(R0_estimation!T$16 &amp; "_Running14daysNew",'National statistics'!$B$1:$HA$1,0))</f>
        <v>62</v>
      </c>
      <c r="U74" s="97">
        <f t="shared" ca="1" si="129"/>
        <v>1.0062710569511544</v>
      </c>
      <c r="V74" s="98">
        <f t="shared" ca="1" si="186"/>
        <v>0.50313552847557719</v>
      </c>
      <c r="W74" s="77">
        <f t="shared" ca="1" si="130"/>
        <v>2808579.2513408139</v>
      </c>
      <c r="X74" s="77">
        <f t="shared" ca="1" si="131"/>
        <v>23.794785844687997</v>
      </c>
      <c r="Y74" s="77">
        <f t="shared" ca="1" si="132"/>
        <v>82.887316138594485</v>
      </c>
      <c r="Z74" s="77">
        <f t="shared" ca="1" si="133"/>
        <v>0</v>
      </c>
      <c r="AA74" s="77">
        <f t="shared" ca="1" si="134"/>
        <v>319.96394576117757</v>
      </c>
      <c r="AB74" s="54">
        <f t="shared" ca="1" si="135"/>
        <v>3.2319590480927021</v>
      </c>
      <c r="AC74" s="53">
        <f ca="1">OFFSET('National statistics'!$A$6,MATCH(R0_estimation!$A74,'National statistics'!$A$7:$A$5000,0),MATCH(R0_estimation!AC$16 &amp; "_Running14daysNew",'National statistics'!$B$1:$HA$1,0))</f>
        <v>723</v>
      </c>
      <c r="AD74" s="97">
        <f t="shared" ca="1" si="136"/>
        <v>1.1513150830584011</v>
      </c>
      <c r="AE74" s="98">
        <f t="shared" ca="1" si="187"/>
        <v>0.57565754152920057</v>
      </c>
      <c r="AF74" s="77">
        <f t="shared" ca="1" si="137"/>
        <v>15634717.620864995</v>
      </c>
      <c r="AG74" s="77">
        <f t="shared" ca="1" si="138"/>
        <v>336.89055381168203</v>
      </c>
      <c r="AH74" s="77">
        <f t="shared" ca="1" si="139"/>
        <v>1057.9583242432736</v>
      </c>
      <c r="AI74" s="77">
        <f t="shared" ca="1" si="140"/>
        <v>0</v>
      </c>
      <c r="AJ74" s="77">
        <f t="shared" ca="1" si="141"/>
        <v>3290.4647879160561</v>
      </c>
      <c r="AK74" s="54">
        <f t="shared" ca="1" si="142"/>
        <v>33.237018059758128</v>
      </c>
      <c r="AL74" s="53">
        <f ca="1">OFFSET('National statistics'!$A$6,MATCH(R0_estimation!$A74,'National statistics'!$A$7:$A$5000,0),MATCH(R0_estimation!AL$16 &amp; "_Running14daysNew",'National statistics'!$B$1:$HA$1,0))</f>
        <v>469</v>
      </c>
      <c r="AM74" s="97">
        <f t="shared" ca="1" si="143"/>
        <v>1.4899002769655674</v>
      </c>
      <c r="AN74" s="98">
        <f t="shared" ca="1" si="188"/>
        <v>0.74495013848278369</v>
      </c>
      <c r="AO74" s="77">
        <f t="shared" ca="1" si="144"/>
        <v>10998081.253367722</v>
      </c>
      <c r="AP74" s="77">
        <f t="shared" ca="1" si="145"/>
        <v>270.5018261688312</v>
      </c>
      <c r="AQ74" s="77">
        <f t="shared" ca="1" si="146"/>
        <v>699.69847605110147</v>
      </c>
      <c r="AR74" s="77">
        <f t="shared" ca="1" si="147"/>
        <v>0</v>
      </c>
      <c r="AS74" s="77">
        <f t="shared" ca="1" si="148"/>
        <v>1463.1688341296426</v>
      </c>
      <c r="AT74" s="54">
        <f t="shared" ca="1" si="149"/>
        <v>14.779483173026696</v>
      </c>
      <c r="AU74" s="53">
        <f ca="1">OFFSET('National statistics'!$A$6,MATCH(R0_estimation!$A74,'National statistics'!$A$7:$A$5000,0),MATCH(R0_estimation!AU$16 &amp; "_Running14daysNew",'National statistics'!$B$1:$HA$1,0))</f>
        <v>73</v>
      </c>
      <c r="AV74" s="97">
        <f t="shared" ca="1" si="150"/>
        <v>1.7150884819427765</v>
      </c>
      <c r="AW74" s="98">
        <f t="shared" ca="1" si="189"/>
        <v>0.85754424097138826</v>
      </c>
      <c r="AX74" s="77">
        <f t="shared" ca="1" si="151"/>
        <v>5853600.9394678073</v>
      </c>
      <c r="AY74" s="77">
        <f t="shared" ca="1" si="152"/>
        <v>32.408750221310804</v>
      </c>
      <c r="AZ74" s="77">
        <f t="shared" ca="1" si="153"/>
        <v>75.596687988269309</v>
      </c>
      <c r="BA74" s="77">
        <f t="shared" ca="1" si="154"/>
        <v>0</v>
      </c>
      <c r="BB74" s="77">
        <f t="shared" ca="1" si="155"/>
        <v>128.57352841974969</v>
      </c>
      <c r="BC74" s="54">
        <f t="shared" ca="1" si="156"/>
        <v>1.2987225092904016</v>
      </c>
      <c r="BD74" s="53">
        <f ca="1">OFFSET('National statistics'!$A$6,MATCH(R0_estimation!$A74,'National statistics'!$A$7:$A$5000,0),MATCH(R0_estimation!BD$16 &amp; "_Running14daysNew",'National statistics'!$B$1:$HA$1,0))</f>
        <v>36</v>
      </c>
      <c r="BE74" s="97">
        <f t="shared" ca="1" si="157"/>
        <v>1.4435626881707697</v>
      </c>
      <c r="BF74" s="98">
        <f t="shared" ca="1" si="190"/>
        <v>0.72178134408538486</v>
      </c>
      <c r="BG74" s="77">
        <f t="shared" ca="1" si="158"/>
        <v>4809066.1931599621</v>
      </c>
      <c r="BH74" s="77">
        <f t="shared" ca="1" si="159"/>
        <v>13.794647943785126</v>
      </c>
      <c r="BI74" s="77">
        <f t="shared" ca="1" si="160"/>
        <v>36.523217015868099</v>
      </c>
      <c r="BJ74" s="77">
        <f t="shared" ca="1" si="161"/>
        <v>0</v>
      </c>
      <c r="BK74" s="77">
        <f t="shared" ca="1" si="162"/>
        <v>80.314121684094914</v>
      </c>
      <c r="BL74" s="54">
        <f t="shared" ca="1" si="163"/>
        <v>0.8112537543847973</v>
      </c>
      <c r="BM74" s="53">
        <f ca="1">OFFSET('National statistics'!$A$6,MATCH(R0_estimation!$A74,'National statistics'!$A$7:$A$5000,0),MATCH(R0_estimation!BM$16 &amp; "_Running14daysNew",'National statistics'!$B$1:$HA$1,0))</f>
        <v>40</v>
      </c>
      <c r="BN74" s="97">
        <f t="shared" ca="1" si="164"/>
        <v>1.9865205416387972</v>
      </c>
      <c r="BO74" s="98">
        <f t="shared" ca="1" si="191"/>
        <v>0.99326027081939861</v>
      </c>
      <c r="BP74" s="77">
        <f t="shared" ca="1" si="165"/>
        <v>4107454.2153702457</v>
      </c>
      <c r="BQ74" s="77">
        <f t="shared" ca="1" si="166"/>
        <v>30.059272625587866</v>
      </c>
      <c r="BR74" s="77">
        <f t="shared" ca="1" si="167"/>
        <v>63.071895181259585</v>
      </c>
      <c r="BS74" s="77">
        <f t="shared" ca="1" si="168"/>
        <v>0</v>
      </c>
      <c r="BT74" s="77">
        <f t="shared" ca="1" si="169"/>
        <v>86.944989767726298</v>
      </c>
      <c r="BU74" s="54">
        <f t="shared" ca="1" si="170"/>
        <v>0.87823221987602329</v>
      </c>
      <c r="BV74" s="53">
        <f ca="1">OFFSET('National statistics'!$A$6,MATCH(R0_estimation!$A74,'National statistics'!$A$7:$A$5000,0),MATCH(R0_estimation!BV$16 &amp; "_Running14daysNew",'National statistics'!$B$1:$HA$1,0))</f>
        <v>12</v>
      </c>
      <c r="BW74" s="97">
        <f t="shared" ca="1" si="171"/>
        <v>1.3799241468388452</v>
      </c>
      <c r="BX74" s="98">
        <f t="shared" ca="1" si="192"/>
        <v>0.68996207341942262</v>
      </c>
      <c r="BY74" s="77">
        <f t="shared" ca="1" si="172"/>
        <v>1322171.703046656</v>
      </c>
      <c r="BZ74" s="77">
        <f t="shared" ca="1" si="173"/>
        <v>6.0765212896389231</v>
      </c>
      <c r="CA74" s="77">
        <f t="shared" ca="1" si="174"/>
        <v>16.638297563028964</v>
      </c>
      <c r="CB74" s="77">
        <f t="shared" ca="1" si="175"/>
        <v>0</v>
      </c>
      <c r="CC74" s="77">
        <f t="shared" ca="1" si="176"/>
        <v>39.284394800223858</v>
      </c>
      <c r="CD74" s="54">
        <f t="shared" ca="1" si="177"/>
        <v>0.39681206868913016</v>
      </c>
      <c r="CE74" s="53">
        <f ca="1">OFFSET('National statistics'!$A$6,MATCH(R0_estimation!$A74,'National statistics'!$A$7:$A$5000,0),MATCH(R0_estimation!CE$16 &amp; "_Running14daysNew",'National statistics'!$B$1:$HA$1,0))</f>
        <v>9017</v>
      </c>
      <c r="CF74" s="97">
        <f t="shared" ca="1" si="178"/>
        <v>2.4331242245373454</v>
      </c>
      <c r="CG74" s="98">
        <f t="shared" ca="1" si="193"/>
        <v>1.2165621122686727</v>
      </c>
      <c r="CH74" s="77">
        <f t="shared" ca="1" si="179"/>
        <v>7284164.8000188768</v>
      </c>
      <c r="CI74" s="77">
        <f t="shared" ca="1" si="180"/>
        <v>4369.4982500363194</v>
      </c>
      <c r="CJ74" s="77">
        <f t="shared" ca="1" si="181"/>
        <v>7959.5158167679674</v>
      </c>
      <c r="CK74" s="77">
        <f t="shared" ca="1" si="182"/>
        <v>0</v>
      </c>
      <c r="CL74" s="77">
        <f t="shared" ca="1" si="183"/>
        <v>8305.1992926730964</v>
      </c>
      <c r="CM74" s="54">
        <f t="shared" ca="1" si="184"/>
        <v>83.890901946192884</v>
      </c>
      <c r="CO74" s="209"/>
      <c r="CP74" s="210"/>
    </row>
    <row r="75" spans="1:94">
      <c r="A75" s="83">
        <v>43975</v>
      </c>
      <c r="B75" s="53">
        <f ca="1">OFFSET('National statistics'!$A$6,MATCH(R0_estimation!$A75,'National statistics'!$A$7:$A$5000,0),MATCH(R0_estimation!B$16 &amp; "_Running14daysNew",'National statistics'!$B$1:$HA$1,0))</f>
        <v>12567</v>
      </c>
      <c r="C75" s="97">
        <f t="shared" ca="1" si="115"/>
        <v>1.9211610393424374</v>
      </c>
      <c r="D75" s="98">
        <f t="shared" si="114"/>
        <v>1</v>
      </c>
      <c r="E75" s="77">
        <f t="shared" ca="1" si="116"/>
        <v>59681742.577575214</v>
      </c>
      <c r="F75" s="77">
        <f t="shared" ca="1" si="117"/>
        <v>5689.6940175512063</v>
      </c>
      <c r="G75" s="77">
        <f t="shared" ca="1" si="118"/>
        <v>12232.013782509781</v>
      </c>
      <c r="H75" s="77">
        <f t="shared" ca="1" si="119"/>
        <v>0</v>
      </c>
      <c r="I75" s="77">
        <f t="shared" ca="1" si="120"/>
        <v>17684.595293603456</v>
      </c>
      <c r="J75" s="54">
        <f t="shared" ca="1" si="121"/>
        <v>178.63227569296421</v>
      </c>
      <c r="K75" s="53">
        <f ca="1">OFFSET('National statistics'!$A$6,MATCH(R0_estimation!$A75,'National statistics'!$A$7:$A$5000,0),MATCH(R0_estimation!K$16 &amp; "_Running14daysNew",'National statistics'!$B$1:$HA$1,0))</f>
        <v>1472</v>
      </c>
      <c r="L75" s="97">
        <f t="shared" ca="1" si="122"/>
        <v>2.7782873101034609</v>
      </c>
      <c r="M75" s="98">
        <f t="shared" ca="1" si="185"/>
        <v>1.3891436550517304</v>
      </c>
      <c r="N75" s="77">
        <f t="shared" ca="1" si="123"/>
        <v>6867766.4230028074</v>
      </c>
      <c r="O75" s="77">
        <f t="shared" ca="1" si="124"/>
        <v>725.31871297501505</v>
      </c>
      <c r="P75" s="77">
        <f t="shared" ca="1" si="125"/>
        <v>1203.7023979843907</v>
      </c>
      <c r="Q75" s="77">
        <f t="shared" ca="1" si="126"/>
        <v>0</v>
      </c>
      <c r="R75" s="77">
        <f t="shared" ca="1" si="127"/>
        <v>1058.0518841129203</v>
      </c>
      <c r="S75" s="54">
        <f t="shared" ca="1" si="128"/>
        <v>10.687392768817377</v>
      </c>
      <c r="T75" s="53">
        <f ca="1">OFFSET('National statistics'!$A$6,MATCH(R0_estimation!$A75,'National statistics'!$A$7:$A$5000,0),MATCH(R0_estimation!T$16 &amp; "_Running14daysNew",'National statistics'!$B$1:$HA$1,0))</f>
        <v>67</v>
      </c>
      <c r="U75" s="97">
        <f t="shared" ca="1" si="129"/>
        <v>1.0062710569511544</v>
      </c>
      <c r="V75" s="98">
        <f t="shared" ca="1" si="186"/>
        <v>0.50313552847557719</v>
      </c>
      <c r="W75" s="77">
        <f t="shared" ca="1" si="130"/>
        <v>2808573.2945951764</v>
      </c>
      <c r="X75" s="77">
        <f t="shared" ca="1" si="131"/>
        <v>23.802835020987064</v>
      </c>
      <c r="Y75" s="77">
        <f t="shared" ca="1" si="132"/>
        <v>82.915490018438319</v>
      </c>
      <c r="Z75" s="77">
        <f t="shared" ca="1" si="133"/>
        <v>0</v>
      </c>
      <c r="AA75" s="77">
        <f t="shared" ca="1" si="134"/>
        <v>325.82526311669244</v>
      </c>
      <c r="AB75" s="54">
        <f t="shared" ca="1" si="135"/>
        <v>3.2911642739059839</v>
      </c>
      <c r="AC75" s="53">
        <f ca="1">OFFSET('National statistics'!$A$6,MATCH(R0_estimation!$A75,'National statistics'!$A$7:$A$5000,0),MATCH(R0_estimation!AC$16 &amp; "_Running14daysNew",'National statistics'!$B$1:$HA$1,0))</f>
        <v>820</v>
      </c>
      <c r="AD75" s="97">
        <f t="shared" ca="1" si="136"/>
        <v>1.1513150830584011</v>
      </c>
      <c r="AE75" s="98">
        <f t="shared" ca="1" si="187"/>
        <v>0.57565754152920057</v>
      </c>
      <c r="AF75" s="77">
        <f t="shared" ca="1" si="137"/>
        <v>15634630.643831443</v>
      </c>
      <c r="AG75" s="77">
        <f t="shared" ca="1" si="138"/>
        <v>339.6449489114018</v>
      </c>
      <c r="AH75" s="77">
        <f t="shared" ca="1" si="139"/>
        <v>1066.6125109645318</v>
      </c>
      <c r="AI75" s="77">
        <f t="shared" ca="1" si="140"/>
        <v>0</v>
      </c>
      <c r="AJ75" s="77">
        <f t="shared" ca="1" si="141"/>
        <v>3365.2775551304021</v>
      </c>
      <c r="AK75" s="54">
        <f t="shared" ca="1" si="142"/>
        <v>33.992702577074752</v>
      </c>
      <c r="AL75" s="53">
        <f ca="1">OFFSET('National statistics'!$A$6,MATCH(R0_estimation!$A75,'National statistics'!$A$7:$A$5000,0),MATCH(R0_estimation!AL$16 &amp; "_Running14daysNew",'National statistics'!$B$1:$HA$1,0))</f>
        <v>462</v>
      </c>
      <c r="AM75" s="97">
        <f t="shared" ca="1" si="143"/>
        <v>1.4899002769655674</v>
      </c>
      <c r="AN75" s="98">
        <f t="shared" ca="1" si="188"/>
        <v>0.74495013848278369</v>
      </c>
      <c r="AO75" s="77">
        <f t="shared" ca="1" si="144"/>
        <v>10998006.806914063</v>
      </c>
      <c r="AP75" s="77">
        <f t="shared" ca="1" si="145"/>
        <v>277.32282328614434</v>
      </c>
      <c r="AQ75" s="77">
        <f t="shared" ca="1" si="146"/>
        <v>717.34547001823057</v>
      </c>
      <c r="AR75" s="77">
        <f t="shared" ca="1" si="147"/>
        <v>0</v>
      </c>
      <c r="AS75" s="77">
        <f t="shared" ca="1" si="148"/>
        <v>1512.6475120789705</v>
      </c>
      <c r="AT75" s="54">
        <f t="shared" ca="1" si="149"/>
        <v>15.279267798777482</v>
      </c>
      <c r="AU75" s="53">
        <f ca="1">OFFSET('National statistics'!$A$6,MATCH(R0_estimation!$A75,'National statistics'!$A$7:$A$5000,0),MATCH(R0_estimation!AU$16 &amp; "_Running14daysNew",'National statistics'!$B$1:$HA$1,0))</f>
        <v>74</v>
      </c>
      <c r="AV75" s="97">
        <f t="shared" ca="1" si="150"/>
        <v>1.7150884819427765</v>
      </c>
      <c r="AW75" s="98">
        <f t="shared" ca="1" si="189"/>
        <v>0.85754424097138826</v>
      </c>
      <c r="AX75" s="77">
        <f t="shared" ca="1" si="151"/>
        <v>5853591.6787700271</v>
      </c>
      <c r="AY75" s="77">
        <f t="shared" ca="1" si="152"/>
        <v>33.567260446010508</v>
      </c>
      <c r="AZ75" s="77">
        <f t="shared" ca="1" si="153"/>
        <v>78.299112115863494</v>
      </c>
      <c r="BA75" s="77">
        <f t="shared" ca="1" si="154"/>
        <v>0</v>
      </c>
      <c r="BB75" s="77">
        <f t="shared" ca="1" si="155"/>
        <v>133.91929421320589</v>
      </c>
      <c r="BC75" s="54">
        <f t="shared" ca="1" si="156"/>
        <v>1.3527201435677367</v>
      </c>
      <c r="BD75" s="53">
        <f ca="1">OFFSET('National statistics'!$A$6,MATCH(R0_estimation!$A75,'National statistics'!$A$7:$A$5000,0),MATCH(R0_estimation!BD$16 &amp; "_Running14daysNew",'National statistics'!$B$1:$HA$1,0))</f>
        <v>40</v>
      </c>
      <c r="BE75" s="97">
        <f t="shared" ca="1" si="157"/>
        <v>1.4435626881707697</v>
      </c>
      <c r="BF75" s="98">
        <f t="shared" ca="1" si="190"/>
        <v>0.72178134408538486</v>
      </c>
      <c r="BG75" s="77">
        <f t="shared" ca="1" si="158"/>
        <v>4809062.4272941612</v>
      </c>
      <c r="BH75" s="77">
        <f t="shared" ca="1" si="159"/>
        <v>14.111851758458645</v>
      </c>
      <c r="BI75" s="77">
        <f t="shared" ca="1" si="160"/>
        <v>37.36307778639523</v>
      </c>
      <c r="BJ75" s="77">
        <f t="shared" ca="1" si="161"/>
        <v>0</v>
      </c>
      <c r="BK75" s="77">
        <f t="shared" ca="1" si="162"/>
        <v>82.896834887359873</v>
      </c>
      <c r="BL75" s="54">
        <f t="shared" ca="1" si="163"/>
        <v>0.83734176653898884</v>
      </c>
      <c r="BM75" s="53">
        <f ca="1">OFFSET('National statistics'!$A$6,MATCH(R0_estimation!$A75,'National statistics'!$A$7:$A$5000,0),MATCH(R0_estimation!BM$16 &amp; "_Running14daysNew",'National statistics'!$B$1:$HA$1,0))</f>
        <v>49</v>
      </c>
      <c r="BN75" s="97">
        <f t="shared" ca="1" si="164"/>
        <v>1.9865205416387972</v>
      </c>
      <c r="BO75" s="98">
        <f t="shared" ca="1" si="191"/>
        <v>0.99326027081939861</v>
      </c>
      <c r="BP75" s="77">
        <f t="shared" ca="1" si="165"/>
        <v>4107445.2662186325</v>
      </c>
      <c r="BQ75" s="77">
        <f t="shared" ca="1" si="166"/>
        <v>31.493606082242867</v>
      </c>
      <c r="BR75" s="77">
        <f t="shared" ca="1" si="167"/>
        <v>66.081577967566574</v>
      </c>
      <c r="BS75" s="77">
        <f t="shared" ca="1" si="168"/>
        <v>0</v>
      </c>
      <c r="BT75" s="77">
        <f t="shared" ca="1" si="169"/>
        <v>91.405073784115373</v>
      </c>
      <c r="BU75" s="54">
        <f t="shared" ca="1" si="170"/>
        <v>0.92328357357692303</v>
      </c>
      <c r="BV75" s="53">
        <f ca="1">OFFSET('National statistics'!$A$6,MATCH(R0_estimation!$A75,'National statistics'!$A$7:$A$5000,0),MATCH(R0_estimation!BV$16 &amp; "_Running14daysNew",'National statistics'!$B$1:$HA$1,0))</f>
        <v>11</v>
      </c>
      <c r="BW75" s="97">
        <f t="shared" ca="1" si="171"/>
        <v>1.3799241468388452</v>
      </c>
      <c r="BX75" s="98">
        <f t="shared" ca="1" si="192"/>
        <v>0.68996207341942262</v>
      </c>
      <c r="BY75" s="77">
        <f t="shared" ca="1" si="172"/>
        <v>1322170.0631529416</v>
      </c>
      <c r="BZ75" s="77">
        <f t="shared" ca="1" si="173"/>
        <v>6.1972846815179636</v>
      </c>
      <c r="CA75" s="77">
        <f t="shared" ca="1" si="174"/>
        <v>16.968978059508053</v>
      </c>
      <c r="CB75" s="77">
        <f t="shared" ca="1" si="175"/>
        <v>0</v>
      </c>
      <c r="CC75" s="77">
        <f t="shared" ca="1" si="176"/>
        <v>40.460960127895191</v>
      </c>
      <c r="CD75" s="54">
        <f t="shared" ca="1" si="177"/>
        <v>0.40869656694843659</v>
      </c>
      <c r="CE75" s="53">
        <f ca="1">OFFSET('National statistics'!$A$6,MATCH(R0_estimation!$A75,'National statistics'!$A$7:$A$5000,0),MATCH(R0_estimation!CE$16 &amp; "_Running14daysNew",'National statistics'!$B$1:$HA$1,0))</f>
        <v>9572</v>
      </c>
      <c r="CF75" s="97">
        <f t="shared" ca="1" si="178"/>
        <v>2.4331242245373454</v>
      </c>
      <c r="CG75" s="98">
        <f t="shared" ca="1" si="193"/>
        <v>1.2165621122686727</v>
      </c>
      <c r="CH75" s="77">
        <f t="shared" ca="1" si="179"/>
        <v>7282785.3867830606</v>
      </c>
      <c r="CI75" s="77">
        <f t="shared" ca="1" si="180"/>
        <v>4656.536923343323</v>
      </c>
      <c r="CJ75" s="77">
        <f t="shared" ca="1" si="181"/>
        <v>8483.3535352221916</v>
      </c>
      <c r="CK75" s="77">
        <f t="shared" ca="1" si="182"/>
        <v>0</v>
      </c>
      <c r="CL75" s="77">
        <f t="shared" ca="1" si="183"/>
        <v>8868.0507682874031</v>
      </c>
      <c r="CM75" s="54">
        <f t="shared" ca="1" si="184"/>
        <v>89.576270386741427</v>
      </c>
      <c r="CO75" s="209"/>
      <c r="CP75" s="210"/>
    </row>
    <row r="76" spans="1:94">
      <c r="A76" s="83">
        <v>43976</v>
      </c>
      <c r="B76" s="53">
        <f ca="1">OFFSET('National statistics'!$A$6,MATCH(R0_estimation!$A76,'National statistics'!$A$7:$A$5000,0),MATCH(R0_estimation!B$16 &amp; "_Running14daysNew",'National statistics'!$B$1:$HA$1,0))</f>
        <v>12963</v>
      </c>
      <c r="C76" s="97">
        <f t="shared" ca="1" si="115"/>
        <v>1.9211610393424374</v>
      </c>
      <c r="D76" s="98">
        <f t="shared" si="114"/>
        <v>1</v>
      </c>
      <c r="E76" s="77">
        <f t="shared" ca="1" si="116"/>
        <v>59680065.030668087</v>
      </c>
      <c r="F76" s="77">
        <f t="shared" ca="1" si="117"/>
        <v>5944.817420293376</v>
      </c>
      <c r="G76" s="77">
        <f t="shared" ca="1" si="118"/>
        <v>12780.722016718313</v>
      </c>
      <c r="H76" s="77">
        <f t="shared" ca="1" si="119"/>
        <v>0</v>
      </c>
      <c r="I76" s="77">
        <f t="shared" ca="1" si="120"/>
        <v>18549.573411080932</v>
      </c>
      <c r="J76" s="54">
        <f t="shared" ca="1" si="121"/>
        <v>187.36942839475691</v>
      </c>
      <c r="K76" s="53">
        <f ca="1">OFFSET('National statistics'!$A$6,MATCH(R0_estimation!$A76,'National statistics'!$A$7:$A$5000,0),MATCH(R0_estimation!K$16 &amp; "_Running14daysNew",'National statistics'!$B$1:$HA$1,0))</f>
        <v>1392</v>
      </c>
      <c r="L76" s="97">
        <f t="shared" ca="1" si="122"/>
        <v>2.7782873101034609</v>
      </c>
      <c r="M76" s="98">
        <f t="shared" ca="1" si="185"/>
        <v>1.3891436550517304</v>
      </c>
      <c r="N76" s="77">
        <f t="shared" ca="1" si="123"/>
        <v>6867527.6532037565</v>
      </c>
      <c r="O76" s="77">
        <f t="shared" ca="1" si="124"/>
        <v>782.75883378172341</v>
      </c>
      <c r="P76" s="77">
        <f t="shared" ca="1" si="125"/>
        <v>1299.0533335149737</v>
      </c>
      <c r="Q76" s="77">
        <f t="shared" ca="1" si="126"/>
        <v>0</v>
      </c>
      <c r="R76" s="77">
        <f t="shared" ca="1" si="127"/>
        <v>1143.1708393989593</v>
      </c>
      <c r="S76" s="54">
        <f t="shared" ca="1" si="128"/>
        <v>11.547180195949085</v>
      </c>
      <c r="T76" s="53">
        <f ca="1">OFFSET('National statistics'!$A$6,MATCH(R0_estimation!$A76,'National statistics'!$A$7:$A$5000,0),MATCH(R0_estimation!T$16 &amp; "_Running14daysNew",'National statistics'!$B$1:$HA$1,0))</f>
        <v>73</v>
      </c>
      <c r="U76" s="97">
        <f t="shared" ca="1" si="129"/>
        <v>1.0062710569511544</v>
      </c>
      <c r="V76" s="98">
        <f t="shared" ca="1" si="186"/>
        <v>0.50313552847557719</v>
      </c>
      <c r="W76" s="77">
        <f t="shared" ca="1" si="130"/>
        <v>2808567.335837319</v>
      </c>
      <c r="X76" s="77">
        <f t="shared" ca="1" si="131"/>
        <v>23.810884123200047</v>
      </c>
      <c r="Y76" s="77">
        <f t="shared" ca="1" si="132"/>
        <v>82.943663772368069</v>
      </c>
      <c r="Z76" s="77">
        <f t="shared" ca="1" si="133"/>
        <v>0</v>
      </c>
      <c r="AA76" s="77">
        <f t="shared" ca="1" si="134"/>
        <v>331.68857276799628</v>
      </c>
      <c r="AB76" s="54">
        <f t="shared" ca="1" si="135"/>
        <v>3.350389623919154</v>
      </c>
      <c r="AC76" s="53">
        <f ca="1">OFFSET('National statistics'!$A$6,MATCH(R0_estimation!$A76,'National statistics'!$A$7:$A$5000,0),MATCH(R0_estimation!AC$16 &amp; "_Running14daysNew",'National statistics'!$B$1:$HA$1,0))</f>
        <v>1022</v>
      </c>
      <c r="AD76" s="97">
        <f t="shared" ca="1" si="136"/>
        <v>1.1513150830584011</v>
      </c>
      <c r="AE76" s="98">
        <f t="shared" ca="1" si="187"/>
        <v>0.57565754152920057</v>
      </c>
      <c r="AF76" s="77">
        <f t="shared" ca="1" si="137"/>
        <v>15634542.955802131</v>
      </c>
      <c r="AG76" s="77">
        <f t="shared" ca="1" si="138"/>
        <v>342.42174099447493</v>
      </c>
      <c r="AH76" s="77">
        <f t="shared" ca="1" si="139"/>
        <v>1075.3371402663442</v>
      </c>
      <c r="AI76" s="77">
        <f t="shared" ca="1" si="140"/>
        <v>0</v>
      </c>
      <c r="AJ76" s="77">
        <f t="shared" ca="1" si="141"/>
        <v>3440.7022969771797</v>
      </c>
      <c r="AK76" s="54">
        <f t="shared" ca="1" si="142"/>
        <v>34.754568656335131</v>
      </c>
      <c r="AL76" s="53">
        <f ca="1">OFFSET('National statistics'!$A$6,MATCH(R0_estimation!$A76,'National statistics'!$A$7:$A$5000,0),MATCH(R0_estimation!AL$16 &amp; "_Running14daysNew",'National statistics'!$B$1:$HA$1,0))</f>
        <v>510</v>
      </c>
      <c r="AM76" s="97">
        <f t="shared" ca="1" si="143"/>
        <v>1.4899002769655674</v>
      </c>
      <c r="AN76" s="98">
        <f t="shared" ca="1" si="188"/>
        <v>0.74495013848278369</v>
      </c>
      <c r="AO76" s="77">
        <f t="shared" ca="1" si="144"/>
        <v>10997930.483370347</v>
      </c>
      <c r="AP76" s="77">
        <f t="shared" ca="1" si="145"/>
        <v>284.31566118103865</v>
      </c>
      <c r="AQ76" s="77">
        <f t="shared" ca="1" si="146"/>
        <v>735.43721369560728</v>
      </c>
      <c r="AR76" s="77">
        <f t="shared" ca="1" si="147"/>
        <v>0</v>
      </c>
      <c r="AS76" s="77">
        <f t="shared" ca="1" si="148"/>
        <v>1563.3740846016883</v>
      </c>
      <c r="AT76" s="54">
        <f t="shared" ca="1" si="149"/>
        <v>15.791657420219076</v>
      </c>
      <c r="AU76" s="53">
        <f ca="1">OFFSET('National statistics'!$A$6,MATCH(R0_estimation!$A76,'National statistics'!$A$7:$A$5000,0),MATCH(R0_estimation!AU$16 &amp; "_Running14daysNew",'National statistics'!$B$1:$HA$1,0))</f>
        <v>78</v>
      </c>
      <c r="AV76" s="97">
        <f t="shared" ca="1" si="150"/>
        <v>1.7150884819427765</v>
      </c>
      <c r="AW76" s="98">
        <f t="shared" ca="1" si="189"/>
        <v>0.85754424097138826</v>
      </c>
      <c r="AX76" s="77">
        <f t="shared" ca="1" si="151"/>
        <v>5853582.0870366776</v>
      </c>
      <c r="AY76" s="77">
        <f t="shared" ca="1" si="152"/>
        <v>34.767178683965085</v>
      </c>
      <c r="AZ76" s="77">
        <f t="shared" ca="1" si="153"/>
        <v>81.098133504804437</v>
      </c>
      <c r="BA76" s="77">
        <f t="shared" ca="1" si="154"/>
        <v>0</v>
      </c>
      <c r="BB76" s="77">
        <f t="shared" ca="1" si="155"/>
        <v>139.45615999854195</v>
      </c>
      <c r="BC76" s="54">
        <f t="shared" ca="1" si="156"/>
        <v>1.4086480807933535</v>
      </c>
      <c r="BD76" s="53">
        <f ca="1">OFFSET('National statistics'!$A$6,MATCH(R0_estimation!$A76,'National statistics'!$A$7:$A$5000,0),MATCH(R0_estimation!BD$16 &amp; "_Running14daysNew",'National statistics'!$B$1:$HA$1,0))</f>
        <v>39</v>
      </c>
      <c r="BE76" s="97">
        <f t="shared" ca="1" si="157"/>
        <v>1.4435626881707697</v>
      </c>
      <c r="BF76" s="98">
        <f t="shared" ca="1" si="190"/>
        <v>0.72178134408538486</v>
      </c>
      <c r="BG76" s="77">
        <f t="shared" ca="1" si="158"/>
        <v>4809058.5748343039</v>
      </c>
      <c r="BH76" s="77">
        <f t="shared" ca="1" si="159"/>
        <v>14.43634867640759</v>
      </c>
      <c r="BI76" s="77">
        <f t="shared" ca="1" si="160"/>
        <v>38.22224945555309</v>
      </c>
      <c r="BJ76" s="77">
        <f t="shared" ca="1" si="161"/>
        <v>0</v>
      </c>
      <c r="BK76" s="77">
        <f t="shared" ca="1" si="162"/>
        <v>85.538938245112107</v>
      </c>
      <c r="BL76" s="54">
        <f t="shared" ca="1" si="163"/>
        <v>0.86402967924355689</v>
      </c>
      <c r="BM76" s="53">
        <f ca="1">OFFSET('National statistics'!$A$6,MATCH(R0_estimation!$A76,'National statistics'!$A$7:$A$5000,0),MATCH(R0_estimation!BM$16 &amp; "_Running14daysNew",'National statistics'!$B$1:$HA$1,0))</f>
        <v>59</v>
      </c>
      <c r="BN76" s="97">
        <f t="shared" ca="1" si="164"/>
        <v>1.9865205416387972</v>
      </c>
      <c r="BO76" s="98">
        <f t="shared" ca="1" si="191"/>
        <v>0.99326027081939861</v>
      </c>
      <c r="BP76" s="77">
        <f t="shared" ca="1" si="165"/>
        <v>4107435.8900491614</v>
      </c>
      <c r="BQ76" s="77">
        <f t="shared" ca="1" si="166"/>
        <v>32.996374032832094</v>
      </c>
      <c r="BR76" s="77">
        <f t="shared" ca="1" si="167"/>
        <v>69.234866776158256</v>
      </c>
      <c r="BS76" s="77">
        <f t="shared" ca="1" si="168"/>
        <v>0</v>
      </c>
      <c r="BT76" s="77">
        <f t="shared" ca="1" si="169"/>
        <v>96.077985368964718</v>
      </c>
      <c r="BU76" s="54">
        <f t="shared" ca="1" si="170"/>
        <v>0.97048470069661341</v>
      </c>
      <c r="BV76" s="53">
        <f ca="1">OFFSET('National statistics'!$A$6,MATCH(R0_estimation!$A76,'National statistics'!$A$7:$A$5000,0),MATCH(R0_estimation!BV$16 &amp; "_Running14daysNew",'National statistics'!$B$1:$HA$1,0))</f>
        <v>15</v>
      </c>
      <c r="BW76" s="97">
        <f t="shared" ca="1" si="171"/>
        <v>1.3799241468388452</v>
      </c>
      <c r="BX76" s="98">
        <f t="shared" ca="1" si="192"/>
        <v>0.68996207341942262</v>
      </c>
      <c r="BY76" s="77">
        <f t="shared" ca="1" si="172"/>
        <v>1322168.3906689577</v>
      </c>
      <c r="BZ76" s="77">
        <f t="shared" ca="1" si="173"/>
        <v>6.3204474950365022</v>
      </c>
      <c r="CA76" s="77">
        <f t="shared" ca="1" si="174"/>
        <v>17.306229368494115</v>
      </c>
      <c r="CB76" s="77">
        <f t="shared" ca="1" si="175"/>
        <v>0</v>
      </c>
      <c r="CC76" s="77">
        <f t="shared" ca="1" si="176"/>
        <v>41.660909290674688</v>
      </c>
      <c r="CD76" s="54">
        <f t="shared" ca="1" si="177"/>
        <v>0.42081726556237092</v>
      </c>
      <c r="CE76" s="53">
        <f ca="1">OFFSET('National statistics'!$A$6,MATCH(R0_estimation!$A76,'National statistics'!$A$7:$A$5000,0),MATCH(R0_estimation!CE$16 &amp; "_Running14daysNew",'National statistics'!$B$1:$HA$1,0))</f>
        <v>9775</v>
      </c>
      <c r="CF76" s="97">
        <f t="shared" ca="1" si="178"/>
        <v>2.4331242245373454</v>
      </c>
      <c r="CG76" s="98">
        <f t="shared" ca="1" si="193"/>
        <v>1.2165621122686727</v>
      </c>
      <c r="CH76" s="77">
        <f t="shared" ca="1" si="179"/>
        <v>7281315.467821762</v>
      </c>
      <c r="CI76" s="77">
        <f t="shared" ca="1" si="180"/>
        <v>4962.3216538063807</v>
      </c>
      <c r="CJ76" s="77">
        <f t="shared" ca="1" si="181"/>
        <v>9041.5339421135795</v>
      </c>
      <c r="CK76" s="77">
        <f t="shared" ca="1" si="182"/>
        <v>0</v>
      </c>
      <c r="CL76" s="77">
        <f t="shared" ca="1" si="183"/>
        <v>9467.9450539924001</v>
      </c>
      <c r="CM76" s="54">
        <f t="shared" ca="1" si="184"/>
        <v>95.635808626185849</v>
      </c>
      <c r="CO76" s="209"/>
      <c r="CP76" s="210"/>
    </row>
    <row r="77" spans="1:94">
      <c r="A77" s="83">
        <v>43977</v>
      </c>
      <c r="B77" s="53">
        <f ca="1">OFFSET('National statistics'!$A$6,MATCH(R0_estimation!$A77,'National statistics'!$A$7:$A$5000,0),MATCH(R0_estimation!B$16 &amp; "_Running14daysNew",'National statistics'!$B$1:$HA$1,0))</f>
        <v>12914</v>
      </c>
      <c r="C77" s="97">
        <f t="shared" ca="1" si="115"/>
        <v>1.9211610393424374</v>
      </c>
      <c r="D77" s="98">
        <f t="shared" si="114"/>
        <v>1</v>
      </c>
      <c r="E77" s="77">
        <f t="shared" ca="1" si="116"/>
        <v>59678312.280748025</v>
      </c>
      <c r="F77" s="77">
        <f t="shared" ca="1" si="117"/>
        <v>6211.3629852830736</v>
      </c>
      <c r="G77" s="77">
        <f t="shared" ca="1" si="118"/>
        <v>13354.017656311777</v>
      </c>
      <c r="H77" s="77">
        <f t="shared" ca="1" si="119"/>
        <v>0</v>
      </c>
      <c r="I77" s="77">
        <f t="shared" ca="1" si="120"/>
        <v>19453.353039406011</v>
      </c>
      <c r="J77" s="54">
        <f t="shared" ca="1" si="121"/>
        <v>196.49851554955569</v>
      </c>
      <c r="K77" s="53">
        <f ca="1">OFFSET('National statistics'!$A$6,MATCH(R0_estimation!$A77,'National statistics'!$A$7:$A$5000,0),MATCH(R0_estimation!K$16 &amp; "_Running14daysNew",'National statistics'!$B$1:$HA$1,0))</f>
        <v>1360</v>
      </c>
      <c r="L77" s="97">
        <f t="shared" ca="1" si="122"/>
        <v>2.7782873101034609</v>
      </c>
      <c r="M77" s="98">
        <f t="shared" ca="1" si="185"/>
        <v>1.3891436550517304</v>
      </c>
      <c r="N77" s="77">
        <f t="shared" ca="1" si="123"/>
        <v>6867269.9782510679</v>
      </c>
      <c r="O77" s="77">
        <f t="shared" ca="1" si="124"/>
        <v>844.74407802448695</v>
      </c>
      <c r="P77" s="77">
        <f t="shared" ca="1" si="125"/>
        <v>1401.9535181379065</v>
      </c>
      <c r="Q77" s="77">
        <f t="shared" ca="1" si="126"/>
        <v>0</v>
      </c>
      <c r="R77" s="77">
        <f t="shared" ca="1" si="127"/>
        <v>1235.0324679832324</v>
      </c>
      <c r="S77" s="54">
        <f t="shared" ca="1" si="128"/>
        <v>12.475075434174066</v>
      </c>
      <c r="T77" s="53">
        <f ca="1">OFFSET('National statistics'!$A$6,MATCH(R0_estimation!$A77,'National statistics'!$A$7:$A$5000,0),MATCH(R0_estimation!T$16 &amp; "_Running14daysNew",'National statistics'!$B$1:$HA$1,0))</f>
        <v>71</v>
      </c>
      <c r="U77" s="97">
        <f t="shared" ca="1" si="129"/>
        <v>1.0062710569511544</v>
      </c>
      <c r="V77" s="98">
        <f t="shared" ca="1" si="186"/>
        <v>0.50313552847557719</v>
      </c>
      <c r="W77" s="77">
        <f t="shared" ca="1" si="130"/>
        <v>2808561.3750672634</v>
      </c>
      <c r="X77" s="77">
        <f t="shared" ca="1" si="131"/>
        <v>23.818933148067948</v>
      </c>
      <c r="Y77" s="77">
        <f t="shared" ca="1" si="132"/>
        <v>82.971837390856066</v>
      </c>
      <c r="Z77" s="77">
        <f t="shared" ca="1" si="133"/>
        <v>0</v>
      </c>
      <c r="AA77" s="77">
        <f t="shared" ca="1" si="134"/>
        <v>337.55387470618518</v>
      </c>
      <c r="AB77" s="54">
        <f t="shared" ca="1" si="135"/>
        <v>3.409635098042274</v>
      </c>
      <c r="AC77" s="53">
        <f ca="1">OFFSET('National statistics'!$A$6,MATCH(R0_estimation!$A77,'National statistics'!$A$7:$A$5000,0),MATCH(R0_estimation!AC$16 &amp; "_Running14daysNew",'National statistics'!$B$1:$HA$1,0))</f>
        <v>1029</v>
      </c>
      <c r="AD77" s="97">
        <f t="shared" ca="1" si="136"/>
        <v>1.1513150830584011</v>
      </c>
      <c r="AE77" s="98">
        <f t="shared" ca="1" si="187"/>
        <v>0.57565754152920057</v>
      </c>
      <c r="AF77" s="77">
        <f t="shared" ca="1" si="137"/>
        <v>15634454.550997723</v>
      </c>
      <c r="AG77" s="77">
        <f t="shared" ca="1" si="138"/>
        <v>345.22111015486684</v>
      </c>
      <c r="AH77" s="77">
        <f t="shared" ca="1" si="139"/>
        <v>1084.1327797816527</v>
      </c>
      <c r="AI77" s="77">
        <f t="shared" ca="1" si="140"/>
        <v>0</v>
      </c>
      <c r="AJ77" s="77">
        <f t="shared" ca="1" si="141"/>
        <v>3516.743994753157</v>
      </c>
      <c r="AK77" s="54">
        <f t="shared" ca="1" si="142"/>
        <v>35.522666613668235</v>
      </c>
      <c r="AL77" s="53">
        <f ca="1">OFFSET('National statistics'!$A$6,MATCH(R0_estimation!$A77,'National statistics'!$A$7:$A$5000,0),MATCH(R0_estimation!AL$16 &amp; "_Running14daysNew",'National statistics'!$B$1:$HA$1,0))</f>
        <v>533</v>
      </c>
      <c r="AM77" s="97">
        <f t="shared" ca="1" si="143"/>
        <v>1.4899002769655674</v>
      </c>
      <c r="AN77" s="98">
        <f t="shared" ca="1" si="188"/>
        <v>0.74495013848278369</v>
      </c>
      <c r="AO77" s="77">
        <f t="shared" ca="1" si="144"/>
        <v>10997852.235455286</v>
      </c>
      <c r="AP77" s="77">
        <f t="shared" ca="1" si="145"/>
        <v>291.48466094726103</v>
      </c>
      <c r="AQ77" s="77">
        <f t="shared" ca="1" si="146"/>
        <v>753.98489944118069</v>
      </c>
      <c r="AR77" s="77">
        <f t="shared" ca="1" si="147"/>
        <v>0</v>
      </c>
      <c r="AS77" s="77">
        <f t="shared" ca="1" si="148"/>
        <v>1615.3800018558777</v>
      </c>
      <c r="AT77" s="54">
        <f t="shared" ca="1" si="149"/>
        <v>16.316969715715938</v>
      </c>
      <c r="AU77" s="53">
        <f ca="1">OFFSET('National statistics'!$A$6,MATCH(R0_estimation!$A77,'National statistics'!$A$7:$A$5000,0),MATCH(R0_estimation!AU$16 &amp; "_Running14daysNew",'National statistics'!$B$1:$HA$1,0))</f>
        <v>78</v>
      </c>
      <c r="AV77" s="97">
        <f t="shared" ca="1" si="150"/>
        <v>1.7150884819427765</v>
      </c>
      <c r="AW77" s="98">
        <f t="shared" ca="1" si="189"/>
        <v>0.85754424097138826</v>
      </c>
      <c r="AX77" s="77">
        <f t="shared" ca="1" si="151"/>
        <v>5853572.152436099</v>
      </c>
      <c r="AY77" s="77">
        <f t="shared" ca="1" si="152"/>
        <v>36.009984591483025</v>
      </c>
      <c r="AZ77" s="77">
        <f t="shared" ca="1" si="153"/>
        <v>83.997204354023964</v>
      </c>
      <c r="BA77" s="77">
        <f t="shared" ca="1" si="154"/>
        <v>0</v>
      </c>
      <c r="BB77" s="77">
        <f t="shared" ca="1" si="155"/>
        <v>145.19095658209596</v>
      </c>
      <c r="BC77" s="54">
        <f t="shared" ca="1" si="156"/>
        <v>1.4665753190110709</v>
      </c>
      <c r="BD77" s="53">
        <f ca="1">OFFSET('National statistics'!$A$6,MATCH(R0_estimation!$A77,'National statistics'!$A$7:$A$5000,0),MATCH(R0_estimation!BD$16 &amp; "_Running14daysNew",'National statistics'!$B$1:$HA$1,0))</f>
        <v>40</v>
      </c>
      <c r="BE77" s="97">
        <f t="shared" ca="1" si="157"/>
        <v>1.4435626881707697</v>
      </c>
      <c r="BF77" s="98">
        <f t="shared" ca="1" si="190"/>
        <v>0.72178134408538486</v>
      </c>
      <c r="BG77" s="77">
        <f t="shared" ca="1" si="158"/>
        <v>4809054.6337894741</v>
      </c>
      <c r="BH77" s="77">
        <f t="shared" ca="1" si="159"/>
        <v>14.768306337525438</v>
      </c>
      <c r="BI77" s="77">
        <f t="shared" ca="1" si="160"/>
        <v>39.101175949258341</v>
      </c>
      <c r="BJ77" s="77">
        <f t="shared" ca="1" si="161"/>
        <v>0</v>
      </c>
      <c r="BK77" s="77">
        <f t="shared" ca="1" si="162"/>
        <v>88.241797313754788</v>
      </c>
      <c r="BL77" s="54">
        <f t="shared" ca="1" si="163"/>
        <v>0.89133128599752343</v>
      </c>
      <c r="BM77" s="53">
        <f ca="1">OFFSET('National statistics'!$A$6,MATCH(R0_estimation!$A77,'National statistics'!$A$7:$A$5000,0),MATCH(R0_estimation!BM$16 &amp; "_Running14daysNew",'National statistics'!$B$1:$HA$1,0))</f>
        <v>64</v>
      </c>
      <c r="BN77" s="97">
        <f t="shared" ca="1" si="164"/>
        <v>1.9865205416387972</v>
      </c>
      <c r="BO77" s="98">
        <f t="shared" ca="1" si="191"/>
        <v>0.99326027081939861</v>
      </c>
      <c r="BP77" s="77">
        <f t="shared" ca="1" si="165"/>
        <v>4107426.066488802</v>
      </c>
      <c r="BQ77" s="77">
        <f t="shared" ca="1" si="166"/>
        <v>34.570840884135933</v>
      </c>
      <c r="BR77" s="77">
        <f t="shared" ca="1" si="167"/>
        <v>72.538612657497822</v>
      </c>
      <c r="BS77" s="77">
        <f t="shared" ca="1" si="168"/>
        <v>0</v>
      </c>
      <c r="BT77" s="77">
        <f t="shared" ca="1" si="169"/>
        <v>100.97387951956448</v>
      </c>
      <c r="BU77" s="54">
        <f t="shared" ca="1" si="170"/>
        <v>1.019938176965298</v>
      </c>
      <c r="BV77" s="53">
        <f ca="1">OFFSET('National statistics'!$A$6,MATCH(R0_estimation!$A77,'National statistics'!$A$7:$A$5000,0),MATCH(R0_estimation!BV$16 &amp; "_Running14daysNew",'National statistics'!$B$1:$HA$1,0))</f>
        <v>15</v>
      </c>
      <c r="BW77" s="97">
        <f t="shared" ca="1" si="171"/>
        <v>1.3799241468388452</v>
      </c>
      <c r="BX77" s="98">
        <f t="shared" ca="1" si="192"/>
        <v>0.68996207341942262</v>
      </c>
      <c r="BY77" s="77">
        <f t="shared" ca="1" si="172"/>
        <v>1322166.6849471994</v>
      </c>
      <c r="BZ77" s="77">
        <f t="shared" ca="1" si="173"/>
        <v>6.4460573795930198</v>
      </c>
      <c r="CA77" s="77">
        <f t="shared" ca="1" si="174"/>
        <v>17.65018200164652</v>
      </c>
      <c r="CB77" s="77">
        <f t="shared" ca="1" si="175"/>
        <v>0</v>
      </c>
      <c r="CC77" s="77">
        <f t="shared" ca="1" si="176"/>
        <v>42.884706938875347</v>
      </c>
      <c r="CD77" s="54">
        <f t="shared" ca="1" si="177"/>
        <v>0.43317885796843814</v>
      </c>
      <c r="CE77" s="53">
        <f ca="1">OFFSET('National statistics'!$A$6,MATCH(R0_estimation!$A77,'National statistics'!$A$7:$A$5000,0),MATCH(R0_estimation!CE$16 &amp; "_Running14daysNew",'National statistics'!$B$1:$HA$1,0))</f>
        <v>9724</v>
      </c>
      <c r="CF77" s="97">
        <f t="shared" ca="1" si="178"/>
        <v>2.4331242245373454</v>
      </c>
      <c r="CG77" s="98">
        <f t="shared" ca="1" si="193"/>
        <v>1.2165621122686727</v>
      </c>
      <c r="CH77" s="77">
        <f t="shared" ca="1" si="179"/>
        <v>7279749.14729774</v>
      </c>
      <c r="CI77" s="77">
        <f t="shared" ca="1" si="180"/>
        <v>5288.0617643769656</v>
      </c>
      <c r="CJ77" s="77">
        <f t="shared" ca="1" si="181"/>
        <v>9636.2905025570617</v>
      </c>
      <c r="CK77" s="77">
        <f t="shared" ca="1" si="182"/>
        <v>0</v>
      </c>
      <c r="CL77" s="77">
        <f t="shared" ca="1" si="183"/>
        <v>10107.310668470433</v>
      </c>
      <c r="CM77" s="54">
        <f t="shared" ca="1" si="184"/>
        <v>102.09404715626698</v>
      </c>
      <c r="CO77" s="209"/>
      <c r="CP77" s="210"/>
    </row>
    <row r="78" spans="1:94">
      <c r="A78" s="83">
        <v>43978</v>
      </c>
      <c r="B78" s="53">
        <f ca="1">OFFSET('National statistics'!$A$6,MATCH(R0_estimation!$A78,'National statistics'!$A$7:$A$5000,0),MATCH(R0_estimation!B$16 &amp; "_Running14daysNew",'National statistics'!$B$1:$HA$1,0))</f>
        <v>13953</v>
      </c>
      <c r="C78" s="97">
        <f t="shared" ca="1" si="115"/>
        <v>2.1996789936101133</v>
      </c>
      <c r="D78" s="98">
        <f t="shared" ref="D78:D141" si="194">D77</f>
        <v>1</v>
      </c>
      <c r="E78" s="77">
        <f t="shared" ca="1" si="116"/>
        <v>59676480.96249336</v>
      </c>
      <c r="F78" s="77">
        <f t="shared" ca="1" si="117"/>
        <v>6489.8404936280358</v>
      </c>
      <c r="G78" s="77">
        <f t="shared" ca="1" si="118"/>
        <v>13952.999998610274</v>
      </c>
      <c r="H78" s="77">
        <f t="shared" ca="1" si="119"/>
        <v>0</v>
      </c>
      <c r="I78" s="77">
        <f t="shared" ca="1" si="120"/>
        <v>20397.672859388058</v>
      </c>
      <c r="J78" s="54">
        <f t="shared" ca="1" si="121"/>
        <v>206.03709958977839</v>
      </c>
      <c r="K78" s="53">
        <f ca="1">OFFSET('National statistics'!$A$6,MATCH(R0_estimation!$A78,'National statistics'!$A$7:$A$5000,0),MATCH(R0_estimation!K$16 &amp; "_Running14daysNew",'National statistics'!$B$1:$HA$1,0))</f>
        <v>1513</v>
      </c>
      <c r="L78" s="97">
        <f t="shared" ca="1" si="122"/>
        <v>2.6122077663065371</v>
      </c>
      <c r="M78" s="98">
        <f t="shared" ca="1" si="185"/>
        <v>1.3891436550517304</v>
      </c>
      <c r="N78" s="77">
        <f t="shared" ca="1" si="123"/>
        <v>6866991.9028313709</v>
      </c>
      <c r="O78" s="77">
        <f t="shared" ca="1" si="124"/>
        <v>911.63347821535535</v>
      </c>
      <c r="P78" s="77">
        <f t="shared" ca="1" si="125"/>
        <v>1513.0000006341777</v>
      </c>
      <c r="Q78" s="77">
        <f t="shared" ca="1" si="126"/>
        <v>0</v>
      </c>
      <c r="R78" s="77">
        <f t="shared" ca="1" si="127"/>
        <v>1334.1706096229843</v>
      </c>
      <c r="S78" s="54">
        <f t="shared" ca="1" si="128"/>
        <v>13.476470804272571</v>
      </c>
      <c r="T78" s="53">
        <f ca="1">OFFSET('National statistics'!$A$6,MATCH(R0_estimation!$A78,'National statistics'!$A$7:$A$5000,0),MATCH(R0_estimation!T$16 &amp; "_Running14daysNew",'National statistics'!$B$1:$HA$1,0))</f>
        <v>83</v>
      </c>
      <c r="U78" s="97">
        <f t="shared" ca="1" si="129"/>
        <v>2.5131690644603863</v>
      </c>
      <c r="V78" s="98">
        <f t="shared" ca="1" si="186"/>
        <v>0.50313552847557719</v>
      </c>
      <c r="W78" s="77">
        <f t="shared" ca="1" si="130"/>
        <v>2808555.4122850318</v>
      </c>
      <c r="X78" s="77">
        <f t="shared" ca="1" si="131"/>
        <v>23.826982092457605</v>
      </c>
      <c r="Y78" s="77">
        <f t="shared" ca="1" si="132"/>
        <v>83.00001086424048</v>
      </c>
      <c r="Z78" s="77">
        <f t="shared" ca="1" si="133"/>
        <v>0</v>
      </c>
      <c r="AA78" s="77">
        <f t="shared" ca="1" si="134"/>
        <v>343.42116892168144</v>
      </c>
      <c r="AB78" s="54">
        <f t="shared" ca="1" si="135"/>
        <v>3.4689006961785998</v>
      </c>
      <c r="AC78" s="53">
        <f ca="1">OFFSET('National statistics'!$A$6,MATCH(R0_estimation!$A78,'National statistics'!$A$7:$A$5000,0),MATCH(R0_estimation!AC$16 &amp; "_Running14daysNew",'National statistics'!$B$1:$HA$1,0))</f>
        <v>1093</v>
      </c>
      <c r="AD78" s="97">
        <f t="shared" ca="1" si="136"/>
        <v>3.800414836322612</v>
      </c>
      <c r="AE78" s="98">
        <f t="shared" ca="1" si="187"/>
        <v>0.57565754152920057</v>
      </c>
      <c r="AF78" s="77">
        <f t="shared" ca="1" si="137"/>
        <v>15634365.423592437</v>
      </c>
      <c r="AG78" s="77">
        <f t="shared" ca="1" si="138"/>
        <v>348.04323790233963</v>
      </c>
      <c r="AH78" s="77">
        <f t="shared" ca="1" si="139"/>
        <v>1093.00000162168</v>
      </c>
      <c r="AI78" s="77">
        <f t="shared" ca="1" si="140"/>
        <v>0</v>
      </c>
      <c r="AJ78" s="77">
        <f t="shared" ca="1" si="141"/>
        <v>3593.4076698948597</v>
      </c>
      <c r="AK78" s="54">
        <f t="shared" ca="1" si="142"/>
        <v>36.297047170655134</v>
      </c>
      <c r="AL78" s="53">
        <f ca="1">OFFSET('National statistics'!$A$6,MATCH(R0_estimation!$A78,'National statistics'!$A$7:$A$5000,0),MATCH(R0_estimation!AL$16 &amp; "_Running14daysNew",'National statistics'!$B$1:$HA$1,0))</f>
        <v>773</v>
      </c>
      <c r="AM78" s="97">
        <f t="shared" ca="1" si="143"/>
        <v>1.6016155185401029</v>
      </c>
      <c r="AN78" s="98">
        <f t="shared" ca="1" si="188"/>
        <v>0.74495013848278369</v>
      </c>
      <c r="AO78" s="77">
        <f t="shared" ca="1" si="144"/>
        <v>10997772.014699072</v>
      </c>
      <c r="AP78" s="77">
        <f t="shared" ca="1" si="145"/>
        <v>298.83425192384249</v>
      </c>
      <c r="AQ78" s="77">
        <f t="shared" ca="1" si="146"/>
        <v>773.00000043219734</v>
      </c>
      <c r="AR78" s="77">
        <f t="shared" ca="1" si="147"/>
        <v>0</v>
      </c>
      <c r="AS78" s="77">
        <f t="shared" ca="1" si="148"/>
        <v>1668.6975054592183</v>
      </c>
      <c r="AT78" s="54">
        <f t="shared" ca="1" si="149"/>
        <v>16.855530358173926</v>
      </c>
      <c r="AU78" s="53">
        <f ca="1">OFFSET('National statistics'!$A$6,MATCH(R0_estimation!$A78,'National statistics'!$A$7:$A$5000,0),MATCH(R0_estimation!AU$16 &amp; "_Running14daysNew",'National statistics'!$B$1:$HA$1,0))</f>
        <v>87</v>
      </c>
      <c r="AV78" s="97">
        <f t="shared" ca="1" si="150"/>
        <v>1.3230125268909632</v>
      </c>
      <c r="AW78" s="98">
        <f t="shared" ca="1" si="189"/>
        <v>0.85754424097138826</v>
      </c>
      <c r="AX78" s="77">
        <f t="shared" ca="1" si="151"/>
        <v>5853561.8627138715</v>
      </c>
      <c r="AY78" s="77">
        <f t="shared" ca="1" si="152"/>
        <v>37.297210671482752</v>
      </c>
      <c r="AZ78" s="77">
        <f t="shared" ca="1" si="153"/>
        <v>86.999900190893015</v>
      </c>
      <c r="BA78" s="77">
        <f t="shared" ca="1" si="154"/>
        <v>0</v>
      </c>
      <c r="BB78" s="77">
        <f t="shared" ca="1" si="155"/>
        <v>151.13075888998765</v>
      </c>
      <c r="BC78" s="54">
        <f t="shared" ca="1" si="156"/>
        <v>1.526573322121088</v>
      </c>
      <c r="BD78" s="53">
        <f ca="1">OFFSET('National statistics'!$A$6,MATCH(R0_estimation!$A78,'National statistics'!$A$7:$A$5000,0),MATCH(R0_estimation!BD$16 &amp; "_Running14daysNew",'National statistics'!$B$1:$HA$1,0))</f>
        <v>40</v>
      </c>
      <c r="BE78" s="97">
        <f t="shared" ca="1" si="157"/>
        <v>2.7378826770959304</v>
      </c>
      <c r="BF78" s="98">
        <f t="shared" ca="1" si="190"/>
        <v>0.72178134408538486</v>
      </c>
      <c r="BG78" s="77">
        <f t="shared" ca="1" si="158"/>
        <v>4809050.6021229941</v>
      </c>
      <c r="BH78" s="77">
        <f t="shared" ca="1" si="159"/>
        <v>15.107896233138527</v>
      </c>
      <c r="BI78" s="77">
        <f t="shared" ca="1" si="160"/>
        <v>40.000311394406964</v>
      </c>
      <c r="BJ78" s="77">
        <f t="shared" ca="1" si="161"/>
        <v>0</v>
      </c>
      <c r="BK78" s="77">
        <f t="shared" ca="1" si="162"/>
        <v>91.006809041595204</v>
      </c>
      <c r="BL78" s="54">
        <f t="shared" ca="1" si="163"/>
        <v>0.91926069738985083</v>
      </c>
      <c r="BM78" s="53">
        <f ca="1">OFFSET('National statistics'!$A$6,MATCH(R0_estimation!$A78,'National statistics'!$A$7:$A$5000,0),MATCH(R0_estimation!BM$16 &amp; "_Running14daysNew",'National statistics'!$B$1:$HA$1,0))</f>
        <v>76</v>
      </c>
      <c r="BN78" s="97">
        <f t="shared" ca="1" si="164"/>
        <v>5.497453992143007</v>
      </c>
      <c r="BO78" s="98">
        <f t="shared" ca="1" si="191"/>
        <v>0.99326027081939861</v>
      </c>
      <c r="BP78" s="77">
        <f t="shared" ca="1" si="165"/>
        <v>4107415.7741927765</v>
      </c>
      <c r="BQ78" s="77">
        <f t="shared" ca="1" si="166"/>
        <v>36.220426688707406</v>
      </c>
      <c r="BR78" s="77">
        <f t="shared" ca="1" si="167"/>
        <v>75.999993402996239</v>
      </c>
      <c r="BS78" s="77">
        <f t="shared" ca="1" si="168"/>
        <v>0</v>
      </c>
      <c r="BT78" s="77">
        <f t="shared" ca="1" si="169"/>
        <v>106.10339570034468</v>
      </c>
      <c r="BU78" s="54">
        <f t="shared" ca="1" si="170"/>
        <v>1.0717514717206535</v>
      </c>
      <c r="BV78" s="53">
        <f ca="1">OFFSET('National statistics'!$A$6,MATCH(R0_estimation!$A78,'National statistics'!$A$7:$A$5000,0),MATCH(R0_estimation!BV$16 &amp; "_Running14daysNew",'National statistics'!$B$1:$HA$1,0))</f>
        <v>18</v>
      </c>
      <c r="BW78" s="97">
        <f t="shared" ca="1" si="171"/>
        <v>4.1476075519699354</v>
      </c>
      <c r="BX78" s="98">
        <f t="shared" ca="1" si="192"/>
        <v>0.68996207341942262</v>
      </c>
      <c r="BY78" s="77">
        <f t="shared" ca="1" si="172"/>
        <v>1322164.9453273043</v>
      </c>
      <c r="BZ78" s="77">
        <f t="shared" ca="1" si="173"/>
        <v>6.5741629298725073</v>
      </c>
      <c r="CA78" s="77">
        <f t="shared" ca="1" si="174"/>
        <v>18.00096906071288</v>
      </c>
      <c r="CB78" s="77">
        <f t="shared" ca="1" si="175"/>
        <v>0</v>
      </c>
      <c r="CC78" s="77">
        <f t="shared" ca="1" si="176"/>
        <v>44.132826951848919</v>
      </c>
      <c r="CD78" s="54">
        <f t="shared" ca="1" si="177"/>
        <v>0.44578613082675705</v>
      </c>
      <c r="CE78" s="53">
        <f ca="1">OFFSET('National statistics'!$A$6,MATCH(R0_estimation!$A78,'National statistics'!$A$7:$A$5000,0),MATCH(R0_estimation!CE$16 &amp; "_Running14daysNew",'National statistics'!$B$1:$HA$1,0))</f>
        <v>10270</v>
      </c>
      <c r="CF78" s="97">
        <f t="shared" ca="1" si="178"/>
        <v>1.8309915393973175</v>
      </c>
      <c r="CG78" s="98">
        <f t="shared" ca="1" si="193"/>
        <v>1.2165621122686727</v>
      </c>
      <c r="CH78" s="77">
        <f t="shared" ca="1" si="179"/>
        <v>7278080.1510649659</v>
      </c>
      <c r="CI78" s="77">
        <f t="shared" ca="1" si="180"/>
        <v>5635.0425560569811</v>
      </c>
      <c r="CJ78" s="77">
        <f t="shared" ca="1" si="181"/>
        <v>10269.999479182941</v>
      </c>
      <c r="CK78" s="77">
        <f t="shared" ca="1" si="182"/>
        <v>0</v>
      </c>
      <c r="CL78" s="77">
        <f t="shared" ca="1" si="183"/>
        <v>10788.73406829411</v>
      </c>
      <c r="CM78" s="54">
        <f t="shared" ca="1" si="184"/>
        <v>108.9771118009506</v>
      </c>
      <c r="CO78" s="209"/>
      <c r="CP78" s="210"/>
    </row>
    <row r="79" spans="1:94">
      <c r="A79" s="83">
        <v>43979</v>
      </c>
      <c r="B79" s="53">
        <f ca="1">OFFSET('National statistics'!$A$6,MATCH(R0_estimation!$A79,'National statistics'!$A$7:$A$5000,0),MATCH(R0_estimation!B$16 &amp; "_Running14daysNew",'National statistics'!$B$1:$HA$1,0))</f>
        <v>14664</v>
      </c>
      <c r="C79" s="97">
        <f t="shared" ca="1" si="115"/>
        <v>2.1996789936101133</v>
      </c>
      <c r="D79" s="98">
        <f t="shared" si="194"/>
        <v>1</v>
      </c>
      <c r="E79" s="77">
        <f t="shared" ca="1" si="116"/>
        <v>59674290.16744072</v>
      </c>
      <c r="F79" s="77">
        <f t="shared" ca="1" si="117"/>
        <v>7058.1754228575792</v>
      </c>
      <c r="G79" s="77">
        <f t="shared" ca="1" si="118"/>
        <v>14578.817264973692</v>
      </c>
      <c r="H79" s="77">
        <f t="shared" ca="1" si="119"/>
        <v>0</v>
      </c>
      <c r="I79" s="77">
        <f t="shared" ca="1" si="120"/>
        <v>21384.349287861212</v>
      </c>
      <c r="J79" s="54">
        <f t="shared" ca="1" si="121"/>
        <v>216.0035281602143</v>
      </c>
      <c r="K79" s="53">
        <f ca="1">OFFSET('National statistics'!$A$6,MATCH(R0_estimation!$A79,'National statistics'!$A$7:$A$5000,0),MATCH(R0_estimation!K$16 &amp; "_Running14daysNew",'National statistics'!$B$1:$HA$1,0))</f>
        <v>1737</v>
      </c>
      <c r="L79" s="97">
        <f t="shared" ca="1" si="122"/>
        <v>2.6122077663065371</v>
      </c>
      <c r="M79" s="98">
        <f t="shared" ca="1" si="185"/>
        <v>1.3891436550517304</v>
      </c>
      <c r="N79" s="77">
        <f t="shared" ca="1" si="123"/>
        <v>6866709.7522477573</v>
      </c>
      <c r="O79" s="77">
        <f t="shared" ca="1" si="124"/>
        <v>965.8756922754178</v>
      </c>
      <c r="P79" s="77">
        <f t="shared" ca="1" si="125"/>
        <v>1632.8369415712896</v>
      </c>
      <c r="Q79" s="77">
        <f t="shared" ca="1" si="126"/>
        <v>0</v>
      </c>
      <c r="R79" s="77">
        <f t="shared" ca="1" si="127"/>
        <v>1441.1613239535441</v>
      </c>
      <c r="S79" s="54">
        <f t="shared" ca="1" si="128"/>
        <v>14.557185090439841</v>
      </c>
      <c r="T79" s="53">
        <f ca="1">OFFSET('National statistics'!$A$6,MATCH(R0_estimation!$A79,'National statistics'!$A$7:$A$5000,0),MATCH(R0_estimation!T$16 &amp; "_Running14daysNew",'National statistics'!$B$1:$HA$1,0))</f>
        <v>80</v>
      </c>
      <c r="U79" s="97">
        <f t="shared" ca="1" si="129"/>
        <v>2.5131690644603863</v>
      </c>
      <c r="V79" s="98">
        <f t="shared" ca="1" si="186"/>
        <v>0.50313552847557719</v>
      </c>
      <c r="W79" s="77">
        <f t="shared" ca="1" si="130"/>
        <v>2808540.5151689732</v>
      </c>
      <c r="X79" s="77">
        <f t="shared" ca="1" si="131"/>
        <v>32.767352627811647</v>
      </c>
      <c r="Y79" s="77">
        <f t="shared" ca="1" si="132"/>
        <v>83.028184182766282</v>
      </c>
      <c r="Z79" s="77">
        <f t="shared" ca="1" si="133"/>
        <v>0</v>
      </c>
      <c r="AA79" s="77">
        <f t="shared" ca="1" si="134"/>
        <v>349.29045540422419</v>
      </c>
      <c r="AB79" s="54">
        <f t="shared" ca="1" si="135"/>
        <v>3.528186418224486</v>
      </c>
      <c r="AC79" s="53">
        <f ca="1">OFFSET('National statistics'!$A$6,MATCH(R0_estimation!$A79,'National statistics'!$A$7:$A$5000,0),MATCH(R0_estimation!AC$16 &amp; "_Running14daysNew",'National statistics'!$B$1:$HA$1,0))</f>
        <v>1194</v>
      </c>
      <c r="AD79" s="97">
        <f t="shared" ca="1" si="136"/>
        <v>3.800414836322612</v>
      </c>
      <c r="AE79" s="98">
        <f t="shared" ca="1" si="187"/>
        <v>0.57565754152920057</v>
      </c>
      <c r="AF79" s="77">
        <f t="shared" ca="1" si="137"/>
        <v>15634068.81528795</v>
      </c>
      <c r="AG79" s="77">
        <f t="shared" ca="1" si="138"/>
        <v>557.64073291433715</v>
      </c>
      <c r="AH79" s="77">
        <f t="shared" ca="1" si="139"/>
        <v>1101.9393824100021</v>
      </c>
      <c r="AI79" s="77">
        <f t="shared" ca="1" si="140"/>
        <v>0</v>
      </c>
      <c r="AJ79" s="77">
        <f t="shared" ca="1" si="141"/>
        <v>3670.69838429525</v>
      </c>
      <c r="AK79" s="54">
        <f t="shared" ca="1" si="142"/>
        <v>37.077761457527764</v>
      </c>
      <c r="AL79" s="53">
        <f ca="1">OFFSET('National statistics'!$A$6,MATCH(R0_estimation!$A79,'National statistics'!$A$7:$A$5000,0),MATCH(R0_estimation!AL$16 &amp; "_Running14daysNew",'National statistics'!$B$1:$HA$1,0))</f>
        <v>905</v>
      </c>
      <c r="AM79" s="97">
        <f t="shared" ca="1" si="143"/>
        <v>1.6016155185401029</v>
      </c>
      <c r="AN79" s="98">
        <f t="shared" ca="1" si="188"/>
        <v>0.74495013848278369</v>
      </c>
      <c r="AO79" s="77">
        <f t="shared" ca="1" si="144"/>
        <v>10997683.604673047</v>
      </c>
      <c r="AP79" s="77">
        <f t="shared" ca="1" si="145"/>
        <v>312.53571496757064</v>
      </c>
      <c r="AQ79" s="77">
        <f t="shared" ca="1" si="146"/>
        <v>792.49427766800102</v>
      </c>
      <c r="AR79" s="77">
        <f t="shared" ca="1" si="147"/>
        <v>0</v>
      </c>
      <c r="AS79" s="77">
        <f t="shared" ca="1" si="148"/>
        <v>1723.3596483469237</v>
      </c>
      <c r="AT79" s="54">
        <f t="shared" ca="1" si="149"/>
        <v>17.407673215625497</v>
      </c>
      <c r="AU79" s="53">
        <f ca="1">OFFSET('National statistics'!$A$6,MATCH(R0_estimation!$A79,'National statistics'!$A$7:$A$5000,0),MATCH(R0_estimation!AU$16 &amp; "_Running14daysNew",'National statistics'!$B$1:$HA$1,0))</f>
        <v>89</v>
      </c>
      <c r="AV79" s="97">
        <f t="shared" ca="1" si="150"/>
        <v>1.3230125268909632</v>
      </c>
      <c r="AW79" s="98">
        <f t="shared" ca="1" si="189"/>
        <v>0.85754424097138826</v>
      </c>
      <c r="AX79" s="77">
        <f t="shared" ca="1" si="151"/>
        <v>5853553.6415322898</v>
      </c>
      <c r="AY79" s="77">
        <f t="shared" ca="1" si="152"/>
        <v>36.194089585670923</v>
      </c>
      <c r="AZ79" s="77">
        <f t="shared" ca="1" si="153"/>
        <v>90.109924273699917</v>
      </c>
      <c r="BA79" s="77">
        <f t="shared" ca="1" si="154"/>
        <v>0</v>
      </c>
      <c r="BB79" s="77">
        <f t="shared" ca="1" si="155"/>
        <v>157.28289468920079</v>
      </c>
      <c r="BC79" s="54">
        <f t="shared" ca="1" si="156"/>
        <v>1.5887161079717258</v>
      </c>
      <c r="BD79" s="53">
        <f ca="1">OFFSET('National statistics'!$A$6,MATCH(R0_estimation!$A79,'National statistics'!$A$7:$A$5000,0),MATCH(R0_estimation!BD$16 &amp; "_Running14daysNew",'National statistics'!$B$1:$HA$1,0))</f>
        <v>44</v>
      </c>
      <c r="BE79" s="97">
        <f t="shared" ca="1" si="157"/>
        <v>2.7378826770959304</v>
      </c>
      <c r="BF79" s="98">
        <f t="shared" ca="1" si="190"/>
        <v>0.72178134408538486</v>
      </c>
      <c r="BG79" s="77">
        <f t="shared" ca="1" si="158"/>
        <v>4809042.7797778314</v>
      </c>
      <c r="BH79" s="77">
        <f t="shared" ca="1" si="159"/>
        <v>19.153267337685126</v>
      </c>
      <c r="BI79" s="77">
        <f t="shared" ca="1" si="160"/>
        <v>40.920120353091093</v>
      </c>
      <c r="BJ79" s="77">
        <f t="shared" ca="1" si="161"/>
        <v>0</v>
      </c>
      <c r="BK79" s="77">
        <f t="shared" ca="1" si="162"/>
        <v>93.835402490199698</v>
      </c>
      <c r="BL79" s="54">
        <f t="shared" ca="1" si="163"/>
        <v>0.94783234838585584</v>
      </c>
      <c r="BM79" s="53">
        <f ca="1">OFFSET('National statistics'!$A$6,MATCH(R0_estimation!$A79,'National statistics'!$A$7:$A$5000,0),MATCH(R0_estimation!BM$16 &amp; "_Running14daysNew",'National statistics'!$B$1:$HA$1,0))</f>
        <v>76</v>
      </c>
      <c r="BN79" s="97">
        <f t="shared" ca="1" si="164"/>
        <v>5.497453992143007</v>
      </c>
      <c r="BO79" s="98">
        <f t="shared" ca="1" si="191"/>
        <v>0.99326027081939861</v>
      </c>
      <c r="BP79" s="77">
        <f t="shared" ca="1" si="165"/>
        <v>4107385.9324598899</v>
      </c>
      <c r="BQ79" s="77">
        <f t="shared" ca="1" si="166"/>
        <v>57.007052903017311</v>
      </c>
      <c r="BR79" s="77">
        <f t="shared" ca="1" si="167"/>
        <v>79.626529117816219</v>
      </c>
      <c r="BS79" s="77">
        <f t="shared" ca="1" si="168"/>
        <v>0</v>
      </c>
      <c r="BT79" s="77">
        <f t="shared" ca="1" si="169"/>
        <v>111.47768094812798</v>
      </c>
      <c r="BU79" s="54">
        <f t="shared" ca="1" si="170"/>
        <v>1.1260371812942223</v>
      </c>
      <c r="BV79" s="53">
        <f ca="1">OFFSET('National statistics'!$A$6,MATCH(R0_estimation!$A79,'National statistics'!$A$7:$A$5000,0),MATCH(R0_estimation!BV$16 &amp; "_Running14daysNew",'National statistics'!$B$1:$HA$1,0))</f>
        <v>20</v>
      </c>
      <c r="BW79" s="97">
        <f t="shared" ca="1" si="171"/>
        <v>4.1476075519699354</v>
      </c>
      <c r="BX79" s="98">
        <f t="shared" ca="1" si="192"/>
        <v>0.68996207341942262</v>
      </c>
      <c r="BY79" s="77">
        <f t="shared" ca="1" si="172"/>
        <v>1322159.6126790494</v>
      </c>
      <c r="BZ79" s="77">
        <f t="shared" ca="1" si="173"/>
        <v>10.263270452437419</v>
      </c>
      <c r="CA79" s="77">
        <f t="shared" ca="1" si="174"/>
        <v>18.358726288844373</v>
      </c>
      <c r="CB79" s="77">
        <f t="shared" ca="1" si="175"/>
        <v>0</v>
      </c>
      <c r="CC79" s="77">
        <f t="shared" ca="1" si="176"/>
        <v>45.405752621142184</v>
      </c>
      <c r="CD79" s="54">
        <f t="shared" ca="1" si="177"/>
        <v>0.4586439658701234</v>
      </c>
      <c r="CE79" s="53">
        <f ca="1">OFFSET('National statistics'!$A$6,MATCH(R0_estimation!$A79,'National statistics'!$A$7:$A$5000,0),MATCH(R0_estimation!CE$16 &amp; "_Running14daysNew",'National statistics'!$B$1:$HA$1,0))</f>
        <v>10519</v>
      </c>
      <c r="CF79" s="97">
        <f t="shared" ca="1" si="178"/>
        <v>1.8309915393973175</v>
      </c>
      <c r="CG79" s="98">
        <f t="shared" ca="1" si="193"/>
        <v>1.2165621122686727</v>
      </c>
      <c r="CH79" s="77">
        <f t="shared" ca="1" si="179"/>
        <v>7276741.8963635182</v>
      </c>
      <c r="CI79" s="77">
        <f t="shared" ca="1" si="180"/>
        <v>5564.5366184900313</v>
      </c>
      <c r="CJ79" s="77">
        <f t="shared" ca="1" si="181"/>
        <v>10945.188726826977</v>
      </c>
      <c r="CK79" s="77">
        <f t="shared" ca="1" si="182"/>
        <v>0</v>
      </c>
      <c r="CL79" s="77">
        <f t="shared" ca="1" si="183"/>
        <v>11514.969745750619</v>
      </c>
      <c r="CM79" s="54">
        <f t="shared" ca="1" si="184"/>
        <v>116.31282571465269</v>
      </c>
      <c r="CO79" s="209"/>
      <c r="CP79" s="210"/>
    </row>
    <row r="80" spans="1:94">
      <c r="A80" s="83">
        <v>43980</v>
      </c>
      <c r="B80" s="53">
        <f ca="1">OFFSET('National statistics'!$A$6,MATCH(R0_estimation!$A80,'National statistics'!$A$7:$A$5000,0),MATCH(R0_estimation!B$16 &amp; "_Running14daysNew",'National statistics'!$B$1:$HA$1,0))</f>
        <v>15684</v>
      </c>
      <c r="C80" s="97">
        <f t="shared" ca="1" si="115"/>
        <v>2.1996789936101133</v>
      </c>
      <c r="D80" s="98">
        <f t="shared" si="194"/>
        <v>1</v>
      </c>
      <c r="E80" s="77">
        <f t="shared" ca="1" si="116"/>
        <v>59672001.194922656</v>
      </c>
      <c r="F80" s="77">
        <f t="shared" ca="1" si="117"/>
        <v>7582.6040852062088</v>
      </c>
      <c r="G80" s="77">
        <f t="shared" ca="1" si="118"/>
        <v>15302.017030332823</v>
      </c>
      <c r="H80" s="77">
        <f t="shared" ca="1" si="119"/>
        <v>0</v>
      </c>
      <c r="I80" s="77">
        <f t="shared" ca="1" si="120"/>
        <v>22415.279937312924</v>
      </c>
      <c r="J80" s="54">
        <f t="shared" ca="1" si="121"/>
        <v>226.41696906376694</v>
      </c>
      <c r="K80" s="53">
        <f ca="1">OFFSET('National statistics'!$A$6,MATCH(R0_estimation!$A80,'National statistics'!$A$7:$A$5000,0),MATCH(R0_estimation!K$16 &amp; "_Running14daysNew",'National statistics'!$B$1:$HA$1,0))</f>
        <v>1921</v>
      </c>
      <c r="L80" s="97">
        <f t="shared" ca="1" si="122"/>
        <v>2.6122077663065371</v>
      </c>
      <c r="M80" s="98">
        <f t="shared" ca="1" si="185"/>
        <v>1.3891436550517304</v>
      </c>
      <c r="N80" s="77">
        <f t="shared" ca="1" si="123"/>
        <v>6866405.2664322769</v>
      </c>
      <c r="O80" s="77">
        <f t="shared" ca="1" si="124"/>
        <v>1028.8925846867974</v>
      </c>
      <c r="P80" s="77">
        <f t="shared" ca="1" si="125"/>
        <v>1757.6746545279091</v>
      </c>
      <c r="Q80" s="77">
        <f t="shared" ca="1" si="126"/>
        <v>0</v>
      </c>
      <c r="R80" s="77">
        <f t="shared" ca="1" si="127"/>
        <v>1556.6262219646567</v>
      </c>
      <c r="S80" s="54">
        <f t="shared" ca="1" si="128"/>
        <v>15.72349719156219</v>
      </c>
      <c r="T80" s="53">
        <f ca="1">OFFSET('National statistics'!$A$6,MATCH(R0_estimation!$A80,'National statistics'!$A$7:$A$5000,0),MATCH(R0_estimation!T$16 &amp; "_Running14daysNew",'National statistics'!$B$1:$HA$1,0))</f>
        <v>80</v>
      </c>
      <c r="U80" s="97">
        <f t="shared" ca="1" si="129"/>
        <v>2.5131690644603863</v>
      </c>
      <c r="V80" s="98">
        <f t="shared" ca="1" si="186"/>
        <v>0.50313552847557719</v>
      </c>
      <c r="W80" s="77">
        <f t="shared" ca="1" si="130"/>
        <v>2808525.613075004</v>
      </c>
      <c r="X80" s="77">
        <f t="shared" ca="1" si="131"/>
        <v>39.477608440116981</v>
      </c>
      <c r="Y80" s="77">
        <f t="shared" ca="1" si="132"/>
        <v>85.289437755235895</v>
      </c>
      <c r="Z80" s="77">
        <f t="shared" ca="1" si="133"/>
        <v>0</v>
      </c>
      <c r="AA80" s="77">
        <f t="shared" ca="1" si="134"/>
        <v>355.16173414286266</v>
      </c>
      <c r="AB80" s="54">
        <f t="shared" ca="1" si="135"/>
        <v>3.587492264069319</v>
      </c>
      <c r="AC80" s="53">
        <f ca="1">OFFSET('National statistics'!$A$6,MATCH(R0_estimation!$A80,'National statistics'!$A$7:$A$5000,0),MATCH(R0_estimation!AC$16 &amp; "_Running14daysNew",'National statistics'!$B$1:$HA$1,0))</f>
        <v>1373</v>
      </c>
      <c r="AD80" s="97">
        <f t="shared" ca="1" si="136"/>
        <v>3.800414836322612</v>
      </c>
      <c r="AE80" s="98">
        <f t="shared" ca="1" si="187"/>
        <v>0.57565754152920057</v>
      </c>
      <c r="AF80" s="77">
        <f t="shared" ca="1" si="137"/>
        <v>15633769.786754603</v>
      </c>
      <c r="AG80" s="77">
        <f t="shared" ca="1" si="138"/>
        <v>717.25908303231563</v>
      </c>
      <c r="AH80" s="77">
        <f t="shared" ca="1" si="139"/>
        <v>1162.6396097521574</v>
      </c>
      <c r="AI80" s="77">
        <f t="shared" ca="1" si="140"/>
        <v>0</v>
      </c>
      <c r="AJ80" s="77">
        <f t="shared" ca="1" si="141"/>
        <v>3748.6212406228142</v>
      </c>
      <c r="AK80" s="54">
        <f t="shared" ca="1" si="142"/>
        <v>37.864861016392048</v>
      </c>
      <c r="AL80" s="53">
        <f ca="1">OFFSET('National statistics'!$A$6,MATCH(R0_estimation!$A80,'National statistics'!$A$7:$A$5000,0),MATCH(R0_estimation!AL$16 &amp; "_Running14daysNew",'National statistics'!$B$1:$HA$1,0))</f>
        <v>946</v>
      </c>
      <c r="AM80" s="97">
        <f t="shared" ca="1" si="143"/>
        <v>1.6016155185401029</v>
      </c>
      <c r="AN80" s="98">
        <f t="shared" ca="1" si="188"/>
        <v>0.74495013848278369</v>
      </c>
      <c r="AO80" s="77">
        <f t="shared" ca="1" si="144"/>
        <v>10997592.965759788</v>
      </c>
      <c r="AP80" s="77">
        <f t="shared" ca="1" si="145"/>
        <v>325.04069948478866</v>
      </c>
      <c r="AQ80" s="77">
        <f t="shared" ca="1" si="146"/>
        <v>814.02147229075069</v>
      </c>
      <c r="AR80" s="77">
        <f t="shared" ca="1" si="147"/>
        <v>0</v>
      </c>
      <c r="AS80" s="77">
        <f t="shared" ca="1" si="148"/>
        <v>1779.4003151248751</v>
      </c>
      <c r="AT80" s="54">
        <f t="shared" ca="1" si="149"/>
        <v>17.973740556816928</v>
      </c>
      <c r="AU80" s="53">
        <f ca="1">OFFSET('National statistics'!$A$6,MATCH(R0_estimation!$A80,'National statistics'!$A$7:$A$5000,0),MATCH(R0_estimation!AU$16 &amp; "_Running14daysNew",'National statistics'!$B$1:$HA$1,0))</f>
        <v>113</v>
      </c>
      <c r="AV80" s="97">
        <f t="shared" ca="1" si="150"/>
        <v>1.3230125268909632</v>
      </c>
      <c r="AW80" s="98">
        <f t="shared" ca="1" si="189"/>
        <v>0.85754424097138826</v>
      </c>
      <c r="AX80" s="77">
        <f t="shared" ca="1" si="151"/>
        <v>5853545.1264763465</v>
      </c>
      <c r="AY80" s="77">
        <f t="shared" ca="1" si="152"/>
        <v>35.660623132871486</v>
      </c>
      <c r="AZ80" s="77">
        <f t="shared" ca="1" si="153"/>
        <v>92.722023507710517</v>
      </c>
      <c r="BA80" s="77">
        <f t="shared" ca="1" si="154"/>
        <v>0</v>
      </c>
      <c r="BB80" s="77">
        <f t="shared" ca="1" si="155"/>
        <v>163.65495361998384</v>
      </c>
      <c r="BC80" s="54">
        <f t="shared" ca="1" si="156"/>
        <v>1.6530803395957971</v>
      </c>
      <c r="BD80" s="53">
        <f ca="1">OFFSET('National statistics'!$A$6,MATCH(R0_estimation!$A80,'National statistics'!$A$7:$A$5000,0),MATCH(R0_estimation!BD$16 &amp; "_Running14daysNew",'National statistics'!$B$1:$HA$1,0))</f>
        <v>45</v>
      </c>
      <c r="BE80" s="97">
        <f t="shared" ca="1" si="157"/>
        <v>2.7378826770959304</v>
      </c>
      <c r="BF80" s="98">
        <f t="shared" ca="1" si="190"/>
        <v>0.72178134408538486</v>
      </c>
      <c r="BG80" s="77">
        <f t="shared" ca="1" si="158"/>
        <v>4809034.7775704591</v>
      </c>
      <c r="BH80" s="77">
        <f t="shared" ca="1" si="159"/>
        <v>22.367157875983203</v>
      </c>
      <c r="BI80" s="77">
        <f t="shared" ca="1" si="160"/>
        <v>42.785571448005868</v>
      </c>
      <c r="BJ80" s="77">
        <f t="shared" ca="1" si="161"/>
        <v>0</v>
      </c>
      <c r="BK80" s="77">
        <f t="shared" ca="1" si="162"/>
        <v>96.729039572311137</v>
      </c>
      <c r="BL80" s="54">
        <f t="shared" ca="1" si="163"/>
        <v>0.97706100578092092</v>
      </c>
      <c r="BM80" s="53">
        <f ca="1">OFFSET('National statistics'!$A$6,MATCH(R0_estimation!$A80,'National statistics'!$A$7:$A$5000,0),MATCH(R0_estimation!BM$16 &amp; "_Running14daysNew",'National statistics'!$B$1:$HA$1,0))</f>
        <v>80</v>
      </c>
      <c r="BN80" s="97">
        <f t="shared" ca="1" si="164"/>
        <v>5.497453992143007</v>
      </c>
      <c r="BO80" s="98">
        <f t="shared" ca="1" si="191"/>
        <v>0.99326027081939861</v>
      </c>
      <c r="BP80" s="77">
        <f t="shared" ca="1" si="165"/>
        <v>4107354.6669784891</v>
      </c>
      <c r="BQ80" s="77">
        <f t="shared" ca="1" si="166"/>
        <v>74.020771077811929</v>
      </c>
      <c r="BR80" s="77">
        <f t="shared" ca="1" si="167"/>
        <v>88.190683120869394</v>
      </c>
      <c r="BS80" s="77">
        <f t="shared" ca="1" si="168"/>
        <v>0</v>
      </c>
      <c r="BT80" s="77">
        <f t="shared" ca="1" si="169"/>
        <v>117.10841407860212</v>
      </c>
      <c r="BU80" s="54">
        <f t="shared" ca="1" si="170"/>
        <v>1.1829132735212338</v>
      </c>
      <c r="BV80" s="53">
        <f ca="1">OFFSET('National statistics'!$A$6,MATCH(R0_estimation!$A80,'National statistics'!$A$7:$A$5000,0),MATCH(R0_estimation!BV$16 &amp; "_Running14daysNew",'National statistics'!$B$1:$HA$1,0))</f>
        <v>18</v>
      </c>
      <c r="BW80" s="97">
        <f t="shared" ca="1" si="171"/>
        <v>4.1476075519699354</v>
      </c>
      <c r="BX80" s="98">
        <f t="shared" ca="1" si="192"/>
        <v>0.68996207341942262</v>
      </c>
      <c r="BY80" s="77">
        <f t="shared" ca="1" si="172"/>
        <v>1322154.1740698572</v>
      </c>
      <c r="BZ80" s="77">
        <f t="shared" ca="1" si="173"/>
        <v>13.136062031476522</v>
      </c>
      <c r="CA80" s="77">
        <f t="shared" ca="1" si="174"/>
        <v>19.613206309893418</v>
      </c>
      <c r="CB80" s="77">
        <f t="shared" ca="1" si="175"/>
        <v>0</v>
      </c>
      <c r="CC80" s="77">
        <f t="shared" ca="1" si="176"/>
        <v>46.703976837281893</v>
      </c>
      <c r="CD80" s="54">
        <f t="shared" ca="1" si="177"/>
        <v>0.47175734179072654</v>
      </c>
      <c r="CE80" s="53">
        <f ca="1">OFFSET('National statistics'!$A$6,MATCH(R0_estimation!$A80,'National statistics'!$A$7:$A$5000,0),MATCH(R0_estimation!CE$16 &amp; "_Running14daysNew",'National statistics'!$B$1:$HA$1,0))</f>
        <v>11108</v>
      </c>
      <c r="CF80" s="97">
        <f t="shared" ca="1" si="178"/>
        <v>1.8309915393973175</v>
      </c>
      <c r="CG80" s="98">
        <f t="shared" ca="1" si="193"/>
        <v>1.2165621122686727</v>
      </c>
      <c r="CH80" s="77">
        <f t="shared" ca="1" si="179"/>
        <v>7275315.9204700366</v>
      </c>
      <c r="CI80" s="77">
        <f t="shared" ca="1" si="180"/>
        <v>5599.3783573495248</v>
      </c>
      <c r="CJ80" s="77">
        <f t="shared" ca="1" si="181"/>
        <v>11554.52368667613</v>
      </c>
      <c r="CK80" s="77">
        <f t="shared" ca="1" si="182"/>
        <v>0</v>
      </c>
      <c r="CL80" s="77">
        <f t="shared" ca="1" si="183"/>
        <v>12288.950948576241</v>
      </c>
      <c r="CM80" s="54">
        <f t="shared" ca="1" si="184"/>
        <v>124.13081766238625</v>
      </c>
      <c r="CO80" s="209"/>
      <c r="CP80" s="210"/>
    </row>
    <row r="81" spans="1:94">
      <c r="A81" s="83">
        <v>43981</v>
      </c>
      <c r="B81" s="53">
        <f ca="1">OFFSET('National statistics'!$A$6,MATCH(R0_estimation!$A81,'National statistics'!$A$7:$A$5000,0),MATCH(R0_estimation!B$16 &amp; "_Running14daysNew",'National statistics'!$B$1:$HA$1,0))</f>
        <v>16579</v>
      </c>
      <c r="C81" s="97">
        <f t="shared" ca="1" si="115"/>
        <v>2.1996789936101133</v>
      </c>
      <c r="D81" s="98">
        <f t="shared" si="194"/>
        <v>1</v>
      </c>
      <c r="E81" s="77">
        <f t="shared" ca="1" si="116"/>
        <v>59669598.76690609</v>
      </c>
      <c r="F81" s="77">
        <f t="shared" ca="1" si="117"/>
        <v>8089.3810804682817</v>
      </c>
      <c r="G81" s="77">
        <f t="shared" ca="1" si="118"/>
        <v>16104.666835182032</v>
      </c>
      <c r="H81" s="77">
        <f t="shared" ca="1" si="119"/>
        <v>0</v>
      </c>
      <c r="I81" s="77">
        <f t="shared" ca="1" si="120"/>
        <v>23497.351141600746</v>
      </c>
      <c r="J81" s="54">
        <f t="shared" ca="1" si="121"/>
        <v>237.34698122829039</v>
      </c>
      <c r="K81" s="53">
        <f ca="1">OFFSET('National statistics'!$A$6,MATCH(R0_estimation!$A81,'National statistics'!$A$7:$A$5000,0),MATCH(R0_estimation!K$16 &amp; "_Running14daysNew",'National statistics'!$B$1:$HA$1,0))</f>
        <v>1947</v>
      </c>
      <c r="L81" s="97">
        <f t="shared" ca="1" si="122"/>
        <v>2.6122077663065371</v>
      </c>
      <c r="M81" s="98">
        <f t="shared" ca="1" si="185"/>
        <v>1.3891436550517304</v>
      </c>
      <c r="N81" s="77">
        <f t="shared" ca="1" si="123"/>
        <v>6866077.5157877877</v>
      </c>
      <c r="O81" s="77">
        <f t="shared" ca="1" si="124"/>
        <v>1099.4200830043187</v>
      </c>
      <c r="P81" s="77">
        <f t="shared" ca="1" si="125"/>
        <v>1889.3496110904721</v>
      </c>
      <c r="Q81" s="77">
        <f t="shared" ca="1" si="126"/>
        <v>0</v>
      </c>
      <c r="R81" s="77">
        <f t="shared" ca="1" si="127"/>
        <v>1680.9189296777017</v>
      </c>
      <c r="S81" s="54">
        <f t="shared" ca="1" si="128"/>
        <v>16.978979087653553</v>
      </c>
      <c r="T81" s="53">
        <f ca="1">OFFSET('National statistics'!$A$6,MATCH(R0_estimation!$A81,'National statistics'!$A$7:$A$5000,0),MATCH(R0_estimation!T$16 &amp; "_Running14daysNew",'National statistics'!$B$1:$HA$1,0))</f>
        <v>108</v>
      </c>
      <c r="U81" s="97">
        <f t="shared" ca="1" si="129"/>
        <v>2.5131690644603863</v>
      </c>
      <c r="V81" s="98">
        <f t="shared" ca="1" si="186"/>
        <v>0.50313552847557719</v>
      </c>
      <c r="W81" s="77">
        <f t="shared" ca="1" si="130"/>
        <v>2808510.3052068204</v>
      </c>
      <c r="X81" s="77">
        <f t="shared" ca="1" si="131"/>
        <v>44.916074513505009</v>
      </c>
      <c r="Y81" s="77">
        <f t="shared" ca="1" si="132"/>
        <v>89.066737168462566</v>
      </c>
      <c r="Z81" s="77">
        <f t="shared" ca="1" si="133"/>
        <v>0</v>
      </c>
      <c r="AA81" s="77">
        <f t="shared" ca="1" si="134"/>
        <v>361.19291581269721</v>
      </c>
      <c r="AB81" s="54">
        <f t="shared" ca="1" si="135"/>
        <v>3.6484132910373446</v>
      </c>
      <c r="AC81" s="53">
        <f ca="1">OFFSET('National statistics'!$A$6,MATCH(R0_estimation!$A81,'National statistics'!$A$7:$A$5000,0),MATCH(R0_estimation!AC$16 &amp; "_Running14daysNew",'National statistics'!$B$1:$HA$1,0))</f>
        <v>1511</v>
      </c>
      <c r="AD81" s="97">
        <f t="shared" ca="1" si="136"/>
        <v>3.800414836322612</v>
      </c>
      <c r="AE81" s="98">
        <f t="shared" ca="1" si="187"/>
        <v>0.57565754152920057</v>
      </c>
      <c r="AF81" s="77">
        <f t="shared" ca="1" si="137"/>
        <v>15633454.292281207</v>
      </c>
      <c r="AG81" s="77">
        <f t="shared" ca="1" si="138"/>
        <v>853.43878567064792</v>
      </c>
      <c r="AH81" s="77">
        <f t="shared" ca="1" si="139"/>
        <v>1258.9086940993677</v>
      </c>
      <c r="AI81" s="77">
        <f t="shared" ca="1" si="140"/>
        <v>0</v>
      </c>
      <c r="AJ81" s="77">
        <f t="shared" ca="1" si="141"/>
        <v>3830.8364701695737</v>
      </c>
      <c r="AK81" s="54">
        <f t="shared" ca="1" si="142"/>
        <v>38.695317880500731</v>
      </c>
      <c r="AL81" s="53">
        <f ca="1">OFFSET('National statistics'!$A$6,MATCH(R0_estimation!$A81,'National statistics'!$A$7:$A$5000,0),MATCH(R0_estimation!AL$16 &amp; "_Running14daysNew",'National statistics'!$B$1:$HA$1,0))</f>
        <v>978</v>
      </c>
      <c r="AM81" s="97">
        <f t="shared" ca="1" si="143"/>
        <v>1.6016155185401029</v>
      </c>
      <c r="AN81" s="98">
        <f t="shared" ca="1" si="188"/>
        <v>0.74495013848278369</v>
      </c>
      <c r="AO81" s="77">
        <f t="shared" ca="1" si="144"/>
        <v>10997499.86550732</v>
      </c>
      <c r="AP81" s="77">
        <f t="shared" ca="1" si="145"/>
        <v>336.88077708124172</v>
      </c>
      <c r="AQ81" s="77">
        <f t="shared" ca="1" si="146"/>
        <v>837.13725628403711</v>
      </c>
      <c r="AR81" s="77">
        <f t="shared" ca="1" si="147"/>
        <v>0</v>
      </c>
      <c r="AS81" s="77">
        <f t="shared" ca="1" si="148"/>
        <v>1836.9632620940067</v>
      </c>
      <c r="AT81" s="54">
        <f t="shared" ca="1" si="149"/>
        <v>18.555184465596035</v>
      </c>
      <c r="AU81" s="53">
        <f ca="1">OFFSET('National statistics'!$A$6,MATCH(R0_estimation!$A81,'National statistics'!$A$7:$A$5000,0),MATCH(R0_estimation!AU$16 &amp; "_Running14daysNew",'National statistics'!$B$1:$HA$1,0))</f>
        <v>114</v>
      </c>
      <c r="AV81" s="97">
        <f t="shared" ca="1" si="150"/>
        <v>1.3230125268909632</v>
      </c>
      <c r="AW81" s="98">
        <f t="shared" ca="1" si="189"/>
        <v>0.85754424097138826</v>
      </c>
      <c r="AX81" s="77">
        <f t="shared" ca="1" si="151"/>
        <v>5853536.3645992959</v>
      </c>
      <c r="AY81" s="77">
        <f t="shared" ca="1" si="152"/>
        <v>35.507344400368567</v>
      </c>
      <c r="AZ81" s="77">
        <f t="shared" ca="1" si="153"/>
        <v>95.014177611806204</v>
      </c>
      <c r="BA81" s="77">
        <f t="shared" ca="1" si="154"/>
        <v>0</v>
      </c>
      <c r="BB81" s="77">
        <f t="shared" ca="1" si="155"/>
        <v>170.2117252823148</v>
      </c>
      <c r="BC81" s="54">
        <f t="shared" ca="1" si="156"/>
        <v>1.7193103563870189</v>
      </c>
      <c r="BD81" s="53">
        <f ca="1">OFFSET('National statistics'!$A$6,MATCH(R0_estimation!$A81,'National statistics'!$A$7:$A$5000,0),MATCH(R0_estimation!BD$16 &amp; "_Running14daysNew",'National statistics'!$B$1:$HA$1,0))</f>
        <v>45</v>
      </c>
      <c r="BE81" s="97">
        <f t="shared" ca="1" si="157"/>
        <v>2.7378826770959304</v>
      </c>
      <c r="BF81" s="98">
        <f t="shared" ca="1" si="190"/>
        <v>0.72178134408538486</v>
      </c>
      <c r="BG81" s="77">
        <f t="shared" ca="1" si="158"/>
        <v>4809026.4105753303</v>
      </c>
      <c r="BH81" s="77">
        <f t="shared" ca="1" si="159"/>
        <v>25.142363535494958</v>
      </c>
      <c r="BI81" s="77">
        <f t="shared" ca="1" si="160"/>
        <v>45.321248670715534</v>
      </c>
      <c r="BJ81" s="77">
        <f t="shared" ca="1" si="161"/>
        <v>0</v>
      </c>
      <c r="BK81" s="77">
        <f t="shared" ca="1" si="162"/>
        <v>99.754590696134414</v>
      </c>
      <c r="BL81" s="54">
        <f t="shared" ca="1" si="163"/>
        <v>1.0076221282437823</v>
      </c>
      <c r="BM81" s="53">
        <f ca="1">OFFSET('National statistics'!$A$6,MATCH(R0_estimation!$A81,'National statistics'!$A$7:$A$5000,0),MATCH(R0_estimation!BM$16 &amp; "_Running14daysNew",'National statistics'!$B$1:$HA$1,0))</f>
        <v>98</v>
      </c>
      <c r="BN81" s="97">
        <f t="shared" ca="1" si="164"/>
        <v>5.497453992143007</v>
      </c>
      <c r="BO81" s="98">
        <f t="shared" ca="1" si="191"/>
        <v>0.99326027081939861</v>
      </c>
      <c r="BP81" s="77">
        <f t="shared" ca="1" si="165"/>
        <v>4107320.0390317137</v>
      </c>
      <c r="BQ81" s="77">
        <f t="shared" ca="1" si="166"/>
        <v>90.143525083795367</v>
      </c>
      <c r="BR81" s="77">
        <f t="shared" ca="1" si="167"/>
        <v>100.39654138168885</v>
      </c>
      <c r="BS81" s="77">
        <f t="shared" ca="1" si="168"/>
        <v>0</v>
      </c>
      <c r="BT81" s="77">
        <f t="shared" ca="1" si="169"/>
        <v>123.34475524214932</v>
      </c>
      <c r="BU81" s="54">
        <f t="shared" ca="1" si="170"/>
        <v>1.2459066186075691</v>
      </c>
      <c r="BV81" s="53">
        <f ca="1">OFFSET('National statistics'!$A$6,MATCH(R0_estimation!$A81,'National statistics'!$A$7:$A$5000,0),MATCH(R0_estimation!BV$16 &amp; "_Running14daysNew",'National statistics'!$B$1:$HA$1,0))</f>
        <v>22</v>
      </c>
      <c r="BW81" s="97">
        <f t="shared" ca="1" si="171"/>
        <v>4.1476075519699354</v>
      </c>
      <c r="BX81" s="98">
        <f t="shared" ca="1" si="192"/>
        <v>0.68996207341942262</v>
      </c>
      <c r="BY81" s="77">
        <f t="shared" ca="1" si="172"/>
        <v>1322148.3638559715</v>
      </c>
      <c r="BZ81" s="77">
        <f t="shared" ca="1" si="173"/>
        <v>15.662260409397144</v>
      </c>
      <c r="CA81" s="77">
        <f t="shared" ca="1" si="174"/>
        <v>21.496278509913019</v>
      </c>
      <c r="CB81" s="77">
        <f t="shared" ca="1" si="175"/>
        <v>0</v>
      </c>
      <c r="CC81" s="77">
        <f t="shared" ca="1" si="176"/>
        <v>48.090910712052924</v>
      </c>
      <c r="CD81" s="54">
        <f t="shared" ca="1" si="177"/>
        <v>0.48576677486922182</v>
      </c>
      <c r="CE81" s="53">
        <f ca="1">OFFSET('National statistics'!$A$6,MATCH(R0_estimation!$A81,'National statistics'!$A$7:$A$5000,0),MATCH(R0_estimation!CE$16 &amp; "_Running14daysNew",'National statistics'!$B$1:$HA$1,0))</f>
        <v>11756</v>
      </c>
      <c r="CF81" s="97">
        <f t="shared" ca="1" si="178"/>
        <v>1.8309915393973175</v>
      </c>
      <c r="CG81" s="98">
        <f t="shared" ca="1" si="193"/>
        <v>1.2165621122686727</v>
      </c>
      <c r="CH81" s="77">
        <f t="shared" ca="1" si="179"/>
        <v>7273810.851759728</v>
      </c>
      <c r="CI81" s="77">
        <f t="shared" ca="1" si="180"/>
        <v>5704.602478320523</v>
      </c>
      <c r="CJ81" s="77">
        <f t="shared" ca="1" si="181"/>
        <v>12129.045155536644</v>
      </c>
      <c r="CK81" s="77">
        <f t="shared" ca="1" si="182"/>
        <v>0</v>
      </c>
      <c r="CL81" s="77">
        <f t="shared" ca="1" si="183"/>
        <v>13106.020837848338</v>
      </c>
      <c r="CM81" s="54">
        <f t="shared" ca="1" si="184"/>
        <v>132.38404886715492</v>
      </c>
      <c r="CO81" s="209"/>
      <c r="CP81" s="210"/>
    </row>
    <row r="82" spans="1:94">
      <c r="A82" s="83">
        <v>43982</v>
      </c>
      <c r="B82" s="53">
        <f ca="1">OFFSET('National statistics'!$A$6,MATCH(R0_estimation!$A82,'National statistics'!$A$7:$A$5000,0),MATCH(R0_estimation!B$16 &amp; "_Running14daysNew",'National statistics'!$B$1:$HA$1,0))</f>
        <v>17162</v>
      </c>
      <c r="C82" s="97">
        <f t="shared" ca="1" si="115"/>
        <v>2.1996789936101133</v>
      </c>
      <c r="D82" s="98">
        <f t="shared" si="194"/>
        <v>1</v>
      </c>
      <c r="E82" s="77">
        <f t="shared" ca="1" si="116"/>
        <v>59667070.423609018</v>
      </c>
      <c r="F82" s="77">
        <f t="shared" ca="1" si="117"/>
        <v>8595.3791074209294</v>
      </c>
      <c r="G82" s="77">
        <f t="shared" ca="1" si="118"/>
        <v>16976.678759928956</v>
      </c>
      <c r="H82" s="77">
        <f t="shared" ca="1" si="119"/>
        <v>0</v>
      </c>
      <c r="I82" s="77">
        <f t="shared" ca="1" si="120"/>
        <v>24636.181153517191</v>
      </c>
      <c r="J82" s="54">
        <f t="shared" ca="1" si="121"/>
        <v>248.85031468199185</v>
      </c>
      <c r="K82" s="53">
        <f ca="1">OFFSET('National statistics'!$A$6,MATCH(R0_estimation!$A82,'National statistics'!$A$7:$A$5000,0),MATCH(R0_estimation!K$16 &amp; "_Running14daysNew",'National statistics'!$B$1:$HA$1,0))</f>
        <v>1991</v>
      </c>
      <c r="L82" s="97">
        <f t="shared" ca="1" si="122"/>
        <v>2.6122077663065371</v>
      </c>
      <c r="M82" s="98">
        <f t="shared" ca="1" si="185"/>
        <v>1.3891436550517304</v>
      </c>
      <c r="N82" s="77">
        <f t="shared" ca="1" si="123"/>
        <v>6865725.2286869893</v>
      </c>
      <c r="O82" s="77">
        <f t="shared" ca="1" si="124"/>
        <v>1176.8521630513869</v>
      </c>
      <c r="P82" s="77">
        <f t="shared" ca="1" si="125"/>
        <v>2029.2510881922324</v>
      </c>
      <c r="Q82" s="77">
        <f t="shared" ca="1" si="126"/>
        <v>0</v>
      </c>
      <c r="R82" s="77">
        <f t="shared" ca="1" si="127"/>
        <v>1814.5229378905281</v>
      </c>
      <c r="S82" s="54">
        <f t="shared" ca="1" si="128"/>
        <v>18.328514524146748</v>
      </c>
      <c r="T82" s="53">
        <f ca="1">OFFSET('National statistics'!$A$6,MATCH(R0_estimation!$A82,'National statistics'!$A$7:$A$5000,0),MATCH(R0_estimation!T$16 &amp; "_Running14daysNew",'National statistics'!$B$1:$HA$1,0))</f>
        <v>120</v>
      </c>
      <c r="U82" s="97">
        <f t="shared" ca="1" si="129"/>
        <v>2.5131690644603863</v>
      </c>
      <c r="V82" s="98">
        <f t="shared" ca="1" si="186"/>
        <v>0.50313552847557719</v>
      </c>
      <c r="W82" s="77">
        <f t="shared" ca="1" si="130"/>
        <v>2808494.3194704126</v>
      </c>
      <c r="X82" s="77">
        <f t="shared" ca="1" si="131"/>
        <v>49.672792293116842</v>
      </c>
      <c r="Y82" s="77">
        <f t="shared" ca="1" si="132"/>
        <v>93.933845999091488</v>
      </c>
      <c r="Z82" s="77">
        <f t="shared" ca="1" si="133"/>
        <v>0</v>
      </c>
      <c r="AA82" s="77">
        <f t="shared" ca="1" si="134"/>
        <v>367.49120651246704</v>
      </c>
      <c r="AB82" s="54">
        <f t="shared" ca="1" si="135"/>
        <v>3.7120323890148179</v>
      </c>
      <c r="AC82" s="53">
        <f ca="1">OFFSET('National statistics'!$A$6,MATCH(R0_estimation!$A82,'National statistics'!$A$7:$A$5000,0),MATCH(R0_estimation!AC$16 &amp; "_Running14daysNew",'National statistics'!$B$1:$HA$1,0))</f>
        <v>1674</v>
      </c>
      <c r="AD82" s="97">
        <f t="shared" ca="1" si="136"/>
        <v>3.800414836322612</v>
      </c>
      <c r="AE82" s="98">
        <f t="shared" ca="1" si="187"/>
        <v>0.57565754152920057</v>
      </c>
      <c r="AF82" s="77">
        <f t="shared" ca="1" si="137"/>
        <v>15633112.681056144</v>
      </c>
      <c r="AG82" s="77">
        <f t="shared" ca="1" si="138"/>
        <v>981.69031431671215</v>
      </c>
      <c r="AH82" s="77">
        <f t="shared" ca="1" si="139"/>
        <v>1382.3463409385035</v>
      </c>
      <c r="AI82" s="77">
        <f t="shared" ca="1" si="140"/>
        <v>0</v>
      </c>
      <c r="AJ82" s="77">
        <f t="shared" ca="1" si="141"/>
        <v>3919.8592992523145</v>
      </c>
      <c r="AK82" s="54">
        <f t="shared" ca="1" si="142"/>
        <v>39.594538376285996</v>
      </c>
      <c r="AL82" s="53">
        <f ca="1">OFFSET('National statistics'!$A$6,MATCH(R0_estimation!$A82,'National statistics'!$A$7:$A$5000,0),MATCH(R0_estimation!AL$16 &amp; "_Running14daysNew",'National statistics'!$B$1:$HA$1,0))</f>
        <v>1002</v>
      </c>
      <c r="AM82" s="97">
        <f t="shared" ca="1" si="143"/>
        <v>1.6016155185401029</v>
      </c>
      <c r="AN82" s="98">
        <f t="shared" ca="1" si="188"/>
        <v>0.74495013848278369</v>
      </c>
      <c r="AO82" s="77">
        <f t="shared" ca="1" si="144"/>
        <v>10997404.122290587</v>
      </c>
      <c r="AP82" s="77">
        <f t="shared" ca="1" si="145"/>
        <v>348.40379954428408</v>
      </c>
      <c r="AQ82" s="77">
        <f t="shared" ca="1" si="146"/>
        <v>861.56193224834487</v>
      </c>
      <c r="AR82" s="77">
        <f t="shared" ca="1" si="147"/>
        <v>0</v>
      </c>
      <c r="AS82" s="77">
        <f t="shared" ca="1" si="148"/>
        <v>1896.1608252169494</v>
      </c>
      <c r="AT82" s="54">
        <f t="shared" ca="1" si="149"/>
        <v>19.153139648656062</v>
      </c>
      <c r="AU82" s="53">
        <f ca="1">OFFSET('National statistics'!$A$6,MATCH(R0_estimation!$A82,'National statistics'!$A$7:$A$5000,0),MATCH(R0_estimation!AU$16 &amp; "_Running14daysNew",'National statistics'!$B$1:$HA$1,0))</f>
        <v>100</v>
      </c>
      <c r="AV82" s="97">
        <f t="shared" ca="1" si="150"/>
        <v>1.3230125268909632</v>
      </c>
      <c r="AW82" s="98">
        <f t="shared" ca="1" si="189"/>
        <v>0.85754424097138826</v>
      </c>
      <c r="AX82" s="77">
        <f t="shared" ca="1" si="151"/>
        <v>5853527.3861357756</v>
      </c>
      <c r="AY82" s="77">
        <f t="shared" ca="1" si="152"/>
        <v>35.608971820628071</v>
      </c>
      <c r="AZ82" s="77">
        <f t="shared" ca="1" si="153"/>
        <v>97.104286739626474</v>
      </c>
      <c r="BA82" s="77">
        <f t="shared" ca="1" si="154"/>
        <v>0</v>
      </c>
      <c r="BB82" s="77">
        <f t="shared" ca="1" si="155"/>
        <v>176.93058498486397</v>
      </c>
      <c r="BC82" s="54">
        <f t="shared" ca="1" si="156"/>
        <v>1.7871776261097376</v>
      </c>
      <c r="BD82" s="53">
        <f ca="1">OFFSET('National statistics'!$A$6,MATCH(R0_estimation!$A82,'National statistics'!$A$7:$A$5000,0),MATCH(R0_estimation!BD$16 &amp; "_Running14daysNew",'National statistics'!$B$1:$HA$1,0))</f>
        <v>50</v>
      </c>
      <c r="BE82" s="97">
        <f t="shared" ca="1" si="157"/>
        <v>2.7378826770959304</v>
      </c>
      <c r="BF82" s="98">
        <f t="shared" ca="1" si="190"/>
        <v>0.72178134408538486</v>
      </c>
      <c r="BG82" s="77">
        <f t="shared" ca="1" si="158"/>
        <v>4809017.5477274898</v>
      </c>
      <c r="BH82" s="77">
        <f t="shared" ca="1" si="159"/>
        <v>27.719620491829566</v>
      </c>
      <c r="BI82" s="77">
        <f t="shared" ca="1" si="160"/>
        <v>48.369607506681021</v>
      </c>
      <c r="BJ82" s="77">
        <f t="shared" ca="1" si="161"/>
        <v>0</v>
      </c>
      <c r="BK82" s="77">
        <f t="shared" ca="1" si="162"/>
        <v>102.95945042356358</v>
      </c>
      <c r="BL82" s="54">
        <f t="shared" ca="1" si="163"/>
        <v>1.0399944487228647</v>
      </c>
      <c r="BM82" s="53">
        <f ca="1">OFFSET('National statistics'!$A$6,MATCH(R0_estimation!$A82,'National statistics'!$A$7:$A$5000,0),MATCH(R0_estimation!BM$16 &amp; "_Running14daysNew",'National statistics'!$B$1:$HA$1,0))</f>
        <v>105</v>
      </c>
      <c r="BN82" s="97">
        <f t="shared" ca="1" si="164"/>
        <v>5.497453992143007</v>
      </c>
      <c r="BO82" s="98">
        <f t="shared" ca="1" si="191"/>
        <v>0.99326027081939861</v>
      </c>
      <c r="BP82" s="77">
        <f t="shared" ca="1" si="165"/>
        <v>4107280.6188037251</v>
      </c>
      <c r="BQ82" s="77">
        <f t="shared" ca="1" si="166"/>
        <v>107.02787180159532</v>
      </c>
      <c r="BR82" s="77">
        <f t="shared" ca="1" si="167"/>
        <v>115.7612411253742</v>
      </c>
      <c r="BS82" s="77">
        <f t="shared" ca="1" si="168"/>
        <v>0</v>
      </c>
      <c r="BT82" s="77">
        <f t="shared" ca="1" si="169"/>
        <v>130.44422495414017</v>
      </c>
      <c r="BU82" s="54">
        <f t="shared" ca="1" si="170"/>
        <v>1.3176184338802039</v>
      </c>
      <c r="BV82" s="53">
        <f ca="1">OFFSET('National statistics'!$A$6,MATCH(R0_estimation!$A82,'National statistics'!$A$7:$A$5000,0),MATCH(R0_estimation!BV$16 &amp; "_Running14daysNew",'National statistics'!$B$1:$HA$1,0))</f>
        <v>32</v>
      </c>
      <c r="BW82" s="97">
        <f t="shared" ca="1" si="171"/>
        <v>4.1476075519699354</v>
      </c>
      <c r="BX82" s="98">
        <f t="shared" ca="1" si="192"/>
        <v>0.68996207341942262</v>
      </c>
      <c r="BY82" s="77">
        <f t="shared" ca="1" si="172"/>
        <v>1322141.9958289198</v>
      </c>
      <c r="BZ82" s="77">
        <f t="shared" ca="1" si="173"/>
        <v>18.114722358625389</v>
      </c>
      <c r="CA82" s="77">
        <f t="shared" ca="1" si="174"/>
        <v>23.876395147268518</v>
      </c>
      <c r="CB82" s="77">
        <f t="shared" ca="1" si="175"/>
        <v>0</v>
      </c>
      <c r="CC82" s="77">
        <f t="shared" ca="1" si="176"/>
        <v>49.611004692396776</v>
      </c>
      <c r="CD82" s="54">
        <f t="shared" ca="1" si="177"/>
        <v>0.50112125951915965</v>
      </c>
      <c r="CE82" s="53">
        <f ca="1">OFFSET('National statistics'!$A$6,MATCH(R0_estimation!$A82,'National statistics'!$A$7:$A$5000,0),MATCH(R0_estimation!CE$16 &amp; "_Running14daysNew",'National statistics'!$B$1:$HA$1,0))</f>
        <v>12088</v>
      </c>
      <c r="CF82" s="97">
        <f t="shared" ca="1" si="178"/>
        <v>1.8309915393973175</v>
      </c>
      <c r="CG82" s="98">
        <f t="shared" ca="1" si="193"/>
        <v>1.2165621122686727</v>
      </c>
      <c r="CH82" s="77">
        <f t="shared" ca="1" si="179"/>
        <v>7272231.2721090559</v>
      </c>
      <c r="CI82" s="77">
        <f t="shared" ca="1" si="180"/>
        <v>5858.0315094127982</v>
      </c>
      <c r="CJ82" s="77">
        <f t="shared" ca="1" si="181"/>
        <v>12688.835406864157</v>
      </c>
      <c r="CK82" s="77">
        <f t="shared" ca="1" si="182"/>
        <v>0</v>
      </c>
      <c r="CL82" s="77">
        <f t="shared" ca="1" si="183"/>
        <v>13963.71760241843</v>
      </c>
      <c r="CM82" s="54">
        <f t="shared" ca="1" si="184"/>
        <v>141.04765254968109</v>
      </c>
      <c r="CO82" s="209"/>
      <c r="CP82" s="210"/>
    </row>
    <row r="83" spans="1:94">
      <c r="A83" s="83">
        <v>43983</v>
      </c>
      <c r="B83" s="53">
        <f ca="1">OFFSET('National statistics'!$A$6,MATCH(R0_estimation!$A83,'National statistics'!$A$7:$A$5000,0),MATCH(R0_estimation!B$16 &amp; "_Running14daysNew",'National statistics'!$B$1:$HA$1,0))</f>
        <v>17918</v>
      </c>
      <c r="C83" s="97">
        <f t="shared" ref="C83:C114" ca="1" si="195">IF(ISERROR(OFFSET($O$4,MATCH(B$16,$N$5:$N$14,0),MATCH(TEXT($A83,"dd-mmm-yy") &amp; "_R0",$P$2:$AP$2,0))),C82,OFFSET($O$4,MATCH(B$16,$N$5:$N$14,0),MATCH(TEXT($A83,"dd-mmm-yy") &amp; "_R0",$P$2:$AP$2,0)))</f>
        <v>2.1996789936101133</v>
      </c>
      <c r="D83" s="98">
        <f t="shared" si="194"/>
        <v>1</v>
      </c>
      <c r="E83" s="77">
        <f t="shared" ref="E83:E94" ca="1" si="196">E82-E82*(C82/14)*G82*G$16/SUM(E82:I82)-E82*(D82/14)*H$16*H82/SUM(E82:I82)</f>
        <v>59664405.291699626</v>
      </c>
      <c r="F83" s="77">
        <f t="shared" ref="F83:F94" ca="1" si="197">F82+E82*(C82/14)*G82*G$16/SUM(E82:I82)+E82*(D82/14)*H$16*H82/SUM(E82:I82)-F82/4</f>
        <v>9111.6662399553898</v>
      </c>
      <c r="G83" s="77">
        <f t="shared" ref="G83:G94" ca="1" si="198">G82+G$16*F82/4-G82/14</f>
        <v>17912.90362536069</v>
      </c>
      <c r="H83" s="77">
        <f t="shared" ref="H83:H94" ca="1" si="199">H82+H$16*F82/4-H82/14</f>
        <v>0</v>
      </c>
      <c r="I83" s="77">
        <f t="shared" ref="I83:I94" ca="1" si="200">I82+H82/14+(G82/14)*(1-J$16)</f>
        <v>25836.674865826451</v>
      </c>
      <c r="J83" s="54">
        <f t="shared" ref="J83:J94" ca="1" si="201">J82+(G82/14)*(J$16)</f>
        <v>260.97651379622681</v>
      </c>
      <c r="K83" s="53">
        <f ca="1">OFFSET('National statistics'!$A$6,MATCH(R0_estimation!$A83,'National statistics'!$A$7:$A$5000,0),MATCH(R0_estimation!K$16 &amp; "_Running14daysNew",'National statistics'!$B$1:$HA$1,0))</f>
        <v>2059</v>
      </c>
      <c r="L83" s="97">
        <f t="shared" ref="L83:L114" ca="1" si="202">IF(ISERROR(OFFSET($O$4,MATCH(K$16,$N$5:$N$14,0),MATCH(TEXT($A83,"dd-mmm-yy") &amp; "_R0",$P$2:$AP$2,0))),L82,OFFSET($O$4,MATCH(K$16,$N$5:$N$14,0),MATCH(TEXT($A83,"dd-mmm-yy") &amp; "_R0",$P$2:$AP$2,0)))</f>
        <v>2.6122077663065371</v>
      </c>
      <c r="M83" s="98">
        <f t="shared" ca="1" si="185"/>
        <v>1.3891436550517304</v>
      </c>
      <c r="N83" s="77">
        <f t="shared" ref="N83:N94" ca="1" si="203">N82-N82*(L82/14)*P82/SUM(N82:R82)-N82*(M82/14)*Q82/SUM(N82:R82)</f>
        <v>6865346.8749722494</v>
      </c>
      <c r="O83" s="77">
        <f t="shared" ref="O83:O94" ca="1" si="204">O82+N82*(L82/14)*P82/SUM(N82:R82)+N82*(M82/14)*Q82/SUM(N82:R82)-O82/4</f>
        <v>1260.9928370282323</v>
      </c>
      <c r="P83" s="77">
        <f t="shared" ref="P83:P94" ca="1" si="205">P82+(O82/4)*P$16-P82/14</f>
        <v>2178.5176226556341</v>
      </c>
      <c r="Q83" s="77">
        <f t="shared" ref="Q83:Q94" ca="1" si="206">Q82+(O82/4)*Q$16-Q82/14</f>
        <v>0</v>
      </c>
      <c r="R83" s="77">
        <f t="shared" ref="R83:R94" ca="1" si="207">R82+Q82/14+(P82/14)*(1-S$16)</f>
        <v>1958.0199791269788</v>
      </c>
      <c r="S83" s="54">
        <f t="shared" ref="S83:S94" ca="1" si="208">S82+(P82/14)*(S$16)</f>
        <v>19.7779795871412</v>
      </c>
      <c r="T83" s="53">
        <f ca="1">OFFSET('National statistics'!$A$6,MATCH(R0_estimation!$A83,'National statistics'!$A$7:$A$5000,0),MATCH(R0_estimation!T$16 &amp; "_Running14daysNew",'National statistics'!$B$1:$HA$1,0))</f>
        <v>122</v>
      </c>
      <c r="U83" s="97">
        <f t="shared" ref="U83:U114" ca="1" si="209">IF(ISERROR(OFFSET($O$4,MATCH(T$16,$N$5:$N$14,0),MATCH(TEXT($A83,"dd-mmm-yy") &amp; "_R0",$P$2:$AP$2,0))),U82,OFFSET($O$4,MATCH(T$16,$N$5:$N$14,0),MATCH(TEXT($A83,"dd-mmm-yy") &amp; "_R0",$P$2:$AP$2,0)))</f>
        <v>2.5131690644603863</v>
      </c>
      <c r="V83" s="98">
        <f t="shared" ca="1" si="186"/>
        <v>0.50313552847557719</v>
      </c>
      <c r="W83" s="77">
        <f t="shared" ref="W83:W94" ca="1" si="210">W82-W82*(U82/14)*Y82/SUM(W82:AA82)-W82*(V82/14)*Z82/SUM(W82:AA82)</f>
        <v>2808477.4602787914</v>
      </c>
      <c r="X83" s="77">
        <f t="shared" ref="X83:X94" ca="1" si="211">X82+W82*(U82/14)*Y82/SUM(W82:AA82)+W82*(V82/14)*Z82/SUM(W82:AA82)-X82/4</f>
        <v>54.113785840881775</v>
      </c>
      <c r="Y83" s="77">
        <f t="shared" ref="Y83:Y94" ca="1" si="212">Y82+(X82/4)*Y$16-Y82/14</f>
        <v>99.642483643864168</v>
      </c>
      <c r="Z83" s="77">
        <f t="shared" ref="Z83:Z94" ca="1" si="213">Z82+(X82/4)*Z$16-Z82/14</f>
        <v>0</v>
      </c>
      <c r="AA83" s="77">
        <f t="shared" ref="AA83:AA94" ca="1" si="214">AA82+Z82/14+(Y82/14)*(1-AB$16)</f>
        <v>374.13367133668851</v>
      </c>
      <c r="AB83" s="54">
        <f t="shared" ref="AB83:AB94" ca="1" si="215">AB82+(Y82/14)*(AB$16)</f>
        <v>3.7791279932998831</v>
      </c>
      <c r="AC83" s="53">
        <f ca="1">OFFSET('National statistics'!$A$6,MATCH(R0_estimation!$A83,'National statistics'!$A$7:$A$5000,0),MATCH(R0_estimation!AC$16 &amp; "_Running14daysNew",'National statistics'!$B$1:$HA$1,0))</f>
        <v>1888</v>
      </c>
      <c r="AD83" s="97">
        <f t="shared" ref="AD83:AD114" ca="1" si="216">IF(ISERROR(OFFSET($O$4,MATCH(AC$16,$N$5:$N$14,0),MATCH(TEXT($A83,"dd-mmm-yy") &amp; "_R0",$P$2:$AP$2,0))),AD82,OFFSET($O$4,MATCH(AC$16,$N$5:$N$14,0),MATCH(TEXT($A83,"dd-mmm-yy") &amp; "_R0",$P$2:$AP$2,0)))</f>
        <v>3.800414836322612</v>
      </c>
      <c r="AE83" s="98">
        <f t="shared" ca="1" si="187"/>
        <v>0.57565754152920057</v>
      </c>
      <c r="AF83" s="77">
        <f t="shared" ref="AF83:AF94" ca="1" si="217">AF82-AF82*(AD82/14)*AH82/SUM(AF82:AJ82)-AF82*(AE82/14)*AI82/SUM(AF82:AJ82)</f>
        <v>15632737.582577894</v>
      </c>
      <c r="AG83" s="77">
        <f t="shared" ref="AG83:AG94" ca="1" si="218">AG82+AF82*(AD82/14)*AH82/SUM(AF82:AJ82)+AF82*(AE82/14)*AI82/SUM(AF82:AJ82)-AG82/4</f>
        <v>1111.3662139879405</v>
      </c>
      <c r="AH83" s="77">
        <f t="shared" ref="AH83:AH94" ca="1" si="219">AH82+(AG82/4)*AH$16-AH82/14</f>
        <v>1529.0298951649313</v>
      </c>
      <c r="AI83" s="77">
        <f t="shared" ref="AI83:AI94" ca="1" si="220">AI82+(AG82/4)*AI$16-AI82/14</f>
        <v>0</v>
      </c>
      <c r="AJ83" s="77">
        <f t="shared" ref="AJ83:AJ94" ca="1" si="221">AJ82+AI82/14+(AH82/14)*(1-AK$16)</f>
        <v>4017.6109333615373</v>
      </c>
      <c r="AK83" s="54">
        <f t="shared" ref="AK83:AK94" ca="1" si="222">AK82+(AH82/14)*(AK$16)</f>
        <v>40.581928619813496</v>
      </c>
      <c r="AL83" s="53">
        <f ca="1">OFFSET('National statistics'!$A$6,MATCH(R0_estimation!$A83,'National statistics'!$A$7:$A$5000,0),MATCH(R0_estimation!AL$16 &amp; "_Running14daysNew",'National statistics'!$B$1:$HA$1,0))</f>
        <v>998</v>
      </c>
      <c r="AM83" s="97">
        <f t="shared" ref="AM83:AM114" ca="1" si="223">IF(ISERROR(OFFSET($O$4,MATCH(AL$16,$N$5:$N$14,0),MATCH(TEXT($A83,"dd-mmm-yy") &amp; "_R0",$P$2:$AP$2,0))),AM82,OFFSET($O$4,MATCH(AL$16,$N$5:$N$14,0),MATCH(TEXT($A83,"dd-mmm-yy") &amp; "_R0",$P$2:$AP$2,0)))</f>
        <v>1.6016155185401029</v>
      </c>
      <c r="AN83" s="98">
        <f t="shared" ca="1" si="188"/>
        <v>0.74495013848278369</v>
      </c>
      <c r="AO83" s="77">
        <f t="shared" ref="AO83:AO94" ca="1" si="224">AO82-AO82*(AM82/14)*AQ82/SUM(AO82:AS82)-AO82*(AN82/14)*AR82/SUM(AO82:AS82)</f>
        <v>10997305.586481156</v>
      </c>
      <c r="AP83" s="77">
        <f t="shared" ref="AP83:AP94" ca="1" si="225">AP82+AO82*(AM82/14)*AQ82/SUM(AO82:AS82)+AO82*(AN82/14)*AR82/SUM(AO82:AS82)-AP82/4</f>
        <v>359.8386590896684</v>
      </c>
      <c r="AQ83" s="77">
        <f t="shared" ref="AQ83:AQ94" ca="1" si="226">AQ82+(AP82/4)*AQ$16-AQ82/14</f>
        <v>887.12274411667693</v>
      </c>
      <c r="AR83" s="77">
        <f t="shared" ref="AR83:AR94" ca="1" si="227">AR82+(AP82/4)*AR$16-AR82/14</f>
        <v>0</v>
      </c>
      <c r="AS83" s="77">
        <f t="shared" ref="AS83:AS94" ca="1" si="228">AS82+AR82/14+(AQ82/14)*(1-AT$16)</f>
        <v>1957.0855618545111</v>
      </c>
      <c r="AT83" s="54">
        <f t="shared" ref="AT83:AT94" ca="1" si="229">AT82+(AQ82/14)*(AT$16)</f>
        <v>19.76854102883345</v>
      </c>
      <c r="AU83" s="53">
        <f ca="1">OFFSET('National statistics'!$A$6,MATCH(R0_estimation!$A83,'National statistics'!$A$7:$A$5000,0),MATCH(R0_estimation!AU$16 &amp; "_Running14daysNew",'National statistics'!$B$1:$HA$1,0))</f>
        <v>104</v>
      </c>
      <c r="AV83" s="97">
        <f t="shared" ref="AV83:AV114" ca="1" si="230">IF(ISERROR(OFFSET($O$4,MATCH(AU$16,$N$5:$N$14,0),MATCH(TEXT($A83,"dd-mmm-yy") &amp; "_R0",$P$2:$AP$2,0))),AV82,OFFSET($O$4,MATCH(AU$16,$N$5:$N$14,0),MATCH(TEXT($A83,"dd-mmm-yy") &amp; "_R0",$P$2:$AP$2,0)))</f>
        <v>1.3230125268909632</v>
      </c>
      <c r="AW83" s="98">
        <f t="shared" ca="1" si="189"/>
        <v>0.85754424097138826</v>
      </c>
      <c r="AX83" s="77">
        <f t="shared" ref="AX83:AX94" ca="1" si="231">AX82-AX82*(AV82/14)*AZ82/SUM(AX82:BB82)-AX82*(AW82/14)*BA82/SUM(AX82:BB82)</f>
        <v>5853518.2101791883</v>
      </c>
      <c r="AY83" s="77">
        <f t="shared" ref="AY83:AY94" ca="1" si="232">AY82+AX82*(AV82/14)*AZ82/SUM(AX82:BB82)+AX82*(AW82/14)*BA82/SUM(AX82:BB82)-AY82/4</f>
        <v>35.882685453191527</v>
      </c>
      <c r="AZ83" s="77">
        <f t="shared" ref="AZ83:AZ94" ca="1" si="233">AZ82+(AY82/4)*AZ$16-AZ82/14</f>
        <v>99.070509213381598</v>
      </c>
      <c r="BA83" s="77">
        <f t="shared" ref="BA83:BA94" ca="1" si="234">BA82+(AY82/4)*BA$16-BA82/14</f>
        <v>0</v>
      </c>
      <c r="BB83" s="77">
        <f t="shared" ref="BB83:BB94" ca="1" si="235">BB82+BA82/14+(AZ82/14)*(1-BC$16)</f>
        <v>183.79724526145185</v>
      </c>
      <c r="BC83" s="54">
        <f t="shared" ref="BC83:BC94" ca="1" si="236">BC82+(AZ82/14)*(BC$16)</f>
        <v>1.8565378309237566</v>
      </c>
      <c r="BD83" s="53">
        <f ca="1">OFFSET('National statistics'!$A$6,MATCH(R0_estimation!$A83,'National statistics'!$A$7:$A$5000,0),MATCH(R0_estimation!BD$16 &amp; "_Running14daysNew",'National statistics'!$B$1:$HA$1,0))</f>
        <v>55</v>
      </c>
      <c r="BE83" s="97">
        <f t="shared" ref="BE83:BE114" ca="1" si="237">IF(ISERROR(OFFSET($O$4,MATCH(BD$16,$N$5:$N$14,0),MATCH(TEXT($A83,"dd-mmm-yy") &amp; "_R0",$P$2:$AP$2,0))),BE82,OFFSET($O$4,MATCH(BD$16,$N$5:$N$14,0),MATCH(TEXT($A83,"dd-mmm-yy") &amp; "_R0",$P$2:$AP$2,0)))</f>
        <v>2.7378826770959304</v>
      </c>
      <c r="BF83" s="98">
        <f t="shared" ca="1" si="190"/>
        <v>0.72178134408538486</v>
      </c>
      <c r="BG83" s="77">
        <f t="shared" ref="BG83:BG94" ca="1" si="238">BG82-BG82*(BE82/14)*BI82/SUM(BG82:BK82)-BG82*(BF82/14)*BJ82/SUM(BG82:BK82)</f>
        <v>4809008.0887717726</v>
      </c>
      <c r="BH83" s="77">
        <f t="shared" ref="BH83:BH94" ca="1" si="239">BH82+BG82*(BE82/14)*BI82/SUM(BG82:BK82)+BG82*(BF82/14)*BJ82/SUM(BG82:BK82)-BH82/4</f>
        <v>30.248671086513312</v>
      </c>
      <c r="BI83" s="77">
        <f t="shared" ref="BI83:BI94" ca="1" si="240">BI82+(BH82/4)*BI$16-BI82/14</f>
        <v>51.844540664875481</v>
      </c>
      <c r="BJ83" s="77">
        <f t="shared" ref="BJ83:BJ94" ca="1" si="241">BJ82+(BH82/4)*BJ$16-BJ82/14</f>
        <v>0</v>
      </c>
      <c r="BK83" s="77">
        <f t="shared" ref="BK83:BK94" ca="1" si="242">BK82+BJ82/14+(BI82/14)*(1-BL$16)</f>
        <v>106.37987266867889</v>
      </c>
      <c r="BL83" s="54">
        <f t="shared" ref="BL83:BL94" ca="1" si="243">BL82+(BI82/14)*(BL$16)</f>
        <v>1.0745441683704939</v>
      </c>
      <c r="BM83" s="53">
        <f ca="1">OFFSET('National statistics'!$A$6,MATCH(R0_estimation!$A83,'National statistics'!$A$7:$A$5000,0),MATCH(R0_estimation!BM$16 &amp; "_Running14daysNew",'National statistics'!$B$1:$HA$1,0))</f>
        <v>115</v>
      </c>
      <c r="BN83" s="97">
        <f t="shared" ref="BN83:BN114" ca="1" si="244">IF(ISERROR(OFFSET($O$4,MATCH(BM$16,$N$5:$N$14,0),MATCH(TEXT($A83,"dd-mmm-yy") &amp; "_R0",$P$2:$AP$2,0))),BN82,OFFSET($O$4,MATCH(BM$16,$N$5:$N$14,0),MATCH(TEXT($A83,"dd-mmm-yy") &amp; "_R0",$P$2:$AP$2,0)))</f>
        <v>5.497453992143007</v>
      </c>
      <c r="BO83" s="98">
        <f t="shared" ca="1" si="191"/>
        <v>0.99326027081939861</v>
      </c>
      <c r="BP83" s="77">
        <f t="shared" ref="BP83:BP94" ca="1" si="245">BP82-BP82*(BN82/14)*BR82/SUM(BP82:BT82)-BP82*(BO82/14)*BS82/SUM(BP82:BT82)</f>
        <v>4107235.1661343658</v>
      </c>
      <c r="BQ83" s="77">
        <f t="shared" ref="BQ83:BQ94" ca="1" si="246">BQ82+BP82*(BN82/14)*BR82/SUM(BP82:BT82)+BP82*(BO82/14)*BS82/SUM(BP82:BT82)-BQ82/4</f>
        <v>125.72357321048199</v>
      </c>
      <c r="BR83" s="77">
        <f t="shared" ref="BR83:BR94" ca="1" si="247">BR82+(BQ82/4)*BR$16-BR82/14</f>
        <v>134.24954899538915</v>
      </c>
      <c r="BS83" s="77">
        <f t="shared" ref="BS83:BS94" ca="1" si="248">BS82+(BQ82/4)*BS$16-BS82/14</f>
        <v>0</v>
      </c>
      <c r="BT83" s="77">
        <f t="shared" ref="BT83:BT94" ca="1" si="249">BT82+BS82/14+(BR82/14)*(1-BU$16)</f>
        <v>138.63019843372021</v>
      </c>
      <c r="BU83" s="54">
        <f t="shared" ref="BU83:BU94" ca="1" si="250">BU82+(BR82/14)*(BU$16)</f>
        <v>1.4003050346840427</v>
      </c>
      <c r="BV83" s="53">
        <f ca="1">OFFSET('National statistics'!$A$6,MATCH(R0_estimation!$A83,'National statistics'!$A$7:$A$5000,0),MATCH(R0_estimation!BV$16 &amp; "_Running14daysNew",'National statistics'!$B$1:$HA$1,0))</f>
        <v>45</v>
      </c>
      <c r="BW83" s="97">
        <f t="shared" ref="BW83:BW114" ca="1" si="251">IF(ISERROR(OFFSET($O$4,MATCH(BV$16,$N$5:$N$14,0),MATCH(TEXT($A83,"dd-mmm-yy") &amp; "_R0",$P$2:$AP$2,0))),BW82,OFFSET($O$4,MATCH(BV$16,$N$5:$N$14,0),MATCH(TEXT($A83,"dd-mmm-yy") &amp; "_R0",$P$2:$AP$2,0)))</f>
        <v>4.1476075519699354</v>
      </c>
      <c r="BX83" s="98">
        <f t="shared" ca="1" si="192"/>
        <v>0.68996207341942262</v>
      </c>
      <c r="BY83" s="77">
        <f t="shared" ref="BY83:BY94" ca="1" si="252">BY82-BY82*(BW82/14)*CA82/SUM(BY82:CC82)-BY82*(BX82/14)*CB82/SUM(BY82:CC82)</f>
        <v>1322134.922753477</v>
      </c>
      <c r="BZ83" s="77">
        <f t="shared" ref="BZ83:BZ94" ca="1" si="253">BZ82+BY82*(BW82/14)*CA82/SUM(BY82:CC82)+BY82*(BX82/14)*CB82/SUM(BY82:CC82)-BZ82/4</f>
        <v>20.659117211852639</v>
      </c>
      <c r="CA83" s="77">
        <f t="shared" ref="CA83:CA94" ca="1" si="254">CA82+(BZ82/4)*CA$16-CA82/14</f>
        <v>26.699618940691398</v>
      </c>
      <c r="CB83" s="77">
        <f t="shared" ref="CB83:CB94" ca="1" si="255">CB82+(BZ82/4)*CB$16-CB82/14</f>
        <v>0</v>
      </c>
      <c r="CC83" s="77">
        <f t="shared" ref="CC83:CC94" ca="1" si="256">CC82+CB82/14+(CA82/14)*(1-CD$16)</f>
        <v>51.299406920667906</v>
      </c>
      <c r="CD83" s="54">
        <f t="shared" ref="CD83:CD94" ca="1" si="257">CD82+(CA82/14)*(CD$16)</f>
        <v>0.51817582748149427</v>
      </c>
      <c r="CE83" s="53">
        <f ca="1">OFFSET('National statistics'!$A$6,MATCH(R0_estimation!$A83,'National statistics'!$A$7:$A$5000,0),MATCH(R0_estimation!CE$16 &amp; "_Running14daysNew",'National statistics'!$B$1:$HA$1,0))</f>
        <v>12532</v>
      </c>
      <c r="CF83" s="97">
        <f t="shared" ref="CF83:CF114" ca="1" si="258">IF(ISERROR(OFFSET($O$4,MATCH(CE$16,$N$5:$N$14,0),MATCH(TEXT($A83,"dd-mmm-yy") &amp; "_R0",$P$2:$AP$2,0))),CF82,OFFSET($O$4,MATCH(CE$16,$N$5:$N$14,0),MATCH(TEXT($A83,"dd-mmm-yy") &amp; "_R0",$P$2:$AP$2,0)))</f>
        <v>1.8309915393973175</v>
      </c>
      <c r="CG83" s="98">
        <f t="shared" ca="1" si="193"/>
        <v>1.2165621122686727</v>
      </c>
      <c r="CH83" s="77">
        <f t="shared" ref="CH83:CH94" ca="1" si="259">CH82-CH82*(CF82/14)*CJ82/SUM(CH82:CL82)-CH82*(CG82/14)*CK82/SUM(CH82:CL82)</f>
        <v>7270579.1472164281</v>
      </c>
      <c r="CI83" s="77">
        <f t="shared" ref="CI83:CI94" ca="1" si="260">CI82+CH82*(CF82/14)*CJ82/SUM(CH82:CL82)+CH82*(CG82/14)*CK82/SUM(CH82:CL82)-CI82/4</f>
        <v>6045.648524687861</v>
      </c>
      <c r="CJ83" s="77">
        <f t="shared" ref="CJ83:CJ94" ca="1" si="261">CJ82+(CI82/4)*CJ$16-CJ82/14</f>
        <v>13246.997898012774</v>
      </c>
      <c r="CK83" s="77">
        <f t="shared" ref="CK83:CK94" ca="1" si="262">CK82+(CI82/4)*CK$16-CK82/14</f>
        <v>0</v>
      </c>
      <c r="CL83" s="77">
        <f t="shared" ref="CL83:CL94" ca="1" si="263">CL82+CK82/14+(CJ82/14)*(1-CM$16)</f>
        <v>14860.999534760967</v>
      </c>
      <c r="CM83" s="54">
        <f t="shared" ref="CM83:CM94" ca="1" si="264">CM82+(CJ82/14)*(CM$16)</f>
        <v>150.11110641172692</v>
      </c>
      <c r="CO83" s="209"/>
      <c r="CP83" s="210"/>
    </row>
    <row r="84" spans="1:94">
      <c r="A84" s="83">
        <v>43984</v>
      </c>
      <c r="B84" s="53">
        <f ca="1">OFFSET('National statistics'!$A$6,MATCH(R0_estimation!$A84,'National statistics'!$A$7:$A$5000,0),MATCH(R0_estimation!B$16 &amp; "_Running14daysNew",'National statistics'!$B$1:$HA$1,0))</f>
        <v>18609</v>
      </c>
      <c r="C84" s="97">
        <f t="shared" ca="1" si="195"/>
        <v>2.1996789936101133</v>
      </c>
      <c r="D84" s="98">
        <f t="shared" si="194"/>
        <v>1</v>
      </c>
      <c r="E84" s="77">
        <f t="shared" ca="1" si="196"/>
        <v>59661593.308919571</v>
      </c>
      <c r="F84" s="77">
        <f t="shared" ca="1" si="197"/>
        <v>9645.7324600183201</v>
      </c>
      <c r="G84" s="77">
        <f t="shared" ca="1" si="198"/>
        <v>18911.327069252344</v>
      </c>
      <c r="H84" s="77">
        <f t="shared" ca="1" si="199"/>
        <v>0</v>
      </c>
      <c r="I84" s="77">
        <f t="shared" ca="1" si="200"/>
        <v>27103.373050762671</v>
      </c>
      <c r="J84" s="54">
        <f t="shared" ca="1" si="201"/>
        <v>273.77144495719875</v>
      </c>
      <c r="K84" s="53">
        <f ca="1">OFFSET('National statistics'!$A$6,MATCH(R0_estimation!$A84,'National statistics'!$A$7:$A$5000,0),MATCH(R0_estimation!K$16 &amp; "_Running14daysNew",'National statistics'!$B$1:$HA$1,0))</f>
        <v>2189</v>
      </c>
      <c r="L84" s="97">
        <f t="shared" ca="1" si="202"/>
        <v>2.6122077663065371</v>
      </c>
      <c r="M84" s="98">
        <f t="shared" ca="1" si="185"/>
        <v>1.3891436550517304</v>
      </c>
      <c r="N84" s="77">
        <f t="shared" ca="1" si="203"/>
        <v>6864940.712821411</v>
      </c>
      <c r="O84" s="77">
        <f t="shared" ca="1" si="204"/>
        <v>1351.9067786099827</v>
      </c>
      <c r="P84" s="77">
        <f t="shared" ca="1" si="205"/>
        <v>2338.1574302944327</v>
      </c>
      <c r="Q84" s="77">
        <f t="shared" ca="1" si="206"/>
        <v>0</v>
      </c>
      <c r="R84" s="77">
        <f t="shared" ca="1" si="207"/>
        <v>2112.0722967290558</v>
      </c>
      <c r="S84" s="54">
        <f t="shared" ca="1" si="208"/>
        <v>21.334063603323795</v>
      </c>
      <c r="T84" s="53">
        <f ca="1">OFFSET('National statistics'!$A$6,MATCH(R0_estimation!$A84,'National statistics'!$A$7:$A$5000,0),MATCH(R0_estimation!T$16 &amp; "_Running14daysNew",'National statistics'!$B$1:$HA$1,0))</f>
        <v>134</v>
      </c>
      <c r="U84" s="97">
        <f t="shared" ca="1" si="209"/>
        <v>2.5131690644603863</v>
      </c>
      <c r="V84" s="98">
        <f t="shared" ca="1" si="186"/>
        <v>0.50313552847557719</v>
      </c>
      <c r="W84" s="77">
        <f t="shared" ca="1" si="210"/>
        <v>2808459.5766111598</v>
      </c>
      <c r="X84" s="77">
        <f t="shared" ca="1" si="211"/>
        <v>58.469007012239565</v>
      </c>
      <c r="Y84" s="77">
        <f t="shared" ca="1" si="212"/>
        <v>106.0536098438086</v>
      </c>
      <c r="Z84" s="77">
        <f t="shared" ca="1" si="213"/>
        <v>0</v>
      </c>
      <c r="AA84" s="77">
        <f t="shared" ca="1" si="214"/>
        <v>381.17981839436175</v>
      </c>
      <c r="AB84" s="54">
        <f t="shared" ca="1" si="215"/>
        <v>3.8503011959026434</v>
      </c>
      <c r="AC84" s="53">
        <f ca="1">OFFSET('National statistics'!$A$6,MATCH(R0_estimation!$A84,'National statistics'!$A$7:$A$5000,0),MATCH(R0_estimation!AC$16 &amp; "_Running14daysNew",'National statistics'!$B$1:$HA$1,0))</f>
        <v>1915</v>
      </c>
      <c r="AD84" s="97">
        <f t="shared" ca="1" si="216"/>
        <v>3.800414836322612</v>
      </c>
      <c r="AE84" s="98">
        <f t="shared" ca="1" si="187"/>
        <v>0.57565754152920057</v>
      </c>
      <c r="AF84" s="77">
        <f t="shared" ca="1" si="217"/>
        <v>15632322.691573557</v>
      </c>
      <c r="AG84" s="77">
        <f t="shared" ca="1" si="218"/>
        <v>1248.4156648271223</v>
      </c>
      <c r="AH84" s="77">
        <f t="shared" ca="1" si="219"/>
        <v>1697.6550275787072</v>
      </c>
      <c r="AI84" s="77">
        <f t="shared" ca="1" si="220"/>
        <v>0</v>
      </c>
      <c r="AJ84" s="77">
        <f t="shared" ca="1" si="221"/>
        <v>4125.7351902339142</v>
      </c>
      <c r="AK84" s="54">
        <f t="shared" ca="1" si="222"/>
        <v>41.674092830645591</v>
      </c>
      <c r="AL84" s="53">
        <f ca="1">OFFSET('National statistics'!$A$6,MATCH(R0_estimation!$A84,'National statistics'!$A$7:$A$5000,0),MATCH(R0_estimation!AL$16 &amp; "_Running14daysNew",'National statistics'!$B$1:$HA$1,0))</f>
        <v>1021</v>
      </c>
      <c r="AM84" s="97">
        <f t="shared" ca="1" si="223"/>
        <v>1.6016155185401029</v>
      </c>
      <c r="AN84" s="98">
        <f t="shared" ca="1" si="188"/>
        <v>0.74495013848278369</v>
      </c>
      <c r="AO84" s="77">
        <f t="shared" ca="1" si="224"/>
        <v>10997204.128215581</v>
      </c>
      <c r="AP84" s="77">
        <f t="shared" ca="1" si="225"/>
        <v>371.33725989116954</v>
      </c>
      <c r="AQ84" s="77">
        <f t="shared" ca="1" si="226"/>
        <v>913.71649859504566</v>
      </c>
      <c r="AR84" s="77">
        <f t="shared" ca="1" si="227"/>
        <v>0</v>
      </c>
      <c r="AS84" s="77">
        <f t="shared" ca="1" si="228"/>
        <v>2019.817813045619</v>
      </c>
      <c r="AT84" s="54">
        <f t="shared" ca="1" si="229"/>
        <v>20.402200131773935</v>
      </c>
      <c r="AU84" s="53">
        <f ca="1">OFFSET('National statistics'!$A$6,MATCH(R0_estimation!$A84,'National statistics'!$A$7:$A$5000,0),MATCH(R0_estimation!AU$16 &amp; "_Running14daysNew",'National statistics'!$B$1:$HA$1,0))</f>
        <v>99</v>
      </c>
      <c r="AV84" s="97">
        <f t="shared" ca="1" si="230"/>
        <v>1.3230125268909632</v>
      </c>
      <c r="AW84" s="98">
        <f t="shared" ca="1" si="189"/>
        <v>0.85754424097138826</v>
      </c>
      <c r="AX84" s="77">
        <f t="shared" ca="1" si="231"/>
        <v>5853508.8484372105</v>
      </c>
      <c r="AY84" s="77">
        <f t="shared" ca="1" si="232"/>
        <v>36.273756067632377</v>
      </c>
      <c r="AZ84" s="77">
        <f t="shared" ca="1" si="233"/>
        <v>100.96471563286651</v>
      </c>
      <c r="BA84" s="77">
        <f t="shared" ca="1" si="234"/>
        <v>0</v>
      </c>
      <c r="BB84" s="77">
        <f t="shared" ca="1" si="235"/>
        <v>190.80294555582668</v>
      </c>
      <c r="BC84" s="54">
        <f t="shared" ca="1" si="236"/>
        <v>1.9273024803618863</v>
      </c>
      <c r="BD84" s="53">
        <f ca="1">OFFSET('National statistics'!$A$6,MATCH(R0_estimation!$A84,'National statistics'!$A$7:$A$5000,0),MATCH(R0_estimation!BD$16 &amp; "_Running14daysNew",'National statistics'!$B$1:$HA$1,0))</f>
        <v>54</v>
      </c>
      <c r="BE84" s="97">
        <f t="shared" ca="1" si="237"/>
        <v>2.7378826770959304</v>
      </c>
      <c r="BF84" s="98">
        <f t="shared" ca="1" si="190"/>
        <v>0.72178134408538486</v>
      </c>
      <c r="BG84" s="77">
        <f t="shared" ca="1" si="238"/>
        <v>4808997.9502927028</v>
      </c>
      <c r="BH84" s="77">
        <f t="shared" ca="1" si="239"/>
        <v>32.82498238435754</v>
      </c>
      <c r="BI84" s="77">
        <f t="shared" ca="1" si="240"/>
        <v>55.703526960441273</v>
      </c>
      <c r="BJ84" s="77">
        <f t="shared" ca="1" si="241"/>
        <v>0</v>
      </c>
      <c r="BK84" s="77">
        <f t="shared" ca="1" si="242"/>
        <v>110.0460223299808</v>
      </c>
      <c r="BL84" s="54">
        <f t="shared" ca="1" si="243"/>
        <v>1.1115759831311194</v>
      </c>
      <c r="BM84" s="53">
        <f ca="1">OFFSET('National statistics'!$A$6,MATCH(R0_estimation!$A84,'National statistics'!$A$7:$A$5000,0),MATCH(R0_estimation!BM$16 &amp; "_Running14daysNew",'National statistics'!$B$1:$HA$1,0))</f>
        <v>199</v>
      </c>
      <c r="BN84" s="97">
        <f t="shared" ca="1" si="244"/>
        <v>5.497453992143007</v>
      </c>
      <c r="BO84" s="98">
        <f t="shared" ca="1" si="191"/>
        <v>0.99326027081939861</v>
      </c>
      <c r="BP84" s="77">
        <f t="shared" ca="1" si="245"/>
        <v>4107182.4547700207</v>
      </c>
      <c r="BQ84" s="77">
        <f t="shared" ca="1" si="246"/>
        <v>147.00404425282628</v>
      </c>
      <c r="BR84" s="77">
        <f t="shared" ca="1" si="247"/>
        <v>156.09118879833898</v>
      </c>
      <c r="BS84" s="77">
        <f t="shared" ca="1" si="248"/>
        <v>0</v>
      </c>
      <c r="BT84" s="77">
        <f t="shared" ca="1" si="249"/>
        <v>148.12355939839415</v>
      </c>
      <c r="BU84" s="54">
        <f t="shared" ca="1" si="250"/>
        <v>1.4961975696807492</v>
      </c>
      <c r="BV84" s="53">
        <f ca="1">OFFSET('National statistics'!$A$6,MATCH(R0_estimation!$A84,'National statistics'!$A$7:$A$5000,0),MATCH(R0_estimation!BV$16 &amp; "_Running14daysNew",'National statistics'!$B$1:$HA$1,0))</f>
        <v>54</v>
      </c>
      <c r="BW84" s="97">
        <f t="shared" ca="1" si="251"/>
        <v>4.1476075519699354</v>
      </c>
      <c r="BX84" s="98">
        <f t="shared" ca="1" si="192"/>
        <v>0.68996207341942262</v>
      </c>
      <c r="BY84" s="77">
        <f t="shared" ca="1" si="252"/>
        <v>1322127.013376452</v>
      </c>
      <c r="BZ84" s="77">
        <f t="shared" ca="1" si="253"/>
        <v>23.403714933796422</v>
      </c>
      <c r="CA84" s="77">
        <f t="shared" ca="1" si="254"/>
        <v>29.95728260503374</v>
      </c>
      <c r="CB84" s="77">
        <f t="shared" ca="1" si="255"/>
        <v>0</v>
      </c>
      <c r="CC84" s="77">
        <f t="shared" ca="1" si="256"/>
        <v>53.187451402902511</v>
      </c>
      <c r="CD84" s="54">
        <f t="shared" ca="1" si="257"/>
        <v>0.53724698386770242</v>
      </c>
      <c r="CE84" s="53">
        <f ca="1">OFFSET('National statistics'!$A$6,MATCH(R0_estimation!$A84,'National statistics'!$A$7:$A$5000,0),MATCH(R0_estimation!CE$16 &amp; "_Running14daysNew",'National statistics'!$B$1:$HA$1,0))</f>
        <v>12944</v>
      </c>
      <c r="CF84" s="97">
        <f t="shared" ca="1" si="258"/>
        <v>1.8309915393973175</v>
      </c>
      <c r="CG84" s="98">
        <f t="shared" ca="1" si="193"/>
        <v>1.2165621122686727</v>
      </c>
      <c r="CH84" s="77">
        <f t="shared" ca="1" si="259"/>
        <v>7268854.7375778295</v>
      </c>
      <c r="CI84" s="77">
        <f t="shared" ca="1" si="260"/>
        <v>6258.6460321139939</v>
      </c>
      <c r="CJ84" s="77">
        <f t="shared" ca="1" si="261"/>
        <v>13812.195893612397</v>
      </c>
      <c r="CK84" s="77">
        <f t="shared" ca="1" si="262"/>
        <v>0</v>
      </c>
      <c r="CL84" s="77">
        <f t="shared" ca="1" si="263"/>
        <v>15797.751528977586</v>
      </c>
      <c r="CM84" s="54">
        <f t="shared" ca="1" si="264"/>
        <v>159.57324776745034</v>
      </c>
      <c r="CO84" s="209"/>
      <c r="CP84" s="210"/>
    </row>
    <row r="85" spans="1:94">
      <c r="A85" s="83">
        <v>43985</v>
      </c>
      <c r="B85" s="53">
        <f ca="1">OFFSET('National statistics'!$A$6,MATCH(R0_estimation!$A85,'National statistics'!$A$7:$A$5000,0),MATCH(R0_estimation!B$16 &amp; "_Running14daysNew",'National statistics'!$B$1:$HA$1,0))</f>
        <v>19707</v>
      </c>
      <c r="C85" s="97">
        <f t="shared" ca="1" si="195"/>
        <v>2.1996789936101133</v>
      </c>
      <c r="D85" s="98">
        <f t="shared" si="194"/>
        <v>1</v>
      </c>
      <c r="E85" s="77">
        <f t="shared" ca="1" si="196"/>
        <v>59658624.732061334</v>
      </c>
      <c r="F85" s="77">
        <f t="shared" ca="1" si="197"/>
        <v>10202.876203252217</v>
      </c>
      <c r="G85" s="77">
        <f t="shared" ca="1" si="198"/>
        <v>19971.951107881756</v>
      </c>
      <c r="H85" s="77">
        <f t="shared" ca="1" si="199"/>
        <v>0</v>
      </c>
      <c r="I85" s="77">
        <f t="shared" ca="1" si="200"/>
        <v>28440.674036374086</v>
      </c>
      <c r="J85" s="54">
        <f t="shared" ca="1" si="201"/>
        <v>287.27953572095043</v>
      </c>
      <c r="K85" s="53">
        <f ca="1">OFFSET('National statistics'!$A$6,MATCH(R0_estimation!$A85,'National statistics'!$A$7:$A$5000,0),MATCH(R0_estimation!K$16 &amp; "_Running14daysNew",'National statistics'!$B$1:$HA$1,0))</f>
        <v>2311</v>
      </c>
      <c r="L85" s="97">
        <f t="shared" ca="1" si="202"/>
        <v>2.6122077663065371</v>
      </c>
      <c r="M85" s="98">
        <f t="shared" ca="1" si="185"/>
        <v>1.3891436550517304</v>
      </c>
      <c r="N85" s="77">
        <f t="shared" ca="1" si="203"/>
        <v>6864504.8131654235</v>
      </c>
      <c r="O85" s="77">
        <f t="shared" ca="1" si="204"/>
        <v>1449.829739945254</v>
      </c>
      <c r="P85" s="77">
        <f t="shared" ca="1" si="205"/>
        <v>2509.1228799258975</v>
      </c>
      <c r="Q85" s="77">
        <f t="shared" ca="1" si="206"/>
        <v>0</v>
      </c>
      <c r="R85" s="77">
        <f t="shared" ca="1" si="207"/>
        <v>2277.4134292998765</v>
      </c>
      <c r="S85" s="54">
        <f t="shared" ca="1" si="208"/>
        <v>23.004176053534103</v>
      </c>
      <c r="T85" s="53">
        <f ca="1">OFFSET('National statistics'!$A$6,MATCH(R0_estimation!$A85,'National statistics'!$A$7:$A$5000,0),MATCH(R0_estimation!T$16 &amp; "_Running14daysNew",'National statistics'!$B$1:$HA$1,0))</f>
        <v>139</v>
      </c>
      <c r="U85" s="97">
        <f t="shared" ca="1" si="209"/>
        <v>2.5131690644603863</v>
      </c>
      <c r="V85" s="98">
        <f t="shared" ca="1" si="186"/>
        <v>0.50313552847557719</v>
      </c>
      <c r="W85" s="77">
        <f t="shared" ca="1" si="210"/>
        <v>2808440.5424059592</v>
      </c>
      <c r="X85" s="77">
        <f t="shared" ca="1" si="211"/>
        <v>62.885960459946631</v>
      </c>
      <c r="Y85" s="77">
        <f t="shared" ca="1" si="212"/>
        <v>113.09560375088216</v>
      </c>
      <c r="Z85" s="77">
        <f t="shared" ca="1" si="213"/>
        <v>0</v>
      </c>
      <c r="AA85" s="77">
        <f t="shared" ca="1" si="214"/>
        <v>388.67932366188819</v>
      </c>
      <c r="AB85" s="54">
        <f t="shared" ca="1" si="215"/>
        <v>3.9260537743625066</v>
      </c>
      <c r="AC85" s="53">
        <f ca="1">OFFSET('National statistics'!$A$6,MATCH(R0_estimation!$A85,'National statistics'!$A$7:$A$5000,0),MATCH(R0_estimation!AC$16 &amp; "_Running14daysNew",'National statistics'!$B$1:$HA$1,0))</f>
        <v>2167</v>
      </c>
      <c r="AD85" s="97">
        <f t="shared" ca="1" si="216"/>
        <v>3.800414836322612</v>
      </c>
      <c r="AE85" s="98">
        <f t="shared" ca="1" si="187"/>
        <v>0.57565754152920057</v>
      </c>
      <c r="AF85" s="77">
        <f t="shared" ca="1" si="217"/>
        <v>15631862.057574395</v>
      </c>
      <c r="AG85" s="77">
        <f t="shared" ca="1" si="218"/>
        <v>1396.945747781208</v>
      </c>
      <c r="AH85" s="77">
        <f t="shared" ca="1" si="219"/>
        <v>1888.4978703870086</v>
      </c>
      <c r="AI85" s="77">
        <f t="shared" ca="1" si="220"/>
        <v>0</v>
      </c>
      <c r="AJ85" s="77">
        <f t="shared" ca="1" si="221"/>
        <v>4245.783652898408</v>
      </c>
      <c r="AK85" s="54">
        <f t="shared" ca="1" si="222"/>
        <v>42.88670356463038</v>
      </c>
      <c r="AL85" s="53">
        <f ca="1">OFFSET('National statistics'!$A$6,MATCH(R0_estimation!$A85,'National statistics'!$A$7:$A$5000,0),MATCH(R0_estimation!AL$16 &amp; "_Running14daysNew",'National statistics'!$B$1:$HA$1,0))</f>
        <v>1057</v>
      </c>
      <c r="AM85" s="97">
        <f t="shared" ca="1" si="223"/>
        <v>1.6016155185401029</v>
      </c>
      <c r="AN85" s="98">
        <f t="shared" ca="1" si="188"/>
        <v>0.74495013848278369</v>
      </c>
      <c r="AO85" s="77">
        <f t="shared" ca="1" si="224"/>
        <v>10997099.629439211</v>
      </c>
      <c r="AP85" s="77">
        <f t="shared" ca="1" si="225"/>
        <v>383.00172128814222</v>
      </c>
      <c r="AQ85" s="77">
        <f t="shared" ca="1" si="226"/>
        <v>941.28534938247765</v>
      </c>
      <c r="AR85" s="77">
        <f t="shared" ca="1" si="227"/>
        <v>0</v>
      </c>
      <c r="AS85" s="77">
        <f t="shared" ca="1" si="228"/>
        <v>2084.430622589126</v>
      </c>
      <c r="AT85" s="54">
        <f t="shared" ca="1" si="229"/>
        <v>21.05485477362754</v>
      </c>
      <c r="AU85" s="53">
        <f ca="1">OFFSET('National statistics'!$A$6,MATCH(R0_estimation!$A85,'National statistics'!$A$7:$A$5000,0),MATCH(R0_estimation!AU$16 &amp; "_Running14daysNew",'National statistics'!$B$1:$HA$1,0))</f>
        <v>107</v>
      </c>
      <c r="AV85" s="97">
        <f t="shared" ca="1" si="230"/>
        <v>1.3230125268909632</v>
      </c>
      <c r="AW85" s="98">
        <f t="shared" ca="1" si="189"/>
        <v>0.85754424097138826</v>
      </c>
      <c r="AX85" s="77">
        <f t="shared" ca="1" si="231"/>
        <v>5853499.3077159217</v>
      </c>
      <c r="AY85" s="77">
        <f t="shared" ca="1" si="232"/>
        <v>36.746038339435252</v>
      </c>
      <c r="AZ85" s="77">
        <f t="shared" ca="1" si="233"/>
        <v>102.82138924742701</v>
      </c>
      <c r="BA85" s="77">
        <f t="shared" ca="1" si="234"/>
        <v>0</v>
      </c>
      <c r="BB85" s="77">
        <f t="shared" ca="1" si="235"/>
        <v>197.94259330415082</v>
      </c>
      <c r="BC85" s="54">
        <f t="shared" ca="1" si="236"/>
        <v>1.9994201343853624</v>
      </c>
      <c r="BD85" s="53">
        <f ca="1">OFFSET('National statistics'!$A$6,MATCH(R0_estimation!$A85,'National statistics'!$A$7:$A$5000,0),MATCH(R0_estimation!BD$16 &amp; "_Running14daysNew",'National statistics'!$B$1:$HA$1,0))</f>
        <v>44</v>
      </c>
      <c r="BE85" s="97">
        <f t="shared" ca="1" si="237"/>
        <v>2.7378826770959304</v>
      </c>
      <c r="BF85" s="98">
        <f t="shared" ca="1" si="190"/>
        <v>0.72178134408538486</v>
      </c>
      <c r="BG85" s="77">
        <f t="shared" ca="1" si="238"/>
        <v>4808987.0571909668</v>
      </c>
      <c r="BH85" s="77">
        <f t="shared" ca="1" si="239"/>
        <v>35.511838524176412</v>
      </c>
      <c r="BI85" s="77">
        <f t="shared" ca="1" si="240"/>
        <v>59.930949202213419</v>
      </c>
      <c r="BJ85" s="77">
        <f t="shared" ca="1" si="241"/>
        <v>0</v>
      </c>
      <c r="BK85" s="77">
        <f t="shared" ca="1" si="242"/>
        <v>113.98505745075487</v>
      </c>
      <c r="BL85" s="54">
        <f t="shared" ca="1" si="243"/>
        <v>1.1513642166742917</v>
      </c>
      <c r="BM85" s="53">
        <f ca="1">OFFSET('National statistics'!$A$6,MATCH(R0_estimation!$A85,'National statistics'!$A$7:$A$5000,0),MATCH(R0_estimation!BM$16 &amp; "_Running14daysNew",'National statistics'!$B$1:$HA$1,0))</f>
        <v>242</v>
      </c>
      <c r="BN85" s="97">
        <f t="shared" ca="1" si="244"/>
        <v>5.497453992143007</v>
      </c>
      <c r="BO85" s="98">
        <f t="shared" ca="1" si="191"/>
        <v>0.99326027081939861</v>
      </c>
      <c r="BP85" s="77">
        <f t="shared" ca="1" si="245"/>
        <v>4107121.1683509313</v>
      </c>
      <c r="BQ85" s="77">
        <f t="shared" ca="1" si="246"/>
        <v>171.53945227926039</v>
      </c>
      <c r="BR85" s="77">
        <f t="shared" ca="1" si="247"/>
        <v>181.69282923309277</v>
      </c>
      <c r="BS85" s="77">
        <f t="shared" ca="1" si="248"/>
        <v>0</v>
      </c>
      <c r="BT85" s="77">
        <f t="shared" ca="1" si="249"/>
        <v>159.16143632056242</v>
      </c>
      <c r="BU85" s="54">
        <f t="shared" ca="1" si="250"/>
        <v>1.6076912759652771</v>
      </c>
      <c r="BV85" s="53">
        <f ca="1">OFFSET('National statistics'!$A$6,MATCH(R0_estimation!$A85,'National statistics'!$A$7:$A$5000,0),MATCH(R0_estimation!BV$16 &amp; "_Running14daysNew",'National statistics'!$B$1:$HA$1,0))</f>
        <v>55</v>
      </c>
      <c r="BW85" s="97">
        <f t="shared" ca="1" si="251"/>
        <v>4.1476075519699354</v>
      </c>
      <c r="BX85" s="98">
        <f t="shared" ca="1" si="192"/>
        <v>0.68996207341942262</v>
      </c>
      <c r="BY85" s="77">
        <f t="shared" ca="1" si="252"/>
        <v>1322118.1390165128</v>
      </c>
      <c r="BZ85" s="77">
        <f t="shared" ca="1" si="253"/>
        <v>26.427146139621787</v>
      </c>
      <c r="CA85" s="77">
        <f t="shared" ca="1" si="254"/>
        <v>33.668405438123294</v>
      </c>
      <c r="CB85" s="77">
        <f t="shared" ca="1" si="255"/>
        <v>0</v>
      </c>
      <c r="CC85" s="77">
        <f t="shared" ca="1" si="256"/>
        <v>55.305859244258471</v>
      </c>
      <c r="CD85" s="54">
        <f t="shared" ca="1" si="257"/>
        <v>0.5586450428712979</v>
      </c>
      <c r="CE85" s="53">
        <f ca="1">OFFSET('National statistics'!$A$6,MATCH(R0_estimation!$A85,'National statistics'!$A$7:$A$5000,0),MATCH(R0_estimation!CE$16 &amp; "_Running14daysNew",'National statistics'!$B$1:$HA$1,0))</f>
        <v>13585</v>
      </c>
      <c r="CF85" s="97">
        <f t="shared" ca="1" si="258"/>
        <v>1.8309915393973175</v>
      </c>
      <c r="CG85" s="98">
        <f t="shared" ca="1" si="193"/>
        <v>1.2165621122686727</v>
      </c>
      <c r="CH85" s="77">
        <f t="shared" ca="1" si="259"/>
        <v>7267057.1781822499</v>
      </c>
      <c r="CI85" s="77">
        <f t="shared" ca="1" si="260"/>
        <v>6491.5439196650341</v>
      </c>
      <c r="CJ85" s="77">
        <f t="shared" ca="1" si="261"/>
        <v>14390.271980668582</v>
      </c>
      <c r="CK85" s="77">
        <f t="shared" ca="1" si="262"/>
        <v>0</v>
      </c>
      <c r="CL85" s="77">
        <f t="shared" ca="1" si="263"/>
        <v>16774.471095740177</v>
      </c>
      <c r="CM85" s="54">
        <f t="shared" ca="1" si="264"/>
        <v>169.43910197717349</v>
      </c>
      <c r="CO85" s="209"/>
      <c r="CP85" s="210"/>
    </row>
    <row r="86" spans="1:94">
      <c r="A86" s="83">
        <v>43986</v>
      </c>
      <c r="B86" s="53">
        <f ca="1">OFFSET('National statistics'!$A$6,MATCH(R0_estimation!$A86,'National statistics'!$A$7:$A$5000,0),MATCH(R0_estimation!B$16 &amp; "_Running14daysNew",'National statistics'!$B$1:$HA$1,0))</f>
        <v>21651</v>
      </c>
      <c r="C86" s="97">
        <f t="shared" ca="1" si="195"/>
        <v>2.1996789936101133</v>
      </c>
      <c r="D86" s="98">
        <f t="shared" si="194"/>
        <v>1</v>
      </c>
      <c r="E86" s="77">
        <f t="shared" ca="1" si="196"/>
        <v>59655489.820636846</v>
      </c>
      <c r="F86" s="77">
        <f t="shared" ca="1" si="197"/>
        <v>10787.06857692479</v>
      </c>
      <c r="G86" s="77">
        <f t="shared" ca="1" si="198"/>
        <v>21096.102222417543</v>
      </c>
      <c r="H86" s="77">
        <f t="shared" ca="1" si="199"/>
        <v>0</v>
      </c>
      <c r="I86" s="77">
        <f t="shared" ca="1" si="200"/>
        <v>29852.976293288582</v>
      </c>
      <c r="J86" s="54">
        <f t="shared" ca="1" si="201"/>
        <v>301.54521508372312</v>
      </c>
      <c r="K86" s="53">
        <f ca="1">OFFSET('National statistics'!$A$6,MATCH(R0_estimation!$A86,'National statistics'!$A$7:$A$5000,0),MATCH(R0_estimation!K$16 &amp; "_Running14daysNew",'National statistics'!$B$1:$HA$1,0))</f>
        <v>2612</v>
      </c>
      <c r="L86" s="97">
        <f t="shared" ca="1" si="202"/>
        <v>2.6122077663065371</v>
      </c>
      <c r="M86" s="98">
        <f t="shared" ca="1" si="185"/>
        <v>1.3891436550517304</v>
      </c>
      <c r="N86" s="77">
        <f t="shared" ca="1" si="203"/>
        <v>6864037.0702307047</v>
      </c>
      <c r="O86" s="77">
        <f t="shared" ca="1" si="204"/>
        <v>1555.1152396776961</v>
      </c>
      <c r="P86" s="77">
        <f t="shared" ca="1" si="205"/>
        <v>2692.3572520603611</v>
      </c>
      <c r="Q86" s="77">
        <f t="shared" ca="1" si="206"/>
        <v>0</v>
      </c>
      <c r="R86" s="77">
        <f t="shared" ca="1" si="207"/>
        <v>2454.8442615232079</v>
      </c>
      <c r="S86" s="54">
        <f t="shared" ca="1" si="208"/>
        <v>24.796406682052602</v>
      </c>
      <c r="T86" s="53">
        <f ca="1">OFFSET('National statistics'!$A$6,MATCH(R0_estimation!$A86,'National statistics'!$A$7:$A$5000,0),MATCH(R0_estimation!T$16 &amp; "_Running14daysNew",'National statistics'!$B$1:$HA$1,0))</f>
        <v>139</v>
      </c>
      <c r="U86" s="97">
        <f t="shared" ca="1" si="209"/>
        <v>2.5131690644603863</v>
      </c>
      <c r="V86" s="98">
        <f t="shared" ca="1" si="186"/>
        <v>0.50313552847557719</v>
      </c>
      <c r="W86" s="77">
        <f t="shared" ca="1" si="210"/>
        <v>2808420.2444604146</v>
      </c>
      <c r="X86" s="77">
        <f t="shared" ca="1" si="211"/>
        <v>67.462415889663248</v>
      </c>
      <c r="Y86" s="77">
        <f t="shared" ca="1" si="212"/>
        <v>120.73883645509153</v>
      </c>
      <c r="Z86" s="77">
        <f t="shared" ca="1" si="213"/>
        <v>0</v>
      </c>
      <c r="AA86" s="77">
        <f t="shared" ca="1" si="214"/>
        <v>396.67679849855773</v>
      </c>
      <c r="AB86" s="54">
        <f t="shared" ca="1" si="215"/>
        <v>4.0068363484702791</v>
      </c>
      <c r="AC86" s="53">
        <f ca="1">OFFSET('National statistics'!$A$6,MATCH(R0_estimation!$A86,'National statistics'!$A$7:$A$5000,0),MATCH(R0_estimation!AC$16 &amp; "_Running14daysNew",'National statistics'!$B$1:$HA$1,0))</f>
        <v>2392</v>
      </c>
      <c r="AD86" s="97">
        <f t="shared" ca="1" si="216"/>
        <v>3.800414836322612</v>
      </c>
      <c r="AE86" s="98">
        <f t="shared" ca="1" si="187"/>
        <v>0.57565754152920057</v>
      </c>
      <c r="AF86" s="77">
        <f t="shared" ca="1" si="217"/>
        <v>15631349.656205194</v>
      </c>
      <c r="AG86" s="77">
        <f t="shared" ca="1" si="218"/>
        <v>1560.1106800376283</v>
      </c>
      <c r="AH86" s="77">
        <f t="shared" ca="1" si="219"/>
        <v>2102.841602304667</v>
      </c>
      <c r="AI86" s="77">
        <f t="shared" ca="1" si="220"/>
        <v>0</v>
      </c>
      <c r="AJ86" s="77">
        <f t="shared" ca="1" si="221"/>
        <v>4379.3274308757755</v>
      </c>
      <c r="AK86" s="54">
        <f t="shared" ca="1" si="222"/>
        <v>44.235630614906817</v>
      </c>
      <c r="AL86" s="53">
        <f ca="1">OFFSET('National statistics'!$A$6,MATCH(R0_estimation!$A86,'National statistics'!$A$7:$A$5000,0),MATCH(R0_estimation!AL$16 &amp; "_Running14daysNew",'National statistics'!$B$1:$HA$1,0))</f>
        <v>1176</v>
      </c>
      <c r="AM86" s="97">
        <f t="shared" ca="1" si="223"/>
        <v>1.6016155185401029</v>
      </c>
      <c r="AN86" s="98">
        <f t="shared" ca="1" si="188"/>
        <v>0.74495013848278369</v>
      </c>
      <c r="AO86" s="77">
        <f t="shared" ca="1" si="224"/>
        <v>10996991.978719829</v>
      </c>
      <c r="AP86" s="77">
        <f t="shared" ca="1" si="225"/>
        <v>394.90201034741176</v>
      </c>
      <c r="AQ86" s="77">
        <f t="shared" ca="1" si="226"/>
        <v>969.8011118914792</v>
      </c>
      <c r="AR86" s="77">
        <f t="shared" ca="1" si="227"/>
        <v>0</v>
      </c>
      <c r="AS86" s="77">
        <f t="shared" ca="1" si="228"/>
        <v>2150.9929437240298</v>
      </c>
      <c r="AT86" s="54">
        <f t="shared" ca="1" si="229"/>
        <v>21.727201451757882</v>
      </c>
      <c r="AU86" s="53">
        <f ca="1">OFFSET('National statistics'!$A$6,MATCH(R0_estimation!$A86,'National statistics'!$A$7:$A$5000,0),MATCH(R0_estimation!AU$16 &amp; "_Running14daysNew",'National statistics'!$B$1:$HA$1,0))</f>
        <v>85</v>
      </c>
      <c r="AV86" s="97">
        <f t="shared" ca="1" si="230"/>
        <v>1.3230125268909632</v>
      </c>
      <c r="AW86" s="98">
        <f t="shared" ca="1" si="189"/>
        <v>0.85754424097138826</v>
      </c>
      <c r="AX86" s="77">
        <f t="shared" ca="1" si="231"/>
        <v>5853489.5915628644</v>
      </c>
      <c r="AY86" s="77">
        <f t="shared" ca="1" si="232"/>
        <v>37.275681811945766</v>
      </c>
      <c r="AZ86" s="77">
        <f t="shared" ca="1" si="233"/>
        <v>104.66351388604103</v>
      </c>
      <c r="BA86" s="77">
        <f t="shared" ca="1" si="234"/>
        <v>0</v>
      </c>
      <c r="BB86" s="77">
        <f t="shared" ca="1" si="235"/>
        <v>205.21353440093316</v>
      </c>
      <c r="BC86" s="54">
        <f t="shared" ca="1" si="236"/>
        <v>2.0728639838478102</v>
      </c>
      <c r="BD86" s="53">
        <f ca="1">OFFSET('National statistics'!$A$6,MATCH(R0_estimation!$A86,'National statistics'!$A$7:$A$5000,0),MATCH(R0_estimation!BD$16 &amp; "_Running14daysNew",'National statistics'!$B$1:$HA$1,0))</f>
        <v>49</v>
      </c>
      <c r="BE86" s="97">
        <f t="shared" ca="1" si="237"/>
        <v>2.7378826770959304</v>
      </c>
      <c r="BF86" s="98">
        <f t="shared" ca="1" si="190"/>
        <v>0.72178134408538486</v>
      </c>
      <c r="BG86" s="77">
        <f t="shared" ca="1" si="238"/>
        <v>4808975.3374222368</v>
      </c>
      <c r="BH86" s="77">
        <f t="shared" ca="1" si="239"/>
        <v>38.353647623166722</v>
      </c>
      <c r="BI86" s="77">
        <f t="shared" ca="1" si="240"/>
        <v>64.52812674738513</v>
      </c>
      <c r="BJ86" s="77">
        <f t="shared" ca="1" si="241"/>
        <v>0</v>
      </c>
      <c r="BK86" s="77">
        <f t="shared" ca="1" si="242"/>
        <v>118.22303171576853</v>
      </c>
      <c r="BL86" s="54">
        <f t="shared" ca="1" si="243"/>
        <v>1.1941720375330156</v>
      </c>
      <c r="BM86" s="53">
        <f ca="1">OFFSET('National statistics'!$A$6,MATCH(R0_estimation!$A86,'National statistics'!$A$7:$A$5000,0),MATCH(R0_estimation!BM$16 &amp; "_Running14daysNew",'National statistics'!$B$1:$HA$1,0))</f>
        <v>287</v>
      </c>
      <c r="BN86" s="97">
        <f t="shared" ca="1" si="244"/>
        <v>5.497453992143007</v>
      </c>
      <c r="BO86" s="98">
        <f t="shared" ca="1" si="191"/>
        <v>0.99326027081939861</v>
      </c>
      <c r="BP86" s="77">
        <f t="shared" ca="1" si="245"/>
        <v>4107049.8309672675</v>
      </c>
      <c r="BQ86" s="77">
        <f t="shared" ca="1" si="246"/>
        <v>199.99197287301519</v>
      </c>
      <c r="BR86" s="77">
        <f t="shared" ca="1" si="247"/>
        <v>211.59963307197265</v>
      </c>
      <c r="BS86" s="77">
        <f t="shared" ca="1" si="248"/>
        <v>0</v>
      </c>
      <c r="BT86" s="77">
        <f t="shared" ca="1" si="249"/>
        <v>172.00971495918827</v>
      </c>
      <c r="BU86" s="54">
        <f t="shared" ca="1" si="250"/>
        <v>1.7374718682746291</v>
      </c>
      <c r="BV86" s="53">
        <f ca="1">OFFSET('National statistics'!$A$6,MATCH(R0_estimation!$A86,'National statistics'!$A$7:$A$5000,0),MATCH(R0_estimation!BV$16 &amp; "_Running14daysNew",'National statistics'!$B$1:$HA$1,0))</f>
        <v>58</v>
      </c>
      <c r="BW86" s="97">
        <f t="shared" ca="1" si="251"/>
        <v>4.1476075519699354</v>
      </c>
      <c r="BX86" s="98">
        <f t="shared" ca="1" si="192"/>
        <v>0.68996207341942262</v>
      </c>
      <c r="BY86" s="77">
        <f t="shared" ca="1" si="252"/>
        <v>1322108.1653633043</v>
      </c>
      <c r="BZ86" s="77">
        <f t="shared" ca="1" si="253"/>
        <v>29.794012813195572</v>
      </c>
      <c r="CA86" s="77">
        <f t="shared" ca="1" si="254"/>
        <v>37.87030587030565</v>
      </c>
      <c r="CB86" s="77">
        <f t="shared" ca="1" si="255"/>
        <v>0</v>
      </c>
      <c r="CC86" s="77">
        <f t="shared" ca="1" si="256"/>
        <v>57.686696485954336</v>
      </c>
      <c r="CD86" s="54">
        <f t="shared" ca="1" si="257"/>
        <v>0.58269390389852882</v>
      </c>
      <c r="CE86" s="53">
        <f ca="1">OFFSET('National statistics'!$A$6,MATCH(R0_estimation!$A86,'National statistics'!$A$7:$A$5000,0),MATCH(R0_estimation!CE$16 &amp; "_Running14daysNew",'National statistics'!$B$1:$HA$1,0))</f>
        <v>14853</v>
      </c>
      <c r="CF86" s="97">
        <f t="shared" ca="1" si="258"/>
        <v>1.8309915393973175</v>
      </c>
      <c r="CG86" s="98">
        <f t="shared" ca="1" si="193"/>
        <v>1.2165621122686727</v>
      </c>
      <c r="CH86" s="77">
        <f t="shared" ca="1" si="259"/>
        <v>7265184.8468866367</v>
      </c>
      <c r="CI86" s="77">
        <f t="shared" ca="1" si="260"/>
        <v>6740.9892353619216</v>
      </c>
      <c r="CJ86" s="77">
        <f t="shared" ca="1" si="261"/>
        <v>14985.281390537084</v>
      </c>
      <c r="CK86" s="77">
        <f t="shared" ca="1" si="262"/>
        <v>0</v>
      </c>
      <c r="CL86" s="77">
        <f t="shared" ca="1" si="263"/>
        <v>17792.068900087455</v>
      </c>
      <c r="CM86" s="54">
        <f t="shared" ca="1" si="264"/>
        <v>179.71786767765104</v>
      </c>
      <c r="CO86" s="209"/>
      <c r="CP86" s="210"/>
    </row>
    <row r="87" spans="1:94" ht="10.5" customHeight="1">
      <c r="A87" s="83">
        <v>43987</v>
      </c>
      <c r="B87" s="53">
        <f ca="1">OFFSET('National statistics'!$A$6,MATCH(R0_estimation!$A87,'National statistics'!$A$7:$A$5000,0),MATCH(R0_estimation!B$16 &amp; "_Running14daysNew",'National statistics'!$B$1:$HA$1,0))</f>
        <v>23304</v>
      </c>
      <c r="C87" s="97">
        <f t="shared" ca="1" si="195"/>
        <v>2.1996789936101133</v>
      </c>
      <c r="D87" s="98">
        <f t="shared" si="194"/>
        <v>1</v>
      </c>
      <c r="E87" s="77">
        <f t="shared" ca="1" si="196"/>
        <v>59652178.629250892</v>
      </c>
      <c r="F87" s="77">
        <f t="shared" ca="1" si="197"/>
        <v>11401.492818650677</v>
      </c>
      <c r="G87" s="77">
        <f t="shared" ca="1" si="198"/>
        <v>22286.004922190346</v>
      </c>
      <c r="H87" s="77">
        <f t="shared" ca="1" si="199"/>
        <v>0</v>
      </c>
      <c r="I87" s="77">
        <f t="shared" ca="1" si="200"/>
        <v>31344.772093302396</v>
      </c>
      <c r="J87" s="54">
        <f t="shared" ca="1" si="201"/>
        <v>316.6138595283071</v>
      </c>
      <c r="K87" s="53">
        <f ca="1">OFFSET('National statistics'!$A$6,MATCH(R0_estimation!$A87,'National statistics'!$A$7:$A$5000,0),MATCH(R0_estimation!K$16 &amp; "_Running14daysNew",'National statistics'!$B$1:$HA$1,0))</f>
        <v>2781</v>
      </c>
      <c r="L87" s="97">
        <f t="shared" ca="1" si="202"/>
        <v>2.6122077663065371</v>
      </c>
      <c r="M87" s="98">
        <f t="shared" ca="1" si="185"/>
        <v>1.3891436550517304</v>
      </c>
      <c r="N87" s="77">
        <f t="shared" ca="1" si="203"/>
        <v>6863535.2033787742</v>
      </c>
      <c r="O87" s="77">
        <f t="shared" ca="1" si="204"/>
        <v>1668.2032816888373</v>
      </c>
      <c r="P87" s="77">
        <f t="shared" ca="1" si="205"/>
        <v>2888.8248296897596</v>
      </c>
      <c r="Q87" s="77">
        <f t="shared" ca="1" si="206"/>
        <v>0</v>
      </c>
      <c r="R87" s="77">
        <f t="shared" ca="1" si="207"/>
        <v>2645.2323814903334</v>
      </c>
      <c r="S87" s="54">
        <f t="shared" ca="1" si="208"/>
        <v>26.719519004952861</v>
      </c>
      <c r="T87" s="53">
        <f ca="1">OFFSET('National statistics'!$A$6,MATCH(R0_estimation!$A87,'National statistics'!$A$7:$A$5000,0),MATCH(R0_estimation!T$16 &amp; "_Running14daysNew",'National statistics'!$B$1:$HA$1,0))</f>
        <v>151</v>
      </c>
      <c r="U87" s="97">
        <f t="shared" ca="1" si="209"/>
        <v>2.5131690644603863</v>
      </c>
      <c r="V87" s="98">
        <f t="shared" ca="1" si="186"/>
        <v>0.50313552847557719</v>
      </c>
      <c r="W87" s="77">
        <f t="shared" ca="1" si="210"/>
        <v>2808398.5748941014</v>
      </c>
      <c r="X87" s="77">
        <f t="shared" ca="1" si="211"/>
        <v>72.266378230601333</v>
      </c>
      <c r="Y87" s="77">
        <f t="shared" ca="1" si="212"/>
        <v>128.98023782357222</v>
      </c>
      <c r="Z87" s="77">
        <f t="shared" ca="1" si="213"/>
        <v>0</v>
      </c>
      <c r="AA87" s="77">
        <f t="shared" ca="1" si="214"/>
        <v>405.2147590764535</v>
      </c>
      <c r="AB87" s="54">
        <f t="shared" ca="1" si="215"/>
        <v>4.0930783745096306</v>
      </c>
      <c r="AC87" s="53">
        <f ca="1">OFFSET('National statistics'!$A$6,MATCH(R0_estimation!$A87,'National statistics'!$A$7:$A$5000,0),MATCH(R0_estimation!AC$16 &amp; "_Running14daysNew",'National statistics'!$B$1:$HA$1,0))</f>
        <v>2694</v>
      </c>
      <c r="AD87" s="97">
        <f t="shared" ca="1" si="216"/>
        <v>3.800414836322612</v>
      </c>
      <c r="AE87" s="98">
        <f t="shared" ca="1" si="187"/>
        <v>0.57565754152920057</v>
      </c>
      <c r="AF87" s="77">
        <f t="shared" ca="1" si="217"/>
        <v>15630779.11614454</v>
      </c>
      <c r="AG87" s="77">
        <f t="shared" ca="1" si="218"/>
        <v>1740.6230706830049</v>
      </c>
      <c r="AH87" s="77">
        <f t="shared" ca="1" si="219"/>
        <v>2342.6663007208836</v>
      </c>
      <c r="AI87" s="77">
        <f t="shared" ca="1" si="220"/>
        <v>0</v>
      </c>
      <c r="AJ87" s="77">
        <f t="shared" ca="1" si="221"/>
        <v>4528.0283727530341</v>
      </c>
      <c r="AK87" s="54">
        <f t="shared" ca="1" si="222"/>
        <v>45.737660330838722</v>
      </c>
      <c r="AL87" s="53">
        <f ca="1">OFFSET('National statistics'!$A$6,MATCH(R0_estimation!$A87,'National statistics'!$A$7:$A$5000,0),MATCH(R0_estimation!AL$16 &amp; "_Running14daysNew",'National statistics'!$B$1:$HA$1,0))</f>
        <v>1201</v>
      </c>
      <c r="AM87" s="97">
        <f t="shared" ca="1" si="223"/>
        <v>1.6016155185401029</v>
      </c>
      <c r="AN87" s="98">
        <f t="shared" ca="1" si="188"/>
        <v>0.74495013848278369</v>
      </c>
      <c r="AO87" s="77">
        <f t="shared" ca="1" si="224"/>
        <v>10996881.067855412</v>
      </c>
      <c r="AP87" s="77">
        <f t="shared" ca="1" si="225"/>
        <v>407.08737217657807</v>
      </c>
      <c r="AQ87" s="77">
        <f t="shared" ca="1" si="226"/>
        <v>999.25510648608372</v>
      </c>
      <c r="AR87" s="77">
        <f t="shared" ca="1" si="227"/>
        <v>0</v>
      </c>
      <c r="AS87" s="77">
        <f t="shared" ca="1" si="228"/>
        <v>2219.571736636356</v>
      </c>
      <c r="AT87" s="54">
        <f t="shared" ca="1" si="229"/>
        <v>22.419916531680368</v>
      </c>
      <c r="AU87" s="53">
        <f ca="1">OFFSET('National statistics'!$A$6,MATCH(R0_estimation!$A87,'National statistics'!$A$7:$A$5000,0),MATCH(R0_estimation!AU$16 &amp; "_Running14daysNew",'National statistics'!$B$1:$HA$1,0))</f>
        <v>95</v>
      </c>
      <c r="AV87" s="97">
        <f t="shared" ca="1" si="230"/>
        <v>1.3230125268909632</v>
      </c>
      <c r="AW87" s="98">
        <f t="shared" ca="1" si="189"/>
        <v>0.85754424097138826</v>
      </c>
      <c r="AX87" s="77">
        <f t="shared" ca="1" si="231"/>
        <v>5853479.7013537101</v>
      </c>
      <c r="AY87" s="77">
        <f t="shared" ca="1" si="232"/>
        <v>37.846970513457002</v>
      </c>
      <c r="AZ87" s="77">
        <f t="shared" ca="1" si="233"/>
        <v>106.50646906145312</v>
      </c>
      <c r="BA87" s="77">
        <f t="shared" ca="1" si="234"/>
        <v>0</v>
      </c>
      <c r="BB87" s="77">
        <f t="shared" ca="1" si="235"/>
        <v>212.61474002573178</v>
      </c>
      <c r="BC87" s="54">
        <f t="shared" ca="1" si="236"/>
        <v>2.1476236366235537</v>
      </c>
      <c r="BD87" s="53">
        <f ca="1">OFFSET('National statistics'!$A$6,MATCH(R0_estimation!$A87,'National statistics'!$A$7:$A$5000,0),MATCH(R0_estimation!BD$16 &amp; "_Running14daysNew",'National statistics'!$B$1:$HA$1,0))</f>
        <v>71</v>
      </c>
      <c r="BE87" s="97">
        <f t="shared" ca="1" si="237"/>
        <v>2.7378826770959304</v>
      </c>
      <c r="BF87" s="98">
        <f t="shared" ca="1" si="190"/>
        <v>0.72178134408538486</v>
      </c>
      <c r="BG87" s="77">
        <f t="shared" ca="1" si="238"/>
        <v>4808962.7186852433</v>
      </c>
      <c r="BH87" s="77">
        <f t="shared" ca="1" si="239"/>
        <v>41.383972710957856</v>
      </c>
      <c r="BI87" s="77">
        <f t="shared" ca="1" si="240"/>
        <v>69.507386742649288</v>
      </c>
      <c r="BJ87" s="77">
        <f t="shared" ca="1" si="241"/>
        <v>0</v>
      </c>
      <c r="BK87" s="77">
        <f t="shared" ca="1" si="242"/>
        <v>122.78609210719077</v>
      </c>
      <c r="BL87" s="54">
        <f t="shared" ca="1" si="243"/>
        <v>1.2402635566382907</v>
      </c>
      <c r="BM87" s="53">
        <f ca="1">OFFSET('National statistics'!$A$6,MATCH(R0_estimation!$A87,'National statistics'!$A$7:$A$5000,0),MATCH(R0_estimation!BM$16 &amp; "_Running14daysNew",'National statistics'!$B$1:$HA$1,0))</f>
        <v>329</v>
      </c>
      <c r="BN87" s="97">
        <f t="shared" ca="1" si="244"/>
        <v>5.497453992143007</v>
      </c>
      <c r="BO87" s="98">
        <f t="shared" ca="1" si="191"/>
        <v>0.99326027081939861</v>
      </c>
      <c r="BP87" s="77">
        <f t="shared" ca="1" si="245"/>
        <v>4106966.752826205</v>
      </c>
      <c r="BQ87" s="77">
        <f t="shared" ca="1" si="246"/>
        <v>233.07212071732692</v>
      </c>
      <c r="BR87" s="77">
        <f t="shared" ca="1" si="247"/>
        <v>246.48336678508556</v>
      </c>
      <c r="BS87" s="77">
        <f t="shared" ca="1" si="248"/>
        <v>0</v>
      </c>
      <c r="BT87" s="77">
        <f t="shared" ca="1" si="249"/>
        <v>186.97283186927777</v>
      </c>
      <c r="BU87" s="54">
        <f t="shared" ca="1" si="250"/>
        <v>1.888614463326038</v>
      </c>
      <c r="BV87" s="53">
        <f ca="1">OFFSET('National statistics'!$A$6,MATCH(R0_estimation!$A87,'National statistics'!$A$7:$A$5000,0),MATCH(R0_estimation!BV$16 &amp; "_Running14daysNew",'National statistics'!$B$1:$HA$1,0))</f>
        <v>63</v>
      </c>
      <c r="BW87" s="97">
        <f t="shared" ca="1" si="251"/>
        <v>4.1476075519699354</v>
      </c>
      <c r="BX87" s="98">
        <f t="shared" ca="1" si="192"/>
        <v>0.68996207341942262</v>
      </c>
      <c r="BY87" s="77">
        <f t="shared" ca="1" si="252"/>
        <v>1322096.9470578837</v>
      </c>
      <c r="BZ87" s="77">
        <f t="shared" ca="1" si="253"/>
        <v>33.563815030404953</v>
      </c>
      <c r="CA87" s="77">
        <f t="shared" ca="1" si="254"/>
        <v>42.613787225725567</v>
      </c>
      <c r="CB87" s="77">
        <f t="shared" ca="1" si="255"/>
        <v>0</v>
      </c>
      <c r="CC87" s="77">
        <f t="shared" ca="1" si="256"/>
        <v>60.364668115354519</v>
      </c>
      <c r="CD87" s="54">
        <f t="shared" ca="1" si="257"/>
        <v>0.60974412237731856</v>
      </c>
      <c r="CE87" s="53">
        <f ca="1">OFFSET('National statistics'!$A$6,MATCH(R0_estimation!$A87,'National statistics'!$A$7:$A$5000,0),MATCH(R0_estimation!CE$16 &amp; "_Running14daysNew",'National statistics'!$B$1:$HA$1,0))</f>
        <v>15919</v>
      </c>
      <c r="CF87" s="97">
        <f t="shared" ca="1" si="258"/>
        <v>1.8309915393973175</v>
      </c>
      <c r="CG87" s="98">
        <f t="shared" ca="1" si="193"/>
        <v>1.2165621122686727</v>
      </c>
      <c r="CH87" s="77">
        <f t="shared" ca="1" si="259"/>
        <v>7263235.5979817035</v>
      </c>
      <c r="CI87" s="77">
        <f t="shared" ca="1" si="260"/>
        <v>7004.9908314545628</v>
      </c>
      <c r="CJ87" s="77">
        <f t="shared" ca="1" si="261"/>
        <v>15600.151457196345</v>
      </c>
      <c r="CK87" s="77">
        <f t="shared" ca="1" si="262"/>
        <v>0</v>
      </c>
      <c r="CL87" s="77">
        <f t="shared" ca="1" si="263"/>
        <v>18851.742369846863</v>
      </c>
      <c r="CM87" s="54">
        <f t="shared" ca="1" si="264"/>
        <v>190.42164009946325</v>
      </c>
      <c r="CO87" s="209"/>
      <c r="CP87" s="210"/>
    </row>
    <row r="88" spans="1:94">
      <c r="A88" s="83">
        <v>43988</v>
      </c>
      <c r="B88" s="53">
        <f ca="1">OFFSET('National statistics'!$A$6,MATCH(R0_estimation!$A88,'National statistics'!$A$7:$A$5000,0),MATCH(R0_estimation!B$16 &amp; "_Running14daysNew",'National statistics'!$B$1:$HA$1,0))</f>
        <v>24625</v>
      </c>
      <c r="C88" s="97">
        <f t="shared" ca="1" si="195"/>
        <v>2.1996789936101133</v>
      </c>
      <c r="D88" s="98">
        <f t="shared" si="194"/>
        <v>1</v>
      </c>
      <c r="E88" s="77">
        <f t="shared" ca="1" si="196"/>
        <v>59648680.866988577</v>
      </c>
      <c r="F88" s="77">
        <f t="shared" ca="1" si="197"/>
        <v>12048.88187630316</v>
      </c>
      <c r="G88" s="77">
        <f t="shared" ca="1" si="198"/>
        <v>23544.520632410848</v>
      </c>
      <c r="H88" s="77">
        <f t="shared" ca="1" si="199"/>
        <v>0</v>
      </c>
      <c r="I88" s="77">
        <f t="shared" ca="1" si="200"/>
        <v>32920.711012800144</v>
      </c>
      <c r="J88" s="54">
        <f t="shared" ca="1" si="201"/>
        <v>332.53243447272877</v>
      </c>
      <c r="K88" s="53">
        <f ca="1">OFFSET('National statistics'!$A$6,MATCH(R0_estimation!$A88,'National statistics'!$A$7:$A$5000,0),MATCH(R0_estimation!K$16 &amp; "_Running14daysNew",'National statistics'!$B$1:$HA$1,0))</f>
        <v>3060</v>
      </c>
      <c r="L88" s="97">
        <f t="shared" ca="1" si="202"/>
        <v>2.6122077663065371</v>
      </c>
      <c r="M88" s="98">
        <f t="shared" ca="1" si="185"/>
        <v>1.3891436550517304</v>
      </c>
      <c r="N88" s="77">
        <f t="shared" ca="1" si="203"/>
        <v>6862996.7533552479</v>
      </c>
      <c r="O88" s="77">
        <f t="shared" ca="1" si="204"/>
        <v>1789.6024847931135</v>
      </c>
      <c r="P88" s="77">
        <f t="shared" ca="1" si="205"/>
        <v>3099.5310194198432</v>
      </c>
      <c r="Q88" s="77">
        <f t="shared" ca="1" si="206"/>
        <v>0</v>
      </c>
      <c r="R88" s="77">
        <f t="shared" ca="1" si="207"/>
        <v>2849.513565875538</v>
      </c>
      <c r="S88" s="54">
        <f t="shared" ca="1" si="208"/>
        <v>28.782965311874118</v>
      </c>
      <c r="T88" s="53">
        <f ca="1">OFFSET('National statistics'!$A$6,MATCH(R0_estimation!$A88,'National statistics'!$A$7:$A$5000,0),MATCH(R0_estimation!T$16 &amp; "_Running14daysNew",'National statistics'!$B$1:$HA$1,0))</f>
        <v>152</v>
      </c>
      <c r="U88" s="97">
        <f t="shared" ca="1" si="209"/>
        <v>2.5131690644603863</v>
      </c>
      <c r="V88" s="98">
        <f t="shared" ca="1" si="186"/>
        <v>0.50313552847557719</v>
      </c>
      <c r="W88" s="77">
        <f t="shared" ca="1" si="210"/>
        <v>2808375.4263826623</v>
      </c>
      <c r="X88" s="77">
        <f t="shared" ca="1" si="211"/>
        <v>77.348295112190598</v>
      </c>
      <c r="Y88" s="77">
        <f t="shared" ca="1" si="212"/>
        <v>137.83395825096738</v>
      </c>
      <c r="Z88" s="77">
        <f t="shared" ca="1" si="213"/>
        <v>0</v>
      </c>
      <c r="AA88" s="77">
        <f t="shared" ca="1" si="214"/>
        <v>414.33550446540613</v>
      </c>
      <c r="AB88" s="54">
        <f t="shared" ca="1" si="215"/>
        <v>4.1852071158121822</v>
      </c>
      <c r="AC88" s="53">
        <f ca="1">OFFSET('National statistics'!$A$6,MATCH(R0_estimation!$A88,'National statistics'!$A$7:$A$5000,0),MATCH(R0_estimation!AC$16 &amp; "_Running14daysNew",'National statistics'!$B$1:$HA$1,0))</f>
        <v>2993</v>
      </c>
      <c r="AD88" s="97">
        <f t="shared" ca="1" si="216"/>
        <v>3.800414836322612</v>
      </c>
      <c r="AE88" s="98">
        <f t="shared" ca="1" si="187"/>
        <v>0.57565754152920057</v>
      </c>
      <c r="AF88" s="77">
        <f t="shared" ca="1" si="217"/>
        <v>15630143.530318573</v>
      </c>
      <c r="AG88" s="77">
        <f t="shared" ca="1" si="218"/>
        <v>1941.0531289789001</v>
      </c>
      <c r="AH88" s="77">
        <f t="shared" ca="1" si="219"/>
        <v>2610.4887611972858</v>
      </c>
      <c r="AI88" s="77">
        <f t="shared" ca="1" si="220"/>
        <v>0</v>
      </c>
      <c r="AJ88" s="77">
        <f t="shared" ca="1" si="221"/>
        <v>4693.6883468754395</v>
      </c>
      <c r="AK88" s="54">
        <f t="shared" ca="1" si="222"/>
        <v>47.410993402782211</v>
      </c>
      <c r="AL88" s="53">
        <f ca="1">OFFSET('National statistics'!$A$6,MATCH(R0_estimation!$A88,'National statistics'!$A$7:$A$5000,0),MATCH(R0_estimation!AL$16 &amp; "_Running14daysNew",'National statistics'!$B$1:$HA$1,0))</f>
        <v>1239</v>
      </c>
      <c r="AM88" s="97">
        <f t="shared" ca="1" si="223"/>
        <v>1.6016155185401029</v>
      </c>
      <c r="AN88" s="98">
        <f t="shared" ca="1" si="188"/>
        <v>0.74495013848278369</v>
      </c>
      <c r="AO88" s="77">
        <f t="shared" ca="1" si="224"/>
        <v>10996766.789643636</v>
      </c>
      <c r="AP88" s="77">
        <f t="shared" ca="1" si="225"/>
        <v>419.59374090916634</v>
      </c>
      <c r="AQ88" s="77">
        <f t="shared" ca="1" si="226"/>
        <v>1029.6515847812223</v>
      </c>
      <c r="AR88" s="77">
        <f t="shared" ca="1" si="227"/>
        <v>0</v>
      </c>
      <c r="AS88" s="77">
        <f t="shared" ca="1" si="228"/>
        <v>2290.233347737872</v>
      </c>
      <c r="AT88" s="54">
        <f t="shared" ca="1" si="229"/>
        <v>23.133670179170426</v>
      </c>
      <c r="AU88" s="53">
        <f ca="1">OFFSET('National statistics'!$A$6,MATCH(R0_estimation!$A88,'National statistics'!$A$7:$A$5000,0),MATCH(R0_estimation!AU$16 &amp; "_Running14daysNew",'National statistics'!$B$1:$HA$1,0))</f>
        <v>92</v>
      </c>
      <c r="AV88" s="97">
        <f t="shared" ca="1" si="230"/>
        <v>1.3230125268909632</v>
      </c>
      <c r="AW88" s="98">
        <f t="shared" ca="1" si="189"/>
        <v>0.85754424097138826</v>
      </c>
      <c r="AX88" s="77">
        <f t="shared" ca="1" si="231"/>
        <v>5853469.6370108472</v>
      </c>
      <c r="AY88" s="77">
        <f t="shared" ca="1" si="232"/>
        <v>38.449570747885737</v>
      </c>
      <c r="AZ88" s="77">
        <f t="shared" ca="1" si="233"/>
        <v>108.36060675685643</v>
      </c>
      <c r="BA88" s="77">
        <f t="shared" ca="1" si="234"/>
        <v>0</v>
      </c>
      <c r="BB88" s="77">
        <f t="shared" ca="1" si="235"/>
        <v>220.1462689093631</v>
      </c>
      <c r="BC88" s="54">
        <f t="shared" ca="1" si="236"/>
        <v>2.223699685953163</v>
      </c>
      <c r="BD88" s="53">
        <f ca="1">OFFSET('National statistics'!$A$6,MATCH(R0_estimation!$A88,'National statistics'!$A$7:$A$5000,0),MATCH(R0_estimation!BD$16 &amp; "_Running14daysNew",'National statistics'!$B$1:$HA$1,0))</f>
        <v>84</v>
      </c>
      <c r="BE88" s="97">
        <f t="shared" ca="1" si="237"/>
        <v>2.7378826770959304</v>
      </c>
      <c r="BF88" s="98">
        <f t="shared" ca="1" si="190"/>
        <v>0.72178134408538486</v>
      </c>
      <c r="BG88" s="77">
        <f t="shared" ca="1" si="238"/>
        <v>4808949.1262692921</v>
      </c>
      <c r="BH88" s="77">
        <f t="shared" ca="1" si="239"/>
        <v>44.630395484802847</v>
      </c>
      <c r="BI88" s="77">
        <f t="shared" ca="1" si="240"/>
        <v>74.888566581628083</v>
      </c>
      <c r="BJ88" s="77">
        <f t="shared" ca="1" si="241"/>
        <v>0</v>
      </c>
      <c r="BK88" s="77">
        <f t="shared" ca="1" si="242"/>
        <v>127.70125731256383</v>
      </c>
      <c r="BL88" s="54">
        <f t="shared" ca="1" si="243"/>
        <v>1.2899116900258973</v>
      </c>
      <c r="BM88" s="53">
        <f ca="1">OFFSET('National statistics'!$A$6,MATCH(R0_estimation!$A88,'National statistics'!$A$7:$A$5000,0),MATCH(R0_estimation!BM$16 &amp; "_Running14daysNew",'National statistics'!$B$1:$HA$1,0))</f>
        <v>387</v>
      </c>
      <c r="BN88" s="97">
        <f t="shared" ca="1" si="244"/>
        <v>5.497453992143007</v>
      </c>
      <c r="BO88" s="98">
        <f t="shared" ca="1" si="191"/>
        <v>0.99326027081939861</v>
      </c>
      <c r="BP88" s="77">
        <f t="shared" ca="1" si="245"/>
        <v>4106869.9806052353</v>
      </c>
      <c r="BQ88" s="77">
        <f t="shared" ca="1" si="246"/>
        <v>271.57631150743129</v>
      </c>
      <c r="BR88" s="77">
        <f t="shared" ca="1" si="247"/>
        <v>287.145442194054</v>
      </c>
      <c r="BS88" s="77">
        <f t="shared" ca="1" si="248"/>
        <v>0</v>
      </c>
      <c r="BT88" s="77">
        <f t="shared" ca="1" si="249"/>
        <v>204.40272709193738</v>
      </c>
      <c r="BU88" s="54">
        <f t="shared" ca="1" si="250"/>
        <v>2.0646740110296706</v>
      </c>
      <c r="BV88" s="53">
        <f ca="1">OFFSET('National statistics'!$A$6,MATCH(R0_estimation!$A88,'National statistics'!$A$7:$A$5000,0),MATCH(R0_estimation!BV$16 &amp; "_Running14daysNew",'National statistics'!$B$1:$HA$1,0))</f>
        <v>65</v>
      </c>
      <c r="BW88" s="97">
        <f t="shared" ca="1" si="251"/>
        <v>4.1476075519699354</v>
      </c>
      <c r="BX88" s="98">
        <f t="shared" ca="1" si="192"/>
        <v>0.68996207341942262</v>
      </c>
      <c r="BY88" s="77">
        <f t="shared" ca="1" si="252"/>
        <v>1322084.32369975</v>
      </c>
      <c r="BZ88" s="77">
        <f t="shared" ca="1" si="253"/>
        <v>37.796219406453481</v>
      </c>
      <c r="CA88" s="77">
        <f t="shared" ca="1" si="254"/>
        <v>47.960899038632121</v>
      </c>
      <c r="CB88" s="77">
        <f t="shared" ca="1" si="255"/>
        <v>0</v>
      </c>
      <c r="CC88" s="77">
        <f t="shared" ca="1" si="256"/>
        <v>63.378071640602258</v>
      </c>
      <c r="CD88" s="54">
        <f t="shared" ca="1" si="257"/>
        <v>0.64018254182426537</v>
      </c>
      <c r="CE88" s="53">
        <f ca="1">OFFSET('National statistics'!$A$6,MATCH(R0_estimation!$A88,'National statistics'!$A$7:$A$5000,0),MATCH(R0_estimation!CE$16 &amp; "_Running14daysNew",'National statistics'!$B$1:$HA$1,0))</f>
        <v>16553</v>
      </c>
      <c r="CF88" s="97">
        <f t="shared" ca="1" si="258"/>
        <v>1.8309915393973175</v>
      </c>
      <c r="CG88" s="98">
        <f t="shared" ca="1" si="193"/>
        <v>1.2165621122686727</v>
      </c>
      <c r="CH88" s="77">
        <f t="shared" ca="1" si="259"/>
        <v>7261206.9097456718</v>
      </c>
      <c r="CI88" s="77">
        <f t="shared" ca="1" si="260"/>
        <v>7282.4313596222619</v>
      </c>
      <c r="CJ88" s="77">
        <f t="shared" ca="1" si="261"/>
        <v>16237.102632403105</v>
      </c>
      <c r="CK88" s="77">
        <f t="shared" ca="1" si="262"/>
        <v>0</v>
      </c>
      <c r="CL88" s="77">
        <f t="shared" ca="1" si="263"/>
        <v>19954.895937177174</v>
      </c>
      <c r="CM88" s="54">
        <f t="shared" ca="1" si="264"/>
        <v>201.56460542603207</v>
      </c>
      <c r="CO88" s="209"/>
      <c r="CP88" s="210"/>
    </row>
    <row r="89" spans="1:94">
      <c r="A89" s="83">
        <v>43989</v>
      </c>
      <c r="B89" s="53">
        <f ca="1">OFFSET('National statistics'!$A$6,MATCH(R0_estimation!$A89,'National statistics'!$A$7:$A$5000,0),MATCH(R0_estimation!B$16 &amp; "_Running14daysNew",'National statistics'!$B$1:$HA$1,0))</f>
        <v>25684</v>
      </c>
      <c r="C89" s="97">
        <f t="shared" ca="1" si="195"/>
        <v>2.1996789936101133</v>
      </c>
      <c r="D89" s="98">
        <f t="shared" si="194"/>
        <v>1</v>
      </c>
      <c r="E89" s="77">
        <f t="shared" ca="1" si="196"/>
        <v>59644985.797857225</v>
      </c>
      <c r="F89" s="77">
        <f t="shared" ca="1" si="197"/>
        <v>12731.730538578313</v>
      </c>
      <c r="G89" s="77">
        <f t="shared" ca="1" si="198"/>
        <v>24874.989627743005</v>
      </c>
      <c r="H89" s="77">
        <f t="shared" ca="1" si="199"/>
        <v>0</v>
      </c>
      <c r="I89" s="77">
        <f t="shared" ca="1" si="200"/>
        <v>34585.644971806338</v>
      </c>
      <c r="J89" s="54">
        <f t="shared" ca="1" si="201"/>
        <v>349.34994921016511</v>
      </c>
      <c r="K89" s="53">
        <f ca="1">OFFSET('National statistics'!$A$6,MATCH(R0_estimation!$A89,'National statistics'!$A$7:$A$5000,0),MATCH(R0_estimation!K$16 &amp; "_Running14daysNew",'National statistics'!$B$1:$HA$1,0))</f>
        <v>3284</v>
      </c>
      <c r="L89" s="97">
        <f t="shared" ca="1" si="202"/>
        <v>2.6122077663065371</v>
      </c>
      <c r="M89" s="98">
        <f t="shared" ca="1" si="185"/>
        <v>1.3891436550517304</v>
      </c>
      <c r="N89" s="77">
        <f t="shared" ca="1" si="203"/>
        <v>6862419.0748112136</v>
      </c>
      <c r="O89" s="77">
        <f t="shared" ca="1" si="204"/>
        <v>1919.8804076293295</v>
      </c>
      <c r="P89" s="77">
        <f t="shared" ca="1" si="205"/>
        <v>3325.5365678024182</v>
      </c>
      <c r="Q89" s="77">
        <f t="shared" ca="1" si="206"/>
        <v>0</v>
      </c>
      <c r="R89" s="77">
        <f t="shared" ca="1" si="207"/>
        <v>3068.6946879630841</v>
      </c>
      <c r="S89" s="54">
        <f t="shared" ca="1" si="208"/>
        <v>30.996916040031149</v>
      </c>
      <c r="T89" s="53">
        <f ca="1">OFFSET('National statistics'!$A$6,MATCH(R0_estimation!$A89,'National statistics'!$A$7:$A$5000,0),MATCH(R0_estimation!T$16 &amp; "_Running14daysNew",'National statistics'!$B$1:$HA$1,0))</f>
        <v>159</v>
      </c>
      <c r="U89" s="97">
        <f t="shared" ca="1" si="209"/>
        <v>2.5131690644603863</v>
      </c>
      <c r="V89" s="98">
        <f t="shared" ca="1" si="186"/>
        <v>0.50313552847557719</v>
      </c>
      <c r="W89" s="77">
        <f t="shared" ca="1" si="210"/>
        <v>2808350.6890677176</v>
      </c>
      <c r="X89" s="77">
        <f t="shared" ca="1" si="211"/>
        <v>82.748536278714838</v>
      </c>
      <c r="Y89" s="77">
        <f t="shared" ca="1" si="212"/>
        <v>147.32574929680308</v>
      </c>
      <c r="Z89" s="77">
        <f t="shared" ca="1" si="213"/>
        <v>0</v>
      </c>
      <c r="AA89" s="77">
        <f t="shared" ca="1" si="214"/>
        <v>424.08233437029594</v>
      </c>
      <c r="AB89" s="54">
        <f t="shared" ca="1" si="215"/>
        <v>4.2836599431343014</v>
      </c>
      <c r="AC89" s="53">
        <f ca="1">OFFSET('National statistics'!$A$6,MATCH(R0_estimation!$A89,'National statistics'!$A$7:$A$5000,0),MATCH(R0_estimation!AC$16 &amp; "_Running14daysNew",'National statistics'!$B$1:$HA$1,0))</f>
        <v>3174</v>
      </c>
      <c r="AD89" s="97">
        <f t="shared" ca="1" si="216"/>
        <v>3.800414836322612</v>
      </c>
      <c r="AE89" s="98">
        <f t="shared" ca="1" si="187"/>
        <v>0.57565754152920057</v>
      </c>
      <c r="AF89" s="77">
        <f t="shared" ca="1" si="217"/>
        <v>15629435.310643518</v>
      </c>
      <c r="AG89" s="77">
        <f t="shared" ca="1" si="218"/>
        <v>2164.0095217887119</v>
      </c>
      <c r="AH89" s="77">
        <f t="shared" ca="1" si="219"/>
        <v>2909.2885604993476</v>
      </c>
      <c r="AI89" s="77">
        <f t="shared" ca="1" si="220"/>
        <v>0</v>
      </c>
      <c r="AJ89" s="77">
        <f t="shared" ca="1" si="221"/>
        <v>4878.2871949886758</v>
      </c>
      <c r="AK89" s="54">
        <f t="shared" ca="1" si="222"/>
        <v>49.275628232208845</v>
      </c>
      <c r="AL89" s="53">
        <f ca="1">OFFSET('National statistics'!$A$6,MATCH(R0_estimation!$A89,'National statistics'!$A$7:$A$5000,0),MATCH(R0_estimation!AL$16 &amp; "_Running14daysNew",'National statistics'!$B$1:$HA$1,0))</f>
        <v>1293</v>
      </c>
      <c r="AM89" s="97">
        <f t="shared" ca="1" si="223"/>
        <v>1.6016155185401029</v>
      </c>
      <c r="AN89" s="98">
        <f t="shared" ca="1" si="188"/>
        <v>0.74495013848278369</v>
      </c>
      <c r="AO89" s="77">
        <f t="shared" ca="1" si="224"/>
        <v>10996649.036403293</v>
      </c>
      <c r="AP89" s="77">
        <f t="shared" ca="1" si="225"/>
        <v>432.44854602524634</v>
      </c>
      <c r="AQ89" s="77">
        <f t="shared" ca="1" si="226"/>
        <v>1061.0034782384266</v>
      </c>
      <c r="AR89" s="77">
        <f t="shared" ca="1" si="227"/>
        <v>0</v>
      </c>
      <c r="AS89" s="77">
        <f t="shared" ca="1" si="228"/>
        <v>2363.0444240902584</v>
      </c>
      <c r="AT89" s="54">
        <f t="shared" ca="1" si="229"/>
        <v>23.869135596871299</v>
      </c>
      <c r="AU89" s="53">
        <f ca="1">OFFSET('National statistics'!$A$6,MATCH(R0_estimation!$A89,'National statistics'!$A$7:$A$5000,0),MATCH(R0_estimation!AU$16 &amp; "_Running14daysNew",'National statistics'!$B$1:$HA$1,0))</f>
        <v>99</v>
      </c>
      <c r="AV89" s="97">
        <f t="shared" ca="1" si="230"/>
        <v>1.3230125268909632</v>
      </c>
      <c r="AW89" s="98">
        <f t="shared" ca="1" si="189"/>
        <v>0.85754424097138826</v>
      </c>
      <c r="AX89" s="77">
        <f t="shared" ca="1" si="231"/>
        <v>5853459.3974784706</v>
      </c>
      <c r="AY89" s="77">
        <f t="shared" ca="1" si="232"/>
        <v>39.076710437572167</v>
      </c>
      <c r="AZ89" s="77">
        <f t="shared" ca="1" si="233"/>
        <v>110.23295610405241</v>
      </c>
      <c r="BA89" s="77">
        <f t="shared" ca="1" si="234"/>
        <v>0</v>
      </c>
      <c r="BB89" s="77">
        <f t="shared" ca="1" si="235"/>
        <v>227.8089118157408</v>
      </c>
      <c r="BC89" s="54">
        <f t="shared" ca="1" si="236"/>
        <v>2.3011001193509175</v>
      </c>
      <c r="BD89" s="53">
        <f ca="1">OFFSET('National statistics'!$A$6,MATCH(R0_estimation!$A89,'National statistics'!$A$7:$A$5000,0),MATCH(R0_estimation!BD$16 &amp; "_Running14daysNew",'National statistics'!$B$1:$HA$1,0))</f>
        <v>88</v>
      </c>
      <c r="BE89" s="97">
        <f t="shared" ca="1" si="237"/>
        <v>2.7378826770959304</v>
      </c>
      <c r="BF89" s="98">
        <f t="shared" ca="1" si="190"/>
        <v>0.72178134408538486</v>
      </c>
      <c r="BG89" s="77">
        <f t="shared" ca="1" si="238"/>
        <v>4808934.481585783</v>
      </c>
      <c r="BH89" s="77">
        <f t="shared" ca="1" si="239"/>
        <v>48.117480122657561</v>
      </c>
      <c r="BI89" s="77">
        <f t="shared" ca="1" si="240"/>
        <v>80.696982125569647</v>
      </c>
      <c r="BJ89" s="77">
        <f t="shared" ca="1" si="241"/>
        <v>0</v>
      </c>
      <c r="BK89" s="77">
        <f t="shared" ca="1" si="242"/>
        <v>132.99694880655039</v>
      </c>
      <c r="BL89" s="54">
        <f t="shared" ca="1" si="243"/>
        <v>1.3434035232984889</v>
      </c>
      <c r="BM89" s="53">
        <f ca="1">OFFSET('National statistics'!$A$6,MATCH(R0_estimation!$A89,'National statistics'!$A$7:$A$5000,0),MATCH(R0_estimation!BM$16 &amp; "_Running14daysNew",'National statistics'!$B$1:$HA$1,0))</f>
        <v>429</v>
      </c>
      <c r="BN89" s="97">
        <f t="shared" ca="1" si="244"/>
        <v>5.497453992143007</v>
      </c>
      <c r="BO89" s="98">
        <f t="shared" ca="1" si="191"/>
        <v>0.99326027081939861</v>
      </c>
      <c r="BP89" s="77">
        <f t="shared" ca="1" si="245"/>
        <v>4106757.2466346808</v>
      </c>
      <c r="BQ89" s="77">
        <f t="shared" ca="1" si="246"/>
        <v>316.41620418513907</v>
      </c>
      <c r="BR89" s="77">
        <f t="shared" ca="1" si="247"/>
        <v>334.52913134276508</v>
      </c>
      <c r="BS89" s="77">
        <f t="shared" ca="1" si="248"/>
        <v>0</v>
      </c>
      <c r="BT89" s="77">
        <f t="shared" ca="1" si="249"/>
        <v>224.70801193280263</v>
      </c>
      <c r="BU89" s="54">
        <f t="shared" ca="1" si="250"/>
        <v>2.2697778983111379</v>
      </c>
      <c r="BV89" s="53">
        <f ca="1">OFFSET('National statistics'!$A$6,MATCH(R0_estimation!$A89,'National statistics'!$A$7:$A$5000,0),MATCH(R0_estimation!BV$16 &amp; "_Running14daysNew",'National statistics'!$B$1:$HA$1,0))</f>
        <v>74</v>
      </c>
      <c r="BW89" s="97">
        <f t="shared" ca="1" si="251"/>
        <v>4.1476075519699354</v>
      </c>
      <c r="BX89" s="98">
        <f t="shared" ca="1" si="192"/>
        <v>0.68996207341942262</v>
      </c>
      <c r="BY89" s="77">
        <f t="shared" ca="1" si="252"/>
        <v>1322070.1165175745</v>
      </c>
      <c r="BZ89" s="77">
        <f t="shared" ca="1" si="253"/>
        <v>42.55434673028563</v>
      </c>
      <c r="CA89" s="77">
        <f t="shared" ca="1" si="254"/>
        <v>53.984175387486054</v>
      </c>
      <c r="CB89" s="77">
        <f t="shared" ca="1" si="255"/>
        <v>0</v>
      </c>
      <c r="CC89" s="77">
        <f t="shared" ca="1" si="256"/>
        <v>66.769592358334094</v>
      </c>
      <c r="CD89" s="54">
        <f t="shared" ca="1" si="257"/>
        <v>0.67444032685185973</v>
      </c>
      <c r="CE89" s="53">
        <f ca="1">OFFSET('National statistics'!$A$6,MATCH(R0_estimation!$A89,'National statistics'!$A$7:$A$5000,0),MATCH(R0_estimation!CE$16 &amp; "_Running14daysNew",'National statistics'!$B$1:$HA$1,0))</f>
        <v>17084</v>
      </c>
      <c r="CF89" s="97">
        <f t="shared" ca="1" si="258"/>
        <v>1.8309915393973175</v>
      </c>
      <c r="CG89" s="98">
        <f t="shared" ca="1" si="193"/>
        <v>1.2165621122686727</v>
      </c>
      <c r="CH89" s="77">
        <f t="shared" ca="1" si="259"/>
        <v>7259095.9771067575</v>
      </c>
      <c r="CI89" s="77">
        <f t="shared" ca="1" si="260"/>
        <v>7572.7561586314114</v>
      </c>
      <c r="CJ89" s="77">
        <f t="shared" ca="1" si="261"/>
        <v>16897.917427137021</v>
      </c>
      <c r="CK89" s="77">
        <f t="shared" ca="1" si="262"/>
        <v>0</v>
      </c>
      <c r="CL89" s="77">
        <f t="shared" ca="1" si="263"/>
        <v>21103.091051897107</v>
      </c>
      <c r="CM89" s="54">
        <f t="shared" ca="1" si="264"/>
        <v>213.16253587774858</v>
      </c>
      <c r="CO89" s="209"/>
      <c r="CP89" s="210"/>
    </row>
    <row r="90" spans="1:94">
      <c r="A90" s="83">
        <v>43990</v>
      </c>
      <c r="B90" s="53">
        <f ca="1">OFFSET('National statistics'!$A$6,MATCH(R0_estimation!$A90,'National statistics'!$A$7:$A$5000,0),MATCH(R0_estimation!B$16 &amp; "_Running14daysNew",'National statistics'!$B$1:$HA$1,0))</f>
        <v>27225</v>
      </c>
      <c r="C90" s="97">
        <f t="shared" ca="1" si="195"/>
        <v>2.1996789936101133</v>
      </c>
      <c r="D90" s="98">
        <f t="shared" si="194"/>
        <v>1</v>
      </c>
      <c r="E90" s="77">
        <f t="shared" ca="1" si="196"/>
        <v>59641082.166104898</v>
      </c>
      <c r="F90" s="77">
        <f t="shared" ca="1" si="197"/>
        <v>13452.429656264194</v>
      </c>
      <c r="G90" s="77">
        <f t="shared" ca="1" si="198"/>
        <v>26281.13728897737</v>
      </c>
      <c r="H90" s="77">
        <f t="shared" ca="1" si="199"/>
        <v>0</v>
      </c>
      <c r="I90" s="77">
        <f t="shared" ca="1" si="200"/>
        <v>36344.662095482447</v>
      </c>
      <c r="J90" s="54">
        <f t="shared" ca="1" si="201"/>
        <v>367.11779894426724</v>
      </c>
      <c r="K90" s="53">
        <f ca="1">OFFSET('National statistics'!$A$6,MATCH(R0_estimation!$A90,'National statistics'!$A$7:$A$5000,0),MATCH(R0_estimation!K$16 &amp; "_Running14daysNew",'National statistics'!$B$1:$HA$1,0))</f>
        <v>3593</v>
      </c>
      <c r="L90" s="97">
        <f t="shared" ca="1" si="202"/>
        <v>2.6122077663065371</v>
      </c>
      <c r="M90" s="98">
        <f t="shared" ca="1" si="185"/>
        <v>1.3891436550517304</v>
      </c>
      <c r="N90" s="77">
        <f t="shared" ca="1" si="203"/>
        <v>6861799.3262022473</v>
      </c>
      <c r="O90" s="77">
        <f t="shared" ca="1" si="204"/>
        <v>2059.6589146881383</v>
      </c>
      <c r="P90" s="77">
        <f t="shared" ca="1" si="205"/>
        <v>3567.9683434381491</v>
      </c>
      <c r="Q90" s="77">
        <f t="shared" ca="1" si="206"/>
        <v>0</v>
      </c>
      <c r="R90" s="77">
        <f t="shared" ca="1" si="207"/>
        <v>3303.8576309719692</v>
      </c>
      <c r="S90" s="54">
        <f t="shared" ca="1" si="208"/>
        <v>33.372299302747159</v>
      </c>
      <c r="T90" s="53">
        <f ca="1">OFFSET('National statistics'!$A$6,MATCH(R0_estimation!$A90,'National statistics'!$A$7:$A$5000,0),MATCH(R0_estimation!T$16 &amp; "_Running14daysNew",'National statistics'!$B$1:$HA$1,0))</f>
        <v>165</v>
      </c>
      <c r="U90" s="97">
        <f t="shared" ca="1" si="209"/>
        <v>2.5131690644603863</v>
      </c>
      <c r="V90" s="98">
        <f t="shared" ca="1" si="186"/>
        <v>0.50313552847557719</v>
      </c>
      <c r="W90" s="77">
        <f t="shared" ca="1" si="210"/>
        <v>2808324.2484754859</v>
      </c>
      <c r="X90" s="77">
        <f t="shared" ca="1" si="211"/>
        <v>88.501994440701665</v>
      </c>
      <c r="Y90" s="77">
        <f t="shared" ca="1" si="212"/>
        <v>157.48961555956728</v>
      </c>
      <c r="Z90" s="77">
        <f t="shared" ca="1" si="213"/>
        <v>0</v>
      </c>
      <c r="AA90" s="77">
        <f t="shared" ca="1" si="214"/>
        <v>434.5003694991413</v>
      </c>
      <c r="AB90" s="54">
        <f t="shared" ca="1" si="215"/>
        <v>4.3888926212034463</v>
      </c>
      <c r="AC90" s="53">
        <f ca="1">OFFSET('National statistics'!$A$6,MATCH(R0_estimation!$A90,'National statistics'!$A$7:$A$5000,0),MATCH(R0_estimation!AC$16 &amp; "_Running14daysNew",'National statistics'!$B$1:$HA$1,0))</f>
        <v>3265</v>
      </c>
      <c r="AD90" s="97">
        <f t="shared" ca="1" si="216"/>
        <v>3.800414836322612</v>
      </c>
      <c r="AE90" s="98">
        <f t="shared" ca="1" si="187"/>
        <v>0.57565754152920057</v>
      </c>
      <c r="AF90" s="77">
        <f t="shared" ca="1" si="217"/>
        <v>15628646.062930427</v>
      </c>
      <c r="AG90" s="77">
        <f t="shared" ca="1" si="218"/>
        <v>2412.2548544325678</v>
      </c>
      <c r="AH90" s="77">
        <f t="shared" ca="1" si="219"/>
        <v>3242.4846151965721</v>
      </c>
      <c r="AI90" s="77">
        <f t="shared" ca="1" si="220"/>
        <v>0</v>
      </c>
      <c r="AJ90" s="77">
        <f t="shared" ca="1" si="221"/>
        <v>5084.0154574811295</v>
      </c>
      <c r="AK90" s="54">
        <f t="shared" ca="1" si="222"/>
        <v>51.353691489708382</v>
      </c>
      <c r="AL90" s="53">
        <f ca="1">OFFSET('National statistics'!$A$6,MATCH(R0_estimation!$A90,'National statistics'!$A$7:$A$5000,0),MATCH(R0_estimation!AL$16 &amp; "_Running14daysNew",'National statistics'!$B$1:$HA$1,0))</f>
        <v>1293</v>
      </c>
      <c r="AM90" s="97">
        <f t="shared" ca="1" si="223"/>
        <v>1.6016155185401029</v>
      </c>
      <c r="AN90" s="98">
        <f t="shared" ca="1" si="188"/>
        <v>0.74495013848278369</v>
      </c>
      <c r="AO90" s="77">
        <f t="shared" ca="1" si="224"/>
        <v>10996527.698982015</v>
      </c>
      <c r="AP90" s="77">
        <f t="shared" ca="1" si="225"/>
        <v>445.67383079629212</v>
      </c>
      <c r="AQ90" s="77">
        <f t="shared" ca="1" si="226"/>
        <v>1093.329652013422</v>
      </c>
      <c r="AR90" s="77">
        <f t="shared" ca="1" si="227"/>
        <v>0</v>
      </c>
      <c r="AS90" s="77">
        <f t="shared" ca="1" si="228"/>
        <v>2438.0725271942615</v>
      </c>
      <c r="AT90" s="54">
        <f t="shared" ca="1" si="229"/>
        <v>24.626995224184462</v>
      </c>
      <c r="AU90" s="53">
        <f ca="1">OFFSET('National statistics'!$A$6,MATCH(R0_estimation!$A90,'National statistics'!$A$7:$A$5000,0),MATCH(R0_estimation!AU$16 &amp; "_Running14daysNew",'National statistics'!$B$1:$HA$1,0))</f>
        <v>112</v>
      </c>
      <c r="AV90" s="97">
        <f t="shared" ca="1" si="230"/>
        <v>1.3230125268909632</v>
      </c>
      <c r="AW90" s="98">
        <f t="shared" ca="1" si="189"/>
        <v>0.85754424097138826</v>
      </c>
      <c r="AX90" s="77">
        <f t="shared" ca="1" si="231"/>
        <v>5853448.9810365811</v>
      </c>
      <c r="AY90" s="77">
        <f t="shared" ca="1" si="232"/>
        <v>39.723974717930673</v>
      </c>
      <c r="AZ90" s="77">
        <f t="shared" ca="1" si="233"/>
        <v>112.12835113458456</v>
      </c>
      <c r="BA90" s="77">
        <f t="shared" ca="1" si="234"/>
        <v>0</v>
      </c>
      <c r="BB90" s="77">
        <f t="shared" ca="1" si="235"/>
        <v>235.60395656881309</v>
      </c>
      <c r="BC90" s="54">
        <f t="shared" ca="1" si="236"/>
        <v>2.3798379451395264</v>
      </c>
      <c r="BD90" s="53">
        <f ca="1">OFFSET('National statistics'!$A$6,MATCH(R0_estimation!$A90,'National statistics'!$A$7:$A$5000,0),MATCH(R0_estimation!BD$16 &amp; "_Running14daysNew",'National statistics'!$B$1:$HA$1,0))</f>
        <v>81</v>
      </c>
      <c r="BE90" s="97">
        <f t="shared" ca="1" si="237"/>
        <v>2.7378826770959304</v>
      </c>
      <c r="BF90" s="98">
        <f t="shared" ca="1" si="190"/>
        <v>0.72178134408538486</v>
      </c>
      <c r="BG90" s="77">
        <f t="shared" ca="1" si="238"/>
        <v>4808918.7010970972</v>
      </c>
      <c r="BH90" s="77">
        <f t="shared" ca="1" si="239"/>
        <v>51.868598777722255</v>
      </c>
      <c r="BI90" s="77">
        <f t="shared" ca="1" si="240"/>
        <v>86.962282004407641</v>
      </c>
      <c r="BJ90" s="77">
        <f t="shared" ca="1" si="241"/>
        <v>0</v>
      </c>
      <c r="BK90" s="77">
        <f t="shared" ca="1" si="242"/>
        <v>138.70337825685854</v>
      </c>
      <c r="BL90" s="54">
        <f t="shared" ca="1" si="243"/>
        <v>1.4010442248167529</v>
      </c>
      <c r="BM90" s="53">
        <f ca="1">OFFSET('National statistics'!$A$6,MATCH(R0_estimation!$A90,'National statistics'!$A$7:$A$5000,0),MATCH(R0_estimation!BM$16 &amp; "_Running14daysNew",'National statistics'!$B$1:$HA$1,0))</f>
        <v>471</v>
      </c>
      <c r="BN90" s="97">
        <f t="shared" ca="1" si="244"/>
        <v>5.497453992143007</v>
      </c>
      <c r="BO90" s="98">
        <f t="shared" ca="1" si="191"/>
        <v>0.99326027081939861</v>
      </c>
      <c r="BP90" s="77">
        <f t="shared" ca="1" si="245"/>
        <v>4106625.9133158671</v>
      </c>
      <c r="BQ90" s="77">
        <f t="shared" ca="1" si="246"/>
        <v>368.64547195270524</v>
      </c>
      <c r="BR90" s="77">
        <f t="shared" ca="1" si="247"/>
        <v>389.73824443599523</v>
      </c>
      <c r="BS90" s="77">
        <f t="shared" ca="1" si="248"/>
        <v>0</v>
      </c>
      <c r="BT90" s="77">
        <f t="shared" ca="1" si="249"/>
        <v>248.36400050632673</v>
      </c>
      <c r="BU90" s="54">
        <f t="shared" ca="1" si="250"/>
        <v>2.5087272778416843</v>
      </c>
      <c r="BV90" s="53">
        <f ca="1">OFFSET('National statistics'!$A$6,MATCH(R0_estimation!$A90,'National statistics'!$A$7:$A$5000,0),MATCH(R0_estimation!BV$16 &amp; "_Running14daysNew",'National statistics'!$B$1:$HA$1,0))</f>
        <v>73</v>
      </c>
      <c r="BW90" s="97">
        <f t="shared" ca="1" si="251"/>
        <v>4.1476075519699354</v>
      </c>
      <c r="BX90" s="98">
        <f t="shared" ca="1" si="192"/>
        <v>0.68996207341942262</v>
      </c>
      <c r="BY90" s="77">
        <f t="shared" ca="1" si="252"/>
        <v>1322054.1252662065</v>
      </c>
      <c r="BZ90" s="77">
        <f t="shared" ca="1" si="253"/>
        <v>47.907011415892207</v>
      </c>
      <c r="CA90" s="77">
        <f t="shared" ca="1" si="254"/>
        <v>60.766749542379884</v>
      </c>
      <c r="CB90" s="77">
        <f t="shared" ca="1" si="255"/>
        <v>0</v>
      </c>
      <c r="CC90" s="77">
        <f t="shared" ca="1" si="256"/>
        <v>70.587044760734898</v>
      </c>
      <c r="CD90" s="54">
        <f t="shared" ca="1" si="257"/>
        <v>0.7130004521286355</v>
      </c>
      <c r="CE90" s="53">
        <f ca="1">OFFSET('National statistics'!$A$6,MATCH(R0_estimation!$A90,'National statistics'!$A$7:$A$5000,0),MATCH(R0_estimation!CE$16 &amp; "_Running14daysNew",'National statistics'!$B$1:$HA$1,0))</f>
        <v>18172</v>
      </c>
      <c r="CF90" s="97">
        <f t="shared" ca="1" si="258"/>
        <v>1.8309915393973175</v>
      </c>
      <c r="CG90" s="98">
        <f t="shared" ca="1" si="193"/>
        <v>1.2165621122686727</v>
      </c>
      <c r="CH90" s="77">
        <f t="shared" ca="1" si="259"/>
        <v>7256899.769261837</v>
      </c>
      <c r="CI90" s="77">
        <f t="shared" ca="1" si="260"/>
        <v>7875.7749638935511</v>
      </c>
      <c r="CJ90" s="77">
        <f t="shared" ca="1" si="261"/>
        <v>17584.112364856515</v>
      </c>
      <c r="CK90" s="77">
        <f t="shared" ca="1" si="262"/>
        <v>0</v>
      </c>
      <c r="CL90" s="77">
        <f t="shared" ca="1" si="263"/>
        <v>22298.015212816081</v>
      </c>
      <c r="CM90" s="54">
        <f t="shared" ca="1" si="264"/>
        <v>225.23247689713216</v>
      </c>
      <c r="CO90" s="209"/>
      <c r="CP90" s="210"/>
    </row>
    <row r="91" spans="1:94">
      <c r="A91" s="83">
        <v>43991</v>
      </c>
      <c r="B91" s="53">
        <f ca="1">OFFSET('National statistics'!$A$6,MATCH(R0_estimation!$A91,'National statistics'!$A$7:$A$5000,0),MATCH(R0_estimation!B$16 &amp; "_Running14daysNew",'National statistics'!$B$1:$HA$1,0))</f>
        <v>28670</v>
      </c>
      <c r="C91" s="97">
        <f t="shared" ca="1" si="195"/>
        <v>2.1996789936101133</v>
      </c>
      <c r="D91" s="98">
        <f t="shared" si="194"/>
        <v>1</v>
      </c>
      <c r="E91" s="77">
        <f t="shared" ca="1" si="196"/>
        <v>59636958.136320136</v>
      </c>
      <c r="F91" s="77">
        <f t="shared" ca="1" si="197"/>
        <v>14213.352026960507</v>
      </c>
      <c r="G91" s="77">
        <f t="shared" ca="1" si="198"/>
        <v>27767.020610973606</v>
      </c>
      <c r="H91" s="77">
        <f t="shared" ca="1" si="199"/>
        <v>0</v>
      </c>
      <c r="I91" s="77">
        <f t="shared" ca="1" si="200"/>
        <v>38203.113946631558</v>
      </c>
      <c r="J91" s="54">
        <f t="shared" ca="1" si="201"/>
        <v>385.89003986496533</v>
      </c>
      <c r="K91" s="53">
        <f ca="1">OFFSET('National statistics'!$A$6,MATCH(R0_estimation!$A91,'National statistics'!$A$7:$A$5000,0),MATCH(R0_estimation!K$16 &amp; "_Running14daysNew",'National statistics'!$B$1:$HA$1,0))</f>
        <v>3896</v>
      </c>
      <c r="L91" s="97">
        <f t="shared" ca="1" si="202"/>
        <v>2.6122077663065371</v>
      </c>
      <c r="M91" s="98">
        <f t="shared" ca="1" si="185"/>
        <v>1.3891436550517304</v>
      </c>
      <c r="N91" s="77">
        <f t="shared" ca="1" si="203"/>
        <v>6861134.4577100566</v>
      </c>
      <c r="O91" s="77">
        <f t="shared" ca="1" si="204"/>
        <v>2209.6126782067308</v>
      </c>
      <c r="P91" s="77">
        <f t="shared" ca="1" si="205"/>
        <v>3828.0281904360299</v>
      </c>
      <c r="Q91" s="77">
        <f t="shared" ca="1" si="206"/>
        <v>0</v>
      </c>
      <c r="R91" s="77">
        <f t="shared" ca="1" si="207"/>
        <v>3556.1639638293814</v>
      </c>
      <c r="S91" s="54">
        <f t="shared" ca="1" si="208"/>
        <v>35.920848119488696</v>
      </c>
      <c r="T91" s="53">
        <f ca="1">OFFSET('National statistics'!$A$6,MATCH(R0_estimation!$A91,'National statistics'!$A$7:$A$5000,0),MATCH(R0_estimation!T$16 &amp; "_Running14daysNew",'National statistics'!$B$1:$HA$1,0))</f>
        <v>185</v>
      </c>
      <c r="U91" s="97">
        <f t="shared" ca="1" si="209"/>
        <v>2.5131690644603863</v>
      </c>
      <c r="V91" s="98">
        <f t="shared" ca="1" si="186"/>
        <v>0.50313552847557719</v>
      </c>
      <c r="W91" s="77">
        <f t="shared" ca="1" si="210"/>
        <v>2808295.9840364694</v>
      </c>
      <c r="X91" s="77">
        <f t="shared" ca="1" si="211"/>
        <v>94.64093484727124</v>
      </c>
      <c r="Y91" s="77">
        <f t="shared" ca="1" si="212"/>
        <v>168.36585591548788</v>
      </c>
      <c r="Z91" s="77">
        <f t="shared" ca="1" si="213"/>
        <v>0</v>
      </c>
      <c r="AA91" s="77">
        <f t="shared" ca="1" si="214"/>
        <v>445.63713517085358</v>
      </c>
      <c r="AB91" s="54">
        <f t="shared" ca="1" si="215"/>
        <v>4.5013852037459943</v>
      </c>
      <c r="AC91" s="53">
        <f ca="1">OFFSET('National statistics'!$A$6,MATCH(R0_estimation!$A91,'National statistics'!$A$7:$A$5000,0),MATCH(R0_estimation!AC$16 &amp; "_Running14daysNew",'National statistics'!$B$1:$HA$1,0))</f>
        <v>3503</v>
      </c>
      <c r="AD91" s="97">
        <f t="shared" ca="1" si="216"/>
        <v>3.800414836322612</v>
      </c>
      <c r="AE91" s="98">
        <f t="shared" ca="1" si="187"/>
        <v>0.57565754152920057</v>
      </c>
      <c r="AF91" s="77">
        <f t="shared" ca="1" si="217"/>
        <v>15627766.468271907</v>
      </c>
      <c r="AG91" s="77">
        <f t="shared" ca="1" si="218"/>
        <v>2688.7857993441708</v>
      </c>
      <c r="AH91" s="77">
        <f t="shared" ca="1" si="219"/>
        <v>3613.9422848621016</v>
      </c>
      <c r="AI91" s="77">
        <f t="shared" ca="1" si="220"/>
        <v>0</v>
      </c>
      <c r="AJ91" s="77">
        <f t="shared" ca="1" si="221"/>
        <v>5313.3054409843153</v>
      </c>
      <c r="AK91" s="54">
        <f t="shared" ca="1" si="222"/>
        <v>53.669751929134506</v>
      </c>
      <c r="AL91" s="53">
        <f ca="1">OFFSET('National statistics'!$A$6,MATCH(R0_estimation!$A91,'National statistics'!$A$7:$A$5000,0),MATCH(R0_estimation!AL$16 &amp; "_Running14daysNew",'National statistics'!$B$1:$HA$1,0))</f>
        <v>1328</v>
      </c>
      <c r="AM91" s="97">
        <f t="shared" ca="1" si="223"/>
        <v>1.6016155185401029</v>
      </c>
      <c r="AN91" s="98">
        <f t="shared" ca="1" si="188"/>
        <v>0.74495013848278369</v>
      </c>
      <c r="AO91" s="77">
        <f t="shared" ca="1" si="224"/>
        <v>10996402.66607812</v>
      </c>
      <c r="AP91" s="77">
        <f t="shared" ca="1" si="225"/>
        <v>459.28827699112713</v>
      </c>
      <c r="AQ91" s="77">
        <f t="shared" ca="1" si="226"/>
        <v>1126.6531345686792</v>
      </c>
      <c r="AR91" s="77">
        <f t="shared" ca="1" si="227"/>
        <v>0</v>
      </c>
      <c r="AS91" s="77">
        <f t="shared" ca="1" si="228"/>
        <v>2515.386552586639</v>
      </c>
      <c r="AT91" s="54">
        <f t="shared" ca="1" si="229"/>
        <v>25.40794497562262</v>
      </c>
      <c r="AU91" s="53">
        <f ca="1">OFFSET('National statistics'!$A$6,MATCH(R0_estimation!$A91,'National statistics'!$A$7:$A$5000,0),MATCH(R0_estimation!AU$16 &amp; "_Running14daysNew",'National statistics'!$B$1:$HA$1,0))</f>
        <v>121</v>
      </c>
      <c r="AV91" s="97">
        <f t="shared" ca="1" si="230"/>
        <v>1.3230125268909632</v>
      </c>
      <c r="AW91" s="98">
        <f t="shared" ca="1" si="189"/>
        <v>0.85754424097138826</v>
      </c>
      <c r="AX91" s="77">
        <f t="shared" ca="1" si="231"/>
        <v>5853438.3855084172</v>
      </c>
      <c r="AY91" s="77">
        <f t="shared" ca="1" si="232"/>
        <v>40.388509202773498</v>
      </c>
      <c r="AZ91" s="77">
        <f t="shared" ca="1" si="233"/>
        <v>114.05017687588261</v>
      </c>
      <c r="BA91" s="77">
        <f t="shared" ca="1" si="234"/>
        <v>0</v>
      </c>
      <c r="BB91" s="77">
        <f t="shared" ca="1" si="235"/>
        <v>243.53303282761584</v>
      </c>
      <c r="BC91" s="54">
        <f t="shared" ca="1" si="236"/>
        <v>2.4599296245213726</v>
      </c>
      <c r="BD91" s="53">
        <f ca="1">OFFSET('National statistics'!$A$6,MATCH(R0_estimation!$A91,'National statistics'!$A$7:$A$5000,0),MATCH(R0_estimation!BD$16 &amp; "_Running14daysNew",'National statistics'!$B$1:$HA$1,0))</f>
        <v>81</v>
      </c>
      <c r="BE91" s="97">
        <f t="shared" ca="1" si="237"/>
        <v>2.7378826770959304</v>
      </c>
      <c r="BF91" s="98">
        <f t="shared" ca="1" si="190"/>
        <v>0.72178134408538486</v>
      </c>
      <c r="BG91" s="77">
        <f t="shared" ca="1" si="238"/>
        <v>4808901.6954695713</v>
      </c>
      <c r="BH91" s="77">
        <f t="shared" ca="1" si="239"/>
        <v>55.907076609116444</v>
      </c>
      <c r="BI91" s="77">
        <f t="shared" ca="1" si="240"/>
        <v>93.717840127094803</v>
      </c>
      <c r="BJ91" s="77">
        <f t="shared" ca="1" si="241"/>
        <v>0</v>
      </c>
      <c r="BK91" s="77">
        <f t="shared" ca="1" si="242"/>
        <v>144.85285391288451</v>
      </c>
      <c r="BL91" s="54">
        <f t="shared" ca="1" si="243"/>
        <v>1.463160140534187</v>
      </c>
      <c r="BM91" s="53">
        <f ca="1">OFFSET('National statistics'!$A$6,MATCH(R0_estimation!$A91,'National statistics'!$A$7:$A$5000,0),MATCH(R0_estimation!BM$16 &amp; "_Running14daysNew",'National statistics'!$B$1:$HA$1,0))</f>
        <v>489</v>
      </c>
      <c r="BN91" s="97">
        <f t="shared" ca="1" si="244"/>
        <v>5.497453992143007</v>
      </c>
      <c r="BO91" s="98">
        <f t="shared" ca="1" si="191"/>
        <v>0.99326027081939861</v>
      </c>
      <c r="BP91" s="77">
        <f t="shared" ca="1" si="245"/>
        <v>4106472.9102486121</v>
      </c>
      <c r="BQ91" s="77">
        <f t="shared" ca="1" si="246"/>
        <v>429.487171219549</v>
      </c>
      <c r="BR91" s="77">
        <f t="shared" ca="1" si="247"/>
        <v>454.06116639302905</v>
      </c>
      <c r="BS91" s="77">
        <f t="shared" ca="1" si="248"/>
        <v>0</v>
      </c>
      <c r="BT91" s="77">
        <f t="shared" ca="1" si="249"/>
        <v>275.92406207715783</v>
      </c>
      <c r="BU91" s="54">
        <f t="shared" ca="1" si="250"/>
        <v>2.7871117381531096</v>
      </c>
      <c r="BV91" s="53">
        <f ca="1">OFFSET('National statistics'!$A$6,MATCH(R0_estimation!$A91,'National statistics'!$A$7:$A$5000,0),MATCH(R0_estimation!BV$16 &amp; "_Running14daysNew",'National statistics'!$B$1:$HA$1,0))</f>
        <v>77</v>
      </c>
      <c r="BW91" s="97">
        <f t="shared" ca="1" si="251"/>
        <v>4.1476075519699354</v>
      </c>
      <c r="BX91" s="98">
        <f t="shared" ca="1" si="192"/>
        <v>0.68996207341942262</v>
      </c>
      <c r="BY91" s="77">
        <f t="shared" ca="1" si="252"/>
        <v>1322036.1250905185</v>
      </c>
      <c r="BZ91" s="77">
        <f t="shared" ca="1" si="253"/>
        <v>53.930434249954203</v>
      </c>
      <c r="CA91" s="77">
        <f t="shared" ca="1" si="254"/>
        <v>68.403020286182951</v>
      </c>
      <c r="CB91" s="77">
        <f t="shared" ca="1" si="255"/>
        <v>0</v>
      </c>
      <c r="CC91" s="77">
        <f t="shared" ca="1" si="256"/>
        <v>74.884122049803196</v>
      </c>
      <c r="CD91" s="54">
        <f t="shared" ca="1" si="257"/>
        <v>0.75640527323033546</v>
      </c>
      <c r="CE91" s="53">
        <f ca="1">OFFSET('National statistics'!$A$6,MATCH(R0_estimation!$A91,'National statistics'!$A$7:$A$5000,0),MATCH(R0_estimation!CE$16 &amp; "_Running14daysNew",'National statistics'!$B$1:$HA$1,0))</f>
        <v>18990</v>
      </c>
      <c r="CF91" s="97">
        <f t="shared" ca="1" si="258"/>
        <v>1.8309915393973175</v>
      </c>
      <c r="CG91" s="98">
        <f t="shared" ca="1" si="193"/>
        <v>1.2165621122686727</v>
      </c>
      <c r="CH91" s="77">
        <f t="shared" ca="1" si="259"/>
        <v>7254615.0649092328</v>
      </c>
      <c r="CI91" s="77">
        <f t="shared" ca="1" si="260"/>
        <v>8191.5355755245873</v>
      </c>
      <c r="CJ91" s="77">
        <f t="shared" ca="1" si="261"/>
        <v>18297.048079768723</v>
      </c>
      <c r="CK91" s="77">
        <f t="shared" ca="1" si="262"/>
        <v>0</v>
      </c>
      <c r="CL91" s="77">
        <f t="shared" ca="1" si="263"/>
        <v>23541.463158616647</v>
      </c>
      <c r="CM91" s="54">
        <f t="shared" ca="1" si="264"/>
        <v>237.79255715774394</v>
      </c>
      <c r="CO91" s="209"/>
      <c r="CP91" s="210"/>
    </row>
    <row r="92" spans="1:94">
      <c r="A92" s="83">
        <v>43992</v>
      </c>
      <c r="B92" s="53">
        <f ca="1">OFFSET('National statistics'!$A$6,MATCH(R0_estimation!$A92,'National statistics'!$A$7:$A$5000,0),MATCH(R0_estimation!B$16 &amp; "_Running14daysNew",'National statistics'!$B$1:$HA$1,0))</f>
        <v>29337</v>
      </c>
      <c r="C92" s="97">
        <f t="shared" ca="1" si="195"/>
        <v>1.9488488524741405</v>
      </c>
      <c r="D92" s="98">
        <f t="shared" si="194"/>
        <v>1</v>
      </c>
      <c r="E92" s="77">
        <f t="shared" ca="1" si="196"/>
        <v>59632601.241998814</v>
      </c>
      <c r="F92" s="77">
        <f t="shared" ca="1" si="197"/>
        <v>15016.908341543538</v>
      </c>
      <c r="G92" s="77">
        <f t="shared" ca="1" si="198"/>
        <v>29337.000002644188</v>
      </c>
      <c r="H92" s="77">
        <f t="shared" ca="1" si="199"/>
        <v>0</v>
      </c>
      <c r="I92" s="77">
        <f t="shared" ca="1" si="200"/>
        <v>40166.638975550406</v>
      </c>
      <c r="J92" s="54">
        <f t="shared" ca="1" si="201"/>
        <v>405.72362601566078</v>
      </c>
      <c r="K92" s="53">
        <f ca="1">OFFSET('National statistics'!$A$6,MATCH(R0_estimation!$A92,'National statistics'!$A$7:$A$5000,0),MATCH(R0_estimation!K$16 &amp; "_Running14daysNew",'National statistics'!$B$1:$HA$1,0))</f>
        <v>4107</v>
      </c>
      <c r="L92" s="97">
        <f t="shared" ca="1" si="202"/>
        <v>2.8414734641357478</v>
      </c>
      <c r="M92" s="98">
        <f t="shared" ca="1" si="185"/>
        <v>1.3891436550517304</v>
      </c>
      <c r="N92" s="77">
        <f t="shared" ca="1" si="203"/>
        <v>6860421.1975515513</v>
      </c>
      <c r="O92" s="77">
        <f t="shared" ca="1" si="204"/>
        <v>2370.4696671602142</v>
      </c>
      <c r="P92" s="77">
        <f t="shared" ca="1" si="205"/>
        <v>4107.0007749565675</v>
      </c>
      <c r="Q92" s="77">
        <f t="shared" ca="1" si="206"/>
        <v>0</v>
      </c>
      <c r="R92" s="77">
        <f t="shared" ca="1" si="207"/>
        <v>3826.8602430102151</v>
      </c>
      <c r="S92" s="54">
        <f t="shared" ca="1" si="208"/>
        <v>38.655153969800146</v>
      </c>
      <c r="T92" s="53">
        <f ca="1">OFFSET('National statistics'!$A$6,MATCH(R0_estimation!$A92,'National statistics'!$A$7:$A$5000,0),MATCH(R0_estimation!T$16 &amp; "_Running14daysNew",'National statistics'!$B$1:$HA$1,0))</f>
        <v>180</v>
      </c>
      <c r="U92" s="97">
        <f t="shared" ca="1" si="209"/>
        <v>2.6596774835310657</v>
      </c>
      <c r="V92" s="98">
        <f t="shared" ca="1" si="186"/>
        <v>0.50313552847557719</v>
      </c>
      <c r="W92" s="77">
        <f t="shared" ca="1" si="210"/>
        <v>2808265.7679568506</v>
      </c>
      <c r="X92" s="77">
        <f t="shared" ca="1" si="211"/>
        <v>101.19678075431817</v>
      </c>
      <c r="Y92" s="77">
        <f t="shared" ca="1" si="212"/>
        <v>179.99995706191368</v>
      </c>
      <c r="Z92" s="77">
        <f t="shared" ca="1" si="213"/>
        <v>0</v>
      </c>
      <c r="AA92" s="77">
        <f t="shared" ca="1" si="214"/>
        <v>457.54300641059166</v>
      </c>
      <c r="AB92" s="54">
        <f t="shared" ca="1" si="215"/>
        <v>4.6216465293999143</v>
      </c>
      <c r="AC92" s="53">
        <f ca="1">OFFSET('National statistics'!$A$6,MATCH(R0_estimation!$A92,'National statistics'!$A$7:$A$5000,0),MATCH(R0_estimation!AC$16 &amp; "_Running14daysNew",'National statistics'!$B$1:$HA$1,0))</f>
        <v>4028</v>
      </c>
      <c r="AD92" s="97">
        <f t="shared" ca="1" si="216"/>
        <v>3.8909509351225071</v>
      </c>
      <c r="AE92" s="98">
        <f t="shared" ca="1" si="187"/>
        <v>0.57565754152920057</v>
      </c>
      <c r="AF92" s="77">
        <f t="shared" ca="1" si="217"/>
        <v>15626786.162650798</v>
      </c>
      <c r="AG92" s="77">
        <f t="shared" ca="1" si="218"/>
        <v>2996.8949706189351</v>
      </c>
      <c r="AH92" s="77">
        <f t="shared" ca="1" si="219"/>
        <v>4028.0000000651376</v>
      </c>
      <c r="AI92" s="77">
        <f t="shared" ca="1" si="220"/>
        <v>0</v>
      </c>
      <c r="AJ92" s="77">
        <f t="shared" ca="1" si="221"/>
        <v>5568.8627882709925</v>
      </c>
      <c r="AK92" s="54">
        <f t="shared" ca="1" si="222"/>
        <v>56.251139275464581</v>
      </c>
      <c r="AL92" s="53">
        <f ca="1">OFFSET('National statistics'!$A$6,MATCH(R0_estimation!$A92,'National statistics'!$A$7:$A$5000,0),MATCH(R0_estimation!AL$16 &amp; "_Running14daysNew",'National statistics'!$B$1:$HA$1,0))</f>
        <v>1161</v>
      </c>
      <c r="AM92" s="97">
        <f t="shared" ca="1" si="223"/>
        <v>2.5276629565043836</v>
      </c>
      <c r="AN92" s="98">
        <f t="shared" ca="1" si="188"/>
        <v>0.74495013848278369</v>
      </c>
      <c r="AO92" s="77">
        <f t="shared" ca="1" si="224"/>
        <v>10996273.823764982</v>
      </c>
      <c r="AP92" s="77">
        <f t="shared" ca="1" si="225"/>
        <v>473.30852088242295</v>
      </c>
      <c r="AQ92" s="77">
        <f t="shared" ca="1" si="226"/>
        <v>1160.9999799186983</v>
      </c>
      <c r="AR92" s="77">
        <f t="shared" ca="1" si="227"/>
        <v>0</v>
      </c>
      <c r="AS92" s="77">
        <f t="shared" ca="1" si="228"/>
        <v>2595.0570242454241</v>
      </c>
      <c r="AT92" s="54">
        <f t="shared" ca="1" si="229"/>
        <v>26.212697214600247</v>
      </c>
      <c r="AU92" s="53">
        <f ca="1">OFFSET('National statistics'!$A$6,MATCH(R0_estimation!$A92,'National statistics'!$A$7:$A$5000,0),MATCH(R0_estimation!AU$16 &amp; "_Running14daysNew",'National statistics'!$B$1:$HA$1,0))</f>
        <v>116</v>
      </c>
      <c r="AV92" s="97">
        <f t="shared" ca="1" si="230"/>
        <v>3.6500336577649697</v>
      </c>
      <c r="AW92" s="98">
        <f t="shared" ca="1" si="189"/>
        <v>0.85754424097138826</v>
      </c>
      <c r="AX92" s="77">
        <f t="shared" ca="1" si="231"/>
        <v>5853427.6083973823</v>
      </c>
      <c r="AY92" s="77">
        <f t="shared" ca="1" si="232"/>
        <v>41.068492937201334</v>
      </c>
      <c r="AZ92" s="77">
        <f t="shared" ca="1" si="233"/>
        <v>116.0008629711558</v>
      </c>
      <c r="BA92" s="77">
        <f t="shared" ca="1" si="234"/>
        <v>0</v>
      </c>
      <c r="BB92" s="77">
        <f t="shared" ca="1" si="235"/>
        <v>251.59800962098183</v>
      </c>
      <c r="BC92" s="54">
        <f t="shared" ca="1" si="236"/>
        <v>2.5413940365755745</v>
      </c>
      <c r="BD92" s="53">
        <f ca="1">OFFSET('National statistics'!$A$6,MATCH(R0_estimation!$A92,'National statistics'!$A$7:$A$5000,0),MATCH(R0_estimation!BD$16 &amp; "_Running14daysNew",'National statistics'!$B$1:$HA$1,0))</f>
        <v>101</v>
      </c>
      <c r="BE92" s="97">
        <f t="shared" ca="1" si="237"/>
        <v>4.2706239748773784</v>
      </c>
      <c r="BF92" s="98">
        <f t="shared" ca="1" si="190"/>
        <v>0.72178134408538486</v>
      </c>
      <c r="BG92" s="77">
        <f t="shared" ca="1" si="238"/>
        <v>4808883.3688453184</v>
      </c>
      <c r="BH92" s="77">
        <f t="shared" ca="1" si="239"/>
        <v>60.256931709527841</v>
      </c>
      <c r="BI92" s="77">
        <f t="shared" ca="1" si="240"/>
        <v>101.00047784172428</v>
      </c>
      <c r="BJ92" s="77">
        <f t="shared" ca="1" si="241"/>
        <v>0</v>
      </c>
      <c r="BK92" s="77">
        <f t="shared" ca="1" si="242"/>
        <v>151.48004403615764</v>
      </c>
      <c r="BL92" s="54">
        <f t="shared" ca="1" si="243"/>
        <v>1.5301014549106833</v>
      </c>
      <c r="BM92" s="53">
        <f ca="1">OFFSET('National statistics'!$A$6,MATCH(R0_estimation!$A92,'National statistics'!$A$7:$A$5000,0),MATCH(R0_estimation!BM$16 &amp; "_Running14daysNew",'National statistics'!$B$1:$HA$1,0))</f>
        <v>529</v>
      </c>
      <c r="BN92" s="97">
        <f t="shared" ca="1" si="244"/>
        <v>2.981240923684366</v>
      </c>
      <c r="BO92" s="98">
        <f t="shared" ca="1" si="191"/>
        <v>0.99326027081939861</v>
      </c>
      <c r="BP92" s="77">
        <f t="shared" ca="1" si="245"/>
        <v>4106294.6619794448</v>
      </c>
      <c r="BQ92" s="77">
        <f t="shared" ca="1" si="246"/>
        <v>500.36364758194736</v>
      </c>
      <c r="BR92" s="77">
        <f t="shared" ca="1" si="247"/>
        <v>529.00001874127133</v>
      </c>
      <c r="BS92" s="77">
        <f t="shared" ca="1" si="248"/>
        <v>0</v>
      </c>
      <c r="BT92" s="77">
        <f t="shared" ca="1" si="249"/>
        <v>308.03267312923629</v>
      </c>
      <c r="BU92" s="54">
        <f t="shared" ca="1" si="250"/>
        <v>3.111441142719559</v>
      </c>
      <c r="BV92" s="53">
        <f ca="1">OFFSET('National statistics'!$A$6,MATCH(R0_estimation!$A92,'National statistics'!$A$7:$A$5000,0),MATCH(R0_estimation!BV$16 &amp; "_Running14daysNew",'National statistics'!$B$1:$HA$1,0))</f>
        <v>77</v>
      </c>
      <c r="BW92" s="97">
        <f t="shared" ca="1" si="251"/>
        <v>1.9678081772448333</v>
      </c>
      <c r="BX92" s="98">
        <f t="shared" ca="1" si="192"/>
        <v>0.68996207341942262</v>
      </c>
      <c r="BY92" s="77">
        <f t="shared" ca="1" si="252"/>
        <v>1322015.8631928794</v>
      </c>
      <c r="BZ92" s="77">
        <f t="shared" ca="1" si="253"/>
        <v>60.709723326575457</v>
      </c>
      <c r="CA92" s="77">
        <f t="shared" ca="1" si="254"/>
        <v>76.999698828229867</v>
      </c>
      <c r="CB92" s="77">
        <f t="shared" ca="1" si="255"/>
        <v>0</v>
      </c>
      <c r="CC92" s="77">
        <f t="shared" ca="1" si="256"/>
        <v>79.721192770040417</v>
      </c>
      <c r="CD92" s="54">
        <f t="shared" ca="1" si="257"/>
        <v>0.80526457343475188</v>
      </c>
      <c r="CE92" s="53">
        <f ca="1">OFFSET('National statistics'!$A$6,MATCH(R0_estimation!$A92,'National statistics'!$A$7:$A$5000,0),MATCH(R0_estimation!CE$16 &amp; "_Running14daysNew",'National statistics'!$B$1:$HA$1,0))</f>
        <v>19038</v>
      </c>
      <c r="CF92" s="97">
        <f t="shared" ca="1" si="258"/>
        <v>0.81956078079765959</v>
      </c>
      <c r="CG92" s="98">
        <f t="shared" ca="1" si="193"/>
        <v>1.2165621122686727</v>
      </c>
      <c r="CH92" s="77">
        <f t="shared" ca="1" si="259"/>
        <v>7252238.4731685761</v>
      </c>
      <c r="CI92" s="77">
        <f t="shared" ca="1" si="260"/>
        <v>8520.243422299729</v>
      </c>
      <c r="CJ92" s="77">
        <f t="shared" ca="1" si="261"/>
        <v>19037.999967952102</v>
      </c>
      <c r="CK92" s="77">
        <f t="shared" ca="1" si="262"/>
        <v>0</v>
      </c>
      <c r="CL92" s="77">
        <f t="shared" ca="1" si="263"/>
        <v>24835.325844257437</v>
      </c>
      <c r="CM92" s="54">
        <f t="shared" ca="1" si="264"/>
        <v>250.8618772147216</v>
      </c>
      <c r="CO92" s="209"/>
      <c r="CP92" s="210"/>
    </row>
    <row r="93" spans="1:94">
      <c r="A93" s="83">
        <v>43993</v>
      </c>
      <c r="B93" s="53">
        <f ca="1">OFFSET('National statistics'!$A$6,MATCH(R0_estimation!$A93,'National statistics'!$A$7:$A$5000,0),MATCH(R0_estimation!B$16 &amp; "_Running14daysNew",'National statistics'!$B$1:$HA$1,0))</f>
        <v>31102</v>
      </c>
      <c r="C93" s="97">
        <f t="shared" ca="1" si="195"/>
        <v>1.9488488524741405</v>
      </c>
      <c r="D93" s="98">
        <f t="shared" si="194"/>
        <v>1</v>
      </c>
      <c r="E93" s="77">
        <f t="shared" ca="1" si="196"/>
        <v>59628523.209246948</v>
      </c>
      <c r="F93" s="77">
        <f t="shared" ca="1" si="197"/>
        <v>15340.714008019835</v>
      </c>
      <c r="G93" s="77">
        <f t="shared" ca="1" si="198"/>
        <v>30995.727087841202</v>
      </c>
      <c r="H93" s="77">
        <f t="shared" ca="1" si="199"/>
        <v>0</v>
      </c>
      <c r="I93" s="77">
        <f t="shared" ca="1" si="200"/>
        <v>42241.183975737389</v>
      </c>
      <c r="J93" s="54">
        <f t="shared" ca="1" si="201"/>
        <v>426.6786260175495</v>
      </c>
      <c r="K93" s="53">
        <f ca="1">OFFSET('National statistics'!$A$6,MATCH(R0_estimation!$A93,'National statistics'!$A$7:$A$5000,0),MATCH(R0_estimation!K$16 &amp; "_Running14daysNew",'National statistics'!$B$1:$HA$1,0))</f>
        <v>4562</v>
      </c>
      <c r="L93" s="97">
        <f t="shared" ca="1" si="202"/>
        <v>2.8414734641357478</v>
      </c>
      <c r="M93" s="98">
        <f t="shared" ca="1" si="185"/>
        <v>1.3891436550517304</v>
      </c>
      <c r="N93" s="77">
        <f t="shared" ca="1" si="203"/>
        <v>6859588.8809941271</v>
      </c>
      <c r="O93" s="77">
        <f t="shared" ca="1" si="204"/>
        <v>2610.1688077946405</v>
      </c>
      <c r="P93" s="77">
        <f t="shared" ca="1" si="205"/>
        <v>4406.2609935354376</v>
      </c>
      <c r="Q93" s="77">
        <f t="shared" ca="1" si="206"/>
        <v>0</v>
      </c>
      <c r="R93" s="77">
        <f t="shared" ca="1" si="207"/>
        <v>4117.283869239287</v>
      </c>
      <c r="S93" s="54">
        <f t="shared" ca="1" si="208"/>
        <v>41.588725951911982</v>
      </c>
      <c r="T93" s="53">
        <f ca="1">OFFSET('National statistics'!$A$6,MATCH(R0_estimation!$A93,'National statistics'!$A$7:$A$5000,0),MATCH(R0_estimation!T$16 &amp; "_Running14daysNew",'National statistics'!$B$1:$HA$1,0))</f>
        <v>181</v>
      </c>
      <c r="U93" s="97">
        <f t="shared" ca="1" si="209"/>
        <v>2.6596774835310657</v>
      </c>
      <c r="V93" s="98">
        <f t="shared" ca="1" si="186"/>
        <v>0.50313552847557719</v>
      </c>
      <c r="W93" s="77">
        <f t="shared" ca="1" si="210"/>
        <v>2808231.5811048094</v>
      </c>
      <c r="X93" s="77">
        <f t="shared" ca="1" si="211"/>
        <v>110.08443760712277</v>
      </c>
      <c r="Y93" s="77">
        <f t="shared" ca="1" si="212"/>
        <v>192.44201246035652</v>
      </c>
      <c r="Z93" s="77">
        <f t="shared" ca="1" si="213"/>
        <v>0</v>
      </c>
      <c r="AA93" s="77">
        <f t="shared" ca="1" si="214"/>
        <v>470.27157480282699</v>
      </c>
      <c r="AB93" s="54">
        <f t="shared" ca="1" si="215"/>
        <v>4.7502179273012812</v>
      </c>
      <c r="AC93" s="53">
        <f ca="1">OFFSET('National statistics'!$A$6,MATCH(R0_estimation!$A93,'National statistics'!$A$7:$A$5000,0),MATCH(R0_estimation!AC$16 &amp; "_Running14daysNew",'National statistics'!$B$1:$HA$1,0))</f>
        <v>4624</v>
      </c>
      <c r="AD93" s="97">
        <f t="shared" ca="1" si="216"/>
        <v>3.8909509351225071</v>
      </c>
      <c r="AE93" s="98">
        <f t="shared" ca="1" si="187"/>
        <v>0.57565754152920057</v>
      </c>
      <c r="AF93" s="77">
        <f t="shared" ca="1" si="217"/>
        <v>15625667.581955276</v>
      </c>
      <c r="AG93" s="77">
        <f t="shared" ca="1" si="218"/>
        <v>3366.2519234857782</v>
      </c>
      <c r="AH93" s="77">
        <f t="shared" ca="1" si="219"/>
        <v>4489.5094570009333</v>
      </c>
      <c r="AI93" s="77">
        <f t="shared" ca="1" si="220"/>
        <v>0</v>
      </c>
      <c r="AJ93" s="77">
        <f t="shared" ca="1" si="221"/>
        <v>5853.6999311327418</v>
      </c>
      <c r="AK93" s="54">
        <f t="shared" ca="1" si="222"/>
        <v>59.128282132653965</v>
      </c>
      <c r="AL93" s="53">
        <f ca="1">OFFSET('National statistics'!$A$6,MATCH(R0_estimation!$A93,'National statistics'!$A$7:$A$5000,0),MATCH(R0_estimation!AL$16 &amp; "_Running14daysNew",'National statistics'!$B$1:$HA$1,0))</f>
        <v>1123</v>
      </c>
      <c r="AM93" s="97">
        <f t="shared" ca="1" si="223"/>
        <v>2.5276629565043836</v>
      </c>
      <c r="AN93" s="98">
        <f t="shared" ca="1" si="188"/>
        <v>0.74495013848278369</v>
      </c>
      <c r="AO93" s="77">
        <f t="shared" ca="1" si="224"/>
        <v>10996064.288881471</v>
      </c>
      <c r="AP93" s="77">
        <f t="shared" ca="1" si="225"/>
        <v>564.51627417124564</v>
      </c>
      <c r="AQ93" s="77">
        <f t="shared" ca="1" si="226"/>
        <v>1196.3985401451114</v>
      </c>
      <c r="AR93" s="77">
        <f t="shared" ca="1" si="227"/>
        <v>0</v>
      </c>
      <c r="AS93" s="77">
        <f t="shared" ca="1" si="228"/>
        <v>2677.1563085396751</v>
      </c>
      <c r="AT93" s="54">
        <f t="shared" ca="1" si="229"/>
        <v>27.041982914542174</v>
      </c>
      <c r="AU93" s="53">
        <f ca="1">OFFSET('National statistics'!$A$6,MATCH(R0_estimation!$A93,'National statistics'!$A$7:$A$5000,0),MATCH(R0_estimation!AU$16 &amp; "_Running14daysNew",'National statistics'!$B$1:$HA$1,0))</f>
        <v>123</v>
      </c>
      <c r="AV93" s="97">
        <f t="shared" ca="1" si="230"/>
        <v>3.6500336577649697</v>
      </c>
      <c r="AW93" s="98">
        <f t="shared" ca="1" si="189"/>
        <v>0.85754424097138826</v>
      </c>
      <c r="AX93" s="77">
        <f t="shared" ca="1" si="231"/>
        <v>5853397.3671477158</v>
      </c>
      <c r="AY93" s="77">
        <f t="shared" ca="1" si="232"/>
        <v>61.042619369217711</v>
      </c>
      <c r="AZ93" s="77">
        <f t="shared" ca="1" si="233"/>
        <v>117.98221027894499</v>
      </c>
      <c r="BA93" s="77">
        <f t="shared" ca="1" si="234"/>
        <v>0</v>
      </c>
      <c r="BB93" s="77">
        <f t="shared" ca="1" si="235"/>
        <v>259.80092778822785</v>
      </c>
      <c r="BC93" s="54">
        <f t="shared" ca="1" si="236"/>
        <v>2.6242517958406859</v>
      </c>
      <c r="BD93" s="53">
        <f ca="1">OFFSET('National statistics'!$A$6,MATCH(R0_estimation!$A93,'National statistics'!$A$7:$A$5000,0),MATCH(R0_estimation!BD$16 &amp; "_Running14daysNew",'National statistics'!$B$1:$HA$1,0))</f>
        <v>117</v>
      </c>
      <c r="BE93" s="97">
        <f t="shared" ca="1" si="237"/>
        <v>4.2706239748773784</v>
      </c>
      <c r="BF93" s="98">
        <f t="shared" ca="1" si="190"/>
        <v>0.72178134408538486</v>
      </c>
      <c r="BG93" s="77">
        <f t="shared" ca="1" si="238"/>
        <v>4808852.5612015445</v>
      </c>
      <c r="BH93" s="77">
        <f t="shared" ca="1" si="239"/>
        <v>76.000342556121467</v>
      </c>
      <c r="BI93" s="77">
        <f t="shared" ca="1" si="240"/>
        <v>108.85039092326879</v>
      </c>
      <c r="BJ93" s="77">
        <f t="shared" ca="1" si="241"/>
        <v>0</v>
      </c>
      <c r="BK93" s="77">
        <f t="shared" ca="1" si="242"/>
        <v>158.62222068353671</v>
      </c>
      <c r="BL93" s="54">
        <f t="shared" ca="1" si="243"/>
        <v>1.6022446533690577</v>
      </c>
      <c r="BM93" s="53">
        <f ca="1">OFFSET('National statistics'!$A$6,MATCH(R0_estimation!$A93,'National statistics'!$A$7:$A$5000,0),MATCH(R0_estimation!BM$16 &amp; "_Running14daysNew",'National statistics'!$B$1:$HA$1,0))</f>
        <v>623</v>
      </c>
      <c r="BN93" s="97">
        <f t="shared" ca="1" si="244"/>
        <v>2.981240923684366</v>
      </c>
      <c r="BO93" s="98">
        <f t="shared" ca="1" si="191"/>
        <v>0.99326027081939861</v>
      </c>
      <c r="BP93" s="77">
        <f t="shared" ca="1" si="245"/>
        <v>4106182.0503346538</v>
      </c>
      <c r="BQ93" s="77">
        <f t="shared" ca="1" si="246"/>
        <v>487.88438047741425</v>
      </c>
      <c r="BR93" s="77">
        <f t="shared" ca="1" si="247"/>
        <v>616.30521501238172</v>
      </c>
      <c r="BS93" s="77">
        <f t="shared" ca="1" si="248"/>
        <v>0</v>
      </c>
      <c r="BT93" s="77">
        <f t="shared" ca="1" si="249"/>
        <v>345.44053159736904</v>
      </c>
      <c r="BU93" s="54">
        <f t="shared" ca="1" si="250"/>
        <v>3.4892982989633241</v>
      </c>
      <c r="BV93" s="53">
        <f ca="1">OFFSET('National statistics'!$A$6,MATCH(R0_estimation!$A93,'National statistics'!$A$7:$A$5000,0),MATCH(R0_estimation!BV$16 &amp; "_Running14daysNew",'National statistics'!$B$1:$HA$1,0))</f>
        <v>81</v>
      </c>
      <c r="BW93" s="97">
        <f t="shared" ca="1" si="251"/>
        <v>1.9678081772448333</v>
      </c>
      <c r="BX93" s="98">
        <f t="shared" ca="1" si="192"/>
        <v>0.68996207341942262</v>
      </c>
      <c r="BY93" s="77">
        <f t="shared" ca="1" si="252"/>
        <v>1322005.0420699758</v>
      </c>
      <c r="BZ93" s="77">
        <f t="shared" ca="1" si="253"/>
        <v>56.353415398594777</v>
      </c>
      <c r="CA93" s="77">
        <f t="shared" ca="1" si="254"/>
        <v>86.677151172143027</v>
      </c>
      <c r="CB93" s="77">
        <f t="shared" ca="1" si="255"/>
        <v>0</v>
      </c>
      <c r="CC93" s="77">
        <f t="shared" ca="1" si="256"/>
        <v>85.166171472893822</v>
      </c>
      <c r="CD93" s="54">
        <f t="shared" ca="1" si="257"/>
        <v>0.86026435831205894</v>
      </c>
      <c r="CE93" s="53">
        <f ca="1">OFFSET('National statistics'!$A$6,MATCH(R0_estimation!$A93,'National statistics'!$A$7:$A$5000,0),MATCH(R0_estimation!CE$16 &amp; "_Running14daysNew",'National statistics'!$B$1:$HA$1,0))</f>
        <v>19668</v>
      </c>
      <c r="CF93" s="97">
        <f t="shared" ca="1" si="258"/>
        <v>0.81956078079765959</v>
      </c>
      <c r="CG93" s="98">
        <f t="shared" ca="1" si="193"/>
        <v>1.2165621122686727</v>
      </c>
      <c r="CH93" s="77">
        <f t="shared" ca="1" si="259"/>
        <v>7251131.9814037066</v>
      </c>
      <c r="CI93" s="77">
        <f t="shared" ca="1" si="260"/>
        <v>7496.6743315944468</v>
      </c>
      <c r="CJ93" s="77">
        <f t="shared" ca="1" si="261"/>
        <v>19808.203682959025</v>
      </c>
      <c r="CK93" s="77">
        <f t="shared" ca="1" si="262"/>
        <v>0</v>
      </c>
      <c r="CL93" s="77">
        <f t="shared" ca="1" si="263"/>
        <v>26181.584413419765</v>
      </c>
      <c r="CM93" s="54">
        <f t="shared" ca="1" si="264"/>
        <v>264.46044862040168</v>
      </c>
      <c r="CO93" s="209"/>
      <c r="CP93" s="210"/>
    </row>
    <row r="94" spans="1:94">
      <c r="A94" s="83">
        <v>43994</v>
      </c>
      <c r="B94" s="53">
        <f ca="1">OFFSET('National statistics'!$A$6,MATCH(R0_estimation!$A94,'National statistics'!$A$7:$A$5000,0),MATCH(R0_estimation!B$16 &amp; "_Running14daysNew",'National statistics'!$B$1:$HA$1,0))</f>
        <v>32656</v>
      </c>
      <c r="C94" s="97">
        <f t="shared" ca="1" si="195"/>
        <v>1.9488488524741405</v>
      </c>
      <c r="D94" s="98">
        <f t="shared" si="194"/>
        <v>1</v>
      </c>
      <c r="E94" s="77">
        <f t="shared" ca="1" si="196"/>
        <v>59624214.895838</v>
      </c>
      <c r="F94" s="77">
        <f t="shared" ca="1" si="197"/>
        <v>15813.848914959965</v>
      </c>
      <c r="G94" s="77">
        <f t="shared" ca="1" si="198"/>
        <v>32616.925083571787</v>
      </c>
      <c r="H94" s="77">
        <f t="shared" ca="1" si="199"/>
        <v>0</v>
      </c>
      <c r="I94" s="77">
        <f t="shared" ca="1" si="200"/>
        <v>44433.024676949019</v>
      </c>
      <c r="J94" s="54">
        <f t="shared" ca="1" si="201"/>
        <v>448.81843108029324</v>
      </c>
      <c r="K94" s="53">
        <f ca="1">OFFSET('National statistics'!$A$6,MATCH(R0_estimation!$A94,'National statistics'!$A$7:$A$5000,0),MATCH(R0_estimation!K$16 &amp; "_Running14daysNew",'National statistics'!$B$1:$HA$1,0))</f>
        <v>5032</v>
      </c>
      <c r="L94" s="97">
        <f t="shared" ca="1" si="202"/>
        <v>2.8414734641357478</v>
      </c>
      <c r="M94" s="98">
        <f t="shared" ca="1" si="185"/>
        <v>1.3891436550517304</v>
      </c>
      <c r="N94" s="77">
        <f t="shared" ca="1" si="203"/>
        <v>6858696.0249142479</v>
      </c>
      <c r="O94" s="77">
        <f t="shared" ca="1" si="204"/>
        <v>2850.4826857253488</v>
      </c>
      <c r="P94" s="77">
        <f t="shared" ca="1" si="205"/>
        <v>4744.0702673744236</v>
      </c>
      <c r="Q94" s="77">
        <f t="shared" ca="1" si="206"/>
        <v>0</v>
      </c>
      <c r="R94" s="77">
        <f t="shared" ca="1" si="207"/>
        <v>4428.8694680678645</v>
      </c>
      <c r="S94" s="54">
        <f t="shared" ca="1" si="208"/>
        <v>44.73605523300872</v>
      </c>
      <c r="T94" s="53">
        <f ca="1">OFFSET('National statistics'!$A$6,MATCH(R0_estimation!$A94,'National statistics'!$A$7:$A$5000,0),MATCH(R0_estimation!T$16 &amp; "_Running14daysNew",'National statistics'!$B$1:$HA$1,0))</f>
        <v>204</v>
      </c>
      <c r="U94" s="97">
        <f t="shared" ca="1" si="209"/>
        <v>2.6596774835310657</v>
      </c>
      <c r="V94" s="98">
        <f t="shared" ca="1" si="186"/>
        <v>0.50313552847557719</v>
      </c>
      <c r="W94" s="77">
        <f t="shared" ca="1" si="210"/>
        <v>2808195.0316137723</v>
      </c>
      <c r="X94" s="77">
        <f t="shared" ca="1" si="211"/>
        <v>119.1128192426754</v>
      </c>
      <c r="Y94" s="77">
        <f t="shared" ca="1" si="212"/>
        <v>206.21726382925459</v>
      </c>
      <c r="Z94" s="77">
        <f t="shared" ca="1" si="213"/>
        <v>0</v>
      </c>
      <c r="AA94" s="77">
        <f t="shared" ca="1" si="214"/>
        <v>483.87997425538077</v>
      </c>
      <c r="AB94" s="54">
        <f t="shared" ca="1" si="215"/>
        <v>4.8876765076301076</v>
      </c>
      <c r="AC94" s="53">
        <f ca="1">OFFSET('National statistics'!$A$6,MATCH(R0_estimation!$A94,'National statistics'!$A$7:$A$5000,0),MATCH(R0_estimation!AC$16 &amp; "_Running14daysNew",'National statistics'!$B$1:$HA$1,0))</f>
        <v>5198</v>
      </c>
      <c r="AD94" s="97">
        <f t="shared" ca="1" si="216"/>
        <v>3.8909509351225071</v>
      </c>
      <c r="AE94" s="98">
        <f t="shared" ca="1" si="187"/>
        <v>0.57565754152920057</v>
      </c>
      <c r="AF94" s="77">
        <f t="shared" ca="1" si="217"/>
        <v>15624420.928513449</v>
      </c>
      <c r="AG94" s="77">
        <f t="shared" ca="1" si="218"/>
        <v>3771.3423844411536</v>
      </c>
      <c r="AH94" s="77">
        <f t="shared" ca="1" si="219"/>
        <v>5010.3931909437397</v>
      </c>
      <c r="AI94" s="77">
        <f t="shared" ca="1" si="220"/>
        <v>0</v>
      </c>
      <c r="AJ94" s="77">
        <f t="shared" ca="1" si="221"/>
        <v>6171.1723855920936</v>
      </c>
      <c r="AK94" s="54">
        <f t="shared" ca="1" si="222"/>
        <v>62.335074601940349</v>
      </c>
      <c r="AL94" s="53">
        <f ca="1">OFFSET('National statistics'!$A$6,MATCH(R0_estimation!$A94,'National statistics'!$A$7:$A$5000,0),MATCH(R0_estimation!AL$16 &amp; "_Running14daysNew",'National statistics'!$B$1:$HA$1,0))</f>
        <v>1145</v>
      </c>
      <c r="AM94" s="97">
        <f t="shared" ca="1" si="223"/>
        <v>2.5276629565043836</v>
      </c>
      <c r="AN94" s="98">
        <f t="shared" ca="1" si="188"/>
        <v>0.74495013848278369</v>
      </c>
      <c r="AO94" s="77">
        <f t="shared" ca="1" si="224"/>
        <v>10995848.369436933</v>
      </c>
      <c r="AP94" s="77">
        <f t="shared" ca="1" si="225"/>
        <v>639.30665016654882</v>
      </c>
      <c r="AQ94" s="77">
        <f t="shared" ca="1" si="226"/>
        <v>1252.070570106129</v>
      </c>
      <c r="AR94" s="77">
        <f t="shared" ca="1" si="227"/>
        <v>0</v>
      </c>
      <c r="AS94" s="77">
        <f t="shared" ca="1" si="228"/>
        <v>2761.7587767356508</v>
      </c>
      <c r="AT94" s="54">
        <f t="shared" ca="1" si="229"/>
        <v>27.896553300360111</v>
      </c>
      <c r="AU94" s="53">
        <f ca="1">OFFSET('National statistics'!$A$6,MATCH(R0_estimation!$A94,'National statistics'!$A$7:$A$5000,0),MATCH(R0_estimation!AU$16 &amp; "_Running14daysNew",'National statistics'!$B$1:$HA$1,0))</f>
        <v>118</v>
      </c>
      <c r="AV94" s="97">
        <f t="shared" ca="1" si="230"/>
        <v>3.6500336577649697</v>
      </c>
      <c r="AW94" s="98">
        <f t="shared" ca="1" si="189"/>
        <v>0.85754424097138826</v>
      </c>
      <c r="AX94" s="77">
        <f t="shared" ca="1" si="231"/>
        <v>5853366.6095222728</v>
      </c>
      <c r="AY94" s="77">
        <f t="shared" ca="1" si="232"/>
        <v>76.53958996980181</v>
      </c>
      <c r="AZ94" s="77">
        <f t="shared" ca="1" si="233"/>
        <v>124.81556438703906</v>
      </c>
      <c r="BA94" s="77">
        <f t="shared" ca="1" si="234"/>
        <v>0</v>
      </c>
      <c r="BB94" s="77">
        <f t="shared" ca="1" si="235"/>
        <v>268.14395551509608</v>
      </c>
      <c r="BC94" s="54">
        <f t="shared" ca="1" si="236"/>
        <v>2.7085248031827893</v>
      </c>
      <c r="BD94" s="53">
        <f ca="1">OFFSET('National statistics'!$A$6,MATCH(R0_estimation!$A94,'National statistics'!$A$7:$A$5000,0),MATCH(R0_estimation!BD$16 &amp; "_Running14daysNew",'National statistics'!$B$1:$HA$1,0))</f>
        <v>131</v>
      </c>
      <c r="BE94" s="97">
        <f t="shared" ca="1" si="237"/>
        <v>4.2706239748773784</v>
      </c>
      <c r="BF94" s="98">
        <f t="shared" ca="1" si="190"/>
        <v>0.72178134408538486</v>
      </c>
      <c r="BG94" s="77">
        <f t="shared" ca="1" si="238"/>
        <v>4808819.3593523372</v>
      </c>
      <c r="BH94" s="77">
        <f t="shared" ca="1" si="239"/>
        <v>90.202106124146695</v>
      </c>
      <c r="BI94" s="77">
        <f t="shared" ca="1" si="240"/>
        <v>120.07544863920852</v>
      </c>
      <c r="BJ94" s="77">
        <f t="shared" ca="1" si="241"/>
        <v>0</v>
      </c>
      <c r="BK94" s="77">
        <f t="shared" ca="1" si="242"/>
        <v>166.31949832739645</v>
      </c>
      <c r="BL94" s="54">
        <f t="shared" ca="1" si="243"/>
        <v>1.6799949325999641</v>
      </c>
      <c r="BM94" s="53">
        <f ca="1">OFFSET('National statistics'!$A$6,MATCH(R0_estimation!$A94,'National statistics'!$A$7:$A$5000,0),MATCH(R0_estimation!BM$16 &amp; "_Running14daysNew",'National statistics'!$B$1:$HA$1,0))</f>
        <v>722</v>
      </c>
      <c r="BN94" s="97">
        <f t="shared" ca="1" si="244"/>
        <v>2.981240923684366</v>
      </c>
      <c r="BO94" s="98">
        <f t="shared" ca="1" si="191"/>
        <v>0.99326027081939861</v>
      </c>
      <c r="BP94" s="77">
        <f t="shared" ca="1" si="245"/>
        <v>4106050.8570557144</v>
      </c>
      <c r="BQ94" s="77">
        <f t="shared" ca="1" si="246"/>
        <v>497.10656429740641</v>
      </c>
      <c r="BR94" s="77">
        <f t="shared" ca="1" si="247"/>
        <v>694.25450905942228</v>
      </c>
      <c r="BS94" s="77">
        <f t="shared" ca="1" si="248"/>
        <v>0</v>
      </c>
      <c r="BT94" s="77">
        <f t="shared" ca="1" si="249"/>
        <v>389.02211465895891</v>
      </c>
      <c r="BU94" s="54">
        <f t="shared" ca="1" si="250"/>
        <v>3.9295163096864538</v>
      </c>
      <c r="BV94" s="53">
        <f ca="1">OFFSET('National statistics'!$A$6,MATCH(R0_estimation!$A94,'National statistics'!$A$7:$A$5000,0),MATCH(R0_estimation!BV$16 &amp; "_Running14daysNew",'National statistics'!$B$1:$HA$1,0))</f>
        <v>86</v>
      </c>
      <c r="BW94" s="97">
        <f t="shared" ca="1" si="251"/>
        <v>1.9678081772448333</v>
      </c>
      <c r="BX94" s="98">
        <f t="shared" ca="1" si="192"/>
        <v>0.68996207341942262</v>
      </c>
      <c r="BY94" s="77">
        <f t="shared" ca="1" si="252"/>
        <v>1321992.8610292485</v>
      </c>
      <c r="BZ94" s="77">
        <f t="shared" ca="1" si="253"/>
        <v>54.446102276226796</v>
      </c>
      <c r="CA94" s="77">
        <f t="shared" ca="1" si="254"/>
        <v>94.574279938067221</v>
      </c>
      <c r="CB94" s="77">
        <f t="shared" ca="1" si="255"/>
        <v>0</v>
      </c>
      <c r="CC94" s="77">
        <f t="shared" ca="1" si="256"/>
        <v>91.295484305781073</v>
      </c>
      <c r="CD94" s="54">
        <f t="shared" ca="1" si="257"/>
        <v>0.92217660914930399</v>
      </c>
      <c r="CE94" s="53">
        <f ca="1">OFFSET('National statistics'!$A$6,MATCH(R0_estimation!$A94,'National statistics'!$A$7:$A$5000,0),MATCH(R0_estimation!CE$16 &amp; "_Running14daysNew",'National statistics'!$B$1:$HA$1,0))</f>
        <v>20020</v>
      </c>
      <c r="CF94" s="97">
        <f t="shared" ca="1" si="258"/>
        <v>0.81956078079765959</v>
      </c>
      <c r="CG94" s="98">
        <f t="shared" ca="1" si="193"/>
        <v>1.2165621122686727</v>
      </c>
      <c r="CH94" s="77">
        <f t="shared" ca="1" si="259"/>
        <v>7249980.8987762555</v>
      </c>
      <c r="CI94" s="77">
        <f t="shared" ca="1" si="260"/>
        <v>6773.588376146623</v>
      </c>
      <c r="CJ94" s="77">
        <f t="shared" ca="1" si="261"/>
        <v>20267.500574217705</v>
      </c>
      <c r="CK94" s="77">
        <f t="shared" ca="1" si="262"/>
        <v>0</v>
      </c>
      <c r="CL94" s="77">
        <f t="shared" ca="1" si="263"/>
        <v>27582.307388143297</v>
      </c>
      <c r="CM94" s="54">
        <f t="shared" ca="1" si="264"/>
        <v>278.60916553680096</v>
      </c>
      <c r="CO94" s="209"/>
      <c r="CP94" s="210"/>
    </row>
    <row r="95" spans="1:94">
      <c r="A95" s="83">
        <v>43995</v>
      </c>
      <c r="B95" s="53">
        <f ca="1">OFFSET('National statistics'!$A$6,MATCH(R0_estimation!$A95,'National statistics'!$A$7:$A$5000,0),MATCH(R0_estimation!B$16 &amp; "_Running14daysNew",'National statistics'!$B$1:$HA$1,0))</f>
        <v>34739</v>
      </c>
      <c r="C95" s="97">
        <f t="shared" ca="1" si="195"/>
        <v>1.9488488524741405</v>
      </c>
      <c r="D95" s="98">
        <f t="shared" si="194"/>
        <v>1</v>
      </c>
      <c r="E95" s="77">
        <f t="shared" ref="E95:E106" ca="1" si="265">E94-E94*(C94/14)*G94*G$16/SUM(E94:I94)-E94*(D94/14)*H$16*H94/SUM(E94:I94)</f>
        <v>59619681.566641405</v>
      </c>
      <c r="F95" s="77">
        <f t="shared" ref="F95:F106" ca="1" si="266">F94+E94*(C94/14)*G94*G$16/SUM(E94:I94)+E94*(D94/14)*H$16*H94/SUM(E94:I94)-F94/4</f>
        <v>16393.715882811321</v>
      </c>
      <c r="G95" s="77">
        <f t="shared" ref="G95:G106" ca="1" si="267">G94+G$16*F94/4-G94/14</f>
        <v>34240.606949199508</v>
      </c>
      <c r="H95" s="77">
        <f t="shared" ref="H95:H106" ca="1" si="268">H94+H$16*F94/4-H94/14</f>
        <v>0</v>
      </c>
      <c r="I95" s="77">
        <f t="shared" ref="I95:I106" ca="1" si="269">I94+H94/14+(G94/14)*(1-J$16)</f>
        <v>46739.507236430167</v>
      </c>
      <c r="J95" s="54">
        <f t="shared" ref="J95:J106" ca="1" si="270">J94+(G94/14)*(J$16)</f>
        <v>472.11623471141593</v>
      </c>
      <c r="K95" s="53">
        <f ca="1">OFFSET('National statistics'!$A$6,MATCH(R0_estimation!$A95,'National statistics'!$A$7:$A$5000,0),MATCH(R0_estimation!K$16 &amp; "_Running14daysNew",'National statistics'!$B$1:$HA$1,0))</f>
        <v>5491</v>
      </c>
      <c r="L95" s="97">
        <f t="shared" ca="1" si="202"/>
        <v>2.8414734641357478</v>
      </c>
      <c r="M95" s="98">
        <f t="shared" ca="1" si="185"/>
        <v>1.3891436550517304</v>
      </c>
      <c r="N95" s="77">
        <f t="shared" ref="N95:N106" ca="1" si="271">N94-N94*(L94/14)*P94/SUM(N94:R94)-N94*(M94/14)*Q94/SUM(N94:R94)</f>
        <v>6857734.8420446012</v>
      </c>
      <c r="O95" s="77">
        <f t="shared" ref="O95:O106" ca="1" si="272">O94+N94*(L94/14)*P94/SUM(N94:R94)+N94*(M94/14)*Q94/SUM(N94:R94)-O94/4</f>
        <v>3099.0448839406349</v>
      </c>
      <c r="P95" s="77">
        <f t="shared" ref="P95:P106" ca="1" si="273">P94+(O94/4)*P$16-P94/14</f>
        <v>5117.8287768504451</v>
      </c>
      <c r="Q95" s="77">
        <f t="shared" ref="Q95:Q106" ca="1" si="274">Q94+(O94/4)*Q$16-Q94/14</f>
        <v>0</v>
      </c>
      <c r="R95" s="77">
        <f t="shared" ref="R95:R106" ca="1" si="275">R94+Q94/14+(P94/14)*(1-S$16)</f>
        <v>4764.3430084036272</v>
      </c>
      <c r="S95" s="54">
        <f t="shared" ref="S95:S106" ca="1" si="276">S94+(P94/14)*(S$16)</f>
        <v>48.124676852561876</v>
      </c>
      <c r="T95" s="53">
        <f ca="1">OFFSET('National statistics'!$A$6,MATCH(R0_estimation!$A95,'National statistics'!$A$7:$A$5000,0),MATCH(R0_estimation!T$16 &amp; "_Running14daysNew",'National statistics'!$B$1:$HA$1,0))</f>
        <v>196</v>
      </c>
      <c r="U95" s="97">
        <f t="shared" ca="1" si="209"/>
        <v>2.6596774835310657</v>
      </c>
      <c r="V95" s="98">
        <f t="shared" ca="1" si="186"/>
        <v>0.50313552847557719</v>
      </c>
      <c r="W95" s="77">
        <f t="shared" ref="W95:W106" ca="1" si="277">W94-W94*(U94/14)*Y94/SUM(W94:AA94)-W94*(V94/14)*Z94/SUM(W94:AA94)</f>
        <v>2808155.866370114</v>
      </c>
      <c r="X95" s="77">
        <f t="shared" ref="X95:X106" ca="1" si="278">X94+W94*(U94/14)*Y94/SUM(W94:AA94)+W94*(V94/14)*Z94/SUM(W94:AA94)-X94/4</f>
        <v>128.49985809035024</v>
      </c>
      <c r="Y95" s="77">
        <f t="shared" ref="Y95:Y106" ca="1" si="279">Y94+(X94/4)*Y$16-Y94/14</f>
        <v>221.26566408069098</v>
      </c>
      <c r="Z95" s="77">
        <f t="shared" ref="Z95:Z106" ca="1" si="280">Z94+(X94/4)*Z$16-Z94/14</f>
        <v>0</v>
      </c>
      <c r="AA95" s="77">
        <f t="shared" ref="AA95:AA106" ca="1" si="281">AA94+Z94/14+(Y94/14)*(1-AB$16)</f>
        <v>498.46248076902094</v>
      </c>
      <c r="AB95" s="54">
        <f t="shared" ref="AB95:AB106" ca="1" si="282">AB94+(Y94/14)*(AB$16)</f>
        <v>5.0349745532224324</v>
      </c>
      <c r="AC95" s="53">
        <f ca="1">OFFSET('National statistics'!$A$6,MATCH(R0_estimation!$A95,'National statistics'!$A$7:$A$5000,0),MATCH(R0_estimation!AC$16 &amp; "_Running14daysNew",'National statistics'!$B$1:$HA$1,0))</f>
        <v>6124</v>
      </c>
      <c r="AD95" s="97">
        <f t="shared" ca="1" si="216"/>
        <v>3.8909509351225071</v>
      </c>
      <c r="AE95" s="98">
        <f t="shared" ca="1" si="187"/>
        <v>0.57565754152920057</v>
      </c>
      <c r="AF95" s="77">
        <f t="shared" ref="AF95:AF106" ca="1" si="283">AF94-AF94*(AD94/14)*AH94/SUM(AF94:AJ94)-AF94*(AE94/14)*AI94/SUM(AF94:AJ94)</f>
        <v>15623029.746042831</v>
      </c>
      <c r="AG95" s="77">
        <f t="shared" ref="AG95:AG106" ca="1" si="284">AG94+AF94*(AD94/14)*AH94/SUM(AF94:AJ94)+AF94*(AE94/14)*AI94/SUM(AF94:AJ94)-AG94/4</f>
        <v>4219.6892589481322</v>
      </c>
      <c r="AH95" s="77">
        <f t="shared" ref="AH95:AH106" ca="1" si="285">AH94+(AG94/4)*AH$16-AH94/14</f>
        <v>5595.3435591294747</v>
      </c>
      <c r="AI95" s="77">
        <f t="shared" ref="AI95:AI106" ca="1" si="286">AI94+(AG94/4)*AI$16-AI94/14</f>
        <v>0</v>
      </c>
      <c r="AJ95" s="77">
        <f t="shared" ref="AJ95:AJ106" ca="1" si="287">AJ94+AI94/14+(AH94/14)*(1-AK$16)</f>
        <v>6525.4787612374012</v>
      </c>
      <c r="AK95" s="54">
        <f t="shared" ref="AK95:AK106" ca="1" si="288">AK94+(AH94/14)*(AK$16)</f>
        <v>65.913926881185873</v>
      </c>
      <c r="AL95" s="53">
        <f ca="1">OFFSET('National statistics'!$A$6,MATCH(R0_estimation!$A95,'National statistics'!$A$7:$A$5000,0),MATCH(R0_estimation!AL$16 &amp; "_Running14daysNew",'National statistics'!$B$1:$HA$1,0))</f>
        <v>1287</v>
      </c>
      <c r="AM95" s="97">
        <f t="shared" ca="1" si="223"/>
        <v>2.5276629565043836</v>
      </c>
      <c r="AN95" s="98">
        <f t="shared" ca="1" si="188"/>
        <v>0.74495013848278369</v>
      </c>
      <c r="AO95" s="77">
        <f t="shared" ref="AO95:AO106" ca="1" si="289">AO94-AO94*(AM94/14)*AQ94/SUM(AO94:AS94)-AO94*(AN94/14)*AR94/SUM(AO94:AS94)</f>
        <v>10995622.407029415</v>
      </c>
      <c r="AP95" s="77">
        <f t="shared" ref="AP95:AP106" ca="1" si="290">AP94+AO94*(AM94/14)*AQ94/SUM(AO94:AS94)+AO94*(AN94/14)*AR94/SUM(AO94:AS94)-AP94/4</f>
        <v>705.44239514255537</v>
      </c>
      <c r="AQ95" s="77">
        <f t="shared" ref="AQ95:AQ106" ca="1" si="291">AQ94+(AP94/4)*AQ$16-AQ94/14</f>
        <v>1322.4636204973285</v>
      </c>
      <c r="AR95" s="77">
        <f t="shared" ref="AR95:AR106" ca="1" si="292">AR94+(AP94/4)*AR$16-AR94/14</f>
        <v>0</v>
      </c>
      <c r="AS95" s="77">
        <f t="shared" ref="AS95:AS106" ca="1" si="293">AS94+AR94/14+(AQ94/14)*(1-AT$16)</f>
        <v>2850.2980527645841</v>
      </c>
      <c r="AT95" s="54">
        <f t="shared" ref="AT95:AT106" ca="1" si="294">AT94+(AQ94/14)*(AT$16)</f>
        <v>28.790889421864488</v>
      </c>
      <c r="AU95" s="53">
        <f ca="1">OFFSET('National statistics'!$A$6,MATCH(R0_estimation!$A95,'National statistics'!$A$7:$A$5000,0),MATCH(R0_estimation!AU$16 &amp; "_Running14daysNew",'National statistics'!$B$1:$HA$1,0))</f>
        <v>136</v>
      </c>
      <c r="AV95" s="97">
        <f t="shared" ca="1" si="230"/>
        <v>3.6500336577649697</v>
      </c>
      <c r="AW95" s="98">
        <f t="shared" ca="1" si="189"/>
        <v>0.85754424097138826</v>
      </c>
      <c r="AX95" s="77">
        <f t="shared" ref="AX95:AX106" ca="1" si="295">AX94-AX94*(AV94/14)*AZ94/SUM(AX94:BB94)-AX94*(AW94/14)*BA94/SUM(AX94:BB94)</f>
        <v>5853334.0706314333</v>
      </c>
      <c r="AY95" s="77">
        <f t="shared" ref="AY95:AY106" ca="1" si="296">AY94+AX94*(AV94/14)*AZ94/SUM(AX94:BB94)+AX94*(AW94/14)*BA94/SUM(AX94:BB94)-AY94/4</f>
        <v>89.943583317270054</v>
      </c>
      <c r="AZ95" s="77">
        <f t="shared" ref="AZ95:AZ106" ca="1" si="297">AZ94+(AY94/4)*AZ$16-AZ94/14</f>
        <v>135.03506442327244</v>
      </c>
      <c r="BA95" s="77">
        <f t="shared" ref="BA95:BA106" ca="1" si="298">BA94+(AY94/4)*BA$16-BA94/14</f>
        <v>0</v>
      </c>
      <c r="BB95" s="77">
        <f t="shared" ref="BB95:BB106" ca="1" si="299">BB94+BA94/14+(AZ94/14)*(1-BC$16)</f>
        <v>276.97019899675098</v>
      </c>
      <c r="BC95" s="54">
        <f t="shared" ref="BC95:BC106" ca="1" si="300">BC94+(AZ94/14)*(BC$16)</f>
        <v>2.7976787777449599</v>
      </c>
      <c r="BD95" s="53">
        <f ca="1">OFFSET('National statistics'!$A$6,MATCH(R0_estimation!$A95,'National statistics'!$A$7:$A$5000,0),MATCH(R0_estimation!BD$16 &amp; "_Running14daysNew",'National statistics'!$B$1:$HA$1,0))</f>
        <v>158</v>
      </c>
      <c r="BE95" s="97">
        <f t="shared" ca="1" si="237"/>
        <v>4.2706239748773784</v>
      </c>
      <c r="BF95" s="98">
        <f t="shared" ca="1" si="190"/>
        <v>0.72178134408538486</v>
      </c>
      <c r="BG95" s="77">
        <f t="shared" ref="BG95:BG106" ca="1" si="301">BG94-BG94*(BE94/14)*BI94/SUM(BG94:BK94)-BG94*(BF94/14)*BJ94/SUM(BG94:BK94)</f>
        <v>4808782.7338570664</v>
      </c>
      <c r="BH95" s="77">
        <f t="shared" ref="BH95:BH106" ca="1" si="302">BH94+BG94*(BE94/14)*BI94/SUM(BG94:BK94)+BG94*(BF94/14)*BJ94/SUM(BG94:BK94)-BH94/4</f>
        <v>104.27707486413476</v>
      </c>
      <c r="BI95" s="77">
        <f t="shared" ref="BI95:BI106" ca="1" si="303">BI94+(BH94/4)*BI$16-BI94/14</f>
        <v>134.04915741030175</v>
      </c>
      <c r="BJ95" s="77">
        <f t="shared" ref="BJ95:BJ106" ca="1" si="304">BJ94+(BH94/4)*BJ$16-BJ94/14</f>
        <v>0</v>
      </c>
      <c r="BK95" s="77">
        <f t="shared" ref="BK95:BK106" ca="1" si="305">BK94+BJ94/14+(BI94/14)*(1-BL$16)</f>
        <v>174.81054790974048</v>
      </c>
      <c r="BL95" s="54">
        <f t="shared" ref="BL95:BL106" ca="1" si="306">BL94+(BI94/14)*(BL$16)</f>
        <v>1.7657631101993987</v>
      </c>
      <c r="BM95" s="53">
        <f ca="1">OFFSET('National statistics'!$A$6,MATCH(R0_estimation!$A95,'National statistics'!$A$7:$A$5000,0),MATCH(R0_estimation!BM$16 &amp; "_Running14daysNew",'National statistics'!$B$1:$HA$1,0))</f>
        <v>815</v>
      </c>
      <c r="BN95" s="97">
        <f t="shared" ca="1" si="244"/>
        <v>2.981240923684366</v>
      </c>
      <c r="BO95" s="98">
        <f t="shared" ca="1" si="191"/>
        <v>0.99326027081939861</v>
      </c>
      <c r="BP95" s="77">
        <f t="shared" ref="BP95:BP106" ca="1" si="307">BP94-BP94*(BN94/14)*BR94/SUM(BP94:BT94)-BP94*(BO94/14)*BS94/SUM(BP94:BT94)</f>
        <v>4105903.0753674651</v>
      </c>
      <c r="BQ95" s="77">
        <f t="shared" ref="BQ95:BQ106" ca="1" si="308">BQ94+BP94*(BN94/14)*BR94/SUM(BP94:BT94)+BP94*(BO94/14)*BS94/SUM(BP94:BT94)-BQ94/4</f>
        <v>520.61161147214193</v>
      </c>
      <c r="BR95" s="77">
        <f t="shared" ref="BR95:BR106" ca="1" si="309">BR94+(BQ94/4)*BR$16-BR94/14</f>
        <v>768.94154234381517</v>
      </c>
      <c r="BS95" s="77">
        <f t="shared" ref="BS95:BS106" ca="1" si="310">BS94+(BQ94/4)*BS$16-BS94/14</f>
        <v>0</v>
      </c>
      <c r="BT95" s="77">
        <f t="shared" ref="BT95:BT106" ca="1" si="311">BT94+BS94/14+(BR94/14)*(1-BU$16)</f>
        <v>438.11582637101804</v>
      </c>
      <c r="BU95" s="54">
        <f t="shared" ref="BU95:BU106" ca="1" si="312">BU94+(BR94/14)*(BU$16)</f>
        <v>4.4254123875860412</v>
      </c>
      <c r="BV95" s="53">
        <f ca="1">OFFSET('National statistics'!$A$6,MATCH(R0_estimation!$A95,'National statistics'!$A$7:$A$5000,0),MATCH(R0_estimation!BV$16 &amp; "_Running14daysNew",'National statistics'!$B$1:$HA$1,0))</f>
        <v>87</v>
      </c>
      <c r="BW95" s="97">
        <f t="shared" ca="1" si="251"/>
        <v>1.9678081772448333</v>
      </c>
      <c r="BX95" s="98">
        <f t="shared" ca="1" si="192"/>
        <v>0.68996207341942262</v>
      </c>
      <c r="BY95" s="77">
        <f t="shared" ref="BY95:BY106" ca="1" si="313">BY94-BY94*(BW94/14)*CA94/SUM(BY94:CC94)-BY94*(BX94/14)*CB94/SUM(BY94:CC94)</f>
        <v>1321979.5702994619</v>
      </c>
      <c r="BZ95" s="77">
        <f t="shared" ref="BZ95:BZ106" ca="1" si="314">BZ94+BY94*(BW94/14)*CA94/SUM(BY94:CC94)+BY94*(BX94/14)*CB94/SUM(BY94:CC94)-BZ94/4</f>
        <v>54.125306493707683</v>
      </c>
      <c r="CA95" s="77">
        <f t="shared" ref="CA95:CA106" ca="1" si="315">CA94+(BZ94/4)*CA$16-CA94/14</f>
        <v>101.43049979726197</v>
      </c>
      <c r="CB95" s="77">
        <f t="shared" ref="CB95:CB106" ca="1" si="316">CB94+(BZ94/4)*CB$16-CB94/14</f>
        <v>0</v>
      </c>
      <c r="CC95" s="77">
        <f t="shared" ref="CC95:CC106" ca="1" si="317">CC94+CB94/14+(CA94/14)*(1-CD$16)</f>
        <v>97.983236958544396</v>
      </c>
      <c r="CD95" s="54">
        <f t="shared" ref="CD95:CD106" ca="1" si="318">CD94+(CA94/14)*(CD$16)</f>
        <v>0.98972966624792347</v>
      </c>
      <c r="CE95" s="53">
        <f ca="1">OFFSET('National statistics'!$A$6,MATCH(R0_estimation!$A95,'National statistics'!$A$7:$A$5000,0),MATCH(R0_estimation!CE$16 &amp; "_Running14daysNew",'National statistics'!$B$1:$HA$1,0))</f>
        <v>20445</v>
      </c>
      <c r="CF95" s="97">
        <f t="shared" ca="1" si="258"/>
        <v>0.81956078079765959</v>
      </c>
      <c r="CG95" s="98">
        <f t="shared" ca="1" si="193"/>
        <v>1.2165621122686727</v>
      </c>
      <c r="CH95" s="77">
        <f t="shared" ref="CH95:CH106" ca="1" si="319">CH94-CH94*(CF94/14)*CJ94/SUM(CH94:CL94)-CH94*(CG94/14)*CK94/SUM(CH94:CL94)</f>
        <v>7248803.3104441809</v>
      </c>
      <c r="CI95" s="77">
        <f t="shared" ref="CI95:CI106" ca="1" si="320">CI94+CH94*(CF94/14)*CJ94/SUM(CH94:CL94)+CH94*(CG94/14)*CK94/SUM(CH94:CL94)-CI94/4</f>
        <v>6257.7796141848867</v>
      </c>
      <c r="CJ95" s="77">
        <f t="shared" ref="CJ95:CJ106" ca="1" si="321">CJ94+(CI94/4)*CJ$16-CJ94/14</f>
        <v>20513.219055810241</v>
      </c>
      <c r="CK95" s="77">
        <f t="shared" ref="CK95:CK106" ca="1" si="322">CK94+(CI94/4)*CK$16-CK94/14</f>
        <v>0</v>
      </c>
      <c r="CL95" s="77">
        <f t="shared" ref="CL95:CL106" ca="1" si="323">CL94+CK94/14+(CJ94/14)*(1-CM$16)</f>
        <v>29015.509214462978</v>
      </c>
      <c r="CM95" s="54">
        <f t="shared" ref="CM95:CM106" ca="1" si="324">CM94+(CJ94/14)*(CM$16)</f>
        <v>293.08595166124218</v>
      </c>
      <c r="CO95" s="209"/>
      <c r="CP95" s="210"/>
    </row>
    <row r="96" spans="1:94">
      <c r="A96" s="83">
        <v>43996</v>
      </c>
      <c r="B96" s="53">
        <f ca="1">OFFSET('National statistics'!$A$6,MATCH(R0_estimation!$A96,'National statistics'!$A$7:$A$5000,0),MATCH(R0_estimation!B$16 &amp; "_Running14daysNew",'National statistics'!$B$1:$HA$1,0))</f>
        <v>37298</v>
      </c>
      <c r="C96" s="97">
        <f t="shared" ca="1" si="195"/>
        <v>1.9488488524741405</v>
      </c>
      <c r="D96" s="98">
        <f t="shared" si="194"/>
        <v>1</v>
      </c>
      <c r="E96" s="77">
        <f t="shared" ca="1" si="265"/>
        <v>59614922.926720232</v>
      </c>
      <c r="F96" s="77">
        <f t="shared" ca="1" si="266"/>
        <v>17053.926833282927</v>
      </c>
      <c r="G96" s="77">
        <f t="shared" ca="1" si="267"/>
        <v>35893.278280673803</v>
      </c>
      <c r="H96" s="77">
        <f t="shared" ca="1" si="268"/>
        <v>0</v>
      </c>
      <c r="I96" s="77">
        <f t="shared" ca="1" si="269"/>
        <v>49160.807299266417</v>
      </c>
      <c r="J96" s="54">
        <f t="shared" ca="1" si="270"/>
        <v>496.5738111037013</v>
      </c>
      <c r="K96" s="53">
        <f ca="1">OFFSET('National statistics'!$A$6,MATCH(R0_estimation!$A96,'National statistics'!$A$7:$A$5000,0),MATCH(R0_estimation!K$16 &amp; "_Running14daysNew",'National statistics'!$B$1:$HA$1,0))</f>
        <v>6100</v>
      </c>
      <c r="L96" s="97">
        <f t="shared" ca="1" si="202"/>
        <v>2.8414734641357478</v>
      </c>
      <c r="M96" s="98">
        <f t="shared" ca="1" si="185"/>
        <v>1.3891436550517304</v>
      </c>
      <c r="N96" s="77">
        <f t="shared" ca="1" si="271"/>
        <v>6856698.0778057631</v>
      </c>
      <c r="O96" s="77">
        <f t="shared" ca="1" si="272"/>
        <v>3361.0479017933594</v>
      </c>
      <c r="P96" s="77">
        <f t="shared" ca="1" si="273"/>
        <v>5527.0307994891436</v>
      </c>
      <c r="Q96" s="77">
        <f t="shared" ca="1" si="274"/>
        <v>0</v>
      </c>
      <c r="R96" s="77">
        <f t="shared" ca="1" si="275"/>
        <v>5126.2466147666228</v>
      </c>
      <c r="S96" s="54">
        <f t="shared" ca="1" si="276"/>
        <v>51.78026883602648</v>
      </c>
      <c r="T96" s="53">
        <f ca="1">OFFSET('National statistics'!$A$6,MATCH(R0_estimation!$A96,'National statistics'!$A$7:$A$5000,0),MATCH(R0_estimation!T$16 &amp; "_Running14daysNew",'National statistics'!$B$1:$HA$1,0))</f>
        <v>217</v>
      </c>
      <c r="U96" s="97">
        <f t="shared" ca="1" si="209"/>
        <v>2.6596774835310657</v>
      </c>
      <c r="V96" s="98">
        <f t="shared" ca="1" si="186"/>
        <v>0.50313552847557719</v>
      </c>
      <c r="W96" s="77">
        <f t="shared" ca="1" si="277"/>
        <v>2808113.8436845308</v>
      </c>
      <c r="X96" s="77">
        <f t="shared" ca="1" si="278"/>
        <v>138.39757915102587</v>
      </c>
      <c r="Y96" s="77">
        <f t="shared" ca="1" si="279"/>
        <v>237.58593831180062</v>
      </c>
      <c r="Z96" s="77">
        <f t="shared" ca="1" si="280"/>
        <v>0</v>
      </c>
      <c r="AA96" s="77">
        <f t="shared" ca="1" si="281"/>
        <v>514.10912415758412</v>
      </c>
      <c r="AB96" s="54">
        <f t="shared" ca="1" si="282"/>
        <v>5.1930214561372114</v>
      </c>
      <c r="AC96" s="53">
        <f ca="1">OFFSET('National statistics'!$A$6,MATCH(R0_estimation!$A96,'National statistics'!$A$7:$A$5000,0),MATCH(R0_estimation!AC$16 &amp; "_Running14daysNew",'National statistics'!$B$1:$HA$1,0))</f>
        <v>7161</v>
      </c>
      <c r="AD96" s="97">
        <f t="shared" ca="1" si="216"/>
        <v>3.8909509351225071</v>
      </c>
      <c r="AE96" s="98">
        <f t="shared" ca="1" si="187"/>
        <v>0.57565754152920057</v>
      </c>
      <c r="AF96" s="77">
        <f t="shared" ca="1" si="283"/>
        <v>15621476.284613989</v>
      </c>
      <c r="AG96" s="77">
        <f t="shared" ca="1" si="284"/>
        <v>4718.2283730526706</v>
      </c>
      <c r="AH96" s="77">
        <f t="shared" ca="1" si="285"/>
        <v>6250.5984767858308</v>
      </c>
      <c r="AI96" s="77">
        <f t="shared" ca="1" si="286"/>
        <v>0</v>
      </c>
      <c r="AJ96" s="77">
        <f t="shared" ca="1" si="287"/>
        <v>6921.149484347271</v>
      </c>
      <c r="AK96" s="54">
        <f t="shared" ca="1" si="288"/>
        <v>69.910600851992641</v>
      </c>
      <c r="AL96" s="53">
        <f ca="1">OFFSET('National statistics'!$A$6,MATCH(R0_estimation!$A96,'National statistics'!$A$7:$A$5000,0),MATCH(R0_estimation!AL$16 &amp; "_Running14daysNew",'National statistics'!$B$1:$HA$1,0))</f>
        <v>1329</v>
      </c>
      <c r="AM96" s="97">
        <f t="shared" ca="1" si="223"/>
        <v>2.5276629565043836</v>
      </c>
      <c r="AN96" s="98">
        <f t="shared" ca="1" si="188"/>
        <v>0.74495013848278369</v>
      </c>
      <c r="AO96" s="77">
        <f t="shared" ca="1" si="289"/>
        <v>10995383.745603984</v>
      </c>
      <c r="AP96" s="77">
        <f t="shared" ca="1" si="290"/>
        <v>767.74322178797206</v>
      </c>
      <c r="AQ96" s="77">
        <f t="shared" ca="1" si="291"/>
        <v>1404.3625321045868</v>
      </c>
      <c r="AR96" s="77">
        <f t="shared" ca="1" si="292"/>
        <v>0</v>
      </c>
      <c r="AS96" s="77">
        <f t="shared" ca="1" si="293"/>
        <v>2943.815123071181</v>
      </c>
      <c r="AT96" s="54">
        <f t="shared" ca="1" si="294"/>
        <v>29.735506293648296</v>
      </c>
      <c r="AU96" s="53">
        <f ca="1">OFFSET('National statistics'!$A$6,MATCH(R0_estimation!$A96,'National statistics'!$A$7:$A$5000,0),MATCH(R0_estimation!AU$16 &amp; "_Running14daysNew",'National statistics'!$B$1:$HA$1,0))</f>
        <v>149</v>
      </c>
      <c r="AV96" s="97">
        <f t="shared" ca="1" si="230"/>
        <v>3.6500336577649697</v>
      </c>
      <c r="AW96" s="98">
        <f t="shared" ca="1" si="189"/>
        <v>0.85754424097138826</v>
      </c>
      <c r="AX96" s="77">
        <f t="shared" ca="1" si="295"/>
        <v>5853298.867755224</v>
      </c>
      <c r="AY96" s="77">
        <f t="shared" ca="1" si="296"/>
        <v>102.66056369707087</v>
      </c>
      <c r="AZ96" s="77">
        <f t="shared" ca="1" si="297"/>
        <v>147.87559850807051</v>
      </c>
      <c r="BA96" s="77">
        <f t="shared" ca="1" si="298"/>
        <v>0</v>
      </c>
      <c r="BB96" s="77">
        <f t="shared" ca="1" si="299"/>
        <v>286.51910712382522</v>
      </c>
      <c r="BC96" s="54">
        <f t="shared" ca="1" si="300"/>
        <v>2.8941323951901543</v>
      </c>
      <c r="BD96" s="53">
        <f ca="1">OFFSET('National statistics'!$A$6,MATCH(R0_estimation!$A96,'National statistics'!$A$7:$A$5000,0),MATCH(R0_estimation!BD$16 &amp; "_Running14daysNew",'National statistics'!$B$1:$HA$1,0))</f>
        <v>176</v>
      </c>
      <c r="BE96" s="97">
        <f t="shared" ca="1" si="237"/>
        <v>4.2706239748773784</v>
      </c>
      <c r="BF96" s="98">
        <f t="shared" ca="1" si="190"/>
        <v>0.72178134408538486</v>
      </c>
      <c r="BG96" s="77">
        <f t="shared" ca="1" si="301"/>
        <v>4808741.8464022968</v>
      </c>
      <c r="BH96" s="77">
        <f t="shared" ca="1" si="302"/>
        <v>119.09526091769098</v>
      </c>
      <c r="BI96" s="77">
        <f t="shared" ca="1" si="303"/>
        <v>150.54348631131387</v>
      </c>
      <c r="BJ96" s="77">
        <f t="shared" ca="1" si="304"/>
        <v>0</v>
      </c>
      <c r="BK96" s="77">
        <f t="shared" ca="1" si="305"/>
        <v>184.28973832661183</v>
      </c>
      <c r="BL96" s="54">
        <f t="shared" ca="1" si="306"/>
        <v>1.8615125083496142</v>
      </c>
      <c r="BM96" s="53">
        <f ca="1">OFFSET('National statistics'!$A$6,MATCH(R0_estimation!$A96,'National statistics'!$A$7:$A$5000,0),MATCH(R0_estimation!BM$16 &amp; "_Running14daysNew",'National statistics'!$B$1:$HA$1,0))</f>
        <v>922</v>
      </c>
      <c r="BN96" s="97">
        <f t="shared" ca="1" si="244"/>
        <v>2.981240923684366</v>
      </c>
      <c r="BO96" s="98">
        <f t="shared" ca="1" si="191"/>
        <v>0.99326027081939861</v>
      </c>
      <c r="BP96" s="77">
        <f t="shared" ca="1" si="307"/>
        <v>4105739.401380979</v>
      </c>
      <c r="BQ96" s="77">
        <f t="shared" ca="1" si="308"/>
        <v>554.13269509010752</v>
      </c>
      <c r="BR96" s="77">
        <f t="shared" ca="1" si="309"/>
        <v>844.17004933014948</v>
      </c>
      <c r="BS96" s="77">
        <f t="shared" ca="1" si="310"/>
        <v>0</v>
      </c>
      <c r="BT96" s="77">
        <f t="shared" ca="1" si="311"/>
        <v>492.49097829390212</v>
      </c>
      <c r="BU96" s="54">
        <f t="shared" ca="1" si="312"/>
        <v>4.9746563464030515</v>
      </c>
      <c r="BV96" s="53">
        <f ca="1">OFFSET('National statistics'!$A$6,MATCH(R0_estimation!$A96,'National statistics'!$A$7:$A$5000,0),MATCH(R0_estimation!BV$16 &amp; "_Running14daysNew",'National statistics'!$B$1:$HA$1,0))</f>
        <v>87</v>
      </c>
      <c r="BW96" s="97">
        <f t="shared" ca="1" si="251"/>
        <v>1.9678081772448333</v>
      </c>
      <c r="BX96" s="98">
        <f t="shared" ca="1" si="192"/>
        <v>0.68996207341942262</v>
      </c>
      <c r="BY96" s="77">
        <f t="shared" ca="1" si="313"/>
        <v>1321965.3161927257</v>
      </c>
      <c r="BZ96" s="77">
        <f t="shared" ca="1" si="314"/>
        <v>54.84808660651575</v>
      </c>
      <c r="CA96" s="77">
        <f t="shared" ca="1" si="315"/>
        <v>107.71679072088446</v>
      </c>
      <c r="CB96" s="77">
        <f t="shared" ca="1" si="316"/>
        <v>0</v>
      </c>
      <c r="CC96" s="77">
        <f t="shared" ca="1" si="317"/>
        <v>105.15582230135078</v>
      </c>
      <c r="CD96" s="54">
        <f t="shared" ca="1" si="318"/>
        <v>1.0621800232459677</v>
      </c>
      <c r="CE96" s="53">
        <f ca="1">OFFSET('National statistics'!$A$6,MATCH(R0_estimation!$A96,'National statistics'!$A$7:$A$5000,0),MATCH(R0_estimation!CE$16 &amp; "_Running14daysNew",'National statistics'!$B$1:$HA$1,0))</f>
        <v>21157</v>
      </c>
      <c r="CF96" s="97">
        <f t="shared" ca="1" si="258"/>
        <v>0.81956078079765959</v>
      </c>
      <c r="CG96" s="98">
        <f t="shared" ca="1" si="193"/>
        <v>1.2165621122686727</v>
      </c>
      <c r="CH96" s="77">
        <f t="shared" ca="1" si="319"/>
        <v>7247611.6365326047</v>
      </c>
      <c r="CI96" s="77">
        <f t="shared" ca="1" si="320"/>
        <v>5885.0086222146292</v>
      </c>
      <c r="CJ96" s="77">
        <f t="shared" ca="1" si="321"/>
        <v>20612.434026798586</v>
      </c>
      <c r="CK96" s="77">
        <f t="shared" ca="1" si="322"/>
        <v>0</v>
      </c>
      <c r="CL96" s="77">
        <f t="shared" ca="1" si="323"/>
        <v>30466.086847695275</v>
      </c>
      <c r="CM96" s="54">
        <f t="shared" ca="1" si="324"/>
        <v>307.7382509868209</v>
      </c>
      <c r="CO96" s="209"/>
      <c r="CP96" s="210"/>
    </row>
    <row r="97" spans="1:94">
      <c r="A97" s="83">
        <v>43997</v>
      </c>
      <c r="B97" s="53">
        <f ca="1">OFFSET('National statistics'!$A$6,MATCH(R0_estimation!$A97,'National statistics'!$A$7:$A$5000,0),MATCH(R0_estimation!B$16 &amp; "_Running14daysNew",'National statistics'!$B$1:$HA$1,0))</f>
        <v>39119</v>
      </c>
      <c r="C97" s="97">
        <f t="shared" ca="1" si="195"/>
        <v>1.9488488524741405</v>
      </c>
      <c r="D97" s="98">
        <f t="shared" si="194"/>
        <v>1</v>
      </c>
      <c r="E97" s="77">
        <f t="shared" ca="1" si="265"/>
        <v>59609935.000419706</v>
      </c>
      <c r="F97" s="77">
        <f t="shared" ca="1" si="266"/>
        <v>17778.371425485679</v>
      </c>
      <c r="G97" s="77">
        <f t="shared" ca="1" si="267"/>
        <v>37592.954397517831</v>
      </c>
      <c r="H97" s="77">
        <f t="shared" ca="1" si="268"/>
        <v>0</v>
      </c>
      <c r="I97" s="77">
        <f t="shared" ca="1" si="269"/>
        <v>51698.974834828347</v>
      </c>
      <c r="J97" s="54">
        <f t="shared" ca="1" si="270"/>
        <v>522.2118670184683</v>
      </c>
      <c r="K97" s="53">
        <f ca="1">OFFSET('National statistics'!$A$6,MATCH(R0_estimation!$A97,'National statistics'!$A$7:$A$5000,0),MATCH(R0_estimation!K$16 &amp; "_Running14daysNew",'National statistics'!$B$1:$HA$1,0))</f>
        <v>6486</v>
      </c>
      <c r="L97" s="97">
        <f t="shared" ca="1" si="202"/>
        <v>2.8414734641357478</v>
      </c>
      <c r="M97" s="98">
        <f t="shared" ca="1" si="185"/>
        <v>1.3891436550517304</v>
      </c>
      <c r="N97" s="77">
        <f t="shared" ca="1" si="271"/>
        <v>6855578.5865386203</v>
      </c>
      <c r="O97" s="77">
        <f t="shared" ca="1" si="272"/>
        <v>3640.2771934876096</v>
      </c>
      <c r="P97" s="77">
        <f t="shared" ca="1" si="273"/>
        <v>5972.5048606882583</v>
      </c>
      <c r="Q97" s="77">
        <f t="shared" ca="1" si="274"/>
        <v>0</v>
      </c>
      <c r="R97" s="77">
        <f t="shared" ca="1" si="275"/>
        <v>5517.0866498733549</v>
      </c>
      <c r="S97" s="54">
        <f t="shared" ca="1" si="276"/>
        <v>55.728147978518727</v>
      </c>
      <c r="T97" s="53">
        <f ca="1">OFFSET('National statistics'!$A$6,MATCH(R0_estimation!$A97,'National statistics'!$A$7:$A$5000,0),MATCH(R0_estimation!T$16 &amp; "_Running14daysNew",'National statistics'!$B$1:$HA$1,0))</f>
        <v>227</v>
      </c>
      <c r="U97" s="97">
        <f t="shared" ca="1" si="209"/>
        <v>2.6596774835310657</v>
      </c>
      <c r="V97" s="98">
        <f t="shared" ca="1" si="186"/>
        <v>0.50313552847557719</v>
      </c>
      <c r="W97" s="77">
        <f t="shared" ca="1" si="277"/>
        <v>2808068.7221317487</v>
      </c>
      <c r="X97" s="77">
        <f t="shared" ca="1" si="278"/>
        <v>148.91973714557514</v>
      </c>
      <c r="Y97" s="77">
        <f t="shared" ca="1" si="279"/>
        <v>255.21490893442845</v>
      </c>
      <c r="Z97" s="77">
        <f t="shared" ca="1" si="280"/>
        <v>0</v>
      </c>
      <c r="AA97" s="77">
        <f t="shared" ca="1" si="281"/>
        <v>530.90984408106146</v>
      </c>
      <c r="AB97" s="54">
        <f t="shared" ca="1" si="282"/>
        <v>5.3627256977884974</v>
      </c>
      <c r="AC97" s="53">
        <f ca="1">OFFSET('National statistics'!$A$6,MATCH(R0_estimation!$A97,'National statistics'!$A$7:$A$5000,0),MATCH(R0_estimation!AC$16 &amp; "_Running14daysNew",'National statistics'!$B$1:$HA$1,0))</f>
        <v>7962</v>
      </c>
      <c r="AD97" s="97">
        <f t="shared" ca="1" si="216"/>
        <v>3.8909509351225071</v>
      </c>
      <c r="AE97" s="98">
        <f t="shared" ca="1" si="187"/>
        <v>0.57565754152920057</v>
      </c>
      <c r="AF97" s="77">
        <f t="shared" ca="1" si="283"/>
        <v>15619741.073807307</v>
      </c>
      <c r="AG97" s="77">
        <f t="shared" ca="1" si="284"/>
        <v>5273.8820864712907</v>
      </c>
      <c r="AH97" s="77">
        <f t="shared" ca="1" si="285"/>
        <v>6983.6842502785821</v>
      </c>
      <c r="AI97" s="77">
        <f t="shared" ca="1" si="286"/>
        <v>0</v>
      </c>
      <c r="AJ97" s="77">
        <f t="shared" ca="1" si="287"/>
        <v>7363.1560909199834</v>
      </c>
      <c r="AK97" s="54">
        <f t="shared" ca="1" si="288"/>
        <v>74.375314049696811</v>
      </c>
      <c r="AL97" s="53">
        <f ca="1">OFFSET('National statistics'!$A$6,MATCH(R0_estimation!$A97,'National statistics'!$A$7:$A$5000,0),MATCH(R0_estimation!AL$16 &amp; "_Running14daysNew",'National statistics'!$B$1:$HA$1,0))</f>
        <v>1394</v>
      </c>
      <c r="AM97" s="97">
        <f t="shared" ca="1" si="223"/>
        <v>2.5276629565043836</v>
      </c>
      <c r="AN97" s="98">
        <f t="shared" ca="1" si="188"/>
        <v>0.74495013848278369</v>
      </c>
      <c r="AO97" s="77">
        <f t="shared" ca="1" si="289"/>
        <v>10995130.309583157</v>
      </c>
      <c r="AP97" s="77">
        <f t="shared" ca="1" si="290"/>
        <v>829.24343716784369</v>
      </c>
      <c r="AQ97" s="77">
        <f t="shared" ca="1" si="291"/>
        <v>1495.986728115538</v>
      </c>
      <c r="AR97" s="77">
        <f t="shared" ca="1" si="292"/>
        <v>0</v>
      </c>
      <c r="AS97" s="77">
        <f t="shared" ca="1" si="293"/>
        <v>3043.1236164128627</v>
      </c>
      <c r="AT97" s="54">
        <f t="shared" ca="1" si="294"/>
        <v>30.738622388008714</v>
      </c>
      <c r="AU97" s="53">
        <f ca="1">OFFSET('National statistics'!$A$6,MATCH(R0_estimation!$A97,'National statistics'!$A$7:$A$5000,0),MATCH(R0_estimation!AU$16 &amp; "_Running14daysNew",'National statistics'!$B$1:$HA$1,0))</f>
        <v>170</v>
      </c>
      <c r="AV97" s="97">
        <f t="shared" ca="1" si="230"/>
        <v>3.6500336577649697</v>
      </c>
      <c r="AW97" s="98">
        <f t="shared" ca="1" si="189"/>
        <v>0.85754424097138826</v>
      </c>
      <c r="AX97" s="77">
        <f t="shared" ca="1" si="295"/>
        <v>5853260.317655744</v>
      </c>
      <c r="AY97" s="77">
        <f t="shared" ca="1" si="296"/>
        <v>115.5455222529238</v>
      </c>
      <c r="AZ97" s="77">
        <f t="shared" ca="1" si="297"/>
        <v>162.97819668176177</v>
      </c>
      <c r="BA97" s="77">
        <f t="shared" ca="1" si="298"/>
        <v>0</v>
      </c>
      <c r="BB97" s="77">
        <f t="shared" ca="1" si="299"/>
        <v>296.97602444689591</v>
      </c>
      <c r="BC97" s="54">
        <f t="shared" ca="1" si="300"/>
        <v>2.9997578226959192</v>
      </c>
      <c r="BD97" s="53">
        <f ca="1">OFFSET('National statistics'!$A$6,MATCH(R0_estimation!$A97,'National statistics'!$A$7:$A$5000,0),MATCH(R0_estimation!BD$16 &amp; "_Running14daysNew",'National statistics'!$B$1:$HA$1,0))</f>
        <v>191</v>
      </c>
      <c r="BE97" s="97">
        <f t="shared" ca="1" si="237"/>
        <v>4.2706239748773784</v>
      </c>
      <c r="BF97" s="98">
        <f t="shared" ca="1" si="190"/>
        <v>0.72178134408538486</v>
      </c>
      <c r="BG97" s="77">
        <f t="shared" ca="1" si="301"/>
        <v>4808695.9282638161</v>
      </c>
      <c r="BH97" s="77">
        <f t="shared" ca="1" si="302"/>
        <v>135.23958416894087</v>
      </c>
      <c r="BI97" s="77">
        <f t="shared" ca="1" si="303"/>
        <v>169.56419537564278</v>
      </c>
      <c r="BJ97" s="77">
        <f t="shared" ca="1" si="304"/>
        <v>0</v>
      </c>
      <c r="BK97" s="77">
        <f t="shared" ca="1" si="305"/>
        <v>194.93531343005475</v>
      </c>
      <c r="BL97" s="54">
        <f t="shared" ca="1" si="306"/>
        <v>1.9690435700005526</v>
      </c>
      <c r="BM97" s="53">
        <f ca="1">OFFSET('National statistics'!$A$6,MATCH(R0_estimation!$A97,'National statistics'!$A$7:$A$5000,0),MATCH(R0_estimation!BM$16 &amp; "_Running14daysNew",'National statistics'!$B$1:$HA$1,0))</f>
        <v>990</v>
      </c>
      <c r="BN97" s="97">
        <f t="shared" ca="1" si="244"/>
        <v>2.981240923684366</v>
      </c>
      <c r="BO97" s="98">
        <f t="shared" ca="1" si="191"/>
        <v>0.99326027081939861</v>
      </c>
      <c r="BP97" s="77">
        <f t="shared" ca="1" si="307"/>
        <v>4105559.7216780609</v>
      </c>
      <c r="BQ97" s="77">
        <f t="shared" ca="1" si="308"/>
        <v>595.27922423561176</v>
      </c>
      <c r="BR97" s="77">
        <f t="shared" ca="1" si="309"/>
        <v>922.40536243623706</v>
      </c>
      <c r="BS97" s="77">
        <f t="shared" ca="1" si="310"/>
        <v>0</v>
      </c>
      <c r="BT97" s="77">
        <f t="shared" ca="1" si="311"/>
        <v>552.18586035367696</v>
      </c>
      <c r="BU97" s="54">
        <f t="shared" ca="1" si="312"/>
        <v>5.5776349530674443</v>
      </c>
      <c r="BV97" s="53">
        <f ca="1">OFFSET('National statistics'!$A$6,MATCH(R0_estimation!$A97,'National statistics'!$A$7:$A$5000,0),MATCH(R0_estimation!BV$16 &amp; "_Running14daysNew",'National statistics'!$B$1:$HA$1,0))</f>
        <v>123</v>
      </c>
      <c r="BW97" s="97">
        <f t="shared" ca="1" si="251"/>
        <v>1.9678081772448333</v>
      </c>
      <c r="BX97" s="98">
        <f t="shared" ca="1" si="192"/>
        <v>0.68996207341942262</v>
      </c>
      <c r="BY97" s="77">
        <f t="shared" ca="1" si="313"/>
        <v>1321950.1788310439</v>
      </c>
      <c r="BZ97" s="77">
        <f t="shared" ca="1" si="314"/>
        <v>56.273426636603936</v>
      </c>
      <c r="CA97" s="77">
        <f t="shared" ca="1" si="315"/>
        <v>113.73475589245021</v>
      </c>
      <c r="CB97" s="77">
        <f t="shared" ca="1" si="316"/>
        <v>0</v>
      </c>
      <c r="CC97" s="77">
        <f t="shared" ca="1" si="317"/>
        <v>112.77293821661333</v>
      </c>
      <c r="CD97" s="54">
        <f t="shared" ca="1" si="318"/>
        <v>1.1391205880465995</v>
      </c>
      <c r="CE97" s="53">
        <f ca="1">OFFSET('National statistics'!$A$6,MATCH(R0_estimation!$A97,'National statistics'!$A$7:$A$5000,0),MATCH(R0_estimation!CE$16 &amp; "_Running14daysNew",'National statistics'!$B$1:$HA$1,0))</f>
        <v>21576</v>
      </c>
      <c r="CF97" s="97">
        <f t="shared" ca="1" si="258"/>
        <v>0.81956078079765959</v>
      </c>
      <c r="CG97" s="98">
        <f t="shared" ca="1" si="193"/>
        <v>1.2165621122686727</v>
      </c>
      <c r="CH97" s="77">
        <f t="shared" ca="1" si="319"/>
        <v>7246414.3933805889</v>
      </c>
      <c r="CI97" s="77">
        <f t="shared" ca="1" si="320"/>
        <v>5610.9996186772278</v>
      </c>
      <c r="CJ97" s="77">
        <f t="shared" ca="1" si="321"/>
        <v>20611.369466152348</v>
      </c>
      <c r="CK97" s="77">
        <f t="shared" ca="1" si="322"/>
        <v>0</v>
      </c>
      <c r="CL97" s="77">
        <f t="shared" ca="1" si="323"/>
        <v>31923.680396733176</v>
      </c>
      <c r="CM97" s="54">
        <f t="shared" ca="1" si="324"/>
        <v>322.46141814881992</v>
      </c>
      <c r="CO97" s="209"/>
      <c r="CP97" s="210"/>
    </row>
    <row r="98" spans="1:94">
      <c r="A98" s="83">
        <v>43998</v>
      </c>
      <c r="B98" s="53">
        <f ca="1">OFFSET('National statistics'!$A$6,MATCH(R0_estimation!$A98,'National statistics'!$A$7:$A$5000,0),MATCH(R0_estimation!B$16 &amp; "_Running14daysNew",'National statistics'!$B$1:$HA$1,0))</f>
        <v>40465</v>
      </c>
      <c r="C98" s="97">
        <f t="shared" ca="1" si="195"/>
        <v>1.9488488524741405</v>
      </c>
      <c r="D98" s="98">
        <f t="shared" si="194"/>
        <v>1</v>
      </c>
      <c r="E98" s="77">
        <f t="shared" ca="1" si="265"/>
        <v>59604711.312682994</v>
      </c>
      <c r="F98" s="77">
        <f t="shared" ca="1" si="266"/>
        <v>18557.466305829628</v>
      </c>
      <c r="G98" s="77">
        <f t="shared" ca="1" si="267"/>
        <v>39352.336225495121</v>
      </c>
      <c r="H98" s="77">
        <f t="shared" ca="1" si="268"/>
        <v>0</v>
      </c>
      <c r="I98" s="77">
        <f t="shared" ca="1" si="269"/>
        <v>54357.333752938539</v>
      </c>
      <c r="J98" s="54">
        <f t="shared" ca="1" si="270"/>
        <v>549.06397730240963</v>
      </c>
      <c r="K98" s="53">
        <f ca="1">OFFSET('National statistics'!$A$6,MATCH(R0_estimation!$A98,'National statistics'!$A$7:$A$5000,0),MATCH(R0_estimation!K$16 &amp; "_Running14daysNew",'National statistics'!$B$1:$HA$1,0))</f>
        <v>6715</v>
      </c>
      <c r="L98" s="97">
        <f t="shared" ca="1" si="202"/>
        <v>2.8414734641357478</v>
      </c>
      <c r="M98" s="98">
        <f t="shared" ca="1" si="185"/>
        <v>1.3891436550517304</v>
      </c>
      <c r="N98" s="77">
        <f t="shared" ca="1" si="271"/>
        <v>6854369.0620272625</v>
      </c>
      <c r="O98" s="77">
        <f t="shared" ca="1" si="272"/>
        <v>3939.7324064737927</v>
      </c>
      <c r="P98" s="77">
        <f t="shared" ca="1" si="273"/>
        <v>6455.9666690109998</v>
      </c>
      <c r="Q98" s="77">
        <f t="shared" ca="1" si="274"/>
        <v>0</v>
      </c>
      <c r="R98" s="77">
        <f t="shared" ca="1" si="275"/>
        <v>5939.4280650220244</v>
      </c>
      <c r="S98" s="54">
        <f t="shared" ca="1" si="276"/>
        <v>59.994222879010337</v>
      </c>
      <c r="T98" s="53">
        <f ca="1">OFFSET('National statistics'!$A$6,MATCH(R0_estimation!$A98,'National statistics'!$A$7:$A$5000,0),MATCH(R0_estimation!T$16 &amp; "_Running14daysNew",'National statistics'!$B$1:$HA$1,0))</f>
        <v>279</v>
      </c>
      <c r="U98" s="97">
        <f t="shared" ca="1" si="209"/>
        <v>2.6596774835310657</v>
      </c>
      <c r="V98" s="98">
        <f t="shared" ca="1" si="186"/>
        <v>0.50313552847557719</v>
      </c>
      <c r="W98" s="77">
        <f t="shared" ca="1" si="277"/>
        <v>2808020.2533177924</v>
      </c>
      <c r="X98" s="77">
        <f t="shared" ca="1" si="278"/>
        <v>160.1586168154781</v>
      </c>
      <c r="Y98" s="77">
        <f t="shared" ca="1" si="279"/>
        <v>274.21520686836305</v>
      </c>
      <c r="Z98" s="77">
        <f t="shared" ca="1" si="280"/>
        <v>0</v>
      </c>
      <c r="AA98" s="77">
        <f t="shared" ca="1" si="281"/>
        <v>548.95718406999606</v>
      </c>
      <c r="AB98" s="54">
        <f t="shared" ca="1" si="282"/>
        <v>5.5450220613130892</v>
      </c>
      <c r="AC98" s="53">
        <f ca="1">OFFSET('National statistics'!$A$6,MATCH(R0_estimation!$A98,'National statistics'!$A$7:$A$5000,0),MATCH(R0_estimation!AC$16 &amp; "_Running14daysNew",'National statistics'!$B$1:$HA$1,0))</f>
        <v>8747</v>
      </c>
      <c r="AD98" s="97">
        <f t="shared" ca="1" si="216"/>
        <v>3.8909509351225071</v>
      </c>
      <c r="AE98" s="98">
        <f t="shared" ca="1" si="187"/>
        <v>0.57565754152920057</v>
      </c>
      <c r="AF98" s="77">
        <f t="shared" ca="1" si="283"/>
        <v>15617802.567947811</v>
      </c>
      <c r="AG98" s="77">
        <f t="shared" ca="1" si="284"/>
        <v>5893.9174243497664</v>
      </c>
      <c r="AH98" s="77">
        <f t="shared" ca="1" si="285"/>
        <v>7803.3201825907918</v>
      </c>
      <c r="AI98" s="77">
        <f t="shared" ca="1" si="286"/>
        <v>0</v>
      </c>
      <c r="AJ98" s="77">
        <f t="shared" ca="1" si="287"/>
        <v>7857.0023343325402</v>
      </c>
      <c r="AK98" s="54">
        <f t="shared" ca="1" si="288"/>
        <v>79.363659942752946</v>
      </c>
      <c r="AL98" s="53">
        <f ca="1">OFFSET('National statistics'!$A$6,MATCH(R0_estimation!$A98,'National statistics'!$A$7:$A$5000,0),MATCH(R0_estimation!AL$16 &amp; "_Running14daysNew",'National statistics'!$B$1:$HA$1,0))</f>
        <v>1411</v>
      </c>
      <c r="AM98" s="97">
        <f t="shared" ca="1" si="223"/>
        <v>2.5276629565043836</v>
      </c>
      <c r="AN98" s="98">
        <f t="shared" ca="1" si="188"/>
        <v>0.74495013848278369</v>
      </c>
      <c r="AO98" s="77">
        <f t="shared" ca="1" si="289"/>
        <v>10994860.3449475</v>
      </c>
      <c r="AP98" s="77">
        <f t="shared" ca="1" si="290"/>
        <v>891.89721353328764</v>
      </c>
      <c r="AQ98" s="77">
        <f t="shared" ca="1" si="291"/>
        <v>1596.4413925421034</v>
      </c>
      <c r="AR98" s="77">
        <f t="shared" ca="1" si="292"/>
        <v>0</v>
      </c>
      <c r="AS98" s="77">
        <f t="shared" ca="1" si="293"/>
        <v>3148.9112493296043</v>
      </c>
      <c r="AT98" s="54">
        <f t="shared" ca="1" si="294"/>
        <v>31.807184336662669</v>
      </c>
      <c r="AU98" s="53">
        <f ca="1">OFFSET('National statistics'!$A$6,MATCH(R0_estimation!$A98,'National statistics'!$A$7:$A$5000,0),MATCH(R0_estimation!AU$16 &amp; "_Running14daysNew",'National statistics'!$B$1:$HA$1,0))</f>
        <v>198</v>
      </c>
      <c r="AV98" s="97">
        <f t="shared" ca="1" si="230"/>
        <v>3.6500336577649697</v>
      </c>
      <c r="AW98" s="98">
        <f t="shared" ca="1" si="189"/>
        <v>0.85754424097138826</v>
      </c>
      <c r="AX98" s="77">
        <f t="shared" ca="1" si="295"/>
        <v>5853217.8306971593</v>
      </c>
      <c r="AY98" s="77">
        <f t="shared" ca="1" si="296"/>
        <v>129.14610027476172</v>
      </c>
      <c r="AZ98" s="77">
        <f t="shared" ca="1" si="297"/>
        <v>180.22327748200973</v>
      </c>
      <c r="BA98" s="77">
        <f t="shared" ca="1" si="298"/>
        <v>0</v>
      </c>
      <c r="BB98" s="77">
        <f t="shared" ca="1" si="299"/>
        <v>308.50091121224904</v>
      </c>
      <c r="BC98" s="54">
        <f t="shared" ca="1" si="300"/>
        <v>3.116170820325749</v>
      </c>
      <c r="BD98" s="53">
        <f ca="1">OFFSET('National statistics'!$A$6,MATCH(R0_estimation!$A98,'National statistics'!$A$7:$A$5000,0),MATCH(R0_estimation!BD$16 &amp; "_Running14daysNew",'National statistics'!$B$1:$HA$1,0))</f>
        <v>211</v>
      </c>
      <c r="BE98" s="97">
        <f t="shared" ca="1" si="237"/>
        <v>4.2706239748773784</v>
      </c>
      <c r="BF98" s="98">
        <f t="shared" ca="1" si="190"/>
        <v>0.72178134408538486</v>
      </c>
      <c r="BG98" s="77">
        <f t="shared" ca="1" si="301"/>
        <v>4808644.2090016864</v>
      </c>
      <c r="BH98" s="77">
        <f t="shared" ca="1" si="302"/>
        <v>153.14895025591608</v>
      </c>
      <c r="BI98" s="77">
        <f t="shared" ca="1" si="303"/>
        <v>191.26236317676066</v>
      </c>
      <c r="BJ98" s="77">
        <f t="shared" ca="1" si="304"/>
        <v>0</v>
      </c>
      <c r="BK98" s="77">
        <f t="shared" ca="1" si="305"/>
        <v>206.9259243887609</v>
      </c>
      <c r="BL98" s="54">
        <f t="shared" ca="1" si="306"/>
        <v>2.0901608524117261</v>
      </c>
      <c r="BM98" s="53">
        <f ca="1">OFFSET('National statistics'!$A$6,MATCH(R0_estimation!$A98,'National statistics'!$A$7:$A$5000,0),MATCH(R0_estimation!BM$16 &amp; "_Running14daysNew",'National statistics'!$B$1:$HA$1,0))</f>
        <v>1010</v>
      </c>
      <c r="BN98" s="97">
        <f t="shared" ca="1" si="244"/>
        <v>2.981240923684366</v>
      </c>
      <c r="BO98" s="98">
        <f t="shared" ca="1" si="191"/>
        <v>0.99326027081939861</v>
      </c>
      <c r="BP98" s="77">
        <f t="shared" ca="1" si="307"/>
        <v>4105363.3983273664</v>
      </c>
      <c r="BQ98" s="77">
        <f t="shared" ca="1" si="308"/>
        <v>642.78276887124161</v>
      </c>
      <c r="BR98" s="77">
        <f t="shared" ca="1" si="309"/>
        <v>1005.339071178266</v>
      </c>
      <c r="BS98" s="77">
        <f t="shared" ca="1" si="310"/>
        <v>0</v>
      </c>
      <c r="BT98" s="77">
        <f t="shared" ca="1" si="311"/>
        <v>617.41309669738234</v>
      </c>
      <c r="BU98" s="54">
        <f t="shared" ca="1" si="312"/>
        <v>6.2364959262361852</v>
      </c>
      <c r="BV98" s="53">
        <f ca="1">OFFSET('National statistics'!$A$6,MATCH(R0_estimation!$A98,'National statistics'!$A$7:$A$5000,0),MATCH(R0_estimation!BV$16 &amp; "_Running14daysNew",'National statistics'!$B$1:$HA$1,0))</f>
        <v>120</v>
      </c>
      <c r="BW98" s="97">
        <f t="shared" ca="1" si="251"/>
        <v>1.9678081772448333</v>
      </c>
      <c r="BX98" s="98">
        <f t="shared" ca="1" si="192"/>
        <v>0.68996207341942262</v>
      </c>
      <c r="BY98" s="77">
        <f t="shared" ca="1" si="313"/>
        <v>1321934.195951212</v>
      </c>
      <c r="BZ98" s="77">
        <f t="shared" ca="1" si="314"/>
        <v>58.187949809290707</v>
      </c>
      <c r="CA98" s="77">
        <f t="shared" ca="1" si="315"/>
        <v>119.67920141642617</v>
      </c>
      <c r="CB98" s="77">
        <f t="shared" ca="1" si="316"/>
        <v>0</v>
      </c>
      <c r="CC98" s="77">
        <f t="shared" ca="1" si="317"/>
        <v>120.8156102404366</v>
      </c>
      <c r="CD98" s="54">
        <f t="shared" ca="1" si="318"/>
        <v>1.2203596993983497</v>
      </c>
      <c r="CE98" s="53">
        <f ca="1">OFFSET('National statistics'!$A$6,MATCH(R0_estimation!$A98,'National statistics'!$A$7:$A$5000,0),MATCH(R0_estimation!CE$16 &amp; "_Running14daysNew",'National statistics'!$B$1:$HA$1,0))</f>
        <v>21774</v>
      </c>
      <c r="CF98" s="97">
        <f t="shared" ca="1" si="258"/>
        <v>0.81956078079765959</v>
      </c>
      <c r="CG98" s="98">
        <f t="shared" ca="1" si="193"/>
        <v>1.2165621122686727</v>
      </c>
      <c r="CH98" s="77">
        <f t="shared" ca="1" si="319"/>
        <v>7245217.4074134333</v>
      </c>
      <c r="CI98" s="77">
        <f t="shared" ca="1" si="320"/>
        <v>5405.2356811635982</v>
      </c>
      <c r="CJ98" s="77">
        <f t="shared" ca="1" si="321"/>
        <v>20541.878694667917</v>
      </c>
      <c r="CK98" s="77">
        <f t="shared" ca="1" si="322"/>
        <v>0</v>
      </c>
      <c r="CL98" s="77">
        <f t="shared" ca="1" si="323"/>
        <v>33381.198666125376</v>
      </c>
      <c r="CM98" s="54">
        <f t="shared" ca="1" si="324"/>
        <v>337.18382491035732</v>
      </c>
      <c r="CO98" s="209"/>
      <c r="CP98" s="210"/>
    </row>
    <row r="99" spans="1:94">
      <c r="A99" s="83">
        <v>43999</v>
      </c>
      <c r="B99" s="53">
        <f ca="1">OFFSET('National statistics'!$A$6,MATCH(R0_estimation!$A99,'National statistics'!$A$7:$A$5000,0),MATCH(R0_estimation!B$16 &amp; "_Running14daysNew",'National statistics'!$B$1:$HA$1,0))</f>
        <v>42840</v>
      </c>
      <c r="C99" s="97">
        <f t="shared" ca="1" si="195"/>
        <v>1.9488488524741405</v>
      </c>
      <c r="D99" s="98">
        <f t="shared" si="194"/>
        <v>1</v>
      </c>
      <c r="E99" s="77">
        <f t="shared" ca="1" si="265"/>
        <v>59599243.628697202</v>
      </c>
      <c r="F99" s="77">
        <f t="shared" ca="1" si="266"/>
        <v>19385.783715165435</v>
      </c>
      <c r="G99" s="77">
        <f t="shared" ca="1" si="267"/>
        <v>41180.821642988594</v>
      </c>
      <c r="H99" s="77">
        <f t="shared" ca="1" si="268"/>
        <v>0</v>
      </c>
      <c r="I99" s="77">
        <f t="shared" ca="1" si="269"/>
        <v>57140.106100312834</v>
      </c>
      <c r="J99" s="54">
        <f t="shared" ca="1" si="270"/>
        <v>577.17278889204897</v>
      </c>
      <c r="K99" s="53">
        <f ca="1">OFFSET('National statistics'!$A$6,MATCH(R0_estimation!$A99,'National statistics'!$A$7:$A$5000,0),MATCH(R0_estimation!K$16 &amp; "_Running14daysNew",'National statistics'!$B$1:$HA$1,0))</f>
        <v>7393</v>
      </c>
      <c r="L99" s="97">
        <f t="shared" ca="1" si="202"/>
        <v>2.8414734641357478</v>
      </c>
      <c r="M99" s="98">
        <f t="shared" ca="1" si="185"/>
        <v>1.3891436550517304</v>
      </c>
      <c r="N99" s="77">
        <f t="shared" ca="1" si="271"/>
        <v>6853061.8588878391</v>
      </c>
      <c r="O99" s="77">
        <f t="shared" ca="1" si="272"/>
        <v>4262.0024442788745</v>
      </c>
      <c r="P99" s="77">
        <f t="shared" ca="1" si="273"/>
        <v>6979.7592942715191</v>
      </c>
      <c r="Q99" s="77">
        <f t="shared" ca="1" si="274"/>
        <v>0</v>
      </c>
      <c r="R99" s="77">
        <f t="shared" ca="1" si="275"/>
        <v>6395.9571366163736</v>
      </c>
      <c r="S99" s="54">
        <f t="shared" ca="1" si="276"/>
        <v>64.605627642589624</v>
      </c>
      <c r="T99" s="53">
        <f ca="1">OFFSET('National statistics'!$A$6,MATCH(R0_estimation!$A99,'National statistics'!$A$7:$A$5000,0),MATCH(R0_estimation!T$16 &amp; "_Running14daysNew",'National statistics'!$B$1:$HA$1,0))</f>
        <v>289</v>
      </c>
      <c r="U99" s="97">
        <f t="shared" ca="1" si="209"/>
        <v>2.6596774835310657</v>
      </c>
      <c r="V99" s="98">
        <f t="shared" ca="1" si="186"/>
        <v>0.50313552847557719</v>
      </c>
      <c r="W99" s="77">
        <f t="shared" ca="1" si="277"/>
        <v>2807968.176981987</v>
      </c>
      <c r="X99" s="77">
        <f t="shared" ca="1" si="278"/>
        <v>172.19529841695558</v>
      </c>
      <c r="Y99" s="77">
        <f t="shared" ca="1" si="279"/>
        <v>294.66806058163525</v>
      </c>
      <c r="Z99" s="77">
        <f t="shared" ca="1" si="280"/>
        <v>0</v>
      </c>
      <c r="AA99" s="77">
        <f t="shared" ca="1" si="281"/>
        <v>568.3481165556874</v>
      </c>
      <c r="AB99" s="54">
        <f t="shared" ca="1" si="282"/>
        <v>5.7408900662190625</v>
      </c>
      <c r="AC99" s="53">
        <f ca="1">OFFSET('National statistics'!$A$6,MATCH(R0_estimation!$A99,'National statistics'!$A$7:$A$5000,0),MATCH(R0_estimation!AC$16 &amp; "_Running14daysNew",'National statistics'!$B$1:$HA$1,0))</f>
        <v>10053</v>
      </c>
      <c r="AD99" s="97">
        <f t="shared" ca="1" si="216"/>
        <v>3.8909509351225071</v>
      </c>
      <c r="AE99" s="98">
        <f t="shared" ca="1" si="187"/>
        <v>0.57565754152920057</v>
      </c>
      <c r="AF99" s="77">
        <f t="shared" ca="1" si="283"/>
        <v>15615636.818630816</v>
      </c>
      <c r="AG99" s="77">
        <f t="shared" ca="1" si="284"/>
        <v>6586.1873852555864</v>
      </c>
      <c r="AH99" s="77">
        <f t="shared" ca="1" si="285"/>
        <v>8719.4195256360345</v>
      </c>
      <c r="AI99" s="77">
        <f t="shared" ca="1" si="286"/>
        <v>0</v>
      </c>
      <c r="AJ99" s="77">
        <f t="shared" ca="1" si="287"/>
        <v>8408.8085472443181</v>
      </c>
      <c r="AK99" s="54">
        <f t="shared" ca="1" si="288"/>
        <v>84.937460073174947</v>
      </c>
      <c r="AL99" s="53">
        <f ca="1">OFFSET('National statistics'!$A$6,MATCH(R0_estimation!$A99,'National statistics'!$A$7:$A$5000,0),MATCH(R0_estimation!AL$16 &amp; "_Running14daysNew",'National statistics'!$B$1:$HA$1,0))</f>
        <v>1531</v>
      </c>
      <c r="AM99" s="97">
        <f t="shared" ca="1" si="223"/>
        <v>2.5276629565043836</v>
      </c>
      <c r="AN99" s="98">
        <f t="shared" ca="1" si="188"/>
        <v>0.74495013848278369</v>
      </c>
      <c r="AO99" s="77">
        <f t="shared" ca="1" si="289"/>
        <v>10994572.259384517</v>
      </c>
      <c r="AP99" s="77">
        <f t="shared" ca="1" si="290"/>
        <v>957.00847313269037</v>
      </c>
      <c r="AQ99" s="77">
        <f t="shared" ca="1" si="291"/>
        <v>1705.3841678867036</v>
      </c>
      <c r="AR99" s="77">
        <f t="shared" ca="1" si="292"/>
        <v>0</v>
      </c>
      <c r="AS99" s="77">
        <f t="shared" ca="1" si="293"/>
        <v>3261.8024620879387</v>
      </c>
      <c r="AT99" s="54">
        <f t="shared" ca="1" si="294"/>
        <v>32.947499617049886</v>
      </c>
      <c r="AU99" s="53">
        <f ca="1">OFFSET('National statistics'!$A$6,MATCH(R0_estimation!$A99,'National statistics'!$A$7:$A$5000,0),MATCH(R0_estimation!AU$16 &amp; "_Running14daysNew",'National statistics'!$B$1:$HA$1,0))</f>
        <v>216</v>
      </c>
      <c r="AV99" s="97">
        <f t="shared" ca="1" si="230"/>
        <v>3.6500336577649697</v>
      </c>
      <c r="AW99" s="98">
        <f t="shared" ca="1" si="189"/>
        <v>0.85754424097138826</v>
      </c>
      <c r="AX99" s="77">
        <f t="shared" ca="1" si="295"/>
        <v>5853170.8484403063</v>
      </c>
      <c r="AY99" s="77">
        <f t="shared" ca="1" si="296"/>
        <v>143.84183205928574</v>
      </c>
      <c r="AZ99" s="77">
        <f t="shared" ca="1" si="297"/>
        <v>199.63671130198517</v>
      </c>
      <c r="BA99" s="77">
        <f t="shared" ca="1" si="298"/>
        <v>0</v>
      </c>
      <c r="BB99" s="77">
        <f t="shared" ca="1" si="299"/>
        <v>321.24527154847686</v>
      </c>
      <c r="BC99" s="54">
        <f t="shared" ca="1" si="300"/>
        <v>3.2449017328128988</v>
      </c>
      <c r="BD99" s="53">
        <f ca="1">OFFSET('National statistics'!$A$6,MATCH(R0_estimation!$A99,'National statistics'!$A$7:$A$5000,0),MATCH(R0_estimation!BD$16 &amp; "_Running14daysNew",'National statistics'!$B$1:$HA$1,0))</f>
        <v>254</v>
      </c>
      <c r="BE99" s="97">
        <f t="shared" ca="1" si="237"/>
        <v>4.2706239748773784</v>
      </c>
      <c r="BF99" s="98">
        <f t="shared" ca="1" si="190"/>
        <v>0.72178134408538486</v>
      </c>
      <c r="BG99" s="77">
        <f t="shared" ca="1" si="301"/>
        <v>4808585.8721450623</v>
      </c>
      <c r="BH99" s="77">
        <f t="shared" ca="1" si="302"/>
        <v>173.19856931618273</v>
      </c>
      <c r="BI99" s="77">
        <f t="shared" ca="1" si="303"/>
        <v>215.88800337097103</v>
      </c>
      <c r="BJ99" s="77">
        <f t="shared" ca="1" si="304"/>
        <v>0</v>
      </c>
      <c r="BK99" s="77">
        <f t="shared" ca="1" si="305"/>
        <v>220.45090578483183</v>
      </c>
      <c r="BL99" s="54">
        <f t="shared" ca="1" si="306"/>
        <v>2.2267768261094121</v>
      </c>
      <c r="BM99" s="53">
        <f ca="1">OFFSET('National statistics'!$A$6,MATCH(R0_estimation!$A99,'National statistics'!$A$7:$A$5000,0),MATCH(R0_estimation!BM$16 &amp; "_Running14daysNew",'National statistics'!$B$1:$HA$1,0))</f>
        <v>1088</v>
      </c>
      <c r="BN99" s="97">
        <f t="shared" ca="1" si="244"/>
        <v>2.981240923684366</v>
      </c>
      <c r="BO99" s="98">
        <f t="shared" ca="1" si="191"/>
        <v>0.99326027081939861</v>
      </c>
      <c r="BP99" s="77">
        <f t="shared" ca="1" si="307"/>
        <v>4105149.4336902965</v>
      </c>
      <c r="BQ99" s="77">
        <f t="shared" ca="1" si="308"/>
        <v>696.05171372317591</v>
      </c>
      <c r="BR99" s="77">
        <f t="shared" ca="1" si="309"/>
        <v>1094.224829740486</v>
      </c>
      <c r="BS99" s="77">
        <f t="shared" ca="1" si="310"/>
        <v>0</v>
      </c>
      <c r="BT99" s="77">
        <f t="shared" ca="1" si="311"/>
        <v>688.50493101641689</v>
      </c>
      <c r="BU99" s="54">
        <f t="shared" ca="1" si="312"/>
        <v>6.9545952627920897</v>
      </c>
      <c r="BV99" s="53">
        <f ca="1">OFFSET('National statistics'!$A$6,MATCH(R0_estimation!$A99,'National statistics'!$A$7:$A$5000,0),MATCH(R0_estimation!BV$16 &amp; "_Running14daysNew",'National statistics'!$B$1:$HA$1,0))</f>
        <v>118</v>
      </c>
      <c r="BW99" s="97">
        <f t="shared" ca="1" si="251"/>
        <v>1.9678081772448333</v>
      </c>
      <c r="BX99" s="98">
        <f t="shared" ca="1" si="192"/>
        <v>0.68996207341942262</v>
      </c>
      <c r="BY99" s="77">
        <f t="shared" ca="1" si="313"/>
        <v>1321917.3779146282</v>
      </c>
      <c r="BZ99" s="77">
        <f t="shared" ca="1" si="314"/>
        <v>60.458998940629208</v>
      </c>
      <c r="CA99" s="77">
        <f t="shared" ca="1" si="315"/>
        <v>125.67767448186125</v>
      </c>
      <c r="CB99" s="77">
        <f t="shared" ca="1" si="316"/>
        <v>0</v>
      </c>
      <c r="CC99" s="77">
        <f t="shared" ca="1" si="317"/>
        <v>129.27863948345529</v>
      </c>
      <c r="CD99" s="54">
        <f t="shared" ca="1" si="318"/>
        <v>1.3058448432672254</v>
      </c>
      <c r="CE99" s="53">
        <f ca="1">OFFSET('National statistics'!$A$6,MATCH(R0_estimation!$A99,'National statistics'!$A$7:$A$5000,0),MATCH(R0_estimation!CE$16 &amp; "_Running14daysNew",'National statistics'!$B$1:$HA$1,0))</f>
        <v>21898</v>
      </c>
      <c r="CF99" s="97">
        <f t="shared" ca="1" si="258"/>
        <v>0.81956078079765959</v>
      </c>
      <c r="CG99" s="98">
        <f t="shared" ca="1" si="193"/>
        <v>1.2165621122686727</v>
      </c>
      <c r="CH99" s="77">
        <f t="shared" ca="1" si="319"/>
        <v>7244024.6517090686</v>
      </c>
      <c r="CI99" s="77">
        <f t="shared" ca="1" si="320"/>
        <v>5246.682465237609</v>
      </c>
      <c r="CJ99" s="77">
        <f t="shared" ca="1" si="321"/>
        <v>20425.91056533968</v>
      </c>
      <c r="CK99" s="77">
        <f t="shared" ca="1" si="322"/>
        <v>0</v>
      </c>
      <c r="CL99" s="77">
        <f t="shared" ca="1" si="323"/>
        <v>34833.802945248324</v>
      </c>
      <c r="CM99" s="54">
        <f t="shared" ca="1" si="324"/>
        <v>351.85659540654871</v>
      </c>
      <c r="CO99" s="209"/>
      <c r="CP99" s="210"/>
    </row>
    <row r="100" spans="1:94">
      <c r="A100" s="83">
        <v>44000</v>
      </c>
      <c r="B100" s="53">
        <f ca="1">OFFSET('National statistics'!$A$6,MATCH(R0_estimation!$A100,'National statistics'!$A$7:$A$5000,0),MATCH(R0_estimation!B$16 &amp; "_Running14daysNew",'National statistics'!$B$1:$HA$1,0))</f>
        <v>43051</v>
      </c>
      <c r="C100" s="97">
        <f t="shared" ca="1" si="195"/>
        <v>1.9488488524741405</v>
      </c>
      <c r="D100" s="98">
        <f t="shared" si="194"/>
        <v>1</v>
      </c>
      <c r="E100" s="77">
        <f t="shared" ca="1" si="265"/>
        <v>59593522.413852602</v>
      </c>
      <c r="F100" s="77">
        <f t="shared" ca="1" si="266"/>
        <v>20260.552630972896</v>
      </c>
      <c r="G100" s="77">
        <f t="shared" ca="1" si="267"/>
        <v>43085.780311566479</v>
      </c>
      <c r="H100" s="77">
        <f t="shared" ca="1" si="268"/>
        <v>0</v>
      </c>
      <c r="I100" s="77">
        <f t="shared" ca="1" si="269"/>
        <v>60052.178487924168</v>
      </c>
      <c r="J100" s="54">
        <f t="shared" ca="1" si="270"/>
        <v>606.58766149418364</v>
      </c>
      <c r="K100" s="53">
        <f ca="1">OFFSET('National statistics'!$A$6,MATCH(R0_estimation!$A100,'National statistics'!$A$7:$A$5000,0),MATCH(R0_estimation!K$16 &amp; "_Running14daysNew",'National statistics'!$B$1:$HA$1,0))</f>
        <v>7703</v>
      </c>
      <c r="L100" s="97">
        <f t="shared" ca="1" si="202"/>
        <v>2.8414734641357478</v>
      </c>
      <c r="M100" s="98">
        <f t="shared" ca="1" si="185"/>
        <v>1.3891436550517304</v>
      </c>
      <c r="N100" s="77">
        <f t="shared" ca="1" si="271"/>
        <v>6851648.8668740075</v>
      </c>
      <c r="O100" s="77">
        <f t="shared" ca="1" si="272"/>
        <v>4609.4938470410925</v>
      </c>
      <c r="P100" s="77">
        <f t="shared" ca="1" si="273"/>
        <v>7546.705670036129</v>
      </c>
      <c r="Q100" s="77">
        <f t="shared" ca="1" si="274"/>
        <v>0</v>
      </c>
      <c r="R100" s="77">
        <f t="shared" ca="1" si="275"/>
        <v>6889.5258295684307</v>
      </c>
      <c r="S100" s="54">
        <f t="shared" ca="1" si="276"/>
        <v>69.591169995640712</v>
      </c>
      <c r="T100" s="53">
        <f ca="1">OFFSET('National statistics'!$A$6,MATCH(R0_estimation!$A100,'National statistics'!$A$7:$A$5000,0),MATCH(R0_estimation!T$16 &amp; "_Running14daysNew",'National statistics'!$B$1:$HA$1,0))</f>
        <v>327</v>
      </c>
      <c r="U100" s="97">
        <f t="shared" ca="1" si="209"/>
        <v>2.6596774835310657</v>
      </c>
      <c r="V100" s="98">
        <f t="shared" ca="1" si="186"/>
        <v>0.50313552847557719</v>
      </c>
      <c r="W100" s="77">
        <f t="shared" ca="1" si="277"/>
        <v>2807912.2174692629</v>
      </c>
      <c r="X100" s="77">
        <f t="shared" ca="1" si="278"/>
        <v>185.10598653667714</v>
      </c>
      <c r="Y100" s="77">
        <f t="shared" ca="1" si="279"/>
        <v>316.66916657290022</v>
      </c>
      <c r="Z100" s="77">
        <f t="shared" ca="1" si="280"/>
        <v>0</v>
      </c>
      <c r="AA100" s="77">
        <f t="shared" ca="1" si="281"/>
        <v>589.18535798253163</v>
      </c>
      <c r="AB100" s="54">
        <f t="shared" ca="1" si="282"/>
        <v>5.9513672523488017</v>
      </c>
      <c r="AC100" s="53">
        <f ca="1">OFFSET('National statistics'!$A$6,MATCH(R0_estimation!$A100,'National statistics'!$A$7:$A$5000,0),MATCH(R0_estimation!AC$16 &amp; "_Running14daysNew",'National statistics'!$B$1:$HA$1,0))</f>
        <v>11053</v>
      </c>
      <c r="AD100" s="97">
        <f t="shared" ca="1" si="216"/>
        <v>3.8909509351225071</v>
      </c>
      <c r="AE100" s="98">
        <f t="shared" ca="1" si="187"/>
        <v>0.57565754152920057</v>
      </c>
      <c r="AF100" s="77">
        <f t="shared" ca="1" si="283"/>
        <v>15613217.147967545</v>
      </c>
      <c r="AG100" s="77">
        <f t="shared" ca="1" si="284"/>
        <v>7359.3112022136338</v>
      </c>
      <c r="AH100" s="77">
        <f t="shared" ca="1" si="285"/>
        <v>9743.1506915473583</v>
      </c>
      <c r="AI100" s="77">
        <f t="shared" ca="1" si="286"/>
        <v>0</v>
      </c>
      <c r="AJ100" s="77">
        <f t="shared" ca="1" si="287"/>
        <v>9025.3960708428658</v>
      </c>
      <c r="AK100" s="54">
        <f t="shared" ca="1" si="288"/>
        <v>91.165616877200691</v>
      </c>
      <c r="AL100" s="53">
        <f ca="1">OFFSET('National statistics'!$A$6,MATCH(R0_estimation!$A100,'National statistics'!$A$7:$A$5000,0),MATCH(R0_estimation!AL$16 &amp; "_Running14daysNew",'National statistics'!$B$1:$HA$1,0))</f>
        <v>1491</v>
      </c>
      <c r="AM100" s="97">
        <f t="shared" ca="1" si="223"/>
        <v>2.5276629565043836</v>
      </c>
      <c r="AN100" s="98">
        <f t="shared" ca="1" si="188"/>
        <v>0.74495013848278369</v>
      </c>
      <c r="AO100" s="77">
        <f t="shared" ca="1" si="289"/>
        <v>10994264.522602912</v>
      </c>
      <c r="AP100" s="77">
        <f t="shared" ca="1" si="290"/>
        <v>1025.4931364537463</v>
      </c>
      <c r="AQ100" s="77">
        <f t="shared" ca="1" si="291"/>
        <v>1822.823131320826</v>
      </c>
      <c r="AR100" s="77">
        <f t="shared" ca="1" si="292"/>
        <v>0</v>
      </c>
      <c r="AS100" s="77">
        <f t="shared" ca="1" si="293"/>
        <v>3382.3974853884984</v>
      </c>
      <c r="AT100" s="54">
        <f t="shared" ca="1" si="294"/>
        <v>34.16563116554039</v>
      </c>
      <c r="AU100" s="53">
        <f ca="1">OFFSET('National statistics'!$A$6,MATCH(R0_estimation!$A100,'National statistics'!$A$7:$A$5000,0),MATCH(R0_estimation!AU$16 &amp; "_Running14daysNew",'National statistics'!$B$1:$HA$1,0))</f>
        <v>283</v>
      </c>
      <c r="AV100" s="97">
        <f t="shared" ca="1" si="230"/>
        <v>3.6500336577649697</v>
      </c>
      <c r="AW100" s="98">
        <f t="shared" ca="1" si="189"/>
        <v>0.85754424097138826</v>
      </c>
      <c r="AX100" s="77">
        <f t="shared" ca="1" si="295"/>
        <v>5853118.8057280704</v>
      </c>
      <c r="AY100" s="77">
        <f t="shared" ca="1" si="296"/>
        <v>159.92408627982971</v>
      </c>
      <c r="AZ100" s="77">
        <f t="shared" ca="1" si="297"/>
        <v>221.33740422380765</v>
      </c>
      <c r="BA100" s="77">
        <f t="shared" ca="1" si="298"/>
        <v>0</v>
      </c>
      <c r="BB100" s="77">
        <f t="shared" ca="1" si="299"/>
        <v>335.3624389905458</v>
      </c>
      <c r="BC100" s="54">
        <f t="shared" ca="1" si="300"/>
        <v>3.3874993837428882</v>
      </c>
      <c r="BD100" s="53">
        <f ca="1">OFFSET('National statistics'!$A$6,MATCH(R0_estimation!$A100,'National statistics'!$A$7:$A$5000,0),MATCH(R0_estimation!BD$16 &amp; "_Running14daysNew",'National statistics'!$B$1:$HA$1,0))</f>
        <v>317</v>
      </c>
      <c r="BE100" s="97">
        <f t="shared" ca="1" si="237"/>
        <v>4.2706239748773784</v>
      </c>
      <c r="BF100" s="98">
        <f t="shared" ca="1" si="190"/>
        <v>0.72178134408538486</v>
      </c>
      <c r="BG100" s="77">
        <f t="shared" ca="1" si="301"/>
        <v>4808520.025028781</v>
      </c>
      <c r="BH100" s="77">
        <f t="shared" ca="1" si="302"/>
        <v>195.74604326862061</v>
      </c>
      <c r="BI100" s="77">
        <f t="shared" ca="1" si="303"/>
        <v>243.76707403066166</v>
      </c>
      <c r="BJ100" s="77">
        <f t="shared" ca="1" si="304"/>
        <v>0</v>
      </c>
      <c r="BK100" s="77">
        <f t="shared" ca="1" si="305"/>
        <v>235.71727173749335</v>
      </c>
      <c r="BL100" s="54">
        <f t="shared" ca="1" si="306"/>
        <v>2.380982542802963</v>
      </c>
      <c r="BM100" s="53">
        <f ca="1">OFFSET('National statistics'!$A$6,MATCH(R0_estimation!$A100,'National statistics'!$A$7:$A$5000,0),MATCH(R0_estimation!BM$16 &amp; "_Running14daysNew",'National statistics'!$B$1:$HA$1,0))</f>
        <v>1242</v>
      </c>
      <c r="BN100" s="97">
        <f t="shared" ca="1" si="244"/>
        <v>2.981240923684366</v>
      </c>
      <c r="BO100" s="98">
        <f t="shared" ca="1" si="191"/>
        <v>0.99326027081939861</v>
      </c>
      <c r="BP100" s="77">
        <f t="shared" ca="1" si="307"/>
        <v>4104916.5637422516</v>
      </c>
      <c r="BQ100" s="77">
        <f t="shared" ca="1" si="308"/>
        <v>754.90873333737522</v>
      </c>
      <c r="BR100" s="77">
        <f t="shared" ca="1" si="309"/>
        <v>1190.0788417612453</v>
      </c>
      <c r="BS100" s="77">
        <f t="shared" ca="1" si="310"/>
        <v>0</v>
      </c>
      <c r="BT100" s="77">
        <f t="shared" ca="1" si="311"/>
        <v>765.88225826235123</v>
      </c>
      <c r="BU100" s="54">
        <f t="shared" ca="1" si="312"/>
        <v>7.7361844268924367</v>
      </c>
      <c r="BV100" s="53">
        <f ca="1">OFFSET('National statistics'!$A$6,MATCH(R0_estimation!$A100,'National statistics'!$A$7:$A$5000,0),MATCH(R0_estimation!BV$16 &amp; "_Running14daysNew",'National statistics'!$B$1:$HA$1,0))</f>
        <v>119</v>
      </c>
      <c r="BW100" s="97">
        <f t="shared" ca="1" si="251"/>
        <v>1.9678081772448333</v>
      </c>
      <c r="BX100" s="98">
        <f t="shared" ca="1" si="192"/>
        <v>0.68996207341942262</v>
      </c>
      <c r="BY100" s="77">
        <f t="shared" ca="1" si="313"/>
        <v>1321899.717160309</v>
      </c>
      <c r="BZ100" s="77">
        <f t="shared" ca="1" si="314"/>
        <v>63.005003524686302</v>
      </c>
      <c r="CA100" s="77">
        <f t="shared" ca="1" si="315"/>
        <v>131.81544746831418</v>
      </c>
      <c r="CB100" s="77">
        <f t="shared" ca="1" si="316"/>
        <v>0</v>
      </c>
      <c r="CC100" s="77">
        <f t="shared" ca="1" si="317"/>
        <v>138.16584646467263</v>
      </c>
      <c r="CD100" s="54">
        <f t="shared" ca="1" si="318"/>
        <v>1.3956146107542691</v>
      </c>
      <c r="CE100" s="53">
        <f ca="1">OFFSET('National statistics'!$A$6,MATCH(R0_estimation!$A100,'National statistics'!$A$7:$A$5000,0),MATCH(R0_estimation!CE$16 &amp; "_Running14daysNew",'National statistics'!$B$1:$HA$1,0))</f>
        <v>20516</v>
      </c>
      <c r="CF100" s="97">
        <f t="shared" ca="1" si="258"/>
        <v>0.81956078079765959</v>
      </c>
      <c r="CG100" s="98">
        <f t="shared" ca="1" si="193"/>
        <v>1.2165621122686727</v>
      </c>
      <c r="CH100" s="77">
        <f t="shared" ca="1" si="319"/>
        <v>7242838.8225150639</v>
      </c>
      <c r="CI100" s="77">
        <f t="shared" ca="1" si="320"/>
        <v>5120.8410429328651</v>
      </c>
      <c r="CJ100" s="77">
        <f t="shared" ca="1" si="321"/>
        <v>20278.587569839106</v>
      </c>
      <c r="CK100" s="77">
        <f t="shared" ca="1" si="322"/>
        <v>0</v>
      </c>
      <c r="CL100" s="77">
        <f t="shared" ca="1" si="323"/>
        <v>36278.206620940204</v>
      </c>
      <c r="CM100" s="54">
        <f t="shared" ca="1" si="324"/>
        <v>366.44653152464849</v>
      </c>
      <c r="CO100" s="209"/>
      <c r="CP100" s="210"/>
    </row>
    <row r="101" spans="1:94">
      <c r="A101" s="83">
        <v>44001</v>
      </c>
      <c r="B101" s="53">
        <f ca="1">OFFSET('National statistics'!$A$6,MATCH(R0_estimation!$A101,'National statistics'!$A$7:$A$5000,0),MATCH(R0_estimation!B$16 &amp; "_Running14daysNew",'National statistics'!$B$1:$HA$1,0))</f>
        <v>44234</v>
      </c>
      <c r="C101" s="97">
        <f t="shared" ca="1" si="195"/>
        <v>1.9488488524741405</v>
      </c>
      <c r="D101" s="98">
        <f t="shared" si="194"/>
        <v>1</v>
      </c>
      <c r="E101" s="77">
        <f t="shared" ca="1" si="265"/>
        <v>59587537.116462</v>
      </c>
      <c r="F101" s="77">
        <f t="shared" ca="1" si="266"/>
        <v>21180.711863829907</v>
      </c>
      <c r="G101" s="77">
        <f t="shared" ca="1" si="267"/>
        <v>45073.362732769245</v>
      </c>
      <c r="H101" s="77">
        <f t="shared" ca="1" si="268"/>
        <v>0</v>
      </c>
      <c r="I101" s="77">
        <f t="shared" ca="1" si="269"/>
        <v>63098.958667099228</v>
      </c>
      <c r="J101" s="54">
        <f t="shared" ca="1" si="270"/>
        <v>637.3632188595883</v>
      </c>
      <c r="K101" s="53">
        <f ca="1">OFFSET('National statistics'!$A$6,MATCH(R0_estimation!$A101,'National statistics'!$A$7:$A$5000,0),MATCH(R0_estimation!K$16 &amp; "_Running14daysNew",'National statistics'!$B$1:$HA$1,0))</f>
        <v>8266</v>
      </c>
      <c r="L101" s="97">
        <f t="shared" ca="1" si="202"/>
        <v>2.8414734641357478</v>
      </c>
      <c r="M101" s="98">
        <f t="shared" ca="1" si="185"/>
        <v>1.3891436550517304</v>
      </c>
      <c r="N101" s="77">
        <f t="shared" ca="1" si="271"/>
        <v>6850121.4153532693</v>
      </c>
      <c r="O101" s="77">
        <f t="shared" ca="1" si="272"/>
        <v>4984.5719060194042</v>
      </c>
      <c r="P101" s="77">
        <f t="shared" ca="1" si="273"/>
        <v>8160.028726793822</v>
      </c>
      <c r="Q101" s="77">
        <f t="shared" ca="1" si="274"/>
        <v>0</v>
      </c>
      <c r="R101" s="77">
        <f t="shared" ca="1" si="275"/>
        <v>7423.1857305209851</v>
      </c>
      <c r="S101" s="54">
        <f t="shared" ca="1" si="276"/>
        <v>74.981674045666523</v>
      </c>
      <c r="T101" s="53">
        <f ca="1">OFFSET('National statistics'!$A$6,MATCH(R0_estimation!$A101,'National statistics'!$A$7:$A$5000,0),MATCH(R0_estimation!T$16 &amp; "_Running14daysNew",'National statistics'!$B$1:$HA$1,0))</f>
        <v>322</v>
      </c>
      <c r="U101" s="97">
        <f t="shared" ca="1" si="209"/>
        <v>2.6596774835310657</v>
      </c>
      <c r="V101" s="98">
        <f t="shared" ca="1" si="186"/>
        <v>0.50313552847557719</v>
      </c>
      <c r="W101" s="77">
        <f t="shared" ca="1" si="277"/>
        <v>2807852.0809875652</v>
      </c>
      <c r="X101" s="77">
        <f t="shared" ca="1" si="278"/>
        <v>198.9659716002532</v>
      </c>
      <c r="Y101" s="77">
        <f t="shared" ca="1" si="279"/>
        <v>340.32643702329091</v>
      </c>
      <c r="Z101" s="77">
        <f t="shared" ca="1" si="280"/>
        <v>0</v>
      </c>
      <c r="AA101" s="77">
        <f t="shared" ca="1" si="281"/>
        <v>611.57839190447248</v>
      </c>
      <c r="AB101" s="54">
        <f t="shared" ca="1" si="282"/>
        <v>6.177559514186588</v>
      </c>
      <c r="AC101" s="53">
        <f ca="1">OFFSET('National statistics'!$A$6,MATCH(R0_estimation!$A101,'National statistics'!$A$7:$A$5000,0),MATCH(R0_estimation!AC$16 &amp; "_Running14daysNew",'National statistics'!$B$1:$HA$1,0))</f>
        <v>12046</v>
      </c>
      <c r="AD101" s="97">
        <f t="shared" ca="1" si="216"/>
        <v>3.8909509351225071</v>
      </c>
      <c r="AE101" s="98">
        <f t="shared" ca="1" si="187"/>
        <v>0.57565754152920057</v>
      </c>
      <c r="AF101" s="77">
        <f t="shared" ca="1" si="283"/>
        <v>15610513.806054434</v>
      </c>
      <c r="AG101" s="77">
        <f t="shared" ca="1" si="284"/>
        <v>8222.8253147711584</v>
      </c>
      <c r="AH101" s="77">
        <f t="shared" ca="1" si="285"/>
        <v>10887.03915699024</v>
      </c>
      <c r="AI101" s="77">
        <f t="shared" ca="1" si="286"/>
        <v>0</v>
      </c>
      <c r="AJ101" s="77">
        <f t="shared" ca="1" si="287"/>
        <v>9714.3760126022862</v>
      </c>
      <c r="AK101" s="54">
        <f t="shared" ca="1" si="288"/>
        <v>98.125010228305939</v>
      </c>
      <c r="AL101" s="53">
        <f ca="1">OFFSET('National statistics'!$A$6,MATCH(R0_estimation!$A101,'National statistics'!$A$7:$A$5000,0),MATCH(R0_estimation!AL$16 &amp; "_Running14daysNew",'National statistics'!$B$1:$HA$1,0))</f>
        <v>1612</v>
      </c>
      <c r="AM101" s="97">
        <f t="shared" ca="1" si="223"/>
        <v>2.5276629565043836</v>
      </c>
      <c r="AN101" s="98">
        <f t="shared" ca="1" si="188"/>
        <v>0.74495013848278369</v>
      </c>
      <c r="AO101" s="77">
        <f t="shared" ca="1" si="289"/>
        <v>10993935.60311625</v>
      </c>
      <c r="AP101" s="77">
        <f t="shared" ca="1" si="290"/>
        <v>1098.0393390032311</v>
      </c>
      <c r="AQ101" s="77">
        <f t="shared" ca="1" si="291"/>
        <v>1948.9947631970608</v>
      </c>
      <c r="AR101" s="77">
        <f t="shared" ca="1" si="292"/>
        <v>0</v>
      </c>
      <c r="AS101" s="77">
        <f t="shared" ca="1" si="293"/>
        <v>3511.2971211033282</v>
      </c>
      <c r="AT101" s="54">
        <f t="shared" ca="1" si="294"/>
        <v>35.467647687912411</v>
      </c>
      <c r="AU101" s="53">
        <f ca="1">OFFSET('National statistics'!$A$6,MATCH(R0_estimation!$A101,'National statistics'!$A$7:$A$5000,0),MATCH(R0_estimation!AU$16 &amp; "_Running14daysNew",'National statistics'!$B$1:$HA$1,0))</f>
        <v>288</v>
      </c>
      <c r="AV101" s="97">
        <f t="shared" ca="1" si="230"/>
        <v>3.6500336577649697</v>
      </c>
      <c r="AW101" s="98">
        <f t="shared" ca="1" si="189"/>
        <v>0.85754424097138826</v>
      </c>
      <c r="AX101" s="77">
        <f t="shared" ca="1" si="295"/>
        <v>5853061.1064370899</v>
      </c>
      <c r="AY101" s="77">
        <f t="shared" ca="1" si="296"/>
        <v>177.64235569060395</v>
      </c>
      <c r="AZ101" s="77">
        <f t="shared" ca="1" si="297"/>
        <v>245.50861120635025</v>
      </c>
      <c r="BA101" s="77">
        <f t="shared" ca="1" si="298"/>
        <v>0</v>
      </c>
      <c r="BB101" s="77">
        <f t="shared" ca="1" si="299"/>
        <v>351.01415543208645</v>
      </c>
      <c r="BC101" s="54">
        <f t="shared" ca="1" si="300"/>
        <v>3.5455975296170363</v>
      </c>
      <c r="BD101" s="53">
        <f ca="1">OFFSET('National statistics'!$A$6,MATCH(R0_estimation!$A101,'National statistics'!$A$7:$A$5000,0),MATCH(R0_estimation!BD$16 &amp; "_Running14daysNew",'National statistics'!$B$1:$HA$1,0))</f>
        <v>336</v>
      </c>
      <c r="BE101" s="97">
        <f t="shared" ca="1" si="237"/>
        <v>4.2706239748773784</v>
      </c>
      <c r="BF101" s="98">
        <f t="shared" ca="1" si="190"/>
        <v>0.72178134408538486</v>
      </c>
      <c r="BG101" s="77">
        <f t="shared" ca="1" si="301"/>
        <v>4808445.675647011</v>
      </c>
      <c r="BH101" s="77">
        <f t="shared" ca="1" si="302"/>
        <v>221.15891422149761</v>
      </c>
      <c r="BI101" s="77">
        <f t="shared" ca="1" si="303"/>
        <v>275.29165098848387</v>
      </c>
      <c r="BJ101" s="77">
        <f t="shared" ca="1" si="304"/>
        <v>0</v>
      </c>
      <c r="BK101" s="77">
        <f t="shared" ca="1" si="305"/>
        <v>252.955086258233</v>
      </c>
      <c r="BL101" s="54">
        <f t="shared" ca="1" si="306"/>
        <v>2.5551018813962929</v>
      </c>
      <c r="BM101" s="53">
        <f ca="1">OFFSET('National statistics'!$A$6,MATCH(R0_estimation!$A101,'National statistics'!$A$7:$A$5000,0),MATCH(R0_estimation!BM$16 &amp; "_Running14daysNew",'National statistics'!$B$1:$HA$1,0))</f>
        <v>1349</v>
      </c>
      <c r="BN101" s="97">
        <f t="shared" ca="1" si="244"/>
        <v>2.981240923684366</v>
      </c>
      <c r="BO101" s="98">
        <f t="shared" ca="1" si="191"/>
        <v>0.99326027081939861</v>
      </c>
      <c r="BP101" s="77">
        <f t="shared" ca="1" si="307"/>
        <v>4104663.3087232797</v>
      </c>
      <c r="BQ101" s="77">
        <f t="shared" ca="1" si="308"/>
        <v>819.43656897489404</v>
      </c>
      <c r="BR101" s="77">
        <f t="shared" ca="1" si="309"/>
        <v>1293.8003935412144</v>
      </c>
      <c r="BS101" s="77">
        <f t="shared" ca="1" si="310"/>
        <v>0</v>
      </c>
      <c r="BT101" s="77">
        <f t="shared" ca="1" si="311"/>
        <v>850.03783350118215</v>
      </c>
      <c r="BU101" s="54">
        <f t="shared" ca="1" si="312"/>
        <v>8.5862407424361837</v>
      </c>
      <c r="BV101" s="53">
        <f ca="1">OFFSET('National statistics'!$A$6,MATCH(R0_estimation!$A101,'National statistics'!$A$7:$A$5000,0),MATCH(R0_estimation!BV$16 &amp; "_Running14daysNew",'National statistics'!$B$1:$HA$1,0))</f>
        <v>116</v>
      </c>
      <c r="BW101" s="97">
        <f t="shared" ca="1" si="251"/>
        <v>1.9678081772448333</v>
      </c>
      <c r="BX101" s="98">
        <f t="shared" ca="1" si="192"/>
        <v>0.68996207341942262</v>
      </c>
      <c r="BY101" s="77">
        <f t="shared" ca="1" si="313"/>
        <v>1321881.1941465803</v>
      </c>
      <c r="BZ101" s="77">
        <f t="shared" ca="1" si="314"/>
        <v>65.776766372261548</v>
      </c>
      <c r="CA101" s="77">
        <f t="shared" ca="1" si="315"/>
        <v>138.15130924460618</v>
      </c>
      <c r="CB101" s="77">
        <f t="shared" ca="1" si="316"/>
        <v>0</v>
      </c>
      <c r="CC101" s="77">
        <f t="shared" ca="1" si="317"/>
        <v>147.48708167850342</v>
      </c>
      <c r="CD101" s="54">
        <f t="shared" ca="1" si="318"/>
        <v>1.4897685018030649</v>
      </c>
      <c r="CE101" s="53">
        <f ca="1">OFFSET('National statistics'!$A$6,MATCH(R0_estimation!$A101,'National statistics'!$A$7:$A$5000,0),MATCH(R0_estimation!CE$16 &amp; "_Running14daysNew",'National statistics'!$B$1:$HA$1,0))</f>
        <v>19899</v>
      </c>
      <c r="CF101" s="97">
        <f t="shared" ca="1" si="258"/>
        <v>0.81956078079765959</v>
      </c>
      <c r="CG101" s="98">
        <f t="shared" ca="1" si="193"/>
        <v>1.2165621122686727</v>
      </c>
      <c r="CH101" s="77">
        <f t="shared" ca="1" si="319"/>
        <v>7241661.7365450636</v>
      </c>
      <c r="CI101" s="77">
        <f t="shared" ca="1" si="320"/>
        <v>5017.7167521999418</v>
      </c>
      <c r="CJ101" s="77">
        <f t="shared" ca="1" si="321"/>
        <v>20110.327289869529</v>
      </c>
      <c r="CK101" s="77">
        <f t="shared" ca="1" si="322"/>
        <v>0</v>
      </c>
      <c r="CL101" s="77">
        <f t="shared" ca="1" si="323"/>
        <v>37712.192456235971</v>
      </c>
      <c r="CM101" s="54">
        <f t="shared" ca="1" si="324"/>
        <v>380.93123693167644</v>
      </c>
      <c r="CO101" s="209"/>
      <c r="CP101" s="210"/>
    </row>
    <row r="102" spans="1:94">
      <c r="A102" s="83">
        <v>44002</v>
      </c>
      <c r="B102" s="53">
        <f ca="1">OFFSET('National statistics'!$A$6,MATCH(R0_estimation!$A102,'National statistics'!$A$7:$A$5000,0),MATCH(R0_estimation!B$16 &amp; "_Running14daysNew",'National statistics'!$B$1:$HA$1,0))</f>
        <v>46664</v>
      </c>
      <c r="C102" s="97">
        <f t="shared" ca="1" si="195"/>
        <v>1.9488488524741405</v>
      </c>
      <c r="D102" s="98">
        <f t="shared" si="194"/>
        <v>1</v>
      </c>
      <c r="E102" s="77">
        <f t="shared" ca="1" si="265"/>
        <v>59581276.338028453</v>
      </c>
      <c r="F102" s="77">
        <f t="shared" ca="1" si="266"/>
        <v>22146.312331421053</v>
      </c>
      <c r="G102" s="77">
        <f t="shared" ca="1" si="267"/>
        <v>47149.0147892432</v>
      </c>
      <c r="H102" s="77">
        <f t="shared" ca="1" si="268"/>
        <v>0</v>
      </c>
      <c r="I102" s="77">
        <f t="shared" ca="1" si="269"/>
        <v>66286.289317487914</v>
      </c>
      <c r="J102" s="54">
        <f t="shared" ca="1" si="270"/>
        <v>669.55847795442344</v>
      </c>
      <c r="K102" s="53">
        <f ca="1">OFFSET('National statistics'!$A$6,MATCH(R0_estimation!$A102,'National statistics'!$A$7:$A$5000,0),MATCH(R0_estimation!K$16 &amp; "_Running14daysNew",'National statistics'!$B$1:$HA$1,0))</f>
        <v>9092</v>
      </c>
      <c r="L102" s="97">
        <f t="shared" ca="1" si="202"/>
        <v>2.8414734641357478</v>
      </c>
      <c r="M102" s="98">
        <f t="shared" ca="1" si="185"/>
        <v>1.3891436550517304</v>
      </c>
      <c r="N102" s="77">
        <f t="shared" ca="1" si="271"/>
        <v>6848470.1942808172</v>
      </c>
      <c r="O102" s="77">
        <f t="shared" ca="1" si="272"/>
        <v>5389.6500019668838</v>
      </c>
      <c r="P102" s="77">
        <f t="shared" ca="1" si="273"/>
        <v>8823.3125085276861</v>
      </c>
      <c r="Q102" s="77">
        <f t="shared" ca="1" si="274"/>
        <v>0</v>
      </c>
      <c r="R102" s="77">
        <f t="shared" ca="1" si="275"/>
        <v>8000.2163333442622</v>
      </c>
      <c r="S102" s="54">
        <f t="shared" ca="1" si="276"/>
        <v>80.81026599337639</v>
      </c>
      <c r="T102" s="53">
        <f ca="1">OFFSET('National statistics'!$A$6,MATCH(R0_estimation!$A102,'National statistics'!$A$7:$A$5000,0),MATCH(R0_estimation!T$16 &amp; "_Running14daysNew",'National statistics'!$B$1:$HA$1,0))</f>
        <v>352</v>
      </c>
      <c r="U102" s="97">
        <f t="shared" ca="1" si="209"/>
        <v>2.6596774835310657</v>
      </c>
      <c r="V102" s="98">
        <f t="shared" ca="1" si="186"/>
        <v>0.50313552847557719</v>
      </c>
      <c r="W102" s="77">
        <f t="shared" ca="1" si="277"/>
        <v>2807787.4532939256</v>
      </c>
      <c r="X102" s="77">
        <f t="shared" ca="1" si="278"/>
        <v>213.8521723398697</v>
      </c>
      <c r="Y102" s="77">
        <f t="shared" ca="1" si="279"/>
        <v>365.75889870740485</v>
      </c>
      <c r="Z102" s="77">
        <f t="shared" ca="1" si="280"/>
        <v>0</v>
      </c>
      <c r="AA102" s="77">
        <f t="shared" ca="1" si="281"/>
        <v>635.64433280826233</v>
      </c>
      <c r="AB102" s="54">
        <f t="shared" ca="1" si="282"/>
        <v>6.4206498263460814</v>
      </c>
      <c r="AC102" s="53">
        <f ca="1">OFFSET('National statistics'!$A$6,MATCH(R0_estimation!$A102,'National statistics'!$A$7:$A$5000,0),MATCH(R0_estimation!AC$16 &amp; "_Running14daysNew",'National statistics'!$B$1:$HA$1,0))</f>
        <v>13352</v>
      </c>
      <c r="AD102" s="97">
        <f t="shared" ca="1" si="216"/>
        <v>3.8909509351225071</v>
      </c>
      <c r="AE102" s="98">
        <f t="shared" ca="1" si="187"/>
        <v>0.57565754152920057</v>
      </c>
      <c r="AF102" s="77">
        <f t="shared" ca="1" si="283"/>
        <v>15607493.601666028</v>
      </c>
      <c r="AG102" s="77">
        <f t="shared" ca="1" si="284"/>
        <v>9187.3233744853715</v>
      </c>
      <c r="AH102" s="77">
        <f t="shared" ca="1" si="285"/>
        <v>12165.099831612299</v>
      </c>
      <c r="AI102" s="77">
        <f t="shared" ca="1" si="286"/>
        <v>0</v>
      </c>
      <c r="AJ102" s="77">
        <f t="shared" ca="1" si="287"/>
        <v>10484.245210132311</v>
      </c>
      <c r="AK102" s="54">
        <f t="shared" ca="1" si="288"/>
        <v>105.90146676901325</v>
      </c>
      <c r="AL102" s="53">
        <f ca="1">OFFSET('National statistics'!$A$6,MATCH(R0_estimation!$A102,'National statistics'!$A$7:$A$5000,0),MATCH(R0_estimation!AL$16 &amp; "_Running14daysNew",'National statistics'!$B$1:$HA$1,0))</f>
        <v>1790</v>
      </c>
      <c r="AM102" s="97">
        <f t="shared" ca="1" si="223"/>
        <v>2.5276629565043836</v>
      </c>
      <c r="AN102" s="98">
        <f t="shared" ca="1" si="188"/>
        <v>0.74495013848278369</v>
      </c>
      <c r="AO102" s="77">
        <f t="shared" ca="1" si="289"/>
        <v>10993583.927057844</v>
      </c>
      <c r="AP102" s="77">
        <f t="shared" ca="1" si="290"/>
        <v>1175.2055626578342</v>
      </c>
      <c r="AQ102" s="77">
        <f t="shared" ca="1" si="291"/>
        <v>2084.2906862909358</v>
      </c>
      <c r="AR102" s="77">
        <f t="shared" ca="1" si="292"/>
        <v>0</v>
      </c>
      <c r="AS102" s="77">
        <f t="shared" ca="1" si="293"/>
        <v>3649.118893643692</v>
      </c>
      <c r="AT102" s="54">
        <f t="shared" ca="1" si="294"/>
        <v>36.859786804481743</v>
      </c>
      <c r="AU102" s="53">
        <f ca="1">OFFSET('National statistics'!$A$6,MATCH(R0_estimation!$A102,'National statistics'!$A$7:$A$5000,0),MATCH(R0_estimation!AU$16 &amp; "_Running14daysNew",'National statistics'!$B$1:$HA$1,0))</f>
        <v>305</v>
      </c>
      <c r="AV102" s="97">
        <f t="shared" ca="1" si="230"/>
        <v>3.6500336577649697</v>
      </c>
      <c r="AW102" s="98">
        <f t="shared" ca="1" si="189"/>
        <v>0.85754424097138826</v>
      </c>
      <c r="AX102" s="77">
        <f t="shared" ca="1" si="295"/>
        <v>5852997.1067096824</v>
      </c>
      <c r="AY102" s="77">
        <f t="shared" ca="1" si="296"/>
        <v>197.23149417573939</v>
      </c>
      <c r="AZ102" s="77">
        <f t="shared" ca="1" si="297"/>
        <v>272.38287075711906</v>
      </c>
      <c r="BA102" s="77">
        <f t="shared" ca="1" si="298"/>
        <v>0</v>
      </c>
      <c r="BB102" s="77">
        <f t="shared" ca="1" si="299"/>
        <v>368.37512151024981</v>
      </c>
      <c r="BC102" s="54">
        <f t="shared" ca="1" si="300"/>
        <v>3.720960823335858</v>
      </c>
      <c r="BD102" s="53">
        <f ca="1">OFFSET('National statistics'!$A$6,MATCH(R0_estimation!$A102,'National statistics'!$A$7:$A$5000,0),MATCH(R0_estimation!BD$16 &amp; "_Running14daysNew",'National statistics'!$B$1:$HA$1,0))</f>
        <v>363</v>
      </c>
      <c r="BE102" s="97">
        <f t="shared" ca="1" si="237"/>
        <v>4.2706239748773784</v>
      </c>
      <c r="BF102" s="98">
        <f t="shared" ca="1" si="190"/>
        <v>0.72178134408538486</v>
      </c>
      <c r="BG102" s="77">
        <f t="shared" ca="1" si="301"/>
        <v>4808361.7125096302</v>
      </c>
      <c r="BH102" s="77">
        <f t="shared" ca="1" si="302"/>
        <v>249.83232304678958</v>
      </c>
      <c r="BI102" s="77">
        <f t="shared" ca="1" si="303"/>
        <v>310.91769018753797</v>
      </c>
      <c r="BJ102" s="77">
        <f t="shared" ca="1" si="304"/>
        <v>0</v>
      </c>
      <c r="BK102" s="77">
        <f t="shared" ca="1" si="305"/>
        <v>272.42213872099006</v>
      </c>
      <c r="BL102" s="54">
        <f t="shared" ca="1" si="306"/>
        <v>2.7517387749594957</v>
      </c>
      <c r="BM102" s="53">
        <f ca="1">OFFSET('National statistics'!$A$6,MATCH(R0_estimation!$A102,'National statistics'!$A$7:$A$5000,0),MATCH(R0_estimation!BM$16 &amp; "_Running14daysNew",'National statistics'!$B$1:$HA$1,0))</f>
        <v>1489</v>
      </c>
      <c r="BN102" s="97">
        <f t="shared" ca="1" si="244"/>
        <v>2.981240923684366</v>
      </c>
      <c r="BO102" s="98">
        <f t="shared" ca="1" si="191"/>
        <v>0.99326027081939861</v>
      </c>
      <c r="BP102" s="77">
        <f t="shared" ca="1" si="307"/>
        <v>4104387.998143618</v>
      </c>
      <c r="BQ102" s="77">
        <f t="shared" ca="1" si="308"/>
        <v>889.8880063928641</v>
      </c>
      <c r="BR102" s="77">
        <f t="shared" ca="1" si="309"/>
        <v>1406.2452219605655</v>
      </c>
      <c r="BS102" s="77">
        <f t="shared" ca="1" si="310"/>
        <v>0</v>
      </c>
      <c r="BT102" s="77">
        <f t="shared" ca="1" si="311"/>
        <v>941.5280041873109</v>
      </c>
      <c r="BU102" s="54">
        <f t="shared" ca="1" si="312"/>
        <v>9.5103838806799086</v>
      </c>
      <c r="BV102" s="53">
        <f ca="1">OFFSET('National statistics'!$A$6,MATCH(R0_estimation!$A102,'National statistics'!$A$7:$A$5000,0),MATCH(R0_estimation!BV$16 &amp; "_Running14daysNew",'National statistics'!$B$1:$HA$1,0))</f>
        <v>127</v>
      </c>
      <c r="BW102" s="97">
        <f t="shared" ca="1" si="251"/>
        <v>1.9678081772448333</v>
      </c>
      <c r="BX102" s="98">
        <f t="shared" ca="1" si="192"/>
        <v>0.68996207341942262</v>
      </c>
      <c r="BY102" s="77">
        <f t="shared" ca="1" si="313"/>
        <v>1321861.7810734415</v>
      </c>
      <c r="BZ102" s="77">
        <f t="shared" ca="1" si="314"/>
        <v>68.745647917933496</v>
      </c>
      <c r="CA102" s="77">
        <f t="shared" ca="1" si="315"/>
        <v>144.72755017734258</v>
      </c>
      <c r="CB102" s="77">
        <f t="shared" ca="1" si="316"/>
        <v>0</v>
      </c>
      <c r="CC102" s="77">
        <f t="shared" ca="1" si="317"/>
        <v>157.25635283222914</v>
      </c>
      <c r="CD102" s="54">
        <f t="shared" ca="1" si="318"/>
        <v>1.588448008406355</v>
      </c>
      <c r="CE102" s="53">
        <f ca="1">OFFSET('National statistics'!$A$6,MATCH(R0_estimation!$A102,'National statistics'!$A$7:$A$5000,0),MATCH(R0_estimation!CE$16 &amp; "_Running14daysNew",'National statistics'!$B$1:$HA$1,0))</f>
        <v>19794</v>
      </c>
      <c r="CF102" s="97">
        <f t="shared" ca="1" si="258"/>
        <v>0.81956078079765959</v>
      </c>
      <c r="CG102" s="98">
        <f t="shared" ca="1" si="193"/>
        <v>1.2165621122686727</v>
      </c>
      <c r="CH102" s="77">
        <f t="shared" ca="1" si="319"/>
        <v>7240494.6047654767</v>
      </c>
      <c r="CI102" s="77">
        <f t="shared" ca="1" si="320"/>
        <v>4930.4193437372051</v>
      </c>
      <c r="CJ102" s="77">
        <f t="shared" ca="1" si="321"/>
        <v>19928.304528643119</v>
      </c>
      <c r="CK102" s="77">
        <f t="shared" ca="1" si="322"/>
        <v>0</v>
      </c>
      <c r="CL102" s="77">
        <f t="shared" ca="1" si="323"/>
        <v>39134.279886019605</v>
      </c>
      <c r="CM102" s="54">
        <f t="shared" ca="1" si="324"/>
        <v>395.29575642444041</v>
      </c>
      <c r="CO102" s="209"/>
      <c r="CP102" s="210"/>
    </row>
    <row r="103" spans="1:94">
      <c r="A103" s="83">
        <v>44003</v>
      </c>
      <c r="B103" s="53">
        <f ca="1">OFFSET('National statistics'!$A$6,MATCH(R0_estimation!$A103,'National statistics'!$A$7:$A$5000,0),MATCH(R0_estimation!B$16 &amp; "_Running14daysNew",'National statistics'!$B$1:$HA$1,0))</f>
        <v>49033</v>
      </c>
      <c r="C103" s="97">
        <f t="shared" ca="1" si="195"/>
        <v>1.9488488524741405</v>
      </c>
      <c r="D103" s="98">
        <f t="shared" si="194"/>
        <v>1</v>
      </c>
      <c r="E103" s="77">
        <f t="shared" ca="1" si="265"/>
        <v>59574727.932028949</v>
      </c>
      <c r="F103" s="77">
        <f t="shared" ca="1" si="266"/>
        <v>23158.140248069056</v>
      </c>
      <c r="G103" s="77">
        <f t="shared" ca="1" si="267"/>
        <v>49317.80610143824</v>
      </c>
      <c r="H103" s="77">
        <f t="shared" ca="1" si="268"/>
        <v>0</v>
      </c>
      <c r="I103" s="77">
        <f t="shared" ca="1" si="269"/>
        <v>69620.398220441537</v>
      </c>
      <c r="J103" s="54">
        <f t="shared" ca="1" si="270"/>
        <v>703.23634566102578</v>
      </c>
      <c r="K103" s="53">
        <f ca="1">OFFSET('National statistics'!$A$6,MATCH(R0_estimation!$A103,'National statistics'!$A$7:$A$5000,0),MATCH(R0_estimation!K$16 &amp; "_Running14daysNew",'National statistics'!$B$1:$HA$1,0))</f>
        <v>9777</v>
      </c>
      <c r="L103" s="97">
        <f t="shared" ca="1" si="202"/>
        <v>2.8414734641357478</v>
      </c>
      <c r="M103" s="98">
        <f t="shared" ca="1" si="185"/>
        <v>1.3891436550517304</v>
      </c>
      <c r="N103" s="77">
        <f t="shared" ca="1" si="271"/>
        <v>6846685.18340973</v>
      </c>
      <c r="O103" s="77">
        <f t="shared" ca="1" si="272"/>
        <v>5827.2483725623952</v>
      </c>
      <c r="P103" s="77">
        <f t="shared" ca="1" si="273"/>
        <v>9540.4884012674283</v>
      </c>
      <c r="Q103" s="77">
        <f t="shared" ca="1" si="274"/>
        <v>0</v>
      </c>
      <c r="R103" s="77">
        <f t="shared" ca="1" si="275"/>
        <v>8624.1505750187207</v>
      </c>
      <c r="S103" s="54">
        <f t="shared" ca="1" si="276"/>
        <v>87.112632070896169</v>
      </c>
      <c r="T103" s="53">
        <f ca="1">OFFSET('National statistics'!$A$6,MATCH(R0_estimation!$A103,'National statistics'!$A$7:$A$5000,0),MATCH(R0_estimation!T$16 &amp; "_Running14daysNew",'National statistics'!$B$1:$HA$1,0))</f>
        <v>372</v>
      </c>
      <c r="U103" s="97">
        <f t="shared" ca="1" si="209"/>
        <v>2.6596774835310657</v>
      </c>
      <c r="V103" s="98">
        <f t="shared" ca="1" si="186"/>
        <v>0.50313552847557719</v>
      </c>
      <c r="W103" s="77">
        <f t="shared" ca="1" si="277"/>
        <v>2807717.9975906601</v>
      </c>
      <c r="X103" s="77">
        <f t="shared" ca="1" si="278"/>
        <v>229.84483252017679</v>
      </c>
      <c r="Y103" s="77">
        <f t="shared" ca="1" si="279"/>
        <v>393.09630617041478</v>
      </c>
      <c r="Z103" s="77">
        <f t="shared" ca="1" si="280"/>
        <v>0</v>
      </c>
      <c r="AA103" s="77">
        <f t="shared" ca="1" si="281"/>
        <v>661.5087120740003</v>
      </c>
      <c r="AB103" s="54">
        <f t="shared" ca="1" si="282"/>
        <v>6.6819061825656565</v>
      </c>
      <c r="AC103" s="53">
        <f ca="1">OFFSET('National statistics'!$A$6,MATCH(R0_estimation!$A103,'National statistics'!$A$7:$A$5000,0),MATCH(R0_estimation!AC$16 &amp; "_Running14daysNew",'National statistics'!$B$1:$HA$1,0))</f>
        <v>14876</v>
      </c>
      <c r="AD103" s="97">
        <f t="shared" ca="1" si="216"/>
        <v>3.8909509351225071</v>
      </c>
      <c r="AE103" s="98">
        <f t="shared" ca="1" si="187"/>
        <v>0.57565754152920057</v>
      </c>
      <c r="AF103" s="77">
        <f t="shared" ca="1" si="283"/>
        <v>15604119.498087978</v>
      </c>
      <c r="AG103" s="77">
        <f t="shared" ca="1" si="284"/>
        <v>10264.59610891374</v>
      </c>
      <c r="AH103" s="77">
        <f t="shared" ca="1" si="285"/>
        <v>13592.994972975621</v>
      </c>
      <c r="AI103" s="77">
        <f t="shared" ca="1" si="286"/>
        <v>0</v>
      </c>
      <c r="AJ103" s="77">
        <f t="shared" ca="1" si="287"/>
        <v>11344.491555367751</v>
      </c>
      <c r="AK103" s="54">
        <f t="shared" ca="1" si="288"/>
        <v>114.59082379159346</v>
      </c>
      <c r="AL103" s="53">
        <f ca="1">OFFSET('National statistics'!$A$6,MATCH(R0_estimation!$A103,'National statistics'!$A$7:$A$5000,0),MATCH(R0_estimation!AL$16 &amp; "_Running14daysNew",'National statistics'!$B$1:$HA$1,0))</f>
        <v>1922</v>
      </c>
      <c r="AM103" s="97">
        <f t="shared" ca="1" si="223"/>
        <v>2.5276629565043836</v>
      </c>
      <c r="AN103" s="98">
        <f t="shared" ca="1" si="188"/>
        <v>0.74495013848278369</v>
      </c>
      <c r="AO103" s="77">
        <f t="shared" ca="1" si="289"/>
        <v>10993207.850224523</v>
      </c>
      <c r="AP103" s="77">
        <f t="shared" ca="1" si="290"/>
        <v>1257.4810053134217</v>
      </c>
      <c r="AQ103" s="77">
        <f t="shared" ca="1" si="291"/>
        <v>2229.2141707917563</v>
      </c>
      <c r="AR103" s="77">
        <f t="shared" ca="1" si="292"/>
        <v>0</v>
      </c>
      <c r="AS103" s="77">
        <f t="shared" ca="1" si="293"/>
        <v>3796.508020745694</v>
      </c>
      <c r="AT103" s="54">
        <f t="shared" ca="1" si="294"/>
        <v>38.348565866118129</v>
      </c>
      <c r="AU103" s="53">
        <f ca="1">OFFSET('National statistics'!$A$6,MATCH(R0_estimation!$A103,'National statistics'!$A$7:$A$5000,0),MATCH(R0_estimation!AU$16 &amp; "_Running14daysNew",'National statistics'!$B$1:$HA$1,0))</f>
        <v>337</v>
      </c>
      <c r="AV103" s="97">
        <f t="shared" ca="1" si="230"/>
        <v>3.6500336577649697</v>
      </c>
      <c r="AW103" s="98">
        <f t="shared" ca="1" si="189"/>
        <v>0.85754424097138826</v>
      </c>
      <c r="AX103" s="77">
        <f t="shared" ca="1" si="295"/>
        <v>5852926.1021151701</v>
      </c>
      <c r="AY103" s="77">
        <f t="shared" ca="1" si="296"/>
        <v>218.92821514424256</v>
      </c>
      <c r="AZ103" s="77">
        <f t="shared" ca="1" si="297"/>
        <v>302.23482496125968</v>
      </c>
      <c r="BA103" s="77">
        <f t="shared" ca="1" si="298"/>
        <v>0</v>
      </c>
      <c r="BB103" s="77">
        <f t="shared" ca="1" si="299"/>
        <v>387.63648165664608</v>
      </c>
      <c r="BC103" s="54">
        <f t="shared" ca="1" si="300"/>
        <v>3.9155200167338</v>
      </c>
      <c r="BD103" s="53">
        <f ca="1">OFFSET('National statistics'!$A$6,MATCH(R0_estimation!$A103,'National statistics'!$A$7:$A$5000,0),MATCH(R0_estimation!BD$16 &amp; "_Running14daysNew",'National statistics'!$B$1:$HA$1,0))</f>
        <v>384</v>
      </c>
      <c r="BE103" s="97">
        <f t="shared" ca="1" si="237"/>
        <v>4.2706239748773784</v>
      </c>
      <c r="BF103" s="98">
        <f t="shared" ca="1" si="190"/>
        <v>0.72178134408538486</v>
      </c>
      <c r="BG103" s="77">
        <f t="shared" ca="1" si="301"/>
        <v>4808266.8851879044</v>
      </c>
      <c r="BH103" s="77">
        <f t="shared" ca="1" si="302"/>
        <v>282.20156401119414</v>
      </c>
      <c r="BI103" s="77">
        <f t="shared" ca="1" si="303"/>
        <v>351.16736450726836</v>
      </c>
      <c r="BJ103" s="77">
        <f t="shared" ca="1" si="304"/>
        <v>0</v>
      </c>
      <c r="BK103" s="77">
        <f t="shared" ca="1" si="305"/>
        <v>294.40846109853737</v>
      </c>
      <c r="BL103" s="54">
        <f t="shared" ca="1" si="306"/>
        <v>2.9738228393791655</v>
      </c>
      <c r="BM103" s="53">
        <f ca="1">OFFSET('National statistics'!$A$6,MATCH(R0_estimation!$A103,'National statistics'!$A$7:$A$5000,0),MATCH(R0_estimation!BM$16 &amp; "_Running14daysNew",'National statistics'!$B$1:$HA$1,0))</f>
        <v>1625</v>
      </c>
      <c r="BN103" s="97">
        <f t="shared" ca="1" si="244"/>
        <v>2.981240923684366</v>
      </c>
      <c r="BO103" s="98">
        <f t="shared" ca="1" si="191"/>
        <v>0.99326027081939861</v>
      </c>
      <c r="BP103" s="77">
        <f t="shared" ca="1" si="307"/>
        <v>4104088.780189455</v>
      </c>
      <c r="BQ103" s="77">
        <f t="shared" ca="1" si="308"/>
        <v>966.63395895740143</v>
      </c>
      <c r="BR103" s="77">
        <f t="shared" ca="1" si="309"/>
        <v>1528.2711362758839</v>
      </c>
      <c r="BS103" s="77">
        <f t="shared" ca="1" si="310"/>
        <v>0</v>
      </c>
      <c r="BT103" s="77">
        <f t="shared" ca="1" si="311"/>
        <v>1040.9696305973794</v>
      </c>
      <c r="BU103" s="54">
        <f t="shared" ca="1" si="312"/>
        <v>10.514844753508884</v>
      </c>
      <c r="BV103" s="53">
        <f ca="1">OFFSET('National statistics'!$A$6,MATCH(R0_estimation!$A103,'National statistics'!$A$7:$A$5000,0),MATCH(R0_estimation!BV$16 &amp; "_Running14daysNew",'National statistics'!$B$1:$HA$1,0))</f>
        <v>123</v>
      </c>
      <c r="BW103" s="97">
        <f t="shared" ca="1" si="251"/>
        <v>1.9678081772448333</v>
      </c>
      <c r="BX103" s="98">
        <f t="shared" ca="1" si="192"/>
        <v>0.68996207341942262</v>
      </c>
      <c r="BY103" s="77">
        <f t="shared" ca="1" si="313"/>
        <v>1321841.4442016443</v>
      </c>
      <c r="BZ103" s="77">
        <f t="shared" ca="1" si="314"/>
        <v>71.896107735772375</v>
      </c>
      <c r="CA103" s="77">
        <f t="shared" ca="1" si="315"/>
        <v>151.57628000130148</v>
      </c>
      <c r="CB103" s="77">
        <f t="shared" ca="1" si="316"/>
        <v>0</v>
      </c>
      <c r="CC103" s="77">
        <f t="shared" ca="1" si="317"/>
        <v>167.49065816619836</v>
      </c>
      <c r="CD103" s="54">
        <f t="shared" ca="1" si="318"/>
        <v>1.6918248299615997</v>
      </c>
      <c r="CE103" s="53">
        <f ca="1">OFFSET('National statistics'!$A$6,MATCH(R0_estimation!$A103,'National statistics'!$A$7:$A$5000,0),MATCH(R0_estimation!CE$16 &amp; "_Running14daysNew",'National statistics'!$B$1:$HA$1,0))</f>
        <v>19617</v>
      </c>
      <c r="CF103" s="97">
        <f t="shared" ca="1" si="258"/>
        <v>0.81956078079765959</v>
      </c>
      <c r="CG103" s="98">
        <f t="shared" ca="1" si="193"/>
        <v>1.2165621122686727</v>
      </c>
      <c r="CH103" s="77">
        <f t="shared" ca="1" si="319"/>
        <v>7239338.2210676176</v>
      </c>
      <c r="CI103" s="77">
        <f t="shared" ca="1" si="320"/>
        <v>4854.198205661748</v>
      </c>
      <c r="CJ103" s="77">
        <f t="shared" ca="1" si="321"/>
        <v>19737.459041102909</v>
      </c>
      <c r="CK103" s="77">
        <f t="shared" ca="1" si="322"/>
        <v>0</v>
      </c>
      <c r="CL103" s="77">
        <f t="shared" ca="1" si="323"/>
        <v>40543.495706259368</v>
      </c>
      <c r="CM103" s="54">
        <f t="shared" ca="1" si="324"/>
        <v>409.5302596591855</v>
      </c>
      <c r="CO103" s="209"/>
      <c r="CP103" s="210"/>
    </row>
    <row r="104" spans="1:94">
      <c r="A104" s="83">
        <v>44004</v>
      </c>
      <c r="B104" s="53">
        <f ca="1">OFFSET('National statistics'!$A$6,MATCH(R0_estimation!$A104,'National statistics'!$A$7:$A$5000,0),MATCH(R0_estimation!B$16 &amp; "_Running14daysNew",'National statistics'!$B$1:$HA$1,0))</f>
        <v>50747</v>
      </c>
      <c r="C104" s="97">
        <f t="shared" ca="1" si="195"/>
        <v>1.9488488524741405</v>
      </c>
      <c r="D104" s="98">
        <f t="shared" si="194"/>
        <v>1</v>
      </c>
      <c r="E104" s="77">
        <f t="shared" ca="1" si="265"/>
        <v>59567879.057114393</v>
      </c>
      <c r="F104" s="77">
        <f t="shared" ca="1" si="266"/>
        <v>24217.480100606212</v>
      </c>
      <c r="G104" s="77">
        <f t="shared" ca="1" si="267"/>
        <v>51584.640727638485</v>
      </c>
      <c r="H104" s="77">
        <f t="shared" ca="1" si="268"/>
        <v>0</v>
      </c>
      <c r="I104" s="77">
        <f t="shared" ca="1" si="269"/>
        <v>73107.871651900379</v>
      </c>
      <c r="J104" s="54">
        <f t="shared" ca="1" si="270"/>
        <v>738.4633500191959</v>
      </c>
      <c r="K104" s="53">
        <f ca="1">OFFSET('National statistics'!$A$6,MATCH(R0_estimation!$A104,'National statistics'!$A$7:$A$5000,0),MATCH(R0_estimation!K$16 &amp; "_Running14daysNew",'National statistics'!$B$1:$HA$1,0))</f>
        <v>10554</v>
      </c>
      <c r="L104" s="97">
        <f t="shared" ca="1" si="202"/>
        <v>2.8414734641357478</v>
      </c>
      <c r="M104" s="98">
        <f t="shared" ca="1" si="185"/>
        <v>1.3891436550517304</v>
      </c>
      <c r="N104" s="77">
        <f t="shared" ca="1" si="271"/>
        <v>6844755.5847037965</v>
      </c>
      <c r="O104" s="77">
        <f t="shared" ca="1" si="272"/>
        <v>6300.0349853554526</v>
      </c>
      <c r="P104" s="77">
        <f t="shared" ca="1" si="273"/>
        <v>10315.83703717464</v>
      </c>
      <c r="Q104" s="77">
        <f t="shared" ca="1" si="274"/>
        <v>0</v>
      </c>
      <c r="R104" s="77">
        <f t="shared" ca="1" si="275"/>
        <v>9298.7993976797752</v>
      </c>
      <c r="S104" s="54">
        <f t="shared" ca="1" si="276"/>
        <v>93.927266643230041</v>
      </c>
      <c r="T104" s="53">
        <f ca="1">OFFSET('National statistics'!$A$6,MATCH(R0_estimation!$A104,'National statistics'!$A$7:$A$5000,0),MATCH(R0_estimation!T$16 &amp; "_Running14daysNew",'National statistics'!$B$1:$HA$1,0))</f>
        <v>399</v>
      </c>
      <c r="U104" s="97">
        <f t="shared" ca="1" si="209"/>
        <v>2.6596774835310657</v>
      </c>
      <c r="V104" s="98">
        <f t="shared" ca="1" si="186"/>
        <v>0.50313552847557719</v>
      </c>
      <c r="W104" s="77">
        <f t="shared" ca="1" si="277"/>
        <v>2807643.3524961779</v>
      </c>
      <c r="X104" s="77">
        <f t="shared" ca="1" si="278"/>
        <v>247.02871887214991</v>
      </c>
      <c r="Y104" s="77">
        <f t="shared" ca="1" si="279"/>
        <v>422.47920671685796</v>
      </c>
      <c r="Z104" s="77">
        <f t="shared" ca="1" si="280"/>
        <v>0</v>
      </c>
      <c r="AA104" s="77">
        <f t="shared" ca="1" si="281"/>
        <v>689.30623658176535</v>
      </c>
      <c r="AB104" s="54">
        <f t="shared" ca="1" si="282"/>
        <v>6.9626892584016673</v>
      </c>
      <c r="AC104" s="53">
        <f ca="1">OFFSET('National statistics'!$A$6,MATCH(R0_estimation!$A104,'National statistics'!$A$7:$A$5000,0),MATCH(R0_estimation!AC$16 &amp; "_Running14daysNew",'National statistics'!$B$1:$HA$1,0))</f>
        <v>16083</v>
      </c>
      <c r="AD104" s="97">
        <f t="shared" ca="1" si="216"/>
        <v>3.8909509351225071</v>
      </c>
      <c r="AE104" s="98">
        <f t="shared" ca="1" si="187"/>
        <v>0.57565754152920057</v>
      </c>
      <c r="AF104" s="77">
        <f t="shared" ca="1" si="283"/>
        <v>15600350.167466167</v>
      </c>
      <c r="AG104" s="77">
        <f t="shared" ca="1" si="284"/>
        <v>11467.777703496731</v>
      </c>
      <c r="AH104" s="77">
        <f t="shared" ca="1" si="285"/>
        <v>15188.215787848654</v>
      </c>
      <c r="AI104" s="77">
        <f t="shared" ca="1" si="286"/>
        <v>0</v>
      </c>
      <c r="AJ104" s="77">
        <f t="shared" ca="1" si="287"/>
        <v>12305.710485599599</v>
      </c>
      <c r="AK104" s="54">
        <f t="shared" ca="1" si="288"/>
        <v>124.30010591514748</v>
      </c>
      <c r="AL104" s="53">
        <f ca="1">OFFSET('National statistics'!$A$6,MATCH(R0_estimation!$A104,'National statistics'!$A$7:$A$5000,0),MATCH(R0_estimation!AL$16 &amp; "_Running14daysNew",'National statistics'!$B$1:$HA$1,0))</f>
        <v>2103</v>
      </c>
      <c r="AM104" s="97">
        <f t="shared" ca="1" si="223"/>
        <v>2.5276629565043836</v>
      </c>
      <c r="AN104" s="98">
        <f t="shared" ca="1" si="188"/>
        <v>0.74495013848278369</v>
      </c>
      <c r="AO104" s="77">
        <f t="shared" ca="1" si="289"/>
        <v>10992805.637977447</v>
      </c>
      <c r="AP104" s="77">
        <f t="shared" ca="1" si="290"/>
        <v>1345.3230010603606</v>
      </c>
      <c r="AQ104" s="77">
        <f t="shared" ca="1" si="291"/>
        <v>2384.3548384921291</v>
      </c>
      <c r="AR104" s="77">
        <f t="shared" ca="1" si="292"/>
        <v>0</v>
      </c>
      <c r="AS104" s="77">
        <f t="shared" ca="1" si="293"/>
        <v>3954.1453085373969</v>
      </c>
      <c r="AT104" s="54">
        <f t="shared" ca="1" si="294"/>
        <v>39.940861702397953</v>
      </c>
      <c r="AU104" s="53">
        <f ca="1">OFFSET('National statistics'!$A$6,MATCH(R0_estimation!$A104,'National statistics'!$A$7:$A$5000,0),MATCH(R0_estimation!AU$16 &amp; "_Running14daysNew",'National statistics'!$B$1:$HA$1,0))</f>
        <v>338</v>
      </c>
      <c r="AV104" s="97">
        <f t="shared" ca="1" si="230"/>
        <v>3.6500336577649697</v>
      </c>
      <c r="AW104" s="98">
        <f t="shared" ca="1" si="189"/>
        <v>0.85754424097138826</v>
      </c>
      <c r="AX104" s="77">
        <f t="shared" ca="1" si="295"/>
        <v>5852847.3166852761</v>
      </c>
      <c r="AY104" s="77">
        <f t="shared" ca="1" si="296"/>
        <v>242.98159125171549</v>
      </c>
      <c r="AZ104" s="77">
        <f t="shared" ca="1" si="297"/>
        <v>335.3786769643732</v>
      </c>
      <c r="BA104" s="77">
        <f t="shared" ca="1" si="298"/>
        <v>0</v>
      </c>
      <c r="BB104" s="77">
        <f t="shared" ca="1" si="299"/>
        <v>409.00880142176374</v>
      </c>
      <c r="BC104" s="54">
        <f t="shared" ca="1" si="300"/>
        <v>4.1314020345632709</v>
      </c>
      <c r="BD104" s="53">
        <f ca="1">OFFSET('National statistics'!$A$6,MATCH(R0_estimation!$A104,'National statistics'!$A$7:$A$5000,0),MATCH(R0_estimation!BD$16 &amp; "_Running14daysNew",'National statistics'!$B$1:$HA$1,0))</f>
        <v>413</v>
      </c>
      <c r="BE104" s="97">
        <f t="shared" ca="1" si="237"/>
        <v>4.2706239748773784</v>
      </c>
      <c r="BF104" s="98">
        <f t="shared" ca="1" si="190"/>
        <v>0.72178134408538486</v>
      </c>
      <c r="BG104" s="77">
        <f t="shared" ca="1" si="301"/>
        <v>4808159.7841559695</v>
      </c>
      <c r="BH104" s="77">
        <f t="shared" ca="1" si="302"/>
        <v>318.7522049433569</v>
      </c>
      <c r="BI104" s="77">
        <f t="shared" ca="1" si="303"/>
        <v>396.6343723309763</v>
      </c>
      <c r="BJ104" s="77">
        <f t="shared" ca="1" si="304"/>
        <v>0</v>
      </c>
      <c r="BK104" s="77">
        <f t="shared" ca="1" si="305"/>
        <v>319.24101044583705</v>
      </c>
      <c r="BL104" s="54">
        <f t="shared" ca="1" si="306"/>
        <v>3.2246566711700715</v>
      </c>
      <c r="BM104" s="53">
        <f ca="1">OFFSET('National statistics'!$A$6,MATCH(R0_estimation!$A104,'National statistics'!$A$7:$A$5000,0),MATCH(R0_estimation!BM$16 &amp; "_Running14daysNew",'National statistics'!$B$1:$HA$1,0))</f>
        <v>1735</v>
      </c>
      <c r="BN104" s="97">
        <f t="shared" ca="1" si="244"/>
        <v>2.981240923684366</v>
      </c>
      <c r="BO104" s="98">
        <f t="shared" ca="1" si="191"/>
        <v>0.99326027081939861</v>
      </c>
      <c r="BP104" s="77">
        <f t="shared" ca="1" si="307"/>
        <v>4103763.6214401727</v>
      </c>
      <c r="BQ104" s="77">
        <f t="shared" ca="1" si="308"/>
        <v>1050.1342185002868</v>
      </c>
      <c r="BR104" s="77">
        <f t="shared" ca="1" si="309"/>
        <v>1660.7674019955284</v>
      </c>
      <c r="BS104" s="77">
        <f t="shared" ca="1" si="310"/>
        <v>0</v>
      </c>
      <c r="BT104" s="77">
        <f t="shared" ca="1" si="311"/>
        <v>1149.0402323768883</v>
      </c>
      <c r="BU104" s="54">
        <f t="shared" ca="1" si="312"/>
        <v>11.606466993705943</v>
      </c>
      <c r="BV104" s="53">
        <f ca="1">OFFSET('National statistics'!$A$6,MATCH(R0_estimation!$A104,'National statistics'!$A$7:$A$5000,0),MATCH(R0_estimation!BV$16 &amp; "_Running14daysNew",'National statistics'!$B$1:$HA$1,0))</f>
        <v>136</v>
      </c>
      <c r="BW104" s="97">
        <f t="shared" ca="1" si="251"/>
        <v>1.9678081772448333</v>
      </c>
      <c r="BX104" s="98">
        <f t="shared" ca="1" si="192"/>
        <v>0.68996207341942262</v>
      </c>
      <c r="BY104" s="77">
        <f t="shared" ca="1" si="313"/>
        <v>1321820.1452838816</v>
      </c>
      <c r="BZ104" s="77">
        <f t="shared" ca="1" si="314"/>
        <v>75.220998564587404</v>
      </c>
      <c r="CA104" s="77">
        <f t="shared" ca="1" si="315"/>
        <v>158.72342979229447</v>
      </c>
      <c r="CB104" s="77">
        <f t="shared" ca="1" si="316"/>
        <v>0</v>
      </c>
      <c r="CC104" s="77">
        <f t="shared" ca="1" si="317"/>
        <v>178.20926653771897</v>
      </c>
      <c r="CD104" s="54">
        <f t="shared" ca="1" si="318"/>
        <v>1.8000936013911006</v>
      </c>
      <c r="CE104" s="53">
        <f ca="1">OFFSET('National statistics'!$A$6,MATCH(R0_estimation!$A104,'National statistics'!$A$7:$A$5000,0),MATCH(R0_estimation!CE$16 &amp; "_Running14daysNew",'National statistics'!$B$1:$HA$1,0))</f>
        <v>18986</v>
      </c>
      <c r="CF104" s="97">
        <f t="shared" ca="1" si="258"/>
        <v>0.81956078079765959</v>
      </c>
      <c r="CG104" s="98">
        <f t="shared" ca="1" si="193"/>
        <v>1.2165621122686727</v>
      </c>
      <c r="CH104" s="77">
        <f t="shared" ca="1" si="319"/>
        <v>7238193.0922853975</v>
      </c>
      <c r="CI104" s="77">
        <f t="shared" ca="1" si="320"/>
        <v>4785.7774364664283</v>
      </c>
      <c r="CJ104" s="77">
        <f t="shared" ca="1" si="321"/>
        <v>19541.190089582422</v>
      </c>
      <c r="CK104" s="77">
        <f t="shared" ca="1" si="322"/>
        <v>0</v>
      </c>
      <c r="CL104" s="77">
        <f t="shared" ca="1" si="323"/>
        <v>41939.216024165929</v>
      </c>
      <c r="CM104" s="54">
        <f t="shared" ca="1" si="324"/>
        <v>423.62844468854473</v>
      </c>
      <c r="CO104" s="209"/>
      <c r="CP104" s="210"/>
    </row>
    <row r="105" spans="1:94">
      <c r="A105" s="83">
        <v>44005</v>
      </c>
      <c r="B105" s="53">
        <f ca="1">OFFSET('National statistics'!$A$6,MATCH(R0_estimation!$A105,'National statistics'!$A$7:$A$5000,0),MATCH(R0_estimation!B$16 &amp; "_Running14daysNew",'National statistics'!$B$1:$HA$1,0))</f>
        <v>53174</v>
      </c>
      <c r="C105" s="97">
        <f t="shared" ca="1" si="195"/>
        <v>1.9488488524741405</v>
      </c>
      <c r="D105" s="98">
        <f t="shared" si="194"/>
        <v>1</v>
      </c>
      <c r="E105" s="77">
        <f t="shared" ca="1" si="265"/>
        <v>59560716.201095469</v>
      </c>
      <c r="F105" s="77">
        <f t="shared" ca="1" si="266"/>
        <v>25325.966094377101</v>
      </c>
      <c r="G105" s="77">
        <f t="shared" ca="1" si="267"/>
        <v>53954.39355795872</v>
      </c>
      <c r="H105" s="77">
        <f t="shared" ca="1" si="268"/>
        <v>0</v>
      </c>
      <c r="I105" s="77">
        <f t="shared" ca="1" si="269"/>
        <v>76755.64267478339</v>
      </c>
      <c r="J105" s="54">
        <f t="shared" ca="1" si="270"/>
        <v>775.30952196750911</v>
      </c>
      <c r="K105" s="53">
        <f ca="1">OFFSET('National statistics'!$A$6,MATCH(R0_estimation!$A105,'National statistics'!$A$7:$A$5000,0),MATCH(R0_estimation!K$16 &amp; "_Running14daysNew",'National statistics'!$B$1:$HA$1,0))</f>
        <v>11348</v>
      </c>
      <c r="L105" s="97">
        <f t="shared" ca="1" si="202"/>
        <v>2.8414734641357478</v>
      </c>
      <c r="M105" s="98">
        <f t="shared" ca="1" si="185"/>
        <v>1.3891436550517304</v>
      </c>
      <c r="N105" s="77">
        <f t="shared" ca="1" si="271"/>
        <v>6842669.7548427405</v>
      </c>
      <c r="O105" s="77">
        <f t="shared" ca="1" si="272"/>
        <v>6810.8561000722002</v>
      </c>
      <c r="P105" s="77">
        <f t="shared" ca="1" si="273"/>
        <v>11154.000280858172</v>
      </c>
      <c r="Q105" s="77">
        <f t="shared" ca="1" si="274"/>
        <v>0</v>
      </c>
      <c r="R105" s="77">
        <f t="shared" ca="1" si="275"/>
        <v>10028.276445308553</v>
      </c>
      <c r="S105" s="54">
        <f t="shared" ca="1" si="276"/>
        <v>101.29572166978336</v>
      </c>
      <c r="T105" s="53">
        <f ca="1">OFFSET('National statistics'!$A$6,MATCH(R0_estimation!$A105,'National statistics'!$A$7:$A$5000,0),MATCH(R0_estimation!T$16 &amp; "_Running14daysNew",'National statistics'!$B$1:$HA$1,0))</f>
        <v>423</v>
      </c>
      <c r="U105" s="97">
        <f t="shared" ca="1" si="209"/>
        <v>2.6596774835310657</v>
      </c>
      <c r="V105" s="98">
        <f t="shared" ca="1" si="186"/>
        <v>0.50313552847557719</v>
      </c>
      <c r="W105" s="77">
        <f t="shared" ca="1" si="277"/>
        <v>2807563.1300047599</v>
      </c>
      <c r="X105" s="77">
        <f t="shared" ca="1" si="278"/>
        <v>265.49403057218143</v>
      </c>
      <c r="Y105" s="77">
        <f t="shared" ca="1" si="279"/>
        <v>454.05930024083415</v>
      </c>
      <c r="Z105" s="77">
        <f t="shared" ca="1" si="280"/>
        <v>0</v>
      </c>
      <c r="AA105" s="77">
        <f t="shared" ca="1" si="281"/>
        <v>719.18155191388598</v>
      </c>
      <c r="AB105" s="54">
        <f t="shared" ca="1" si="282"/>
        <v>7.2644601203422798</v>
      </c>
      <c r="AC105" s="53">
        <f ca="1">OFFSET('National statistics'!$A$6,MATCH(R0_estimation!$A105,'National statistics'!$A$7:$A$5000,0),MATCH(R0_estimation!AC$16 &amp; "_Running14daysNew",'National statistics'!$B$1:$HA$1,0))</f>
        <v>17495</v>
      </c>
      <c r="AD105" s="97">
        <f t="shared" ca="1" si="216"/>
        <v>3.8909509351225071</v>
      </c>
      <c r="AE105" s="98">
        <f t="shared" ca="1" si="187"/>
        <v>0.57565754152920057</v>
      </c>
      <c r="AF105" s="77">
        <f t="shared" ca="1" si="283"/>
        <v>15596139.497680593</v>
      </c>
      <c r="AG105" s="77">
        <f t="shared" ca="1" si="284"/>
        <v>12811.503063196982</v>
      </c>
      <c r="AH105" s="77">
        <f t="shared" ca="1" si="285"/>
        <v>16970.287657447934</v>
      </c>
      <c r="AI105" s="77">
        <f t="shared" ca="1" si="286"/>
        <v>0</v>
      </c>
      <c r="AJ105" s="77">
        <f t="shared" ca="1" si="287"/>
        <v>13379.734316311753</v>
      </c>
      <c r="AK105" s="54">
        <f t="shared" ca="1" si="288"/>
        <v>135.14883147789652</v>
      </c>
      <c r="AL105" s="53">
        <f ca="1">OFFSET('National statistics'!$A$6,MATCH(R0_estimation!$A105,'National statistics'!$A$7:$A$5000,0),MATCH(R0_estimation!AL$16 &amp; "_Running14daysNew",'National statistics'!$B$1:$HA$1,0))</f>
        <v>2370</v>
      </c>
      <c r="AM105" s="97">
        <f t="shared" ca="1" si="223"/>
        <v>2.5276629565043836</v>
      </c>
      <c r="AN105" s="98">
        <f t="shared" ca="1" si="188"/>
        <v>0.74495013848278369</v>
      </c>
      <c r="AO105" s="77">
        <f t="shared" ca="1" si="289"/>
        <v>10992375.449716078</v>
      </c>
      <c r="AP105" s="77">
        <f t="shared" ca="1" si="290"/>
        <v>1439.1805121648226</v>
      </c>
      <c r="AQ105" s="77">
        <f t="shared" ca="1" si="291"/>
        <v>2550.3745288649243</v>
      </c>
      <c r="AR105" s="77">
        <f t="shared" ca="1" si="292"/>
        <v>0</v>
      </c>
      <c r="AS105" s="77">
        <f t="shared" ca="1" si="293"/>
        <v>4122.7532578307691</v>
      </c>
      <c r="AT105" s="54">
        <f t="shared" ca="1" si="294"/>
        <v>41.6439723013209</v>
      </c>
      <c r="AU105" s="53">
        <f ca="1">OFFSET('National statistics'!$A$6,MATCH(R0_estimation!$A105,'National statistics'!$A$7:$A$5000,0),MATCH(R0_estimation!AU$16 &amp; "_Running14daysNew",'National statistics'!$B$1:$HA$1,0))</f>
        <v>369</v>
      </c>
      <c r="AV105" s="97">
        <f t="shared" ca="1" si="230"/>
        <v>3.6500336577649697</v>
      </c>
      <c r="AW105" s="98">
        <f t="shared" ca="1" si="189"/>
        <v>0.85754424097138826</v>
      </c>
      <c r="AX105" s="77">
        <f t="shared" ca="1" si="295"/>
        <v>5852759.8926151218</v>
      </c>
      <c r="AY105" s="77">
        <f t="shared" ca="1" si="296"/>
        <v>269.66026359303589</v>
      </c>
      <c r="AZ105" s="77">
        <f t="shared" ca="1" si="297"/>
        <v>372.16845499413256</v>
      </c>
      <c r="BA105" s="77">
        <f t="shared" ca="1" si="298"/>
        <v>0</v>
      </c>
      <c r="BB105" s="77">
        <f t="shared" ca="1" si="299"/>
        <v>432.72486500710153</v>
      </c>
      <c r="BC105" s="54">
        <f t="shared" ca="1" si="300"/>
        <v>4.3709582323949663</v>
      </c>
      <c r="BD105" s="53">
        <f ca="1">OFFSET('National statistics'!$A$6,MATCH(R0_estimation!$A105,'National statistics'!$A$7:$A$5000,0),MATCH(R0_estimation!BD$16 &amp; "_Running14daysNew",'National statistics'!$B$1:$HA$1,0))</f>
        <v>478</v>
      </c>
      <c r="BE105" s="97">
        <f t="shared" ca="1" si="237"/>
        <v>4.2706239748773784</v>
      </c>
      <c r="BF105" s="98">
        <f t="shared" ca="1" si="190"/>
        <v>0.72178134408538486</v>
      </c>
      <c r="BG105" s="77">
        <f t="shared" ca="1" si="301"/>
        <v>4808038.819024032</v>
      </c>
      <c r="BH105" s="77">
        <f t="shared" ca="1" si="302"/>
        <v>360.0292856448574</v>
      </c>
      <c r="BI105" s="77">
        <f t="shared" ca="1" si="303"/>
        <v>447.99139697174581</v>
      </c>
      <c r="BJ105" s="77">
        <f t="shared" ca="1" si="304"/>
        <v>0</v>
      </c>
      <c r="BK105" s="77">
        <f t="shared" ca="1" si="305"/>
        <v>347.2887267749561</v>
      </c>
      <c r="BL105" s="54">
        <f t="shared" ca="1" si="306"/>
        <v>3.5079669371207687</v>
      </c>
      <c r="BM105" s="53">
        <f ca="1">OFFSET('National statistics'!$A$6,MATCH(R0_estimation!$A105,'National statistics'!$A$7:$A$5000,0),MATCH(R0_estimation!BM$16 &amp; "_Running14daysNew",'National statistics'!$B$1:$HA$1,0))</f>
        <v>1850</v>
      </c>
      <c r="BN105" s="97">
        <f t="shared" ca="1" si="244"/>
        <v>2.981240923684366</v>
      </c>
      <c r="BO105" s="98">
        <f t="shared" ca="1" si="191"/>
        <v>0.99326027081939861</v>
      </c>
      <c r="BP105" s="77">
        <f t="shared" ca="1" si="307"/>
        <v>4103410.3003587169</v>
      </c>
      <c r="BQ105" s="77">
        <f t="shared" ca="1" si="308"/>
        <v>1140.9217453312215</v>
      </c>
      <c r="BR105" s="77">
        <f t="shared" ca="1" si="309"/>
        <v>1804.6747136209194</v>
      </c>
      <c r="BS105" s="77">
        <f t="shared" ca="1" si="310"/>
        <v>0</v>
      </c>
      <c r="BT105" s="77">
        <f t="shared" ca="1" si="311"/>
        <v>1266.480212946572</v>
      </c>
      <c r="BU105" s="54">
        <f t="shared" ca="1" si="312"/>
        <v>12.792729423702749</v>
      </c>
      <c r="BV105" s="53">
        <f ca="1">OFFSET('National statistics'!$A$6,MATCH(R0_estimation!$A105,'National statistics'!$A$7:$A$5000,0),MATCH(R0_estimation!BV$16 &amp; "_Running14daysNew",'National statistics'!$B$1:$HA$1,0))</f>
        <v>148</v>
      </c>
      <c r="BW105" s="97">
        <f t="shared" ca="1" si="251"/>
        <v>1.9678081772448333</v>
      </c>
      <c r="BX105" s="98">
        <f t="shared" ca="1" si="192"/>
        <v>0.68996207341942262</v>
      </c>
      <c r="BY105" s="77">
        <f t="shared" ca="1" si="313"/>
        <v>1321797.8424335772</v>
      </c>
      <c r="BZ105" s="77">
        <f t="shared" ca="1" si="314"/>
        <v>78.718599227745671</v>
      </c>
      <c r="CA105" s="77">
        <f t="shared" ca="1" si="315"/>
        <v>166.19129159113456</v>
      </c>
      <c r="CB105" s="77">
        <f t="shared" ca="1" si="316"/>
        <v>0</v>
      </c>
      <c r="CC105" s="77">
        <f t="shared" ca="1" si="317"/>
        <v>189.43328050160267</v>
      </c>
      <c r="CD105" s="54">
        <f t="shared" ca="1" si="318"/>
        <v>1.9134674798141682</v>
      </c>
      <c r="CE105" s="53">
        <f ca="1">OFFSET('National statistics'!$A$6,MATCH(R0_estimation!$A105,'National statistics'!$A$7:$A$5000,0),MATCH(R0_estimation!CE$16 &amp; "_Running14daysNew",'National statistics'!$B$1:$HA$1,0))</f>
        <v>18693</v>
      </c>
      <c r="CF105" s="97">
        <f t="shared" ca="1" si="258"/>
        <v>0.81956078079765959</v>
      </c>
      <c r="CG105" s="98">
        <f t="shared" ca="1" si="193"/>
        <v>1.2165621122686727</v>
      </c>
      <c r="CH105" s="77">
        <f t="shared" ca="1" si="319"/>
        <v>7237059.5277929874</v>
      </c>
      <c r="CI105" s="77">
        <f t="shared" ca="1" si="320"/>
        <v>4722.8975697594096</v>
      </c>
      <c r="CJ105" s="77">
        <f t="shared" ca="1" si="321"/>
        <v>19341.835156585996</v>
      </c>
      <c r="CK105" s="77">
        <f t="shared" ca="1" si="322"/>
        <v>0</v>
      </c>
      <c r="CL105" s="77">
        <f t="shared" ca="1" si="323"/>
        <v>43321.057323357833</v>
      </c>
      <c r="CM105" s="54">
        <f t="shared" ca="1" si="324"/>
        <v>437.58643760967504</v>
      </c>
      <c r="CO105" s="209"/>
      <c r="CP105" s="210"/>
    </row>
    <row r="106" spans="1:94">
      <c r="A106" s="83">
        <v>44006</v>
      </c>
      <c r="B106" s="53">
        <f ca="1">OFFSET('National statistics'!$A$6,MATCH(R0_estimation!$A106,'National statistics'!$A$7:$A$5000,0),MATCH(R0_estimation!B$16 &amp; "_Running14daysNew",'National statistics'!$B$1:$HA$1,0))</f>
        <v>56432</v>
      </c>
      <c r="C106" s="97">
        <f t="shared" ca="1" si="195"/>
        <v>2.0904899451712211</v>
      </c>
      <c r="D106" s="98">
        <f t="shared" si="194"/>
        <v>1</v>
      </c>
      <c r="E106" s="77">
        <f t="shared" ca="1" si="265"/>
        <v>59553225.186055429</v>
      </c>
      <c r="F106" s="77">
        <f t="shared" ca="1" si="266"/>
        <v>26485.489610821533</v>
      </c>
      <c r="G106" s="77">
        <f t="shared" ca="1" si="267"/>
        <v>56431.999827413085</v>
      </c>
      <c r="H106" s="77">
        <f t="shared" ca="1" si="268"/>
        <v>0</v>
      </c>
      <c r="I106" s="77">
        <f t="shared" ca="1" si="269"/>
        <v>80570.989076381898</v>
      </c>
      <c r="J106" s="54">
        <f t="shared" ca="1" si="270"/>
        <v>813.84837450890825</v>
      </c>
      <c r="K106" s="53">
        <f ca="1">OFFSET('National statistics'!$A$6,MATCH(R0_estimation!$A106,'National statistics'!$A$7:$A$5000,0),MATCH(R0_estimation!K$16 &amp; "_Running14daysNew",'National statistics'!$B$1:$HA$1,0))</f>
        <v>12060</v>
      </c>
      <c r="L106" s="97">
        <f t="shared" ca="1" si="202"/>
        <v>1.8311476326842264</v>
      </c>
      <c r="M106" s="98">
        <f t="shared" ca="1" si="185"/>
        <v>1.3891436550517304</v>
      </c>
      <c r="N106" s="77">
        <f t="shared" ca="1" si="271"/>
        <v>6840415.1358551597</v>
      </c>
      <c r="O106" s="77">
        <f t="shared" ca="1" si="272"/>
        <v>7362.7610626351498</v>
      </c>
      <c r="P106" s="77">
        <f t="shared" ca="1" si="273"/>
        <v>12060.000000100639</v>
      </c>
      <c r="Q106" s="77">
        <f t="shared" ca="1" si="274"/>
        <v>0</v>
      </c>
      <c r="R106" s="77">
        <f t="shared" ca="1" si="275"/>
        <v>10817.02360802638</v>
      </c>
      <c r="S106" s="54">
        <f t="shared" ca="1" si="276"/>
        <v>109.2628647275392</v>
      </c>
      <c r="T106" s="53">
        <f ca="1">OFFSET('National statistics'!$A$6,MATCH(R0_estimation!$A106,'National statistics'!$A$7:$A$5000,0),MATCH(R0_estimation!T$16 &amp; "_Running14daysNew",'National statistics'!$B$1:$HA$1,0))</f>
        <v>488</v>
      </c>
      <c r="U106" s="97">
        <f t="shared" ca="1" si="209"/>
        <v>4.198313051542212</v>
      </c>
      <c r="V106" s="98">
        <f t="shared" ca="1" si="186"/>
        <v>0.50313552847557719</v>
      </c>
      <c r="W106" s="77">
        <f t="shared" ca="1" si="277"/>
        <v>2807476.9133795123</v>
      </c>
      <c r="X106" s="77">
        <f t="shared" ca="1" si="278"/>
        <v>285.33714817673848</v>
      </c>
      <c r="Y106" s="77">
        <f t="shared" ca="1" si="279"/>
        <v>488.00000072381988</v>
      </c>
      <c r="Z106" s="77">
        <f t="shared" ca="1" si="280"/>
        <v>0</v>
      </c>
      <c r="AA106" s="77">
        <f t="shared" ca="1" si="281"/>
        <v>751.29003100234502</v>
      </c>
      <c r="AB106" s="54">
        <f t="shared" ca="1" si="282"/>
        <v>7.5887881919428759</v>
      </c>
      <c r="AC106" s="53">
        <f ca="1">OFFSET('National statistics'!$A$6,MATCH(R0_estimation!$A106,'National statistics'!$A$7:$A$5000,0),MATCH(R0_estimation!AC$16 &amp; "_Running14daysNew",'National statistics'!$B$1:$HA$1,0))</f>
        <v>18961</v>
      </c>
      <c r="AD106" s="97">
        <f t="shared" ca="1" si="216"/>
        <v>2.3126264869834054</v>
      </c>
      <c r="AE106" s="98">
        <f t="shared" ca="1" si="187"/>
        <v>0.57565754152920057</v>
      </c>
      <c r="AF106" s="77">
        <f t="shared" ca="1" si="283"/>
        <v>15591436.045914084</v>
      </c>
      <c r="AG106" s="77">
        <f t="shared" ca="1" si="284"/>
        <v>14312.07906390648</v>
      </c>
      <c r="AH106" s="77">
        <f t="shared" ca="1" si="285"/>
        <v>18961.000019143758</v>
      </c>
      <c r="AI106" s="77">
        <f t="shared" ca="1" si="286"/>
        <v>0</v>
      </c>
      <c r="AJ106" s="77">
        <f t="shared" ca="1" si="287"/>
        <v>14579.776086374142</v>
      </c>
      <c r="AK106" s="54">
        <f t="shared" ca="1" si="288"/>
        <v>147.27046551893076</v>
      </c>
      <c r="AL106" s="53">
        <f ca="1">OFFSET('National statistics'!$A$6,MATCH(R0_estimation!$A106,'National statistics'!$A$7:$A$5000,0),MATCH(R0_estimation!AL$16 &amp; "_Running14daysNew",'National statistics'!$B$1:$HA$1,0))</f>
        <v>2728</v>
      </c>
      <c r="AM106" s="97">
        <f t="shared" ca="1" si="223"/>
        <v>3.9118321635306974</v>
      </c>
      <c r="AN106" s="98">
        <f t="shared" ca="1" si="188"/>
        <v>0.74495013848278369</v>
      </c>
      <c r="AO106" s="77">
        <f t="shared" ca="1" si="289"/>
        <v>10991915.325911747</v>
      </c>
      <c r="AP106" s="77">
        <f t="shared" ca="1" si="290"/>
        <v>1539.5091884551794</v>
      </c>
      <c r="AQ106" s="77">
        <f t="shared" ca="1" si="291"/>
        <v>2728.0000477014928</v>
      </c>
      <c r="AR106" s="77">
        <f t="shared" ca="1" si="292"/>
        <v>0</v>
      </c>
      <c r="AS106" s="77">
        <f t="shared" ca="1" si="293"/>
        <v>4303.1011709433606</v>
      </c>
      <c r="AT106" s="54">
        <f t="shared" ca="1" si="294"/>
        <v>43.465668393367274</v>
      </c>
      <c r="AU106" s="53">
        <f ca="1">OFFSET('National statistics'!$A$6,MATCH(R0_estimation!$A106,'National statistics'!$A$7:$A$5000,0),MATCH(R0_estimation!AU$16 &amp; "_Running14daysNew",'National statistics'!$B$1:$HA$1,0))</f>
        <v>413</v>
      </c>
      <c r="AV106" s="97">
        <f t="shared" ca="1" si="230"/>
        <v>3.1226563099465383</v>
      </c>
      <c r="AW106" s="98">
        <f t="shared" ca="1" si="189"/>
        <v>0.85754424097138826</v>
      </c>
      <c r="AX106" s="77">
        <f t="shared" ca="1" si="295"/>
        <v>5852662.8798987893</v>
      </c>
      <c r="AY106" s="77">
        <f t="shared" ca="1" si="296"/>
        <v>299.25791402680932</v>
      </c>
      <c r="AZ106" s="77">
        <f t="shared" ca="1" si="297"/>
        <v>413.00005982138208</v>
      </c>
      <c r="BA106" s="77">
        <f t="shared" ca="1" si="298"/>
        <v>0</v>
      </c>
      <c r="BB106" s="77">
        <f t="shared" ca="1" si="299"/>
        <v>459.04249146740091</v>
      </c>
      <c r="BC106" s="54">
        <f t="shared" ca="1" si="300"/>
        <v>4.6367928431050611</v>
      </c>
      <c r="BD106" s="53">
        <f ca="1">OFFSET('National statistics'!$A$6,MATCH(R0_estimation!$A106,'National statistics'!$A$7:$A$5000,0),MATCH(R0_estimation!BD$16 &amp; "_Running14daysNew",'National statistics'!$B$1:$HA$1,0))</f>
        <v>506</v>
      </c>
      <c r="BE106" s="97">
        <f t="shared" ca="1" si="237"/>
        <v>3.061981421838242</v>
      </c>
      <c r="BF106" s="98">
        <f t="shared" ca="1" si="190"/>
        <v>0.72178134408538486</v>
      </c>
      <c r="BG106" s="77">
        <f t="shared" ca="1" si="301"/>
        <v>4807902.1945102429</v>
      </c>
      <c r="BH106" s="77">
        <f t="shared" ca="1" si="302"/>
        <v>406.64647802284651</v>
      </c>
      <c r="BI106" s="77">
        <f t="shared" ca="1" si="303"/>
        <v>505.99933288497834</v>
      </c>
      <c r="BJ106" s="77">
        <f t="shared" ca="1" si="304"/>
        <v>0</v>
      </c>
      <c r="BK106" s="77">
        <f t="shared" ca="1" si="305"/>
        <v>378.96811841795812</v>
      </c>
      <c r="BL106" s="54">
        <f t="shared" ca="1" si="306"/>
        <v>3.8279607921005869</v>
      </c>
      <c r="BM106" s="53">
        <f ca="1">OFFSET('National statistics'!$A$6,MATCH(R0_estimation!$A106,'National statistics'!$A$7:$A$5000,0),MATCH(R0_estimation!BM$16 &amp; "_Running14daysNew",'National statistics'!$B$1:$HA$1,0))</f>
        <v>1961</v>
      </c>
      <c r="BN106" s="97">
        <f t="shared" ca="1" si="244"/>
        <v>2.2007901862579322</v>
      </c>
      <c r="BO106" s="98">
        <f t="shared" ca="1" si="191"/>
        <v>0.99326027081939861</v>
      </c>
      <c r="BP106" s="77">
        <f t="shared" ca="1" si="307"/>
        <v>4103026.3965640254</v>
      </c>
      <c r="BQ106" s="77">
        <f t="shared" ca="1" si="308"/>
        <v>1239.5951036897527</v>
      </c>
      <c r="BR106" s="77">
        <f t="shared" ca="1" si="309"/>
        <v>1960.9998132665164</v>
      </c>
      <c r="BS106" s="77">
        <f t="shared" ca="1" si="310"/>
        <v>0</v>
      </c>
      <c r="BT106" s="77">
        <f t="shared" ca="1" si="311"/>
        <v>1394.0964962669084</v>
      </c>
      <c r="BU106" s="54">
        <f t="shared" ca="1" si="312"/>
        <v>14.081782790574835</v>
      </c>
      <c r="BV106" s="53">
        <f ca="1">OFFSET('National statistics'!$A$6,MATCH(R0_estimation!$A106,'National statistics'!$A$7:$A$5000,0),MATCH(R0_estimation!BV$16 &amp; "_Running14daysNew",'National statistics'!$B$1:$HA$1,0))</f>
        <v>174</v>
      </c>
      <c r="BW106" s="97">
        <f t="shared" ca="1" si="251"/>
        <v>3.7107329023164666</v>
      </c>
      <c r="BX106" s="98">
        <f t="shared" ca="1" si="192"/>
        <v>0.68996207341942262</v>
      </c>
      <c r="BY106" s="77">
        <f t="shared" ca="1" si="313"/>
        <v>1321774.4906368004</v>
      </c>
      <c r="BZ106" s="77">
        <f t="shared" ca="1" si="314"/>
        <v>82.390746197596116</v>
      </c>
      <c r="CA106" s="77">
        <f t="shared" ca="1" si="315"/>
        <v>174.00013485584708</v>
      </c>
      <c r="CB106" s="77">
        <f t="shared" ca="1" si="316"/>
        <v>0</v>
      </c>
      <c r="CC106" s="77">
        <f t="shared" ca="1" si="317"/>
        <v>201.18537897840432</v>
      </c>
      <c r="CD106" s="54">
        <f t="shared" ca="1" si="318"/>
        <v>2.0321755452364072</v>
      </c>
      <c r="CE106" s="53">
        <f ca="1">OFFSET('National statistics'!$A$6,MATCH(R0_estimation!$A106,'National statistics'!$A$7:$A$5000,0),MATCH(R0_estimation!CE$16 &amp; "_Running14daysNew",'National statistics'!$B$1:$HA$1,0))</f>
        <v>19141</v>
      </c>
      <c r="CF106" s="97">
        <f t="shared" ca="1" si="258"/>
        <v>0.97558293196811685</v>
      </c>
      <c r="CG106" s="98">
        <f t="shared" ca="1" si="193"/>
        <v>1.2165621122686727</v>
      </c>
      <c r="CH106" s="77">
        <f t="shared" ca="1" si="319"/>
        <v>7235937.701248141</v>
      </c>
      <c r="CI106" s="77">
        <f t="shared" ca="1" si="320"/>
        <v>4663.9997221662934</v>
      </c>
      <c r="CJ106" s="77">
        <f t="shared" ca="1" si="321"/>
        <v>19140.999894983994</v>
      </c>
      <c r="CK106" s="77">
        <f t="shared" ca="1" si="322"/>
        <v>0</v>
      </c>
      <c r="CL106" s="77">
        <f t="shared" ca="1" si="323"/>
        <v>44688.801380859273</v>
      </c>
      <c r="CM106" s="54">
        <f t="shared" ca="1" si="324"/>
        <v>451.40203415009364</v>
      </c>
      <c r="CO106" s="209"/>
      <c r="CP106" s="210"/>
    </row>
    <row r="107" spans="1:94">
      <c r="A107" s="83">
        <v>44007</v>
      </c>
      <c r="B107" s="53">
        <f ca="1">OFFSET('National statistics'!$A$6,MATCH(R0_estimation!$A107,'National statistics'!$A$7:$A$5000,0),MATCH(R0_estimation!B$16 &amp; "_Running14daysNew",'National statistics'!$B$1:$HA$1,0))</f>
        <v>59870</v>
      </c>
      <c r="C107" s="97">
        <f t="shared" ca="1" si="195"/>
        <v>2.0904899451712211</v>
      </c>
      <c r="D107" s="98">
        <f t="shared" si="194"/>
        <v>1</v>
      </c>
      <c r="E107" s="77">
        <f t="shared" ref="E107:E120" ca="1" si="325">E106-E106*(C106/14)*G106*G$16/SUM(E106:I106)-E106*(D106/14)*H$16*H106/SUM(E106:I106)</f>
        <v>59544821.78917709</v>
      </c>
      <c r="F107" s="77">
        <f t="shared" ref="F107:F120" ca="1" si="326">F106+E106*(C106/14)*G106*G$16/SUM(E106:I106)+E106*(D106/14)*H$16*H106/SUM(E106:I106)-F106/4</f>
        <v>28267.514086453695</v>
      </c>
      <c r="G107" s="77">
        <f t="shared" ref="G107:G120" ca="1" si="327">G106+G$16*F106/4-G106/14</f>
        <v>59022.515099588963</v>
      </c>
      <c r="H107" s="77">
        <f t="shared" ref="H107:H120" ca="1" si="328">H106+H$16*F106/4-H106/14</f>
        <v>0</v>
      </c>
      <c r="I107" s="77">
        <f t="shared" ref="I107:I120" ca="1" si="329">I106+H106/14+(G106/14)*(1-J$16)</f>
        <v>84561.537635606102</v>
      </c>
      <c r="J107" s="54">
        <f t="shared" ref="J107:J120" ca="1" si="330">J106+(G106/14)*(J$16)</f>
        <v>854.15694581420325</v>
      </c>
      <c r="K107" s="53">
        <f ca="1">OFFSET('National statistics'!$A$6,MATCH(R0_estimation!$A107,'National statistics'!$A$7:$A$5000,0),MATCH(R0_estimation!K$16 &amp; "_Running14daysNew",'National statistics'!$B$1:$HA$1,0))</f>
        <v>12619</v>
      </c>
      <c r="L107" s="97">
        <f t="shared" ca="1" si="202"/>
        <v>1.8311476326842264</v>
      </c>
      <c r="M107" s="98">
        <f t="shared" ca="1" si="185"/>
        <v>1.3891436550517304</v>
      </c>
      <c r="N107" s="77">
        <f t="shared" ref="N107:N120" ca="1" si="331">N106-N106*(L106/14)*P106/SUM(N106:R106)-N106*(M106/14)*Q106/SUM(N106:R106)</f>
        <v>6838844.6755825663</v>
      </c>
      <c r="O107" s="77">
        <f t="shared" ref="O107:O120" ca="1" si="332">O106+N106*(L106/14)*P106/SUM(N106:R106)+N106*(M106/14)*Q106/SUM(N106:R106)-O106/4</f>
        <v>7092.5310695699527</v>
      </c>
      <c r="P107" s="77">
        <f t="shared" ref="P107:P120" ca="1" si="333">P106+(O106/4)*P$16-P106/14</f>
        <v>13039.261694323668</v>
      </c>
      <c r="Q107" s="77">
        <f t="shared" ref="Q107:Q120" ca="1" si="334">Q106+(O106/4)*Q$16-Q106/14</f>
        <v>0</v>
      </c>
      <c r="R107" s="77">
        <f t="shared" ref="R107:R120" ca="1" si="335">R106+Q106/14+(P106/14)*(1-S$16)</f>
        <v>11669.837893747783</v>
      </c>
      <c r="S107" s="54">
        <f t="shared" ref="S107:S120" ca="1" si="336">S106+(P106/14)*(S$16)</f>
        <v>117.87715044189679</v>
      </c>
      <c r="T107" s="53">
        <f ca="1">OFFSET('National statistics'!$A$6,MATCH(R0_estimation!$A107,'National statistics'!$A$7:$A$5000,0),MATCH(R0_estimation!T$16 &amp; "_Running14daysNew",'National statistics'!$B$1:$HA$1,0))</f>
        <v>570</v>
      </c>
      <c r="U107" s="97">
        <f t="shared" ca="1" si="209"/>
        <v>4.198313051542212</v>
      </c>
      <c r="V107" s="98">
        <f t="shared" ca="1" si="186"/>
        <v>0.50313552847557719</v>
      </c>
      <c r="W107" s="77">
        <f t="shared" ref="W107:W120" ca="1" si="337">W106-W106*(U106/14)*Y106/SUM(W106:AA106)-W106*(V106/14)*Z106/SUM(W106:AA106)</f>
        <v>2807330.6516103507</v>
      </c>
      <c r="X107" s="77">
        <f t="shared" ref="X107:X120" ca="1" si="338">X106+W106*(U106/14)*Y106/SUM(W106:AA106)+W106*(V106/14)*Z106/SUM(W106:AA106)-X106/4</f>
        <v>360.26463029408501</v>
      </c>
      <c r="Y107" s="77">
        <f t="shared" ref="Y107:Y120" ca="1" si="339">Y106+(X106/4)*Y$16-Y106/14</f>
        <v>524.47714485916026</v>
      </c>
      <c r="Z107" s="77">
        <f t="shared" ref="Z107:Z120" ca="1" si="340">Z106+(X106/4)*Z$16-Z106/14</f>
        <v>0</v>
      </c>
      <c r="AA107" s="77">
        <f t="shared" ref="AA107:AA120" ca="1" si="341">AA106+Z106/14+(Y106/14)*(1-AB$16)</f>
        <v>785.79860248210082</v>
      </c>
      <c r="AB107" s="54">
        <f t="shared" ref="AB107:AB120" ca="1" si="342">AB106+(Y106/14)*(AB$16)</f>
        <v>7.9373596210313186</v>
      </c>
      <c r="AC107" s="53">
        <f ca="1">OFFSET('National statistics'!$A$6,MATCH(R0_estimation!$A107,'National statistics'!$A$7:$A$5000,0),MATCH(R0_estimation!AC$16 &amp; "_Running14daysNew",'National statistics'!$B$1:$HA$1,0))</f>
        <v>20793</v>
      </c>
      <c r="AD107" s="97">
        <f t="shared" ca="1" si="216"/>
        <v>2.3126264869834054</v>
      </c>
      <c r="AE107" s="98">
        <f t="shared" ca="1" si="187"/>
        <v>0.57565754152920057</v>
      </c>
      <c r="AF107" s="77">
        <f t="shared" ref="AF107:AF120" ca="1" si="343">AF106-AF106*(AD106/14)*AH106/SUM(AF106:AJ106)-AF106*(AE106/14)*AI106/SUM(AF106:AJ106)</f>
        <v>15588313.507328769</v>
      </c>
      <c r="AG107" s="77">
        <f t="shared" ref="AG107:AG120" ca="1" si="344">AG106+AF106*(AD106/14)*AH106/SUM(AF106:AJ106)+AF106*(AE106/14)*AI106/SUM(AF106:AJ106)-AG106/4</f>
        <v>13856.597883244969</v>
      </c>
      <c r="AH107" s="77">
        <f t="shared" ref="AH107:AH120" ca="1" si="345">AH106+(AG106/4)*AH$16-AH106/14</f>
        <v>21184.662640895822</v>
      </c>
      <c r="AI107" s="77">
        <f t="shared" ref="AI107:AI120" ca="1" si="346">AI106+(AG106/4)*AI$16-AI106/14</f>
        <v>0</v>
      </c>
      <c r="AJ107" s="77">
        <f t="shared" ref="AJ107:AJ120" ca="1" si="347">AJ106+AI106/14+(AH106/14)*(1-AK$16)</f>
        <v>15920.589659156451</v>
      </c>
      <c r="AK107" s="54">
        <f t="shared" ref="AK107:AK120" ca="1" si="348">AK106+(AH106/14)*(AK$16)</f>
        <v>160.8140369611763</v>
      </c>
      <c r="AL107" s="53">
        <f ca="1">OFFSET('National statistics'!$A$6,MATCH(R0_estimation!$A107,'National statistics'!$A$7:$A$5000,0),MATCH(R0_estimation!AL$16 &amp; "_Running14daysNew",'National statistics'!$B$1:$HA$1,0))</f>
        <v>3118</v>
      </c>
      <c r="AM107" s="97">
        <f t="shared" ca="1" si="223"/>
        <v>3.9118321635306974</v>
      </c>
      <c r="AN107" s="98">
        <f t="shared" ca="1" si="188"/>
        <v>0.74495013848278369</v>
      </c>
      <c r="AO107" s="77">
        <f t="shared" ref="AO107:AO120" ca="1" si="349">AO106-AO106*(AM106/14)*AQ106/SUM(AO106:AS106)-AO106*(AN106/14)*AR106/SUM(AO106:AS106)</f>
        <v>10991153.671336599</v>
      </c>
      <c r="AP107" s="77">
        <f t="shared" ref="AP107:AP120" ca="1" si="350">AP106+AO106*(AM106/14)*AQ106/SUM(AO106:AS106)+AO106*(AN106/14)*AR106/SUM(AO106:AS106)-AP106/4</f>
        <v>1916.2864664895503</v>
      </c>
      <c r="AQ107" s="77">
        <f t="shared" ref="AQ107:AQ120" ca="1" si="351">AQ106+(AP106/4)*AQ$16-AQ106/14</f>
        <v>2918.0201985508957</v>
      </c>
      <c r="AR107" s="77">
        <f t="shared" ref="AR107:AR120" ca="1" si="352">AR106+(AP106/4)*AR$16-AR106/14</f>
        <v>0</v>
      </c>
      <c r="AS107" s="77">
        <f t="shared" ref="AS107:AS120" ca="1" si="353">AS106+AR106/14+(AQ106/14)*(1-AT$16)</f>
        <v>4496.0097457451093</v>
      </c>
      <c r="AT107" s="54">
        <f t="shared" ref="AT107:AT120" ca="1" si="354">AT106+(AQ106/14)*(AT$16)</f>
        <v>45.4142398560112</v>
      </c>
      <c r="AU107" s="53">
        <f ca="1">OFFSET('National statistics'!$A$6,MATCH(R0_estimation!$A107,'National statistics'!$A$7:$A$5000,0),MATCH(R0_estimation!AU$16 &amp; "_Running14daysNew",'National statistics'!$B$1:$HA$1,0))</f>
        <v>463</v>
      </c>
      <c r="AV107" s="97">
        <f t="shared" ca="1" si="230"/>
        <v>3.1226563099465383</v>
      </c>
      <c r="AW107" s="98">
        <f t="shared" ca="1" si="189"/>
        <v>0.85754424097138826</v>
      </c>
      <c r="AX107" s="77">
        <f t="shared" ref="AX107:AX120" ca="1" si="355">AX106-AX106*(AV106/14)*AZ106/SUM(AX106:BB106)-AX106*(AW106/14)*BA106/SUM(AX106:BB106)</f>
        <v>5852570.7799563752</v>
      </c>
      <c r="AY107" s="77">
        <f t="shared" ref="AY107:AY120" ca="1" si="356">AY106+AX106*(AV106/14)*AZ106/SUM(AX106:BB106)+AX106*(AW106/14)*BA106/SUM(AX106:BB106)-AY106/4</f>
        <v>316.54337793419302</v>
      </c>
      <c r="AZ107" s="77">
        <f t="shared" ref="AZ107:AZ120" ca="1" si="357">AZ106+(AY106/4)*AZ$16-AZ106/14</f>
        <v>458.31453405512855</v>
      </c>
      <c r="BA107" s="77">
        <f t="shared" ref="BA107:BA120" ca="1" si="358">BA106+(AY106/4)*BA$16-BA106/14</f>
        <v>0</v>
      </c>
      <c r="BB107" s="77">
        <f t="shared" ref="BB107:BB120" ca="1" si="359">BB106+BA106/14+(AZ106/14)*(1-BC$16)</f>
        <v>488.24749569762719</v>
      </c>
      <c r="BC107" s="54">
        <f t="shared" ref="BC107:BC120" ca="1" si="360">BC106+(AZ106/14)*(BC$16)</f>
        <v>4.9317928858346196</v>
      </c>
      <c r="BD107" s="53">
        <f ca="1">OFFSET('National statistics'!$A$6,MATCH(R0_estimation!$A107,'National statistics'!$A$7:$A$5000,0),MATCH(R0_estimation!BD$16 &amp; "_Running14daysNew",'National statistics'!$B$1:$HA$1,0))</f>
        <v>555</v>
      </c>
      <c r="BE107" s="97">
        <f t="shared" ca="1" si="237"/>
        <v>3.061981421838242</v>
      </c>
      <c r="BF107" s="98">
        <f t="shared" ca="1" si="190"/>
        <v>0.72178134408538486</v>
      </c>
      <c r="BG107" s="77">
        <f t="shared" ref="BG107:BG120" ca="1" si="361">BG106-BG106*(BE106/14)*BI106/SUM(BG106:BK106)-BG106*(BF106/14)*BJ106/SUM(BG106:BK106)</f>
        <v>4807791.555621516</v>
      </c>
      <c r="BH107" s="77">
        <f t="shared" ref="BH107:BH120" ca="1" si="362">BH106+BG106*(BE106/14)*BI106/SUM(BG106:BK106)+BG106*(BF106/14)*BJ106/SUM(BG106:BK106)-BH106/4</f>
        <v>415.62374724379526</v>
      </c>
      <c r="BI107" s="77">
        <f t="shared" ref="BI107:BI120" ca="1" si="363">BI106+(BH106/4)*BI$16-BI106/14</f>
        <v>571.51814289890581</v>
      </c>
      <c r="BJ107" s="77">
        <f t="shared" ref="BJ107:BJ120" ca="1" si="364">BJ106+(BH106/4)*BJ$16-BJ106/14</f>
        <v>0</v>
      </c>
      <c r="BK107" s="77">
        <f t="shared" ref="BK107:BK120" ca="1" si="365">BK106+BJ106/14+(BI106/14)*(1-BL$16)</f>
        <v>414.74949981482445</v>
      </c>
      <c r="BL107" s="54">
        <f t="shared" ref="BL107:BL120" ca="1" si="366">BL106+(BI106/14)*(BL$16)</f>
        <v>4.1893888870184286</v>
      </c>
      <c r="BM107" s="53">
        <f ca="1">OFFSET('National statistics'!$A$6,MATCH(R0_estimation!$A107,'National statistics'!$A$7:$A$5000,0),MATCH(R0_estimation!BM$16 &amp; "_Running14daysNew",'National statistics'!$B$1:$HA$1,0))</f>
        <v>2208</v>
      </c>
      <c r="BN107" s="97">
        <f t="shared" ca="1" si="244"/>
        <v>2.2007901862579322</v>
      </c>
      <c r="BO107" s="98">
        <f t="shared" ca="1" si="191"/>
        <v>0.99326027081939861</v>
      </c>
      <c r="BP107" s="77">
        <f t="shared" ref="BP107:BP120" ca="1" si="367">BP106-BP106*(BN106/14)*BR106/SUM(BP106:BT106)-BP106*(BO106/14)*BS106/SUM(BP106:BT106)</f>
        <v>4102718.4735893416</v>
      </c>
      <c r="BQ107" s="77">
        <f t="shared" ref="BQ107:BQ120" ca="1" si="368">BQ106+BP106*(BN106/14)*BR106/SUM(BP106:BT106)+BP106*(BO106/14)*BS106/SUM(BP106:BT106)-BQ106/4</f>
        <v>1237.619302451094</v>
      </c>
      <c r="BR107" s="77">
        <f t="shared" ref="BR107:BR120" ca="1" si="369">BR106+(BQ106/4)*BR$16-BR106/14</f>
        <v>2130.8271739556321</v>
      </c>
      <c r="BS107" s="77">
        <f t="shared" ref="BS107:BS120" ca="1" si="370">BS106+(BQ106/4)*BS$16-BS106/14</f>
        <v>0</v>
      </c>
      <c r="BT107" s="77">
        <f t="shared" ref="BT107:BT120" ca="1" si="371">BT106+BS106/14+(BR106/14)*(1-BU$16)</f>
        <v>1532.7671973478978</v>
      </c>
      <c r="BU107" s="54">
        <f t="shared" ref="BU107:BU120" ca="1" si="372">BU106+(BR106/14)*(BU$16)</f>
        <v>15.48249694290806</v>
      </c>
      <c r="BV107" s="53">
        <f ca="1">OFFSET('National statistics'!$A$6,MATCH(R0_estimation!$A107,'National statistics'!$A$7:$A$5000,0),MATCH(R0_estimation!BV$16 &amp; "_Running14daysNew",'National statistics'!$B$1:$HA$1,0))</f>
        <v>186</v>
      </c>
      <c r="BW107" s="97">
        <f t="shared" ca="1" si="251"/>
        <v>3.7107329023164666</v>
      </c>
      <c r="BX107" s="98">
        <f t="shared" ca="1" si="192"/>
        <v>0.68996207341942262</v>
      </c>
      <c r="BY107" s="77">
        <f t="shared" ref="BY107:BY120" ca="1" si="373">BY106-BY106*(BW106/14)*CA106/SUM(BY106:CC106)-BY106*(BX106/14)*CB106/SUM(BY106:CC106)</f>
        <v>1321728.3874522806</v>
      </c>
      <c r="BZ107" s="77">
        <f t="shared" ref="BZ107:BZ120" ca="1" si="374">BZ106+BY106*(BW106/14)*CA106/SUM(BY106:CC106)+BY106*(BX106/14)*CB106/SUM(BY106:CC106)-BZ106/4</f>
        <v>107.89624416811439</v>
      </c>
      <c r="CA107" s="77">
        <f t="shared" ref="CA107:CA120" ca="1" si="375">CA106+(BZ106/4)*CA$16-CA106/14</f>
        <v>182.1692403441142</v>
      </c>
      <c r="CB107" s="77">
        <f t="shared" ref="CB107:CB120" ca="1" si="376">CB106+(BZ106/4)*CB$16-CB106/14</f>
        <v>0</v>
      </c>
      <c r="CC107" s="77">
        <f t="shared" ref="CC107:CC120" ca="1" si="377">CC106+CB106/14+(CA106/14)*(1-CD$16)</f>
        <v>213.48967422892494</v>
      </c>
      <c r="CD107" s="54">
        <f t="shared" ref="CD107:CD120" ca="1" si="378">CD106+(CA106/14)*(CD$16)</f>
        <v>2.1564613558477266</v>
      </c>
      <c r="CE107" s="53">
        <f ca="1">OFFSET('National statistics'!$A$6,MATCH(R0_estimation!$A107,'National statistics'!$A$7:$A$5000,0),MATCH(R0_estimation!CE$16 &amp; "_Running14daysNew",'National statistics'!$B$1:$HA$1,0))</f>
        <v>19358</v>
      </c>
      <c r="CF107" s="97">
        <f t="shared" ca="1" si="258"/>
        <v>0.97558293196811685</v>
      </c>
      <c r="CG107" s="98">
        <f t="shared" ca="1" si="193"/>
        <v>1.2165621122686727</v>
      </c>
      <c r="CH107" s="77">
        <f t="shared" ref="CH107:CH120" ca="1" si="379">CH106-CH106*(CF106/14)*CJ106/SUM(CH106:CL106)-CH106*(CG106/14)*CK106/SUM(CH106:CL106)</f>
        <v>7234616.377693262</v>
      </c>
      <c r="CI107" s="77">
        <f t="shared" ref="CI107:CI120" ca="1" si="380">CI106+CH106*(CF106/14)*CJ106/SUM(CH106:CL106)+CH106*(CG106/14)*CK106/SUM(CH106:CL106)-CI106/4</f>
        <v>4819.3233465036355</v>
      </c>
      <c r="CJ107" s="77">
        <f t="shared" ref="CJ107:CJ120" ca="1" si="381">CJ106+(CI106/4)*CJ$16-CJ106/14</f>
        <v>18939.785547312425</v>
      </c>
      <c r="CK107" s="77">
        <f t="shared" ref="CK107:CK120" ca="1" si="382">CK106+(CI106/4)*CK$16-CK106/14</f>
        <v>0</v>
      </c>
      <c r="CL107" s="77">
        <f t="shared" ref="CL107:CL120" ca="1" si="383">CL106+CK106/14+(CJ106/14)*(1-CM$16)</f>
        <v>46042.343516290282</v>
      </c>
      <c r="CM107" s="54">
        <f t="shared" ref="CM107:CM120" ca="1" si="384">CM106+(CJ106/14)*(CM$16)</f>
        <v>465.07417693222504</v>
      </c>
      <c r="CO107" s="209"/>
      <c r="CP107" s="210"/>
    </row>
    <row r="108" spans="1:94">
      <c r="A108" s="83">
        <v>44008</v>
      </c>
      <c r="B108" s="53">
        <f ca="1">OFFSET('National statistics'!$A$6,MATCH(R0_estimation!$A108,'National statistics'!$A$7:$A$5000,0),MATCH(R0_estimation!B$16 &amp; "_Running14daysNew",'National statistics'!$B$1:$HA$1,0))</f>
        <v>62726</v>
      </c>
      <c r="C108" s="97">
        <f t="shared" ca="1" si="195"/>
        <v>2.0904899451712211</v>
      </c>
      <c r="D108" s="98">
        <f t="shared" si="194"/>
        <v>1</v>
      </c>
      <c r="E108" s="77">
        <f t="shared" ca="1" si="325"/>
        <v>59536033.868004225</v>
      </c>
      <c r="F108" s="77">
        <f t="shared" ca="1" si="326"/>
        <v>29988.556737707342</v>
      </c>
      <c r="G108" s="77">
        <f t="shared" ca="1" si="327"/>
        <v>61873.499685517454</v>
      </c>
      <c r="H108" s="77">
        <f t="shared" ca="1" si="328"/>
        <v>0</v>
      </c>
      <c r="I108" s="77">
        <f t="shared" ca="1" si="329"/>
        <v>88735.272631934175</v>
      </c>
      <c r="J108" s="54">
        <f t="shared" ca="1" si="330"/>
        <v>896.31588517105251</v>
      </c>
      <c r="K108" s="53">
        <f ca="1">OFFSET('National statistics'!$A$6,MATCH(R0_estimation!$A108,'National statistics'!$A$7:$A$5000,0),MATCH(R0_estimation!K$16 &amp; "_Running14daysNew",'National statistics'!$B$1:$HA$1,0))</f>
        <v>13323</v>
      </c>
      <c r="L108" s="97">
        <f t="shared" ca="1" si="202"/>
        <v>1.8311476326842264</v>
      </c>
      <c r="M108" s="98">
        <f t="shared" ca="1" si="185"/>
        <v>1.3891436550517304</v>
      </c>
      <c r="N108" s="77">
        <f t="shared" ca="1" si="331"/>
        <v>6837147.0829811497</v>
      </c>
      <c r="O108" s="77">
        <f t="shared" ca="1" si="332"/>
        <v>7016.9909035940836</v>
      </c>
      <c r="P108" s="77">
        <f t="shared" ca="1" si="333"/>
        <v>13881.018626407322</v>
      </c>
      <c r="Q108" s="77">
        <f t="shared" ca="1" si="334"/>
        <v>0</v>
      </c>
      <c r="R108" s="77">
        <f t="shared" ca="1" si="335"/>
        <v>12591.899970703527</v>
      </c>
      <c r="S108" s="54">
        <f t="shared" ca="1" si="336"/>
        <v>127.19090879498512</v>
      </c>
      <c r="T108" s="53">
        <f ca="1">OFFSET('National statistics'!$A$6,MATCH(R0_estimation!$A108,'National statistics'!$A$7:$A$5000,0),MATCH(R0_estimation!T$16 &amp; "_Running14daysNew",'National statistics'!$B$1:$HA$1,0))</f>
        <v>634</v>
      </c>
      <c r="U108" s="97">
        <f t="shared" ca="1" si="209"/>
        <v>4.198313051542212</v>
      </c>
      <c r="V108" s="98">
        <f t="shared" ca="1" si="186"/>
        <v>0.50313552847557719</v>
      </c>
      <c r="W108" s="77">
        <f t="shared" ca="1" si="337"/>
        <v>2807173.4652003744</v>
      </c>
      <c r="X108" s="77">
        <f t="shared" ca="1" si="338"/>
        <v>427.38488269702628</v>
      </c>
      <c r="Y108" s="77">
        <f t="shared" ca="1" si="339"/>
        <v>577.08064922845574</v>
      </c>
      <c r="Z108" s="77">
        <f t="shared" ca="1" si="340"/>
        <v>0</v>
      </c>
      <c r="AA108" s="77">
        <f t="shared" ca="1" si="341"/>
        <v>822.88662915428426</v>
      </c>
      <c r="AB108" s="54">
        <f t="shared" ca="1" si="342"/>
        <v>8.3119861530735761</v>
      </c>
      <c r="AC108" s="53">
        <f ca="1">OFFSET('National statistics'!$A$6,MATCH(R0_estimation!$A108,'National statistics'!$A$7:$A$5000,0),MATCH(R0_estimation!AC$16 &amp; "_Running14daysNew",'National statistics'!$B$1:$HA$1,0))</f>
        <v>22563</v>
      </c>
      <c r="AD108" s="97">
        <f t="shared" ca="1" si="216"/>
        <v>2.3126264869834054</v>
      </c>
      <c r="AE108" s="98">
        <f t="shared" ca="1" si="187"/>
        <v>0.57565754152920057</v>
      </c>
      <c r="AF108" s="77">
        <f t="shared" ca="1" si="343"/>
        <v>15584825.466840513</v>
      </c>
      <c r="AG108" s="77">
        <f t="shared" ca="1" si="344"/>
        <v>13880.488900690782</v>
      </c>
      <c r="AH108" s="77">
        <f t="shared" ca="1" si="345"/>
        <v>23135.621923071645</v>
      </c>
      <c r="AI108" s="77">
        <f t="shared" ca="1" si="346"/>
        <v>0</v>
      </c>
      <c r="AJ108" s="77">
        <f t="shared" ca="1" si="347"/>
        <v>17418.647945905512</v>
      </c>
      <c r="AK108" s="54">
        <f t="shared" ca="1" si="348"/>
        <v>175.94593884753044</v>
      </c>
      <c r="AL108" s="53">
        <f ca="1">OFFSET('National statistics'!$A$6,MATCH(R0_estimation!$A108,'National statistics'!$A$7:$A$5000,0),MATCH(R0_estimation!AL$16 &amp; "_Running14daysNew",'National statistics'!$B$1:$HA$1,0))</f>
        <v>3517</v>
      </c>
      <c r="AM108" s="97">
        <f t="shared" ca="1" si="223"/>
        <v>3.9118321635306974</v>
      </c>
      <c r="AN108" s="98">
        <f t="shared" ca="1" si="188"/>
        <v>0.74495013848278369</v>
      </c>
      <c r="AO108" s="77">
        <f t="shared" ca="1" si="349"/>
        <v>10990339.019655608</v>
      </c>
      <c r="AP108" s="77">
        <f t="shared" ca="1" si="350"/>
        <v>2251.8665308586933</v>
      </c>
      <c r="AQ108" s="77">
        <f t="shared" ca="1" si="351"/>
        <v>3188.6618009910762</v>
      </c>
      <c r="AR108" s="77">
        <f t="shared" ca="1" si="352"/>
        <v>0</v>
      </c>
      <c r="AS108" s="77">
        <f t="shared" ca="1" si="353"/>
        <v>4702.3554597854936</v>
      </c>
      <c r="AT108" s="54">
        <f t="shared" ca="1" si="354"/>
        <v>47.498539997833269</v>
      </c>
      <c r="AU108" s="53">
        <f ca="1">OFFSET('National statistics'!$A$6,MATCH(R0_estimation!$A108,'National statistics'!$A$7:$A$5000,0),MATCH(R0_estimation!AU$16 &amp; "_Running14daysNew",'National statistics'!$B$1:$HA$1,0))</f>
        <v>510</v>
      </c>
      <c r="AV108" s="97">
        <f t="shared" ca="1" si="230"/>
        <v>3.1226563099465383</v>
      </c>
      <c r="AW108" s="98">
        <f t="shared" ca="1" si="189"/>
        <v>0.85754424097138826</v>
      </c>
      <c r="AX108" s="77">
        <f t="shared" ca="1" si="355"/>
        <v>5852468.5763874613</v>
      </c>
      <c r="AY108" s="77">
        <f t="shared" ca="1" si="356"/>
        <v>339.61110236438253</v>
      </c>
      <c r="AZ108" s="77">
        <f t="shared" ca="1" si="357"/>
        <v>504.71362610616757</v>
      </c>
      <c r="BA108" s="77">
        <f t="shared" ca="1" si="358"/>
        <v>0</v>
      </c>
      <c r="BB108" s="77">
        <f t="shared" ca="1" si="359"/>
        <v>520.65688060581124</v>
      </c>
      <c r="BC108" s="54">
        <f t="shared" ca="1" si="360"/>
        <v>5.2591604101597111</v>
      </c>
      <c r="BD108" s="53">
        <f ca="1">OFFSET('National statistics'!$A$6,MATCH(R0_estimation!$A108,'National statistics'!$A$7:$A$5000,0),MATCH(R0_estimation!BD$16 &amp; "_Running14daysNew",'National statistics'!$B$1:$HA$1,0))</f>
        <v>612</v>
      </c>
      <c r="BE108" s="97">
        <f t="shared" ca="1" si="237"/>
        <v>3.061981421838242</v>
      </c>
      <c r="BF108" s="98">
        <f t="shared" ca="1" si="190"/>
        <v>0.72178134408538486</v>
      </c>
      <c r="BG108" s="77">
        <f t="shared" ca="1" si="361"/>
        <v>4807666.5936348699</v>
      </c>
      <c r="BH108" s="77">
        <f t="shared" ca="1" si="362"/>
        <v>436.67979707905795</v>
      </c>
      <c r="BI108" s="77">
        <f t="shared" ca="1" si="363"/>
        <v>634.60135521707559</v>
      </c>
      <c r="BJ108" s="77">
        <f t="shared" ca="1" si="364"/>
        <v>0</v>
      </c>
      <c r="BK108" s="77">
        <f t="shared" ca="1" si="365"/>
        <v>455.16399706267566</v>
      </c>
      <c r="BL108" s="54">
        <f t="shared" ca="1" si="366"/>
        <v>4.5976161319462188</v>
      </c>
      <c r="BM108" s="53">
        <f ca="1">OFFSET('National statistics'!$A$6,MATCH(R0_estimation!$A108,'National statistics'!$A$7:$A$5000,0),MATCH(R0_estimation!BM$16 &amp; "_Running14daysNew",'National statistics'!$B$1:$HA$1,0))</f>
        <v>2353</v>
      </c>
      <c r="BN108" s="97">
        <f t="shared" ca="1" si="244"/>
        <v>2.2007901862579322</v>
      </c>
      <c r="BO108" s="98">
        <f t="shared" ca="1" si="191"/>
        <v>0.99326027081939861</v>
      </c>
      <c r="BP108" s="77">
        <f t="shared" ca="1" si="367"/>
        <v>4102383.9087311053</v>
      </c>
      <c r="BQ108" s="77">
        <f t="shared" ca="1" si="368"/>
        <v>1262.7793350748082</v>
      </c>
      <c r="BR108" s="77">
        <f t="shared" ca="1" si="369"/>
        <v>2288.030058571575</v>
      </c>
      <c r="BS108" s="77">
        <f t="shared" ca="1" si="370"/>
        <v>0</v>
      </c>
      <c r="BT108" s="77">
        <f t="shared" ca="1" si="371"/>
        <v>1683.4471189347603</v>
      </c>
      <c r="BU108" s="54">
        <f t="shared" ca="1" si="372"/>
        <v>17.004516352876369</v>
      </c>
      <c r="BV108" s="53">
        <f ca="1">OFFSET('National statistics'!$A$6,MATCH(R0_estimation!$A108,'National statistics'!$A$7:$A$5000,0),MATCH(R0_estimation!BV$16 &amp; "_Running14daysNew",'National statistics'!$B$1:$HA$1,0))</f>
        <v>199</v>
      </c>
      <c r="BW108" s="97">
        <f t="shared" ca="1" si="251"/>
        <v>3.7107329023164666</v>
      </c>
      <c r="BX108" s="98">
        <f t="shared" ca="1" si="192"/>
        <v>0.68996207341942262</v>
      </c>
      <c r="BY108" s="77">
        <f t="shared" ca="1" si="373"/>
        <v>1321680.1214554913</v>
      </c>
      <c r="BZ108" s="77">
        <f t="shared" ca="1" si="374"/>
        <v>129.18817991530437</v>
      </c>
      <c r="CA108" s="77">
        <f t="shared" ca="1" si="375"/>
        <v>196.13121279013464</v>
      </c>
      <c r="CB108" s="77">
        <f t="shared" ca="1" si="376"/>
        <v>0</v>
      </c>
      <c r="CC108" s="77">
        <f t="shared" ca="1" si="377"/>
        <v>226.37164193897303</v>
      </c>
      <c r="CD108" s="54">
        <f t="shared" ca="1" si="378"/>
        <v>2.2865822418078081</v>
      </c>
      <c r="CE108" s="53">
        <f ca="1">OFFSET('National statistics'!$A$6,MATCH(R0_estimation!$A108,'National statistics'!$A$7:$A$5000,0),MATCH(R0_estimation!CE$16 &amp; "_Running14daysNew",'National statistics'!$B$1:$HA$1,0))</f>
        <v>19015</v>
      </c>
      <c r="CF108" s="97">
        <f t="shared" ca="1" si="258"/>
        <v>0.97558293196811685</v>
      </c>
      <c r="CG108" s="98">
        <f t="shared" ca="1" si="193"/>
        <v>1.2165621122686727</v>
      </c>
      <c r="CH108" s="77">
        <f t="shared" ca="1" si="379"/>
        <v>7233309.1804766068</v>
      </c>
      <c r="CI108" s="77">
        <f t="shared" ca="1" si="380"/>
        <v>4921.6897265329426</v>
      </c>
      <c r="CJ108" s="77">
        <f t="shared" ca="1" si="381"/>
        <v>18791.774559130303</v>
      </c>
      <c r="CK108" s="77">
        <f t="shared" ca="1" si="382"/>
        <v>0</v>
      </c>
      <c r="CL108" s="77">
        <f t="shared" ca="1" si="383"/>
        <v>47381.656922850234</v>
      </c>
      <c r="CM108" s="54">
        <f t="shared" ca="1" si="384"/>
        <v>478.60259518030534</v>
      </c>
      <c r="CO108" s="209"/>
      <c r="CP108" s="210"/>
    </row>
    <row r="109" spans="1:94">
      <c r="A109" s="83">
        <v>44009</v>
      </c>
      <c r="B109" s="53">
        <f ca="1">OFFSET('National statistics'!$A$6,MATCH(R0_estimation!$A109,'National statistics'!$A$7:$A$5000,0),MATCH(R0_estimation!B$16 &amp; "_Running14daysNew",'National statistics'!$B$1:$HA$1,0))</f>
        <v>66127</v>
      </c>
      <c r="C109" s="97">
        <f t="shared" ca="1" si="195"/>
        <v>2.0904899451712211</v>
      </c>
      <c r="D109" s="98">
        <f t="shared" si="194"/>
        <v>1</v>
      </c>
      <c r="E109" s="77">
        <f t="shared" ca="1" si="325"/>
        <v>59526822.814001359</v>
      </c>
      <c r="F109" s="77">
        <f t="shared" ca="1" si="326"/>
        <v>31702.471556148346</v>
      </c>
      <c r="G109" s="77">
        <f t="shared" ca="1" si="327"/>
        <v>64951.103178121615</v>
      </c>
      <c r="H109" s="77">
        <f t="shared" ca="1" si="328"/>
        <v>0</v>
      </c>
      <c r="I109" s="77">
        <f t="shared" ca="1" si="329"/>
        <v>93110.612966838627</v>
      </c>
      <c r="J109" s="54">
        <f t="shared" ca="1" si="330"/>
        <v>940.51124208927922</v>
      </c>
      <c r="K109" s="53">
        <f ca="1">OFFSET('National statistics'!$A$6,MATCH(R0_estimation!$A109,'National statistics'!$A$7:$A$5000,0),MATCH(R0_estimation!K$16 &amp; "_Running14daysNew",'National statistics'!$B$1:$HA$1,0))</f>
        <v>14408</v>
      </c>
      <c r="L109" s="97">
        <f t="shared" ca="1" si="202"/>
        <v>1.8311476326842264</v>
      </c>
      <c r="M109" s="98">
        <f t="shared" ca="1" si="185"/>
        <v>1.3891436550517304</v>
      </c>
      <c r="N109" s="77">
        <f t="shared" ca="1" si="331"/>
        <v>6835340.3474706598</v>
      </c>
      <c r="O109" s="77">
        <f t="shared" ca="1" si="332"/>
        <v>7069.4786881854916</v>
      </c>
      <c r="P109" s="77">
        <f t="shared" ca="1" si="333"/>
        <v>14643.765021848178</v>
      </c>
      <c r="Q109" s="77">
        <f t="shared" ca="1" si="334"/>
        <v>0</v>
      </c>
      <c r="R109" s="77">
        <f t="shared" ca="1" si="335"/>
        <v>13573.486287856616</v>
      </c>
      <c r="S109" s="54">
        <f t="shared" ca="1" si="336"/>
        <v>137.10592209956178</v>
      </c>
      <c r="T109" s="53">
        <f ca="1">OFFSET('National statistics'!$A$6,MATCH(R0_estimation!$A109,'National statistics'!$A$7:$A$5000,0),MATCH(R0_estimation!T$16 &amp; "_Running14daysNew",'National statistics'!$B$1:$HA$1,0))</f>
        <v>703</v>
      </c>
      <c r="U109" s="97">
        <f t="shared" ca="1" si="209"/>
        <v>4.198313051542212</v>
      </c>
      <c r="V109" s="98">
        <f t="shared" ca="1" si="186"/>
        <v>0.50313552847557719</v>
      </c>
      <c r="W109" s="77">
        <f t="shared" ca="1" si="337"/>
        <v>2807000.5231197388</v>
      </c>
      <c r="X109" s="77">
        <f t="shared" ca="1" si="338"/>
        <v>493.48074265830979</v>
      </c>
      <c r="Y109" s="77">
        <f t="shared" ca="1" si="339"/>
        <v>642.7068235292511</v>
      </c>
      <c r="Z109" s="77">
        <f t="shared" ca="1" si="340"/>
        <v>0</v>
      </c>
      <c r="AA109" s="77">
        <f t="shared" ca="1" si="341"/>
        <v>863.69447506401082</v>
      </c>
      <c r="AB109" s="54">
        <f t="shared" ca="1" si="342"/>
        <v>8.7241866168081881</v>
      </c>
      <c r="AC109" s="53">
        <f ca="1">OFFSET('National statistics'!$A$6,MATCH(R0_estimation!$A109,'National statistics'!$A$7:$A$5000,0),MATCH(R0_estimation!AC$16 &amp; "_Running14daysNew",'National statistics'!$B$1:$HA$1,0))</f>
        <v>24388</v>
      </c>
      <c r="AD109" s="97">
        <f t="shared" ca="1" si="216"/>
        <v>2.3126264869834054</v>
      </c>
      <c r="AE109" s="98">
        <f t="shared" ca="1" si="187"/>
        <v>0.57565754152920057</v>
      </c>
      <c r="AF109" s="77">
        <f t="shared" ca="1" si="343"/>
        <v>15581017.050891658</v>
      </c>
      <c r="AG109" s="77">
        <f t="shared" ca="1" si="344"/>
        <v>14218.782624373465</v>
      </c>
      <c r="AH109" s="77">
        <f t="shared" ca="1" si="345"/>
        <v>24953.199725167793</v>
      </c>
      <c r="AI109" s="77">
        <f t="shared" ca="1" si="346"/>
        <v>0</v>
      </c>
      <c r="AJ109" s="77">
        <f t="shared" ca="1" si="347"/>
        <v>19054.666924751291</v>
      </c>
      <c r="AK109" s="54">
        <f t="shared" ca="1" si="348"/>
        <v>192.4713830782959</v>
      </c>
      <c r="AL109" s="53">
        <f ca="1">OFFSET('National statistics'!$A$6,MATCH(R0_estimation!$A109,'National statistics'!$A$7:$A$5000,0),MATCH(R0_estimation!AL$16 &amp; "_Running14daysNew",'National statistics'!$B$1:$HA$1,0))</f>
        <v>4023</v>
      </c>
      <c r="AM109" s="97">
        <f t="shared" ca="1" si="223"/>
        <v>3.9118321635306974</v>
      </c>
      <c r="AN109" s="98">
        <f t="shared" ca="1" si="188"/>
        <v>0.74495013848278369</v>
      </c>
      <c r="AO109" s="77">
        <f t="shared" ca="1" si="349"/>
        <v>10989448.876175795</v>
      </c>
      <c r="AP109" s="77">
        <f t="shared" ca="1" si="350"/>
        <v>2579.0433779572713</v>
      </c>
      <c r="AQ109" s="77">
        <f t="shared" ca="1" si="351"/>
        <v>3523.8668764921013</v>
      </c>
      <c r="AR109" s="77">
        <f t="shared" ca="1" si="352"/>
        <v>0</v>
      </c>
      <c r="AS109" s="77">
        <f t="shared" ca="1" si="353"/>
        <v>4927.8394014270052</v>
      </c>
      <c r="AT109" s="54">
        <f t="shared" ca="1" si="354"/>
        <v>49.776155569969752</v>
      </c>
      <c r="AU109" s="53">
        <f ca="1">OFFSET('National statistics'!$A$6,MATCH(R0_estimation!$A109,'National statistics'!$A$7:$A$5000,0),MATCH(R0_estimation!AU$16 &amp; "_Running14daysNew",'National statistics'!$B$1:$HA$1,0))</f>
        <v>553</v>
      </c>
      <c r="AV109" s="97">
        <f t="shared" ca="1" si="230"/>
        <v>3.1226563099465383</v>
      </c>
      <c r="AW109" s="98">
        <f t="shared" ca="1" si="189"/>
        <v>0.85754424097138826</v>
      </c>
      <c r="AX109" s="77">
        <f t="shared" ca="1" si="355"/>
        <v>5852356.0278381249</v>
      </c>
      <c r="AY109" s="77">
        <f t="shared" ca="1" si="356"/>
        <v>367.25687610986483</v>
      </c>
      <c r="AZ109" s="77">
        <f t="shared" ca="1" si="357"/>
        <v>553.56542840396548</v>
      </c>
      <c r="BA109" s="77">
        <f t="shared" ca="1" si="358"/>
        <v>0</v>
      </c>
      <c r="BB109" s="77">
        <f t="shared" ca="1" si="359"/>
        <v>556.34734416617596</v>
      </c>
      <c r="BC109" s="54">
        <f t="shared" ca="1" si="360"/>
        <v>5.6196701430926881</v>
      </c>
      <c r="BD109" s="53">
        <f ca="1">OFFSET('National statistics'!$A$6,MATCH(R0_estimation!$A109,'National statistics'!$A$7:$A$5000,0),MATCH(R0_estimation!BD$16 &amp; "_Running14daysNew",'National statistics'!$B$1:$HA$1,0))</f>
        <v>654</v>
      </c>
      <c r="BE109" s="97">
        <f t="shared" ca="1" si="237"/>
        <v>3.061981421838242</v>
      </c>
      <c r="BF109" s="98">
        <f t="shared" ca="1" si="190"/>
        <v>0.72178134408538486</v>
      </c>
      <c r="BG109" s="77">
        <f t="shared" ca="1" si="361"/>
        <v>4807527.8421487883</v>
      </c>
      <c r="BH109" s="77">
        <f t="shared" ca="1" si="362"/>
        <v>466.26133389111737</v>
      </c>
      <c r="BI109" s="77">
        <f t="shared" ca="1" si="363"/>
        <v>698.442636257049</v>
      </c>
      <c r="BJ109" s="77">
        <f t="shared" ca="1" si="364"/>
        <v>0</v>
      </c>
      <c r="BK109" s="77">
        <f t="shared" ca="1" si="365"/>
        <v>500.03937861016885</v>
      </c>
      <c r="BL109" s="54">
        <f t="shared" ca="1" si="366"/>
        <v>5.0509028142441297</v>
      </c>
      <c r="BM109" s="53">
        <f ca="1">OFFSET('National statistics'!$A$6,MATCH(R0_estimation!$A109,'National statistics'!$A$7:$A$5000,0),MATCH(R0_estimation!BM$16 &amp; "_Running14daysNew",'National statistics'!$B$1:$HA$1,0))</f>
        <v>2477</v>
      </c>
      <c r="BN109" s="97">
        <f t="shared" ca="1" si="244"/>
        <v>2.2007901862579322</v>
      </c>
      <c r="BO109" s="98">
        <f t="shared" ca="1" si="191"/>
        <v>0.99326027081939861</v>
      </c>
      <c r="BP109" s="77">
        <f t="shared" ca="1" si="367"/>
        <v>4102024.6903386903</v>
      </c>
      <c r="BQ109" s="77">
        <f t="shared" ca="1" si="368"/>
        <v>1306.3028937208826</v>
      </c>
      <c r="BR109" s="77">
        <f t="shared" ca="1" si="369"/>
        <v>2440.2941738708791</v>
      </c>
      <c r="BS109" s="77">
        <f t="shared" ca="1" si="370"/>
        <v>0</v>
      </c>
      <c r="BT109" s="77">
        <f t="shared" ca="1" si="371"/>
        <v>1845.2435302194644</v>
      </c>
      <c r="BU109" s="54">
        <f t="shared" ca="1" si="372"/>
        <v>18.638823537570349</v>
      </c>
      <c r="BV109" s="53">
        <f ca="1">OFFSET('National statistics'!$A$6,MATCH(R0_estimation!$A109,'National statistics'!$A$7:$A$5000,0),MATCH(R0_estimation!BV$16 &amp; "_Running14daysNew",'National statistics'!$B$1:$HA$1,0))</f>
        <v>211</v>
      </c>
      <c r="BW109" s="97">
        <f t="shared" ca="1" si="251"/>
        <v>3.7107329023164666</v>
      </c>
      <c r="BX109" s="98">
        <f t="shared" ca="1" si="192"/>
        <v>0.68996207341942262</v>
      </c>
      <c r="BY109" s="77">
        <f t="shared" ca="1" si="373"/>
        <v>1321628.1581069573</v>
      </c>
      <c r="BZ109" s="77">
        <f t="shared" ca="1" si="374"/>
        <v>148.85448347042524</v>
      </c>
      <c r="CA109" s="77">
        <f t="shared" ca="1" si="375"/>
        <v>214.41888542680829</v>
      </c>
      <c r="CB109" s="77">
        <f t="shared" ca="1" si="376"/>
        <v>0</v>
      </c>
      <c r="CC109" s="77">
        <f t="shared" ca="1" si="377"/>
        <v>240.24092055770399</v>
      </c>
      <c r="CD109" s="54">
        <f t="shared" ca="1" si="378"/>
        <v>2.4266759652293328</v>
      </c>
      <c r="CE109" s="53">
        <f ca="1">OFFSET('National statistics'!$A$6,MATCH(R0_estimation!$A109,'National statistics'!$A$7:$A$5000,0),MATCH(R0_estimation!CE$16 &amp; "_Running14daysNew",'National statistics'!$B$1:$HA$1,0))</f>
        <v>18710</v>
      </c>
      <c r="CF109" s="97">
        <f t="shared" ca="1" si="258"/>
        <v>0.97558293196811685</v>
      </c>
      <c r="CG109" s="98">
        <f t="shared" ca="1" si="193"/>
        <v>1.2165621122686727</v>
      </c>
      <c r="CH109" s="77">
        <f t="shared" ca="1" si="379"/>
        <v>7232012.4307143996</v>
      </c>
      <c r="CI109" s="77">
        <f t="shared" ca="1" si="380"/>
        <v>4988.0170571068738</v>
      </c>
      <c r="CJ109" s="77">
        <f t="shared" ca="1" si="381"/>
        <v>18679.92737939709</v>
      </c>
      <c r="CK109" s="77">
        <f t="shared" ca="1" si="382"/>
        <v>0</v>
      </c>
      <c r="CL109" s="77">
        <f t="shared" ca="1" si="383"/>
        <v>48710.503838103017</v>
      </c>
      <c r="CM109" s="54">
        <f t="shared" ca="1" si="384"/>
        <v>492.02529129396987</v>
      </c>
      <c r="CO109" s="209"/>
      <c r="CP109" s="210"/>
    </row>
    <row r="110" spans="1:94">
      <c r="A110" s="83">
        <v>44010</v>
      </c>
      <c r="B110" s="53">
        <f ca="1">OFFSET('National statistics'!$A$6,MATCH(R0_estimation!$A110,'National statistics'!$A$7:$A$5000,0),MATCH(R0_estimation!B$16 &amp; "_Running14daysNew",'National statistics'!$B$1:$HA$1,0))</f>
        <v>68159</v>
      </c>
      <c r="C110" s="97">
        <f t="shared" ca="1" si="195"/>
        <v>2.0904899451712211</v>
      </c>
      <c r="D110" s="98">
        <f t="shared" si="194"/>
        <v>1</v>
      </c>
      <c r="E110" s="77">
        <f t="shared" ca="1" si="325"/>
        <v>59517155.08865454</v>
      </c>
      <c r="F110" s="77">
        <f t="shared" ca="1" si="326"/>
        <v>33444.579013932213</v>
      </c>
      <c r="G110" s="77">
        <f t="shared" ca="1" si="327"/>
        <v>68237.356554435741</v>
      </c>
      <c r="H110" s="77">
        <f t="shared" ca="1" si="328"/>
        <v>0</v>
      </c>
      <c r="I110" s="77">
        <f t="shared" ca="1" si="329"/>
        <v>97703.583834434365</v>
      </c>
      <c r="J110" s="54">
        <f t="shared" ca="1" si="330"/>
        <v>986.904887216509</v>
      </c>
      <c r="K110" s="53">
        <f ca="1">OFFSET('National statistics'!$A$6,MATCH(R0_estimation!$A110,'National statistics'!$A$7:$A$5000,0),MATCH(R0_estimation!K$16 &amp; "_Running14daysNew",'National statistics'!$B$1:$HA$1,0))</f>
        <v>15072</v>
      </c>
      <c r="L110" s="97">
        <f t="shared" ca="1" si="202"/>
        <v>1.8311476326842264</v>
      </c>
      <c r="M110" s="98">
        <f t="shared" ca="1" si="185"/>
        <v>1.3891436550517304</v>
      </c>
      <c r="N110" s="77">
        <f t="shared" ca="1" si="331"/>
        <v>6833434.8347911472</v>
      </c>
      <c r="O110" s="77">
        <f t="shared" ca="1" si="332"/>
        <v>7207.6216956520811</v>
      </c>
      <c r="P110" s="77">
        <f t="shared" ca="1" si="333"/>
        <v>15365.151478048252</v>
      </c>
      <c r="Q110" s="77">
        <f t="shared" ca="1" si="334"/>
        <v>0</v>
      </c>
      <c r="R110" s="77">
        <f t="shared" ca="1" si="335"/>
        <v>14609.009671544452</v>
      </c>
      <c r="S110" s="54">
        <f t="shared" ca="1" si="336"/>
        <v>147.56575425802475</v>
      </c>
      <c r="T110" s="53">
        <f ca="1">OFFSET('National statistics'!$A$6,MATCH(R0_estimation!$A110,'National statistics'!$A$7:$A$5000,0),MATCH(R0_estimation!T$16 &amp; "_Running14daysNew",'National statistics'!$B$1:$HA$1,0))</f>
        <v>784</v>
      </c>
      <c r="U110" s="97">
        <f t="shared" ca="1" si="209"/>
        <v>4.198313051542212</v>
      </c>
      <c r="V110" s="98">
        <f t="shared" ca="1" si="186"/>
        <v>0.50313552847557719</v>
      </c>
      <c r="W110" s="77">
        <f t="shared" ca="1" si="337"/>
        <v>2806807.9257348613</v>
      </c>
      <c r="X110" s="77">
        <f t="shared" ca="1" si="338"/>
        <v>562.70794187116758</v>
      </c>
      <c r="Y110" s="77">
        <f t="shared" ca="1" si="339"/>
        <v>720.16937894173918</v>
      </c>
      <c r="Z110" s="77">
        <f t="shared" ca="1" si="340"/>
        <v>0</v>
      </c>
      <c r="AA110" s="77">
        <f t="shared" ca="1" si="341"/>
        <v>909.14302901357928</v>
      </c>
      <c r="AB110" s="54">
        <f t="shared" ca="1" si="342"/>
        <v>9.1832629193290813</v>
      </c>
      <c r="AC110" s="53">
        <f ca="1">OFFSET('National statistics'!$A$6,MATCH(R0_estimation!$A110,'National statistics'!$A$7:$A$5000,0),MATCH(R0_estimation!AC$16 &amp; "_Running14daysNew",'National statistics'!$B$1:$HA$1,0))</f>
        <v>25731</v>
      </c>
      <c r="AD110" s="97">
        <f t="shared" ca="1" si="216"/>
        <v>2.3126264869834054</v>
      </c>
      <c r="AE110" s="98">
        <f t="shared" ca="1" si="187"/>
        <v>0.57565754152920057</v>
      </c>
      <c r="AF110" s="77">
        <f t="shared" ca="1" si="343"/>
        <v>15576910.438076202</v>
      </c>
      <c r="AG110" s="77">
        <f t="shared" ca="1" si="344"/>
        <v>14770.69978373702</v>
      </c>
      <c r="AH110" s="77">
        <f t="shared" ca="1" si="345"/>
        <v>26725.523972320603</v>
      </c>
      <c r="AI110" s="77">
        <f t="shared" ca="1" si="346"/>
        <v>0</v>
      </c>
      <c r="AJ110" s="77">
        <f t="shared" ca="1" si="347"/>
        <v>20819.214619602441</v>
      </c>
      <c r="AK110" s="54">
        <f t="shared" ca="1" si="348"/>
        <v>210.29509716770147</v>
      </c>
      <c r="AL110" s="53">
        <f ca="1">OFFSET('National statistics'!$A$6,MATCH(R0_estimation!$A110,'National statistics'!$A$7:$A$5000,0),MATCH(R0_estimation!AL$16 &amp; "_Running14daysNew",'National statistics'!$B$1:$HA$1,0))</f>
        <v>4559</v>
      </c>
      <c r="AM110" s="97">
        <f t="shared" ca="1" si="223"/>
        <v>3.9118321635306974</v>
      </c>
      <c r="AN110" s="98">
        <f t="shared" ca="1" si="188"/>
        <v>0.74495013848278369</v>
      </c>
      <c r="AO110" s="77">
        <f t="shared" ca="1" si="349"/>
        <v>10988465.236670073</v>
      </c>
      <c r="AP110" s="77">
        <f t="shared" ca="1" si="350"/>
        <v>2917.9220391889821</v>
      </c>
      <c r="AQ110" s="77">
        <f t="shared" ca="1" si="351"/>
        <v>3916.9229440891258</v>
      </c>
      <c r="AR110" s="77">
        <f t="shared" ca="1" si="352"/>
        <v>0</v>
      </c>
      <c r="AS110" s="77">
        <f t="shared" ca="1" si="353"/>
        <v>5177.0271305503757</v>
      </c>
      <c r="AT110" s="54">
        <f t="shared" ca="1" si="354"/>
        <v>52.293203338892681</v>
      </c>
      <c r="AU110" s="53">
        <f ca="1">OFFSET('National statistics'!$A$6,MATCH(R0_estimation!$A110,'National statistics'!$A$7:$A$5000,0),MATCH(R0_estimation!AU$16 &amp; "_Running14daysNew",'National statistics'!$B$1:$HA$1,0))</f>
        <v>609</v>
      </c>
      <c r="AV110" s="97">
        <f t="shared" ca="1" si="230"/>
        <v>3.1226563099465383</v>
      </c>
      <c r="AW110" s="98">
        <f t="shared" ca="1" si="189"/>
        <v>0.85754424097138826</v>
      </c>
      <c r="AX110" s="77">
        <f t="shared" ca="1" si="355"/>
        <v>5852232.5879538059</v>
      </c>
      <c r="AY110" s="77">
        <f t="shared" ca="1" si="356"/>
        <v>398.88254140148348</v>
      </c>
      <c r="AZ110" s="77">
        <f t="shared" ca="1" si="357"/>
        <v>605.83925968829135</v>
      </c>
      <c r="BA110" s="77">
        <f t="shared" ca="1" si="358"/>
        <v>0</v>
      </c>
      <c r="BB110" s="77">
        <f t="shared" ca="1" si="359"/>
        <v>595.49232803188499</v>
      </c>
      <c r="BC110" s="54">
        <f t="shared" ca="1" si="360"/>
        <v>6.015074020524092</v>
      </c>
      <c r="BD110" s="53">
        <f ca="1">OFFSET('National statistics'!$A$6,MATCH(R0_estimation!$A110,'National statistics'!$A$7:$A$5000,0),MATCH(R0_estimation!BD$16 &amp; "_Running14daysNew",'National statistics'!$B$1:$HA$1,0))</f>
        <v>719</v>
      </c>
      <c r="BE110" s="97">
        <f t="shared" ca="1" si="237"/>
        <v>3.061981421838242</v>
      </c>
      <c r="BF110" s="98">
        <f t="shared" ca="1" si="190"/>
        <v>0.72178134408538486</v>
      </c>
      <c r="BG110" s="77">
        <f t="shared" ca="1" si="361"/>
        <v>4807375.136571981</v>
      </c>
      <c r="BH110" s="77">
        <f t="shared" ca="1" si="362"/>
        <v>502.40157722592778</v>
      </c>
      <c r="BI110" s="77">
        <f t="shared" ca="1" si="363"/>
        <v>765.119209997182</v>
      </c>
      <c r="BJ110" s="77">
        <f t="shared" ca="1" si="364"/>
        <v>0</v>
      </c>
      <c r="BK110" s="77">
        <f t="shared" ca="1" si="365"/>
        <v>549.42925074548873</v>
      </c>
      <c r="BL110" s="54">
        <f t="shared" ca="1" si="366"/>
        <v>5.5497904115705934</v>
      </c>
      <c r="BM110" s="53">
        <f ca="1">OFFSET('National statistics'!$A$6,MATCH(R0_estimation!$A110,'National statistics'!$A$7:$A$5000,0),MATCH(R0_estimation!BM$16 &amp; "_Running14daysNew",'National statistics'!$B$1:$HA$1,0))</f>
        <v>2550</v>
      </c>
      <c r="BN110" s="97">
        <f t="shared" ca="1" si="244"/>
        <v>2.2007901862579322</v>
      </c>
      <c r="BO110" s="98">
        <f t="shared" ca="1" si="191"/>
        <v>0.99326027081939861</v>
      </c>
      <c r="BP110" s="77">
        <f t="shared" ca="1" si="367"/>
        <v>4101641.6000301824</v>
      </c>
      <c r="BQ110" s="77">
        <f t="shared" ca="1" si="368"/>
        <v>1362.8174787985458</v>
      </c>
      <c r="BR110" s="77">
        <f t="shared" ca="1" si="369"/>
        <v>2592.5631705960368</v>
      </c>
      <c r="BS110" s="77">
        <f t="shared" ca="1" si="370"/>
        <v>0</v>
      </c>
      <c r="BT110" s="77">
        <f t="shared" ca="1" si="371"/>
        <v>2017.8071896574766</v>
      </c>
      <c r="BU110" s="54">
        <f t="shared" ca="1" si="372"/>
        <v>20.381890804620976</v>
      </c>
      <c r="BV110" s="53">
        <f ca="1">OFFSET('National statistics'!$A$6,MATCH(R0_estimation!$A110,'National statistics'!$A$7:$A$5000,0),MATCH(R0_estimation!BV$16 &amp; "_Running14daysNew",'National statistics'!$B$1:$HA$1,0))</f>
        <v>229</v>
      </c>
      <c r="BW110" s="97">
        <f t="shared" ca="1" si="251"/>
        <v>3.7107329023164666</v>
      </c>
      <c r="BX110" s="98">
        <f t="shared" ca="1" si="192"/>
        <v>0.68996207341942262</v>
      </c>
      <c r="BY110" s="77">
        <f t="shared" ca="1" si="373"/>
        <v>1321571.3518177371</v>
      </c>
      <c r="BZ110" s="77">
        <f t="shared" ca="1" si="374"/>
        <v>168.44715182293623</v>
      </c>
      <c r="CA110" s="77">
        <f t="shared" ca="1" si="375"/>
        <v>236.31687162107116</v>
      </c>
      <c r="CB110" s="77">
        <f t="shared" ca="1" si="376"/>
        <v>0</v>
      </c>
      <c r="CC110" s="77">
        <f t="shared" ca="1" si="377"/>
        <v>255.40339888431402</v>
      </c>
      <c r="CD110" s="54">
        <f t="shared" ca="1" si="378"/>
        <v>2.5798323119627673</v>
      </c>
      <c r="CE110" s="53">
        <f ca="1">OFFSET('National statistics'!$A$6,MATCH(R0_estimation!$A110,'National statistics'!$A$7:$A$5000,0),MATCH(R0_estimation!CE$16 &amp; "_Running14daysNew",'National statistics'!$B$1:$HA$1,0))</f>
        <v>17906</v>
      </c>
      <c r="CF110" s="97">
        <f t="shared" ca="1" si="258"/>
        <v>0.97558293196811685</v>
      </c>
      <c r="CG110" s="98">
        <f t="shared" ca="1" si="193"/>
        <v>1.2165621122686727</v>
      </c>
      <c r="CH110" s="77">
        <f t="shared" ca="1" si="379"/>
        <v>7230723.6278283652</v>
      </c>
      <c r="CI110" s="77">
        <f t="shared" ca="1" si="380"/>
        <v>5029.8156788648494</v>
      </c>
      <c r="CJ110" s="77">
        <f t="shared" ca="1" si="381"/>
        <v>18592.651116574016</v>
      </c>
      <c r="CK110" s="77">
        <f t="shared" ca="1" si="382"/>
        <v>0</v>
      </c>
      <c r="CL110" s="77">
        <f t="shared" ca="1" si="383"/>
        <v>50031.441559931809</v>
      </c>
      <c r="CM110" s="54">
        <f t="shared" ca="1" si="384"/>
        <v>505.3680965649678</v>
      </c>
      <c r="CO110" s="209"/>
      <c r="CP110" s="210"/>
    </row>
    <row r="111" spans="1:94">
      <c r="A111" s="83">
        <v>44011</v>
      </c>
      <c r="B111" s="53">
        <f ca="1">OFFSET('National statistics'!$A$6,MATCH(R0_estimation!$A111,'National statistics'!$A$7:$A$5000,0),MATCH(R0_estimation!B$16 &amp; "_Running14daysNew",'National statistics'!$B$1:$HA$1,0))</f>
        <v>70794</v>
      </c>
      <c r="C111" s="97">
        <f t="shared" ca="1" si="195"/>
        <v>2.0904899451712211</v>
      </c>
      <c r="D111" s="98">
        <f t="shared" si="194"/>
        <v>1</v>
      </c>
      <c r="E111" s="77">
        <f t="shared" ca="1" si="325"/>
        <v>59506999.858641036</v>
      </c>
      <c r="F111" s="77">
        <f t="shared" ca="1" si="326"/>
        <v>35238.664273952891</v>
      </c>
      <c r="G111" s="77">
        <f t="shared" ca="1" si="327"/>
        <v>71724.404411173382</v>
      </c>
      <c r="H111" s="77">
        <f t="shared" ca="1" si="328"/>
        <v>0</v>
      </c>
      <c r="I111" s="77">
        <f t="shared" ca="1" si="329"/>
        <v>102528.93976221232</v>
      </c>
      <c r="J111" s="54">
        <f t="shared" ca="1" si="330"/>
        <v>1035.6458561839631</v>
      </c>
      <c r="K111" s="53">
        <f ca="1">OFFSET('National statistics'!$A$6,MATCH(R0_estimation!$A111,'National statistics'!$A$7:$A$5000,0),MATCH(R0_estimation!K$16 &amp; "_Running14daysNew",'National statistics'!$B$1:$HA$1,0))</f>
        <v>15598</v>
      </c>
      <c r="L111" s="97">
        <f t="shared" ca="1" si="202"/>
        <v>1.8311476326842264</v>
      </c>
      <c r="M111" s="98">
        <f t="shared" ca="1" si="185"/>
        <v>1.3891436550517304</v>
      </c>
      <c r="N111" s="77">
        <f t="shared" ca="1" si="331"/>
        <v>6831436.0063880561</v>
      </c>
      <c r="O111" s="77">
        <f t="shared" ca="1" si="332"/>
        <v>7404.5446748298782</v>
      </c>
      <c r="P111" s="77">
        <f t="shared" ca="1" si="333"/>
        <v>16069.546082100685</v>
      </c>
      <c r="Q111" s="77">
        <f t="shared" ca="1" si="334"/>
        <v>0</v>
      </c>
      <c r="R111" s="77">
        <f t="shared" ca="1" si="335"/>
        <v>15695.545383206436</v>
      </c>
      <c r="S111" s="54">
        <f t="shared" ca="1" si="336"/>
        <v>158.54086245663063</v>
      </c>
      <c r="T111" s="53">
        <f ca="1">OFFSET('National statistics'!$A$6,MATCH(R0_estimation!$A111,'National statistics'!$A$7:$A$5000,0),MATCH(R0_estimation!T$16 &amp; "_Running14daysNew",'National statistics'!$B$1:$HA$1,0))</f>
        <v>865</v>
      </c>
      <c r="U111" s="97">
        <f t="shared" ca="1" si="209"/>
        <v>4.198313051542212</v>
      </c>
      <c r="V111" s="98">
        <f t="shared" ca="1" si="186"/>
        <v>0.50313552847557719</v>
      </c>
      <c r="W111" s="77">
        <f t="shared" ca="1" si="337"/>
        <v>2806592.1302277986</v>
      </c>
      <c r="X111" s="77">
        <f t="shared" ca="1" si="338"/>
        <v>637.82646346606066</v>
      </c>
      <c r="Y111" s="77">
        <f t="shared" ca="1" si="339"/>
        <v>809.40569448512122</v>
      </c>
      <c r="Z111" s="77">
        <f t="shared" ca="1" si="340"/>
        <v>0</v>
      </c>
      <c r="AA111" s="77">
        <f t="shared" ca="1" si="341"/>
        <v>960.06929223874511</v>
      </c>
      <c r="AB111" s="54">
        <f t="shared" ca="1" si="342"/>
        <v>9.6976696185731814</v>
      </c>
      <c r="AC111" s="53">
        <f ca="1">OFFSET('National statistics'!$A$6,MATCH(R0_estimation!$A111,'National statistics'!$A$7:$A$5000,0),MATCH(R0_estimation!AC$16 &amp; "_Running14daysNew",'National statistics'!$B$1:$HA$1,0))</f>
        <v>27648</v>
      </c>
      <c r="AD111" s="97">
        <f t="shared" ca="1" si="216"/>
        <v>2.3126264869834054</v>
      </c>
      <c r="AE111" s="98">
        <f t="shared" ca="1" si="187"/>
        <v>0.57565754152920057</v>
      </c>
      <c r="AF111" s="77">
        <f t="shared" ca="1" si="343"/>
        <v>15572513.303485658</v>
      </c>
      <c r="AG111" s="77">
        <f t="shared" ca="1" si="344"/>
        <v>15475.15942834602</v>
      </c>
      <c r="AH111" s="77">
        <f t="shared" ca="1" si="345"/>
        <v>28509.232920231956</v>
      </c>
      <c r="AI111" s="77">
        <f t="shared" ca="1" si="346"/>
        <v>0</v>
      </c>
      <c r="AJ111" s="77">
        <f t="shared" ca="1" si="347"/>
        <v>22709.090957645112</v>
      </c>
      <c r="AK111" s="54">
        <f t="shared" ca="1" si="348"/>
        <v>229.38475714793049</v>
      </c>
      <c r="AL111" s="53">
        <f ca="1">OFFSET('National statistics'!$A$6,MATCH(R0_estimation!$A111,'National statistics'!$A$7:$A$5000,0),MATCH(R0_estimation!AL$16 &amp; "_Running14daysNew",'National statistics'!$B$1:$HA$1,0))</f>
        <v>5082</v>
      </c>
      <c r="AM111" s="97">
        <f t="shared" ca="1" si="223"/>
        <v>3.9118321635306974</v>
      </c>
      <c r="AN111" s="98">
        <f t="shared" ca="1" si="188"/>
        <v>0.74495013848278369</v>
      </c>
      <c r="AO111" s="77">
        <f t="shared" ca="1" si="349"/>
        <v>10987371.978523096</v>
      </c>
      <c r="AP111" s="77">
        <f t="shared" ca="1" si="350"/>
        <v>3281.6996763685001</v>
      </c>
      <c r="AQ111" s="77">
        <f t="shared" ca="1" si="351"/>
        <v>4366.6232435942911</v>
      </c>
      <c r="AR111" s="77">
        <f t="shared" ca="1" si="352"/>
        <v>0</v>
      </c>
      <c r="AS111" s="77">
        <f t="shared" ca="1" si="353"/>
        <v>5454.0095387395349</v>
      </c>
      <c r="AT111" s="54">
        <f t="shared" ca="1" si="354"/>
        <v>55.091005441813486</v>
      </c>
      <c r="AU111" s="53">
        <f ca="1">OFFSET('National statistics'!$A$6,MATCH(R0_estimation!$A111,'National statistics'!$A$7:$A$5000,0),MATCH(R0_estimation!AU$16 &amp; "_Running14daysNew",'National statistics'!$B$1:$HA$1,0))</f>
        <v>649</v>
      </c>
      <c r="AV111" s="97">
        <f t="shared" ca="1" si="230"/>
        <v>3.1226563099465383</v>
      </c>
      <c r="AW111" s="98">
        <f t="shared" ca="1" si="189"/>
        <v>0.85754424097138826</v>
      </c>
      <c r="AX111" s="77">
        <f t="shared" ca="1" si="355"/>
        <v>5852097.4943371145</v>
      </c>
      <c r="AY111" s="77">
        <f t="shared" ca="1" si="356"/>
        <v>434.25552274224748</v>
      </c>
      <c r="AZ111" s="77">
        <f t="shared" ca="1" si="357"/>
        <v>662.28566220378434</v>
      </c>
      <c r="BA111" s="77">
        <f t="shared" ca="1" si="358"/>
        <v>0</v>
      </c>
      <c r="BB111" s="77">
        <f t="shared" ca="1" si="359"/>
        <v>638.33381853841422</v>
      </c>
      <c r="BC111" s="54">
        <f t="shared" ca="1" si="360"/>
        <v>6.4478163488728715</v>
      </c>
      <c r="BD111" s="53">
        <f ca="1">OFFSET('National statistics'!$A$6,MATCH(R0_estimation!$A111,'National statistics'!$A$7:$A$5000,0),MATCH(R0_estimation!BD$16 &amp; "_Running14daysNew",'National statistics'!$B$1:$HA$1,0))</f>
        <v>767</v>
      </c>
      <c r="BE111" s="97">
        <f t="shared" ca="1" si="237"/>
        <v>3.061981421838242</v>
      </c>
      <c r="BF111" s="98">
        <f t="shared" ca="1" si="190"/>
        <v>0.72178134408538486</v>
      </c>
      <c r="BG111" s="77">
        <f t="shared" ca="1" si="361"/>
        <v>4807207.858308712</v>
      </c>
      <c r="BH111" s="77">
        <f t="shared" ca="1" si="362"/>
        <v>544.07944618797626</v>
      </c>
      <c r="BI111" s="77">
        <f t="shared" ca="1" si="363"/>
        <v>836.06823216100804</v>
      </c>
      <c r="BJ111" s="77">
        <f t="shared" ca="1" si="364"/>
        <v>0</v>
      </c>
      <c r="BK111" s="77">
        <f t="shared" ca="1" si="365"/>
        <v>603.53410916671805</v>
      </c>
      <c r="BL111" s="54">
        <f t="shared" ca="1" si="366"/>
        <v>6.0963041329971519</v>
      </c>
      <c r="BM111" s="53">
        <f ca="1">OFFSET('National statistics'!$A$6,MATCH(R0_estimation!$A111,'National statistics'!$A$7:$A$5000,0),MATCH(R0_estimation!BM$16 &amp; "_Running14daysNew",'National statistics'!$B$1:$HA$1,0))</f>
        <v>2754</v>
      </c>
      <c r="BN111" s="97">
        <f t="shared" ca="1" si="244"/>
        <v>2.2007901862579322</v>
      </c>
      <c r="BO111" s="98">
        <f t="shared" ca="1" si="191"/>
        <v>0.99326027081939861</v>
      </c>
      <c r="BP111" s="77">
        <f t="shared" ca="1" si="367"/>
        <v>4101234.6435645479</v>
      </c>
      <c r="BQ111" s="77">
        <f t="shared" ca="1" si="368"/>
        <v>1429.069574733323</v>
      </c>
      <c r="BR111" s="77">
        <f t="shared" ca="1" si="369"/>
        <v>2748.0844566816709</v>
      </c>
      <c r="BS111" s="77">
        <f t="shared" ca="1" si="370"/>
        <v>0</v>
      </c>
      <c r="BT111" s="77">
        <f t="shared" ca="1" si="371"/>
        <v>2201.1384424353391</v>
      </c>
      <c r="BU111" s="54">
        <f t="shared" ca="1" si="372"/>
        <v>22.233721640761004</v>
      </c>
      <c r="BV111" s="53">
        <f ca="1">OFFSET('National statistics'!$A$6,MATCH(R0_estimation!$A111,'National statistics'!$A$7:$A$5000,0),MATCH(R0_estimation!BV$16 &amp; "_Running14daysNew",'National statistics'!$B$1:$HA$1,0))</f>
        <v>199</v>
      </c>
      <c r="BW111" s="97">
        <f t="shared" ca="1" si="251"/>
        <v>3.7107329023164666</v>
      </c>
      <c r="BX111" s="98">
        <f t="shared" ca="1" si="192"/>
        <v>0.68996207341942262</v>
      </c>
      <c r="BY111" s="77">
        <f t="shared" ca="1" si="373"/>
        <v>1321508.7467487769</v>
      </c>
      <c r="BZ111" s="77">
        <f t="shared" ca="1" si="374"/>
        <v>188.94043282735399</v>
      </c>
      <c r="CA111" s="77">
        <f t="shared" ca="1" si="375"/>
        <v>261.54888303244297</v>
      </c>
      <c r="CB111" s="77">
        <f t="shared" ca="1" si="376"/>
        <v>0</v>
      </c>
      <c r="CC111" s="77">
        <f t="shared" ca="1" si="377"/>
        <v>272.11437766323263</v>
      </c>
      <c r="CD111" s="54">
        <f t="shared" ca="1" si="378"/>
        <v>2.7486300774063896</v>
      </c>
      <c r="CE111" s="53">
        <f ca="1">OFFSET('National statistics'!$A$6,MATCH(R0_estimation!$A111,'National statistics'!$A$7:$A$5000,0),MATCH(R0_estimation!CE$16 &amp; "_Running14daysNew",'National statistics'!$B$1:$HA$1,0))</f>
        <v>17232</v>
      </c>
      <c r="CF111" s="97">
        <f t="shared" ca="1" si="258"/>
        <v>0.97558293196811685</v>
      </c>
      <c r="CG111" s="98">
        <f t="shared" ca="1" si="193"/>
        <v>1.2165621122686727</v>
      </c>
      <c r="CH111" s="77">
        <f t="shared" ca="1" si="379"/>
        <v>7229441.0727398479</v>
      </c>
      <c r="CI111" s="77">
        <f t="shared" ca="1" si="380"/>
        <v>5054.9168476656414</v>
      </c>
      <c r="CJ111" s="77">
        <f t="shared" ca="1" si="381"/>
        <v>18522.058527963512</v>
      </c>
      <c r="CK111" s="77">
        <f t="shared" ca="1" si="382"/>
        <v>0</v>
      </c>
      <c r="CL111" s="77">
        <f t="shared" ca="1" si="383"/>
        <v>51346.207603175259</v>
      </c>
      <c r="CM111" s="54">
        <f t="shared" ca="1" si="384"/>
        <v>518.64856164823493</v>
      </c>
      <c r="CO111" s="209"/>
      <c r="CP111" s="210"/>
    </row>
    <row r="112" spans="1:94">
      <c r="A112" s="83">
        <v>44012</v>
      </c>
      <c r="B112" s="53">
        <f ca="1">OFFSET('National statistics'!$A$6,MATCH(R0_estimation!$A112,'National statistics'!$A$7:$A$5000,0),MATCH(R0_estimation!B$16 &amp; "_Running14daysNew",'National statistics'!$B$1:$HA$1,0))</f>
        <v>74938</v>
      </c>
      <c r="C112" s="97">
        <f t="shared" ca="1" si="195"/>
        <v>2.0904899451712211</v>
      </c>
      <c r="D112" s="98">
        <f t="shared" si="194"/>
        <v>1</v>
      </c>
      <c r="E112" s="77">
        <f t="shared" ca="1" si="325"/>
        <v>59496327.491265222</v>
      </c>
      <c r="F112" s="77">
        <f t="shared" ca="1" si="326"/>
        <v>37101.365581276121</v>
      </c>
      <c r="G112" s="77">
        <f t="shared" ca="1" si="327"/>
        <v>75410.898736006362</v>
      </c>
      <c r="H112" s="77">
        <f t="shared" ca="1" si="328"/>
        <v>0</v>
      </c>
      <c r="I112" s="77">
        <f t="shared" ca="1" si="329"/>
        <v>107600.879788431</v>
      </c>
      <c r="J112" s="54">
        <f t="shared" ca="1" si="330"/>
        <v>1086.8775736205155</v>
      </c>
      <c r="K112" s="53">
        <f ca="1">OFFSET('National statistics'!$A$6,MATCH(R0_estimation!$A112,'National statistics'!$A$7:$A$5000,0),MATCH(R0_estimation!K$16 &amp; "_Running14daysNew",'National statistics'!$B$1:$HA$1,0))</f>
        <v>16647</v>
      </c>
      <c r="L112" s="97">
        <f t="shared" ca="1" si="202"/>
        <v>1.8311476326842264</v>
      </c>
      <c r="M112" s="98">
        <f t="shared" ca="1" si="185"/>
        <v>1.3891436550517304</v>
      </c>
      <c r="N112" s="77">
        <f t="shared" ca="1" si="331"/>
        <v>6829346.1525348779</v>
      </c>
      <c r="O112" s="77">
        <f t="shared" ca="1" si="332"/>
        <v>7643.2623593006483</v>
      </c>
      <c r="P112" s="77">
        <f t="shared" ca="1" si="333"/>
        <v>16772.857530658104</v>
      </c>
      <c r="Q112" s="77">
        <f t="shared" ca="1" si="334"/>
        <v>0</v>
      </c>
      <c r="R112" s="77">
        <f t="shared" ca="1" si="335"/>
        <v>16831.891856154984</v>
      </c>
      <c r="S112" s="54">
        <f t="shared" ca="1" si="336"/>
        <v>170.01910965813113</v>
      </c>
      <c r="T112" s="53">
        <f ca="1">OFFSET('National statistics'!$A$6,MATCH(R0_estimation!$A112,'National statistics'!$A$7:$A$5000,0),MATCH(R0_estimation!T$16 &amp; "_Running14daysNew",'National statistics'!$B$1:$HA$1,0))</f>
        <v>936</v>
      </c>
      <c r="U112" s="97">
        <f t="shared" ca="1" si="209"/>
        <v>4.198313051542212</v>
      </c>
      <c r="V112" s="98">
        <f t="shared" ca="1" si="186"/>
        <v>0.50313552847557719</v>
      </c>
      <c r="W112" s="77">
        <f t="shared" ca="1" si="337"/>
        <v>2806349.6140635237</v>
      </c>
      <c r="X112" s="77">
        <f t="shared" ca="1" si="338"/>
        <v>720.88601187422682</v>
      </c>
      <c r="Y112" s="77">
        <f t="shared" ca="1" si="339"/>
        <v>911.04761788841336</v>
      </c>
      <c r="Z112" s="77">
        <f t="shared" ca="1" si="340"/>
        <v>0</v>
      </c>
      <c r="AA112" s="77">
        <f t="shared" ca="1" si="341"/>
        <v>1017.3058377773358</v>
      </c>
      <c r="AB112" s="54">
        <f t="shared" ca="1" si="342"/>
        <v>10.27581654320541</v>
      </c>
      <c r="AC112" s="53">
        <f ca="1">OFFSET('National statistics'!$A$6,MATCH(R0_estimation!$A112,'National statistics'!$A$7:$A$5000,0),MATCH(R0_estimation!AC$16 &amp; "_Running14daysNew",'National statistics'!$B$1:$HA$1,0))</f>
        <v>29858</v>
      </c>
      <c r="AD112" s="97">
        <f t="shared" ca="1" si="216"/>
        <v>2.3126264869834054</v>
      </c>
      <c r="AE112" s="98">
        <f t="shared" ca="1" si="187"/>
        <v>0.57565754152920057</v>
      </c>
      <c r="AF112" s="77">
        <f t="shared" ca="1" si="343"/>
        <v>15567824.014687121</v>
      </c>
      <c r="AG112" s="77">
        <f t="shared" ca="1" si="344"/>
        <v>16295.658369795698</v>
      </c>
      <c r="AH112" s="77">
        <f t="shared" ca="1" si="345"/>
        <v>30341.648997301891</v>
      </c>
      <c r="AI112" s="77">
        <f t="shared" ca="1" si="346"/>
        <v>0</v>
      </c>
      <c r="AJ112" s="77">
        <f t="shared" ca="1" si="347"/>
        <v>24725.100999861515</v>
      </c>
      <c r="AK112" s="54">
        <f t="shared" ca="1" si="348"/>
        <v>249.74849494809618</v>
      </c>
      <c r="AL112" s="53">
        <f ca="1">OFFSET('National statistics'!$A$6,MATCH(R0_estimation!$A112,'National statistics'!$A$7:$A$5000,0),MATCH(R0_estimation!AL$16 &amp; "_Running14daysNew",'National statistics'!$B$1:$HA$1,0))</f>
        <v>5626</v>
      </c>
      <c r="AM112" s="97">
        <f t="shared" ca="1" si="223"/>
        <v>3.9118321635306974</v>
      </c>
      <c r="AN112" s="98">
        <f t="shared" ca="1" si="188"/>
        <v>0.74495013848278369</v>
      </c>
      <c r="AO112" s="77">
        <f t="shared" ca="1" si="349"/>
        <v>10986153.324809151</v>
      </c>
      <c r="AP112" s="77">
        <f t="shared" ca="1" si="350"/>
        <v>3679.928471221529</v>
      </c>
      <c r="AQ112" s="77">
        <f t="shared" ca="1" si="351"/>
        <v>4875.1465024296813</v>
      </c>
      <c r="AR112" s="77">
        <f t="shared" ca="1" si="352"/>
        <v>0</v>
      </c>
      <c r="AS112" s="77">
        <f t="shared" ca="1" si="353"/>
        <v>5762.7921823937031</v>
      </c>
      <c r="AT112" s="54">
        <f t="shared" ca="1" si="354"/>
        <v>58.210022044380835</v>
      </c>
      <c r="AU112" s="53">
        <f ca="1">OFFSET('National statistics'!$A$6,MATCH(R0_estimation!$A112,'National statistics'!$A$7:$A$5000,0),MATCH(R0_estimation!AU$16 &amp; "_Running14daysNew",'National statistics'!$B$1:$HA$1,0))</f>
        <v>740</v>
      </c>
      <c r="AV112" s="97">
        <f t="shared" ca="1" si="230"/>
        <v>3.1226563099465383</v>
      </c>
      <c r="AW112" s="98">
        <f t="shared" ca="1" si="189"/>
        <v>0.85754424097138826</v>
      </c>
      <c r="AX112" s="77">
        <f t="shared" ca="1" si="355"/>
        <v>5851949.8173663272</v>
      </c>
      <c r="AY112" s="77">
        <f t="shared" ca="1" si="356"/>
        <v>473.36861284399896</v>
      </c>
      <c r="AZ112" s="77">
        <f t="shared" ca="1" si="357"/>
        <v>723.54342416050451</v>
      </c>
      <c r="BA112" s="77">
        <f t="shared" ca="1" si="358"/>
        <v>0</v>
      </c>
      <c r="BB112" s="77">
        <f t="shared" ca="1" si="359"/>
        <v>685.16687607996755</v>
      </c>
      <c r="BC112" s="54">
        <f t="shared" ca="1" si="360"/>
        <v>6.9208775361612886</v>
      </c>
      <c r="BD112" s="53">
        <f ca="1">OFFSET('National statistics'!$A$6,MATCH(R0_estimation!$A112,'National statistics'!$A$7:$A$5000,0),MATCH(R0_estimation!BD$16 &amp; "_Running14daysNew",'National statistics'!$B$1:$HA$1,0))</f>
        <v>847</v>
      </c>
      <c r="BE112" s="97">
        <f t="shared" ca="1" si="237"/>
        <v>3.061981421838242</v>
      </c>
      <c r="BF112" s="98">
        <f t="shared" ca="1" si="190"/>
        <v>0.72178134408538486</v>
      </c>
      <c r="BG112" s="77">
        <f t="shared" ca="1" si="361"/>
        <v>4807025.0747771263</v>
      </c>
      <c r="BH112" s="77">
        <f t="shared" ca="1" si="362"/>
        <v>590.84311622659379</v>
      </c>
      <c r="BI112" s="77">
        <f t="shared" ca="1" si="363"/>
        <v>912.36893426793017</v>
      </c>
      <c r="BJ112" s="77">
        <f t="shared" ca="1" si="364"/>
        <v>0</v>
      </c>
      <c r="BK112" s="77">
        <f t="shared" ca="1" si="365"/>
        <v>662.65607701238935</v>
      </c>
      <c r="BL112" s="54">
        <f t="shared" ca="1" si="366"/>
        <v>6.6934957273978721</v>
      </c>
      <c r="BM112" s="53">
        <f ca="1">OFFSET('National statistics'!$A$6,MATCH(R0_estimation!$A112,'National statistics'!$A$7:$A$5000,0),MATCH(R0_estimation!BM$16 &amp; "_Running14daysNew",'National statistics'!$B$1:$HA$1,0))</f>
        <v>2906</v>
      </c>
      <c r="BN112" s="97">
        <f t="shared" ca="1" si="244"/>
        <v>2.2007901862579322</v>
      </c>
      <c r="BO112" s="98">
        <f t="shared" ca="1" si="191"/>
        <v>0.99326027081939861</v>
      </c>
      <c r="BP112" s="77">
        <f t="shared" ca="1" si="367"/>
        <v>4100803.3174182433</v>
      </c>
      <c r="BQ112" s="77">
        <f t="shared" ca="1" si="368"/>
        <v>1503.1283273547531</v>
      </c>
      <c r="BR112" s="77">
        <f t="shared" ca="1" si="369"/>
        <v>2909.0601034591682</v>
      </c>
      <c r="BS112" s="77">
        <f t="shared" ca="1" si="370"/>
        <v>0</v>
      </c>
      <c r="BT112" s="77">
        <f t="shared" ca="1" si="371"/>
        <v>2395.4672718721145</v>
      </c>
      <c r="BU112" s="54">
        <f t="shared" ca="1" si="372"/>
        <v>24.196639109819341</v>
      </c>
      <c r="BV112" s="53">
        <f ca="1">OFFSET('National statistics'!$A$6,MATCH(R0_estimation!$A112,'National statistics'!$A$7:$A$5000,0),MATCH(R0_estimation!BV$16 &amp; "_Running14daysNew",'National statistics'!$B$1:$HA$1,0))</f>
        <v>254</v>
      </c>
      <c r="BW112" s="97">
        <f t="shared" ca="1" si="251"/>
        <v>3.7107329023164666</v>
      </c>
      <c r="BX112" s="98">
        <f t="shared" ca="1" si="192"/>
        <v>0.68996207341942262</v>
      </c>
      <c r="BY112" s="77">
        <f t="shared" ca="1" si="373"/>
        <v>1321439.4604885152</v>
      </c>
      <c r="BZ112" s="77">
        <f t="shared" ca="1" si="374"/>
        <v>210.99158488217853</v>
      </c>
      <c r="CA112" s="77">
        <f t="shared" ca="1" si="375"/>
        <v>290.10192816553553</v>
      </c>
      <c r="CB112" s="77">
        <f t="shared" ca="1" si="376"/>
        <v>0</v>
      </c>
      <c r="CC112" s="77">
        <f t="shared" ca="1" si="377"/>
        <v>290.6096201062411</v>
      </c>
      <c r="CD112" s="54">
        <f t="shared" ca="1" si="378"/>
        <v>2.9354507081438488</v>
      </c>
      <c r="CE112" s="53">
        <f ca="1">OFFSET('National statistics'!$A$6,MATCH(R0_estimation!$A112,'National statistics'!$A$7:$A$5000,0),MATCH(R0_estimation!CE$16 &amp; "_Running14daysNew",'National statistics'!$B$1:$HA$1,0))</f>
        <v>17124</v>
      </c>
      <c r="CF112" s="97">
        <f t="shared" ca="1" si="258"/>
        <v>0.97558293196811685</v>
      </c>
      <c r="CG112" s="98">
        <f t="shared" ca="1" si="193"/>
        <v>1.2165621122686727</v>
      </c>
      <c r="CH112" s="77">
        <f t="shared" ca="1" si="379"/>
        <v>7228163.6115650535</v>
      </c>
      <c r="CI112" s="77">
        <f t="shared" ca="1" si="380"/>
        <v>5068.6488105439012</v>
      </c>
      <c r="CJ112" s="77">
        <f t="shared" ca="1" si="381"/>
        <v>18462.783559311101</v>
      </c>
      <c r="CK112" s="77">
        <f t="shared" ca="1" si="382"/>
        <v>0</v>
      </c>
      <c r="CL112" s="77">
        <f t="shared" ca="1" si="383"/>
        <v>52655.981741938391</v>
      </c>
      <c r="CM112" s="54">
        <f t="shared" ca="1" si="384"/>
        <v>531.87860345392312</v>
      </c>
      <c r="CO112" s="209"/>
      <c r="CP112" s="210"/>
    </row>
    <row r="113" spans="1:94">
      <c r="A113" s="83">
        <v>44013</v>
      </c>
      <c r="B113" s="53">
        <f ca="1">OFFSET('National statistics'!$A$6,MATCH(R0_estimation!$A113,'National statistics'!$A$7:$A$5000,0),MATCH(R0_estimation!B$16 &amp; "_Running14daysNew",'National statistics'!$B$1:$HA$1,0))</f>
        <v>78973</v>
      </c>
      <c r="C113" s="97">
        <f t="shared" ca="1" si="195"/>
        <v>2.0904899451712211</v>
      </c>
      <c r="D113" s="98">
        <f t="shared" si="194"/>
        <v>1</v>
      </c>
      <c r="E113" s="77">
        <f t="shared" ca="1" si="325"/>
        <v>59485108.587851554</v>
      </c>
      <c r="F113" s="77">
        <f t="shared" ca="1" si="326"/>
        <v>39044.927599628631</v>
      </c>
      <c r="G113" s="77">
        <f t="shared" ca="1" si="327"/>
        <v>79299.747364467796</v>
      </c>
      <c r="H113" s="77">
        <f t="shared" ca="1" si="328"/>
        <v>0</v>
      </c>
      <c r="I113" s="77">
        <f t="shared" ca="1" si="329"/>
        <v>112933.50762762003</v>
      </c>
      <c r="J113" s="54">
        <f t="shared" ca="1" si="330"/>
        <v>1140.7425012890915</v>
      </c>
      <c r="K113" s="53">
        <f ca="1">OFFSET('National statistics'!$A$6,MATCH(R0_estimation!$A113,'National statistics'!$A$7:$A$5000,0),MATCH(R0_estimation!K$16 &amp; "_Running14daysNew",'National statistics'!$B$1:$HA$1,0))</f>
        <v>17421</v>
      </c>
      <c r="L113" s="97">
        <f t="shared" ca="1" si="202"/>
        <v>1.8311476326842264</v>
      </c>
      <c r="M113" s="98">
        <f t="shared" ca="1" si="185"/>
        <v>1.3891436550517304</v>
      </c>
      <c r="N113" s="77">
        <f t="shared" ca="1" si="331"/>
        <v>6827165.4962772895</v>
      </c>
      <c r="O113" s="77">
        <f t="shared" ca="1" si="332"/>
        <v>7913.1030270637275</v>
      </c>
      <c r="P113" s="77">
        <f t="shared" ca="1" si="333"/>
        <v>17485.611868293399</v>
      </c>
      <c r="Q113" s="77">
        <f t="shared" ca="1" si="334"/>
        <v>0</v>
      </c>
      <c r="R113" s="77">
        <f t="shared" ca="1" si="335"/>
        <v>18017.972495822949</v>
      </c>
      <c r="S113" s="54">
        <f t="shared" ca="1" si="336"/>
        <v>181.99972218002978</v>
      </c>
      <c r="T113" s="53">
        <f ca="1">OFFSET('National statistics'!$A$6,MATCH(R0_estimation!$A113,'National statistics'!$A$7:$A$5000,0),MATCH(R0_estimation!T$16 &amp; "_Running14daysNew",'National statistics'!$B$1:$HA$1,0))</f>
        <v>1064</v>
      </c>
      <c r="U113" s="97">
        <f t="shared" ca="1" si="209"/>
        <v>4.198313051542212</v>
      </c>
      <c r="V113" s="98">
        <f t="shared" ca="1" si="186"/>
        <v>0.50313552847557719</v>
      </c>
      <c r="W113" s="77">
        <f t="shared" ca="1" si="337"/>
        <v>2806076.6672222777</v>
      </c>
      <c r="X113" s="77">
        <f t="shared" ca="1" si="338"/>
        <v>813.61135015147943</v>
      </c>
      <c r="Y113" s="77">
        <f t="shared" ca="1" si="339"/>
        <v>1026.1942910077976</v>
      </c>
      <c r="Z113" s="77">
        <f t="shared" ca="1" si="340"/>
        <v>0</v>
      </c>
      <c r="AA113" s="77">
        <f t="shared" ca="1" si="341"/>
        <v>1081.7299193280164</v>
      </c>
      <c r="AB113" s="54">
        <f t="shared" ca="1" si="342"/>
        <v>10.926564841697134</v>
      </c>
      <c r="AC113" s="53">
        <f ca="1">OFFSET('National statistics'!$A$6,MATCH(R0_estimation!$A113,'National statistics'!$A$7:$A$5000,0),MATCH(R0_estimation!AC$16 &amp; "_Running14daysNew",'National statistics'!$B$1:$HA$1,0))</f>
        <v>31324</v>
      </c>
      <c r="AD113" s="97">
        <f t="shared" ca="1" si="216"/>
        <v>2.3126264869834054</v>
      </c>
      <c r="AE113" s="98">
        <f t="shared" ca="1" si="187"/>
        <v>0.57565754152920057</v>
      </c>
      <c r="AF113" s="77">
        <f t="shared" ca="1" si="343"/>
        <v>15562834.820627017</v>
      </c>
      <c r="AG113" s="77">
        <f t="shared" ca="1" si="344"/>
        <v>17210.937837450005</v>
      </c>
      <c r="AH113" s="77">
        <f t="shared" ca="1" si="345"/>
        <v>32248.302947086398</v>
      </c>
      <c r="AI113" s="77">
        <f t="shared" ca="1" si="346"/>
        <v>0</v>
      </c>
      <c r="AJ113" s="77">
        <f t="shared" ca="1" si="347"/>
        <v>26870.689036099291</v>
      </c>
      <c r="AK113" s="54">
        <f t="shared" ca="1" si="348"/>
        <v>271.42110137474037</v>
      </c>
      <c r="AL113" s="53">
        <f ca="1">OFFSET('National statistics'!$A$6,MATCH(R0_estimation!$A113,'National statistics'!$A$7:$A$5000,0),MATCH(R0_estimation!AL$16 &amp; "_Running14daysNew",'National statistics'!$B$1:$HA$1,0))</f>
        <v>6394</v>
      </c>
      <c r="AM113" s="97">
        <f t="shared" ca="1" si="223"/>
        <v>3.9118321635306974</v>
      </c>
      <c r="AN113" s="98">
        <f t="shared" ca="1" si="188"/>
        <v>0.74495013848278369</v>
      </c>
      <c r="AO113" s="77">
        <f t="shared" ca="1" si="349"/>
        <v>10984792.901023747</v>
      </c>
      <c r="AP113" s="77">
        <f t="shared" ca="1" si="350"/>
        <v>4120.3701388201052</v>
      </c>
      <c r="AQ113" s="77">
        <f t="shared" ca="1" si="351"/>
        <v>5446.9038700615156</v>
      </c>
      <c r="AR113" s="77">
        <f t="shared" ca="1" si="352"/>
        <v>0</v>
      </c>
      <c r="AS113" s="77">
        <f t="shared" ca="1" si="353"/>
        <v>6107.534685065516</v>
      </c>
      <c r="AT113" s="54">
        <f t="shared" ca="1" si="354"/>
        <v>61.692269546116322</v>
      </c>
      <c r="AU113" s="53">
        <f ca="1">OFFSET('National statistics'!$A$6,MATCH(R0_estimation!$A113,'National statistics'!$A$7:$A$5000,0),MATCH(R0_estimation!AU$16 &amp; "_Running14daysNew",'National statistics'!$B$1:$HA$1,0))</f>
        <v>759</v>
      </c>
      <c r="AV113" s="97">
        <f t="shared" ca="1" si="230"/>
        <v>3.1226563099465383</v>
      </c>
      <c r="AW113" s="98">
        <f t="shared" ca="1" si="189"/>
        <v>0.85754424097138826</v>
      </c>
      <c r="AX113" s="77">
        <f t="shared" ca="1" si="355"/>
        <v>5851788.485150516</v>
      </c>
      <c r="AY113" s="77">
        <f t="shared" ca="1" si="356"/>
        <v>516.35867544407199</v>
      </c>
      <c r="AZ113" s="77">
        <f t="shared" ca="1" si="357"/>
        <v>790.20390421718253</v>
      </c>
      <c r="BA113" s="77">
        <f t="shared" ca="1" si="358"/>
        <v>0</v>
      </c>
      <c r="BB113" s="77">
        <f t="shared" ca="1" si="359"/>
        <v>736.33173250274604</v>
      </c>
      <c r="BC113" s="54">
        <f t="shared" ca="1" si="360"/>
        <v>7.4376942677045061</v>
      </c>
      <c r="BD113" s="53">
        <f ca="1">OFFSET('National statistics'!$A$6,MATCH(R0_estimation!$A113,'National statistics'!$A$7:$A$5000,0),MATCH(R0_estimation!BD$16 &amp; "_Running14daysNew",'National statistics'!$B$1:$HA$1,0))</f>
        <v>915</v>
      </c>
      <c r="BE113" s="97">
        <f t="shared" ca="1" si="237"/>
        <v>3.061981421838242</v>
      </c>
      <c r="BF113" s="98">
        <f t="shared" ca="1" si="190"/>
        <v>0.72178134408538486</v>
      </c>
      <c r="BG113" s="77">
        <f t="shared" ca="1" si="361"/>
        <v>4806825.6177360676</v>
      </c>
      <c r="BH113" s="77">
        <f t="shared" ca="1" si="362"/>
        <v>642.58937822907239</v>
      </c>
      <c r="BI113" s="77">
        <f t="shared" ca="1" si="363"/>
        <v>994.91050373401231</v>
      </c>
      <c r="BJ113" s="77">
        <f t="shared" ca="1" si="364"/>
        <v>0</v>
      </c>
      <c r="BK113" s="77">
        <f t="shared" ca="1" si="365"/>
        <v>727.1735945070501</v>
      </c>
      <c r="BL113" s="54">
        <f t="shared" ca="1" si="366"/>
        <v>7.3451878233035366</v>
      </c>
      <c r="BM113" s="53">
        <f ca="1">OFFSET('National statistics'!$A$6,MATCH(R0_estimation!$A113,'National statistics'!$A$7:$A$5000,0),MATCH(R0_estimation!BM$16 &amp; "_Running14daysNew",'National statistics'!$B$1:$HA$1,0))</f>
        <v>2991</v>
      </c>
      <c r="BN113" s="97">
        <f t="shared" ca="1" si="244"/>
        <v>2.2007901862579322</v>
      </c>
      <c r="BO113" s="98">
        <f t="shared" ca="1" si="191"/>
        <v>0.99326027081939861</v>
      </c>
      <c r="BP113" s="77">
        <f t="shared" ca="1" si="367"/>
        <v>4100346.7731086011</v>
      </c>
      <c r="BQ113" s="77">
        <f t="shared" ca="1" si="368"/>
        <v>1583.8905551581008</v>
      </c>
      <c r="BR113" s="77">
        <f t="shared" ca="1" si="369"/>
        <v>3077.0521779079158</v>
      </c>
      <c r="BS113" s="77">
        <f t="shared" ca="1" si="370"/>
        <v>0</v>
      </c>
      <c r="BT113" s="77">
        <f t="shared" ca="1" si="371"/>
        <v>2601.1793791881555</v>
      </c>
      <c r="BU113" s="54">
        <f t="shared" ca="1" si="372"/>
        <v>26.274539183718748</v>
      </c>
      <c r="BV113" s="53">
        <f ca="1">OFFSET('National statistics'!$A$6,MATCH(R0_estimation!$A113,'National statistics'!$A$7:$A$5000,0),MATCH(R0_estimation!BV$16 &amp; "_Running14daysNew",'National statistics'!$B$1:$HA$1,0))</f>
        <v>283</v>
      </c>
      <c r="BW113" s="97">
        <f t="shared" ca="1" si="251"/>
        <v>3.7107329023164666</v>
      </c>
      <c r="BX113" s="98">
        <f t="shared" ca="1" si="192"/>
        <v>0.68996207341942262</v>
      </c>
      <c r="BY113" s="77">
        <f t="shared" ca="1" si="373"/>
        <v>1321362.6143308724</v>
      </c>
      <c r="BZ113" s="77">
        <f t="shared" ca="1" si="374"/>
        <v>235.08984630434981</v>
      </c>
      <c r="CA113" s="77">
        <f t="shared" ca="1" si="375"/>
        <v>322.12825808854194</v>
      </c>
      <c r="CB113" s="77">
        <f t="shared" ca="1" si="376"/>
        <v>0</v>
      </c>
      <c r="CC113" s="77">
        <f t="shared" ca="1" si="377"/>
        <v>311.12397074080394</v>
      </c>
      <c r="CD113" s="54">
        <f t="shared" ca="1" si="378"/>
        <v>3.1426663711192315</v>
      </c>
      <c r="CE113" s="53">
        <f ca="1">OFFSET('National statistics'!$A$6,MATCH(R0_estimation!$A113,'National statistics'!$A$7:$A$5000,0),MATCH(R0_estimation!CE$16 &amp; "_Running14daysNew",'National statistics'!$B$1:$HA$1,0))</f>
        <v>17822</v>
      </c>
      <c r="CF113" s="97">
        <f t="shared" ca="1" si="258"/>
        <v>0.97558293196811685</v>
      </c>
      <c r="CG113" s="98">
        <f t="shared" ca="1" si="193"/>
        <v>1.2165621122686727</v>
      </c>
      <c r="CH113" s="77">
        <f t="shared" ca="1" si="379"/>
        <v>7226890.4612705484</v>
      </c>
      <c r="CI113" s="77">
        <f t="shared" ca="1" si="380"/>
        <v>5074.6369024133573</v>
      </c>
      <c r="CJ113" s="77">
        <f t="shared" ca="1" si="381"/>
        <v>18411.17550771057</v>
      </c>
      <c r="CK113" s="77">
        <f t="shared" ca="1" si="382"/>
        <v>0</v>
      </c>
      <c r="CL113" s="77">
        <f t="shared" ca="1" si="383"/>
        <v>53961.564293632531</v>
      </c>
      <c r="CM113" s="54">
        <f t="shared" ca="1" si="384"/>
        <v>545.06630599628818</v>
      </c>
      <c r="CO113" s="209"/>
      <c r="CP113" s="210"/>
    </row>
    <row r="114" spans="1:94">
      <c r="A114" s="83">
        <v>44014</v>
      </c>
      <c r="B114" s="53">
        <f ca="1">OFFSET('National statistics'!$A$6,MATCH(R0_estimation!$A114,'National statistics'!$A$7:$A$5000,0),MATCH(R0_estimation!B$16 &amp; "_Running14daysNew",'National statistics'!$B$1:$HA$1,0))</f>
        <v>84223</v>
      </c>
      <c r="C114" s="97">
        <f t="shared" ca="1" si="195"/>
        <v>2.0904899451712211</v>
      </c>
      <c r="D114" s="98">
        <f t="shared" si="194"/>
        <v>1</v>
      </c>
      <c r="E114" s="77">
        <f t="shared" ca="1" si="325"/>
        <v>59473313.353131518</v>
      </c>
      <c r="F114" s="77">
        <f t="shared" ca="1" si="326"/>
        <v>41078.930419761251</v>
      </c>
      <c r="G114" s="77">
        <f t="shared" ca="1" si="327"/>
        <v>83396.71159548439</v>
      </c>
      <c r="H114" s="77">
        <f t="shared" ca="1" si="328"/>
        <v>0</v>
      </c>
      <c r="I114" s="77">
        <f t="shared" ca="1" si="329"/>
        <v>118541.13261982168</v>
      </c>
      <c r="J114" s="54">
        <f t="shared" ca="1" si="330"/>
        <v>1197.385177977997</v>
      </c>
      <c r="K114" s="53">
        <f ca="1">OFFSET('National statistics'!$A$6,MATCH(R0_estimation!$A114,'National statistics'!$A$7:$A$5000,0),MATCH(R0_estimation!K$16 &amp; "_Running14daysNew",'National statistics'!$B$1:$HA$1,0))</f>
        <v>17964</v>
      </c>
      <c r="L114" s="97">
        <f t="shared" ca="1" si="202"/>
        <v>1.8311476326842264</v>
      </c>
      <c r="M114" s="98">
        <f t="shared" ca="1" si="185"/>
        <v>1.3891436550517304</v>
      </c>
      <c r="N114" s="77">
        <f t="shared" ca="1" si="331"/>
        <v>6824892.8960279739</v>
      </c>
      <c r="O114" s="77">
        <f t="shared" ca="1" si="332"/>
        <v>8207.4275196131966</v>
      </c>
      <c r="P114" s="77">
        <f t="shared" ca="1" si="333"/>
        <v>18214.91534875266</v>
      </c>
      <c r="Q114" s="77">
        <f t="shared" ca="1" si="334"/>
        <v>0</v>
      </c>
      <c r="R114" s="77">
        <f t="shared" ca="1" si="335"/>
        <v>19254.455049366552</v>
      </c>
      <c r="S114" s="54">
        <f t="shared" ca="1" si="336"/>
        <v>194.48944494309649</v>
      </c>
      <c r="T114" s="53">
        <f ca="1">OFFSET('National statistics'!$A$6,MATCH(R0_estimation!$A114,'National statistics'!$A$7:$A$5000,0),MATCH(R0_estimation!T$16 &amp; "_Running14daysNew",'National statistics'!$B$1:$HA$1,0))</f>
        <v>1237</v>
      </c>
      <c r="U114" s="97">
        <f t="shared" ca="1" si="209"/>
        <v>4.198313051542212</v>
      </c>
      <c r="V114" s="98">
        <f t="shared" ca="1" si="186"/>
        <v>0.50313552847557719</v>
      </c>
      <c r="W114" s="77">
        <f t="shared" ca="1" si="337"/>
        <v>2805769.2526510675</v>
      </c>
      <c r="X114" s="77">
        <f t="shared" ca="1" si="338"/>
        <v>917.62308382387755</v>
      </c>
      <c r="Y114" s="77">
        <f t="shared" ca="1" si="339"/>
        <v>1156.2975363308246</v>
      </c>
      <c r="Z114" s="77">
        <f t="shared" ca="1" si="340"/>
        <v>0</v>
      </c>
      <c r="AA114" s="77">
        <f t="shared" ca="1" si="341"/>
        <v>1154.2965156207106</v>
      </c>
      <c r="AB114" s="54">
        <f t="shared" ca="1" si="342"/>
        <v>11.659560763845562</v>
      </c>
      <c r="AC114" s="53">
        <f ca="1">OFFSET('National statistics'!$A$6,MATCH(R0_estimation!$A114,'National statistics'!$A$7:$A$5000,0),MATCH(R0_estimation!AC$16 &amp; "_Running14daysNew",'National statistics'!$B$1:$HA$1,0))</f>
        <v>34039</v>
      </c>
      <c r="AD114" s="97">
        <f t="shared" ca="1" si="216"/>
        <v>2.3126264869834054</v>
      </c>
      <c r="AE114" s="98">
        <f t="shared" ca="1" si="187"/>
        <v>0.57565754152920057</v>
      </c>
      <c r="AF114" s="77">
        <f t="shared" ca="1" si="343"/>
        <v>15557533.800196888</v>
      </c>
      <c r="AG114" s="77">
        <f t="shared" ca="1" si="344"/>
        <v>18209.223808216451</v>
      </c>
      <c r="AH114" s="77">
        <f t="shared" ca="1" si="345"/>
        <v>34247.587195942731</v>
      </c>
      <c r="AI114" s="77">
        <f t="shared" ca="1" si="346"/>
        <v>0</v>
      </c>
      <c r="AJ114" s="77">
        <f t="shared" ca="1" si="347"/>
        <v>29151.104744500401</v>
      </c>
      <c r="AK114" s="54">
        <f t="shared" ca="1" si="348"/>
        <v>294.45560347980211</v>
      </c>
      <c r="AL114" s="53">
        <f ca="1">OFFSET('National statistics'!$A$6,MATCH(R0_estimation!$A114,'National statistics'!$A$7:$A$5000,0),MATCH(R0_estimation!AL$16 &amp; "_Running14daysNew",'National statistics'!$B$1:$HA$1,0))</f>
        <v>7309</v>
      </c>
      <c r="AM114" s="97">
        <f t="shared" ca="1" si="223"/>
        <v>3.9118321635306974</v>
      </c>
      <c r="AN114" s="98">
        <f t="shared" ca="1" si="188"/>
        <v>0.74495013848278369</v>
      </c>
      <c r="AO114" s="77">
        <f t="shared" ca="1" si="349"/>
        <v>10983273.114423428</v>
      </c>
      <c r="AP114" s="77">
        <f t="shared" ca="1" si="350"/>
        <v>4610.0642044346714</v>
      </c>
      <c r="AQ114" s="77">
        <f t="shared" ca="1" si="351"/>
        <v>6087.9318426192904</v>
      </c>
      <c r="AR114" s="77">
        <f t="shared" ca="1" si="352"/>
        <v>0</v>
      </c>
      <c r="AS114" s="77">
        <f t="shared" ca="1" si="353"/>
        <v>6492.7086015912946</v>
      </c>
      <c r="AT114" s="54">
        <f t="shared" ca="1" si="354"/>
        <v>65.582915167588837</v>
      </c>
      <c r="AU114" s="53">
        <f ca="1">OFFSET('National statistics'!$A$6,MATCH(R0_estimation!$A114,'National statistics'!$A$7:$A$5000,0),MATCH(R0_estimation!AU$16 &amp; "_Running14daysNew",'National statistics'!$B$1:$HA$1,0))</f>
        <v>797</v>
      </c>
      <c r="AV114" s="97">
        <f t="shared" ca="1" si="230"/>
        <v>3.1226563099465383</v>
      </c>
      <c r="AW114" s="98">
        <f t="shared" ca="1" si="189"/>
        <v>0.85754424097138826</v>
      </c>
      <c r="AX114" s="77">
        <f t="shared" ca="1" si="355"/>
        <v>5851612.294145016</v>
      </c>
      <c r="AY114" s="77">
        <f t="shared" ca="1" si="356"/>
        <v>563.46001208267978</v>
      </c>
      <c r="AZ114" s="77">
        <f t="shared" ca="1" si="357"/>
        <v>862.85043706268755</v>
      </c>
      <c r="BA114" s="77">
        <f t="shared" ca="1" si="358"/>
        <v>0</v>
      </c>
      <c r="BB114" s="77">
        <f t="shared" ca="1" si="359"/>
        <v>792.2104371581039</v>
      </c>
      <c r="BC114" s="54">
        <f t="shared" ca="1" si="360"/>
        <v>8.0021256278596358</v>
      </c>
      <c r="BD114" s="53">
        <f ca="1">OFFSET('National statistics'!$A$6,MATCH(R0_estimation!$A114,'National statistics'!$A$7:$A$5000,0),MATCH(R0_estimation!BD$16 &amp; "_Running14daysNew",'National statistics'!$B$1:$HA$1,0))</f>
        <v>1017</v>
      </c>
      <c r="BE114" s="97">
        <f t="shared" ca="1" si="237"/>
        <v>3.061981421838242</v>
      </c>
      <c r="BF114" s="98">
        <f t="shared" ca="1" si="190"/>
        <v>0.72178134408538486</v>
      </c>
      <c r="BG114" s="77">
        <f t="shared" ca="1" si="361"/>
        <v>4806608.124909739</v>
      </c>
      <c r="BH114" s="77">
        <f t="shared" ca="1" si="362"/>
        <v>699.4348600003093</v>
      </c>
      <c r="BI114" s="77">
        <f t="shared" ca="1" si="363"/>
        <v>1084.4928123102795</v>
      </c>
      <c r="BJ114" s="77">
        <f t="shared" ca="1" si="364"/>
        <v>0</v>
      </c>
      <c r="BK114" s="77">
        <f t="shared" ca="1" si="365"/>
        <v>797.52798012824098</v>
      </c>
      <c r="BL114" s="54">
        <f t="shared" ca="1" si="366"/>
        <v>8.0558381831135453</v>
      </c>
      <c r="BM114" s="53">
        <f ca="1">OFFSET('National statistics'!$A$6,MATCH(R0_estimation!$A114,'National statistics'!$A$7:$A$5000,0),MATCH(R0_estimation!BM$16 &amp; "_Running14daysNew",'National statistics'!$B$1:$HA$1,0))</f>
        <v>3182</v>
      </c>
      <c r="BN114" s="97">
        <f t="shared" ca="1" si="244"/>
        <v>2.2007901862579322</v>
      </c>
      <c r="BO114" s="98">
        <f t="shared" ca="1" si="191"/>
        <v>0.99326027081939861</v>
      </c>
      <c r="BP114" s="77">
        <f t="shared" ca="1" si="367"/>
        <v>4099863.9178479007</v>
      </c>
      <c r="BQ114" s="77">
        <f t="shared" ca="1" si="368"/>
        <v>1670.7731770688897</v>
      </c>
      <c r="BR114" s="77">
        <f t="shared" ca="1" si="369"/>
        <v>3253.2353754183041</v>
      </c>
      <c r="BS114" s="77">
        <f t="shared" ca="1" si="370"/>
        <v>0</v>
      </c>
      <c r="BT114" s="77">
        <f t="shared" ca="1" si="371"/>
        <v>2818.7709260545012</v>
      </c>
      <c r="BU114" s="54">
        <f t="shared" ca="1" si="372"/>
        <v>28.472433596510115</v>
      </c>
      <c r="BV114" s="53">
        <f ca="1">OFFSET('National statistics'!$A$6,MATCH(R0_estimation!$A114,'National statistics'!$A$7:$A$5000,0),MATCH(R0_estimation!BV$16 &amp; "_Running14daysNew",'National statistics'!$B$1:$HA$1,0))</f>
        <v>359</v>
      </c>
      <c r="BW114" s="97">
        <f t="shared" ca="1" si="251"/>
        <v>3.7107329023164666</v>
      </c>
      <c r="BX114" s="98">
        <f t="shared" ca="1" si="192"/>
        <v>0.68996207341942262</v>
      </c>
      <c r="BY114" s="77">
        <f t="shared" ca="1" si="373"/>
        <v>1321277.2895507482</v>
      </c>
      <c r="BZ114" s="77">
        <f t="shared" ca="1" si="374"/>
        <v>261.64216485260846</v>
      </c>
      <c r="CA114" s="77">
        <f t="shared" ca="1" si="375"/>
        <v>357.89155837259068</v>
      </c>
      <c r="CB114" s="77">
        <f t="shared" ca="1" si="376"/>
        <v>0</v>
      </c>
      <c r="CC114" s="77">
        <f t="shared" ca="1" si="377"/>
        <v>333.90304041992226</v>
      </c>
      <c r="CD114" s="54">
        <f t="shared" ca="1" si="378"/>
        <v>3.3727579840396187</v>
      </c>
      <c r="CE114" s="53">
        <f ca="1">OFFSET('National statistics'!$A$6,MATCH(R0_estimation!$A114,'National statistics'!$A$7:$A$5000,0),MATCH(R0_estimation!CE$16 &amp; "_Running14daysNew",'National statistics'!$B$1:$HA$1,0))</f>
        <v>18319</v>
      </c>
      <c r="CF114" s="97">
        <f t="shared" ca="1" si="258"/>
        <v>0.97558293196811685</v>
      </c>
      <c r="CG114" s="98">
        <f t="shared" ca="1" si="193"/>
        <v>1.2165621122686727</v>
      </c>
      <c r="CH114" s="77">
        <f t="shared" ca="1" si="379"/>
        <v>7225621.0910771759</v>
      </c>
      <c r="CI114" s="77">
        <f t="shared" ca="1" si="380"/>
        <v>5075.3478701824961</v>
      </c>
      <c r="CJ114" s="77">
        <f t="shared" ca="1" si="381"/>
        <v>18364.750768477439</v>
      </c>
      <c r="CK114" s="77">
        <f t="shared" ca="1" si="382"/>
        <v>0</v>
      </c>
      <c r="CL114" s="77">
        <f t="shared" ca="1" si="383"/>
        <v>55263.497418820632</v>
      </c>
      <c r="CM114" s="54">
        <f t="shared" ca="1" si="384"/>
        <v>558.21714564465287</v>
      </c>
      <c r="CO114" s="209"/>
      <c r="CP114" s="210"/>
    </row>
    <row r="115" spans="1:94">
      <c r="A115" s="83">
        <v>44015</v>
      </c>
      <c r="B115" s="53">
        <f ca="1">OFFSET('National statistics'!$A$6,MATCH(R0_estimation!$A115,'National statistics'!$A$7:$A$5000,0),MATCH(R0_estimation!B$16 &amp; "_Running14daysNew",'National statistics'!$B$1:$HA$1,0))</f>
        <v>89461</v>
      </c>
      <c r="C115" s="97">
        <f t="shared" ref="C115:C146" ca="1" si="385">IF(ISERROR(OFFSET($O$4,MATCH(B$16,$N$5:$N$14,0),MATCH(TEXT($A115,"dd-mmm-yy") &amp; "_R0",$P$2:$AP$2,0))),C114,OFFSET($O$4,MATCH(B$16,$N$5:$N$14,0),MATCH(TEXT($A115,"dd-mmm-yy") &amp; "_R0",$P$2:$AP$2,0)))</f>
        <v>2.0904899451712211</v>
      </c>
      <c r="D115" s="98">
        <f t="shared" si="194"/>
        <v>1</v>
      </c>
      <c r="E115" s="77">
        <f t="shared" ca="1" si="325"/>
        <v>59460911.1740558</v>
      </c>
      <c r="F115" s="77">
        <f t="shared" ca="1" si="326"/>
        <v>43211.376890536376</v>
      </c>
      <c r="G115" s="77">
        <f t="shared" ca="1" si="327"/>
        <v>87709.536229318677</v>
      </c>
      <c r="H115" s="77">
        <f t="shared" ca="1" si="328"/>
        <v>0</v>
      </c>
      <c r="I115" s="77">
        <f t="shared" ca="1" si="329"/>
        <v>124438.47151121666</v>
      </c>
      <c r="J115" s="54">
        <f t="shared" ca="1" si="330"/>
        <v>1256.9542576890574</v>
      </c>
      <c r="K115" s="53">
        <f ca="1">OFFSET('National statistics'!$A$6,MATCH(R0_estimation!$A115,'National statistics'!$A$7:$A$5000,0),MATCH(R0_estimation!K$16 &amp; "_Running14daysNew",'National statistics'!$B$1:$HA$1,0))</f>
        <v>18651</v>
      </c>
      <c r="L115" s="97">
        <f t="shared" ref="L115:L146" ca="1" si="386">IF(ISERROR(OFFSET($O$4,MATCH(K$16,$N$5:$N$14,0),MATCH(TEXT($A115,"dd-mmm-yy") &amp; "_R0",$P$2:$AP$2,0))),L114,OFFSET($O$4,MATCH(K$16,$N$5:$N$14,0),MATCH(TEXT($A115,"dd-mmm-yy") &amp; "_R0",$P$2:$AP$2,0)))</f>
        <v>1.8311476326842264</v>
      </c>
      <c r="M115" s="98">
        <f t="shared" ca="1" si="185"/>
        <v>1.3891436550517304</v>
      </c>
      <c r="N115" s="77">
        <f t="shared" ca="1" si="331"/>
        <v>6822526.2921470115</v>
      </c>
      <c r="O115" s="77">
        <f t="shared" ca="1" si="332"/>
        <v>8522.1745206722844</v>
      </c>
      <c r="P115" s="77">
        <f t="shared" ca="1" si="333"/>
        <v>18965.706846602196</v>
      </c>
      <c r="Q115" s="77">
        <f t="shared" ca="1" si="334"/>
        <v>0</v>
      </c>
      <c r="R115" s="77">
        <f t="shared" ca="1" si="335"/>
        <v>20542.509777599775</v>
      </c>
      <c r="S115" s="54">
        <f t="shared" ca="1" si="336"/>
        <v>207.5000987636341</v>
      </c>
      <c r="T115" s="53">
        <f ca="1">OFFSET('National statistics'!$A$6,MATCH(R0_estimation!$A115,'National statistics'!$A$7:$A$5000,0),MATCH(R0_estimation!T$16 &amp; "_Running14daysNew",'National statistics'!$B$1:$HA$1,0))</f>
        <v>1472</v>
      </c>
      <c r="U115" s="97">
        <f t="shared" ref="U115:U146" ca="1" si="387">IF(ISERROR(OFFSET($O$4,MATCH(T$16,$N$5:$N$14,0),MATCH(TEXT($A115,"dd-mmm-yy") &amp; "_R0",$P$2:$AP$2,0))),U114,OFFSET($O$4,MATCH(T$16,$N$5:$N$14,0),MATCH(TEXT($A115,"dd-mmm-yy") &amp; "_R0",$P$2:$AP$2,0)))</f>
        <v>4.198313051542212</v>
      </c>
      <c r="V115" s="98">
        <f t="shared" ca="1" si="186"/>
        <v>0.50313552847557719</v>
      </c>
      <c r="W115" s="77">
        <f t="shared" ca="1" si="337"/>
        <v>2805422.9012192581</v>
      </c>
      <c r="X115" s="77">
        <f t="shared" ca="1" si="338"/>
        <v>1034.5687446771426</v>
      </c>
      <c r="Y115" s="77">
        <f t="shared" ca="1" si="339"/>
        <v>1303.1106261203065</v>
      </c>
      <c r="Z115" s="77">
        <f t="shared" ca="1" si="340"/>
        <v>0</v>
      </c>
      <c r="AA115" s="77">
        <f t="shared" ca="1" si="341"/>
        <v>1236.0632699755331</v>
      </c>
      <c r="AB115" s="54">
        <f t="shared" ca="1" si="342"/>
        <v>12.485487575510437</v>
      </c>
      <c r="AC115" s="53">
        <f ca="1">OFFSET('National statistics'!$A$6,MATCH(R0_estimation!$A115,'National statistics'!$A$7:$A$5000,0),MATCH(R0_estimation!AC$16 &amp; "_Running14daysNew",'National statistics'!$B$1:$HA$1,0))</f>
        <v>37070</v>
      </c>
      <c r="AD115" s="97">
        <f t="shared" ref="AD115:AD146" ca="1" si="388">IF(ISERROR(OFFSET($O$4,MATCH(AC$16,$N$5:$N$14,0),MATCH(TEXT($A115,"dd-mmm-yy") &amp; "_R0",$P$2:$AP$2,0))),AD114,OFFSET($O$4,MATCH(AC$16,$N$5:$N$14,0),MATCH(TEXT($A115,"dd-mmm-yy") &amp; "_R0",$P$2:$AP$2,0)))</f>
        <v>2.3126264869834054</v>
      </c>
      <c r="AE115" s="98">
        <f t="shared" ca="1" si="187"/>
        <v>0.57565754152920057</v>
      </c>
      <c r="AF115" s="77">
        <f t="shared" ca="1" si="343"/>
        <v>15551906.043960262</v>
      </c>
      <c r="AG115" s="77">
        <f t="shared" ca="1" si="344"/>
        <v>19284.67409278726</v>
      </c>
      <c r="AH115" s="77">
        <f t="shared" ca="1" si="345"/>
        <v>36353.636919715223</v>
      </c>
      <c r="AI115" s="77">
        <f t="shared" ca="1" si="346"/>
        <v>0</v>
      </c>
      <c r="AJ115" s="77">
        <f t="shared" ca="1" si="347"/>
        <v>31572.898410499209</v>
      </c>
      <c r="AK115" s="54">
        <f t="shared" ca="1" si="348"/>
        <v>318.91816576261834</v>
      </c>
      <c r="AL115" s="53">
        <f ca="1">OFFSET('National statistics'!$A$6,MATCH(R0_estimation!$A115,'National statistics'!$A$7:$A$5000,0),MATCH(R0_estimation!AL$16 &amp; "_Running14daysNew",'National statistics'!$B$1:$HA$1,0))</f>
        <v>8209</v>
      </c>
      <c r="AM115" s="97">
        <f t="shared" ref="AM115:AM146" ca="1" si="389">IF(ISERROR(OFFSET($O$4,MATCH(AL$16,$N$5:$N$14,0),MATCH(TEXT($A115,"dd-mmm-yy") &amp; "_R0",$P$2:$AP$2,0))),AM114,OFFSET($O$4,MATCH(AL$16,$N$5:$N$14,0),MATCH(TEXT($A115,"dd-mmm-yy") &amp; "_R0",$P$2:$AP$2,0)))</f>
        <v>3.9118321635306974</v>
      </c>
      <c r="AN115" s="98">
        <f t="shared" ca="1" si="188"/>
        <v>0.74495013848278369</v>
      </c>
      <c r="AO115" s="77">
        <f t="shared" ca="1" si="349"/>
        <v>10981574.703613738</v>
      </c>
      <c r="AP115" s="77">
        <f t="shared" ca="1" si="350"/>
        <v>5155.9589630161245</v>
      </c>
      <c r="AQ115" s="77">
        <f t="shared" ca="1" si="351"/>
        <v>6805.5956192551521</v>
      </c>
      <c r="AR115" s="77">
        <f t="shared" ca="1" si="352"/>
        <v>0</v>
      </c>
      <c r="AS115" s="77">
        <f t="shared" ca="1" si="353"/>
        <v>6923.2123533193726</v>
      </c>
      <c r="AT115" s="54">
        <f t="shared" ca="1" si="354"/>
        <v>69.931437912316909</v>
      </c>
      <c r="AU115" s="53">
        <f ca="1">OFFSET('National statistics'!$A$6,MATCH(R0_estimation!$A115,'National statistics'!$A$7:$A$5000,0),MATCH(R0_estimation!AU$16 &amp; "_Running14daysNew",'National statistics'!$B$1:$HA$1,0))</f>
        <v>905</v>
      </c>
      <c r="AV115" s="97">
        <f t="shared" ref="AV115:AV146" ca="1" si="390">IF(ISERROR(OFFSET($O$4,MATCH(AU$16,$N$5:$N$14,0),MATCH(TEXT($A115,"dd-mmm-yy") &amp; "_R0",$P$2:$AP$2,0))),AV114,OFFSET($O$4,MATCH(AU$16,$N$5:$N$14,0),MATCH(TEXT($A115,"dd-mmm-yy") &amp; "_R0",$P$2:$AP$2,0)))</f>
        <v>3.1226563099465383</v>
      </c>
      <c r="AW115" s="98">
        <f t="shared" ca="1" si="189"/>
        <v>0.85754424097138826</v>
      </c>
      <c r="AX115" s="77">
        <f t="shared" ca="1" si="355"/>
        <v>5851419.9109859401</v>
      </c>
      <c r="AY115" s="77">
        <f t="shared" ca="1" si="356"/>
        <v>614.97816813778445</v>
      </c>
      <c r="AZ115" s="77">
        <f t="shared" ca="1" si="357"/>
        <v>942.08326600745124</v>
      </c>
      <c r="BA115" s="77">
        <f t="shared" ca="1" si="358"/>
        <v>0</v>
      </c>
      <c r="BB115" s="77">
        <f t="shared" ca="1" si="359"/>
        <v>853.2262894932511</v>
      </c>
      <c r="BC115" s="54">
        <f t="shared" ca="1" si="360"/>
        <v>8.618447368618698</v>
      </c>
      <c r="BD115" s="53">
        <f ca="1">OFFSET('National statistics'!$A$6,MATCH(R0_estimation!$A115,'National statistics'!$A$7:$A$5000,0),MATCH(R0_estimation!BD$16 &amp; "_Running14daysNew",'National statistics'!$B$1:$HA$1,0))</f>
        <v>1106</v>
      </c>
      <c r="BE115" s="97">
        <f t="shared" ref="BE115:BE146" ca="1" si="391">IF(ISERROR(OFFSET($O$4,MATCH(BD$16,$N$5:$N$14,0),MATCH(TEXT($A115,"dd-mmm-yy") &amp; "_R0",$P$2:$AP$2,0))),BE114,OFFSET($O$4,MATCH(BD$16,$N$5:$N$14,0),MATCH(TEXT($A115,"dd-mmm-yy") &amp; "_R0",$P$2:$AP$2,0)))</f>
        <v>3.061981421838242</v>
      </c>
      <c r="BF115" s="98">
        <f t="shared" ca="1" si="190"/>
        <v>0.72178134408538486</v>
      </c>
      <c r="BG115" s="77">
        <f t="shared" ca="1" si="361"/>
        <v>4806371.0595972855</v>
      </c>
      <c r="BH115" s="77">
        <f t="shared" ca="1" si="362"/>
        <v>761.64145745380711</v>
      </c>
      <c r="BI115" s="77">
        <f t="shared" ca="1" si="363"/>
        <v>1181.8877550024797</v>
      </c>
      <c r="BJ115" s="77">
        <f t="shared" ca="1" si="364"/>
        <v>0</v>
      </c>
      <c r="BK115" s="77">
        <f t="shared" ca="1" si="365"/>
        <v>874.21711471303934</v>
      </c>
      <c r="BL115" s="54">
        <f t="shared" ca="1" si="366"/>
        <v>8.8304759061923157</v>
      </c>
      <c r="BM115" s="53">
        <f ca="1">OFFSET('National statistics'!$A$6,MATCH(R0_estimation!$A115,'National statistics'!$A$7:$A$5000,0),MATCH(R0_estimation!BM$16 &amp; "_Running14daysNew",'National statistics'!$B$1:$HA$1,0))</f>
        <v>3410</v>
      </c>
      <c r="BN115" s="97">
        <f t="shared" ref="BN115:BN146" ca="1" si="392">IF(ISERROR(OFFSET($O$4,MATCH(BM$16,$N$5:$N$14,0),MATCH(TEXT($A115,"dd-mmm-yy") &amp; "_R0",$P$2:$AP$2,0))),BN114,OFFSET($O$4,MATCH(BM$16,$N$5:$N$14,0),MATCH(TEXT($A115,"dd-mmm-yy") &amp; "_R0",$P$2:$AP$2,0)))</f>
        <v>2.2007901862579322</v>
      </c>
      <c r="BO115" s="98">
        <f t="shared" ca="1" si="191"/>
        <v>0.99326027081939861</v>
      </c>
      <c r="BP115" s="77">
        <f t="shared" ca="1" si="367"/>
        <v>4099353.4755208935</v>
      </c>
      <c r="BQ115" s="77">
        <f t="shared" ca="1" si="368"/>
        <v>1763.5222098089125</v>
      </c>
      <c r="BR115" s="77">
        <f t="shared" ca="1" si="369"/>
        <v>3438.5547142985047</v>
      </c>
      <c r="BS115" s="77">
        <f t="shared" ca="1" si="370"/>
        <v>0</v>
      </c>
      <c r="BT115" s="77">
        <f t="shared" ca="1" si="371"/>
        <v>3048.8211418876526</v>
      </c>
      <c r="BU115" s="54">
        <f t="shared" ca="1" si="372"/>
        <v>30.796173150380334</v>
      </c>
      <c r="BV115" s="53">
        <f ca="1">OFFSET('National statistics'!$A$6,MATCH(R0_estimation!$A115,'National statistics'!$A$7:$A$5000,0),MATCH(R0_estimation!BV$16 &amp; "_Running14daysNew",'National statistics'!$B$1:$HA$1,0))</f>
        <v>408</v>
      </c>
      <c r="BW115" s="97">
        <f t="shared" ref="BW115:BW146" ca="1" si="393">IF(ISERROR(OFFSET($O$4,MATCH(BV$16,$N$5:$N$14,0),MATCH(TEXT($A115,"dd-mmm-yy") &amp; "_R0",$P$2:$AP$2,0))),BW114,OFFSET($O$4,MATCH(BV$16,$N$5:$N$14,0),MATCH(TEXT($A115,"dd-mmm-yy") &amp; "_R0",$P$2:$AP$2,0)))</f>
        <v>3.7107329023164666</v>
      </c>
      <c r="BX115" s="98">
        <f t="shared" ca="1" si="192"/>
        <v>0.68996207341942262</v>
      </c>
      <c r="BY115" s="77">
        <f t="shared" ca="1" si="373"/>
        <v>1321182.4979539337</v>
      </c>
      <c r="BZ115" s="77">
        <f t="shared" ca="1" si="374"/>
        <v>291.02322045387268</v>
      </c>
      <c r="CA115" s="77">
        <f t="shared" ca="1" si="375"/>
        <v>397.73841684484347</v>
      </c>
      <c r="CB115" s="77">
        <f t="shared" ca="1" si="376"/>
        <v>0</v>
      </c>
      <c r="CC115" s="77">
        <f t="shared" ca="1" si="377"/>
        <v>359.2110863334126</v>
      </c>
      <c r="CD115" s="54">
        <f t="shared" ca="1" si="378"/>
        <v>3.628394811448612</v>
      </c>
      <c r="CE115" s="53">
        <f ca="1">OFFSET('National statistics'!$A$6,MATCH(R0_estimation!$A115,'National statistics'!$A$7:$A$5000,0),MATCH(R0_estimation!CE$16 &amp; "_Running14daysNew",'National statistics'!$B$1:$HA$1,0))</f>
        <v>18230</v>
      </c>
      <c r="CF115" s="97">
        <f t="shared" ref="CF115:CF146" ca="1" si="394">IF(ISERROR(OFFSET($O$4,MATCH(CE$16,$N$5:$N$14,0),MATCH(TEXT($A115,"dd-mmm-yy") &amp; "_R0",$P$2:$AP$2,0))),CF114,OFFSET($O$4,MATCH(CE$16,$N$5:$N$14,0),MATCH(TEXT($A115,"dd-mmm-yy") &amp; "_R0",$P$2:$AP$2,0)))</f>
        <v>0.97558293196811685</v>
      </c>
      <c r="CG115" s="98">
        <f t="shared" ca="1" si="193"/>
        <v>1.2165621122686727</v>
      </c>
      <c r="CH115" s="77">
        <f t="shared" ca="1" si="379"/>
        <v>7224355.1417845674</v>
      </c>
      <c r="CI115" s="77">
        <f t="shared" ca="1" si="380"/>
        <v>5072.4601952450848</v>
      </c>
      <c r="CJ115" s="77">
        <f t="shared" ca="1" si="381"/>
        <v>18321.819823988961</v>
      </c>
      <c r="CK115" s="77">
        <f t="shared" ca="1" si="382"/>
        <v>0</v>
      </c>
      <c r="CL115" s="77">
        <f t="shared" ca="1" si="383"/>
        <v>56562.147651734391</v>
      </c>
      <c r="CM115" s="54">
        <f t="shared" ca="1" si="384"/>
        <v>571.33482476499387</v>
      </c>
      <c r="CO115" s="209"/>
      <c r="CP115" s="210"/>
    </row>
    <row r="116" spans="1:94">
      <c r="A116" s="83">
        <v>44016</v>
      </c>
      <c r="B116" s="53">
        <f ca="1">OFFSET('National statistics'!$A$6,MATCH(R0_estimation!$A116,'National statistics'!$A$7:$A$5000,0),MATCH(R0_estimation!B$16 &amp; "_Running14daysNew",'National statistics'!$B$1:$HA$1,0))</f>
        <v>95345</v>
      </c>
      <c r="C116" s="97">
        <f t="shared" ca="1" si="385"/>
        <v>2.0904899451712211</v>
      </c>
      <c r="D116" s="98">
        <f t="shared" si="194"/>
        <v>1</v>
      </c>
      <c r="E116" s="77">
        <f t="shared" ca="1" si="325"/>
        <v>59447870.32869754</v>
      </c>
      <c r="F116" s="77">
        <f t="shared" ca="1" si="326"/>
        <v>45449.378026160957</v>
      </c>
      <c r="G116" s="77">
        <f t="shared" ca="1" si="327"/>
        <v>92247.413578430016</v>
      </c>
      <c r="H116" s="77">
        <f t="shared" ca="1" si="328"/>
        <v>0</v>
      </c>
      <c r="I116" s="77">
        <f t="shared" ca="1" si="329"/>
        <v>130640.7887160042</v>
      </c>
      <c r="J116" s="54">
        <f t="shared" ca="1" si="330"/>
        <v>1319.603926424285</v>
      </c>
      <c r="K116" s="53">
        <f ca="1">OFFSET('National statistics'!$A$6,MATCH(R0_estimation!$A116,'National statistics'!$A$7:$A$5000,0),MATCH(R0_estimation!K$16 &amp; "_Running14daysNew",'National statistics'!$B$1:$HA$1,0))</f>
        <v>19440</v>
      </c>
      <c r="L116" s="97">
        <f t="shared" ca="1" si="386"/>
        <v>1.8311476326842264</v>
      </c>
      <c r="M116" s="98">
        <f t="shared" ca="1" si="185"/>
        <v>1.3891436550517304</v>
      </c>
      <c r="N116" s="77">
        <f t="shared" ca="1" si="331"/>
        <v>6820062.9902087487</v>
      </c>
      <c r="O116" s="77">
        <f t="shared" ca="1" si="332"/>
        <v>8854.9328287673034</v>
      </c>
      <c r="P116" s="77">
        <f t="shared" ca="1" si="333"/>
        <v>19741.557130584395</v>
      </c>
      <c r="Q116" s="77">
        <f t="shared" ca="1" si="334"/>
        <v>0</v>
      </c>
      <c r="R116" s="77">
        <f t="shared" ca="1" si="335"/>
        <v>21883.656190323789</v>
      </c>
      <c r="S116" s="54">
        <f t="shared" ca="1" si="336"/>
        <v>221.04703222549281</v>
      </c>
      <c r="T116" s="53">
        <f ca="1">OFFSET('National statistics'!$A$6,MATCH(R0_estimation!$A116,'National statistics'!$A$7:$A$5000,0),MATCH(R0_estimation!T$16 &amp; "_Running14daysNew",'National statistics'!$B$1:$HA$1,0))</f>
        <v>1676</v>
      </c>
      <c r="U116" s="97">
        <f t="shared" ca="1" si="387"/>
        <v>4.198313051542212</v>
      </c>
      <c r="V116" s="98">
        <f t="shared" ca="1" si="186"/>
        <v>0.50313552847557719</v>
      </c>
      <c r="W116" s="77">
        <f t="shared" ca="1" si="337"/>
        <v>2805032.62221597</v>
      </c>
      <c r="X116" s="77">
        <f t="shared" ca="1" si="338"/>
        <v>1166.2055617960891</v>
      </c>
      <c r="Y116" s="77">
        <f t="shared" ca="1" si="339"/>
        <v>1468.6734818524274</v>
      </c>
      <c r="Z116" s="77">
        <f t="shared" ca="1" si="340"/>
        <v>0</v>
      </c>
      <c r="AA116" s="77">
        <f t="shared" ca="1" si="341"/>
        <v>1328.2118071083262</v>
      </c>
      <c r="AB116" s="54">
        <f t="shared" ca="1" si="342"/>
        <v>13.416280879882084</v>
      </c>
      <c r="AC116" s="53">
        <f ca="1">OFFSET('National statistics'!$A$6,MATCH(R0_estimation!$A116,'National statistics'!$A$7:$A$5000,0),MATCH(R0_estimation!AC$16 &amp; "_Running14daysNew",'National statistics'!$B$1:$HA$1,0))</f>
        <v>40395</v>
      </c>
      <c r="AD116" s="97">
        <f t="shared" ca="1" si="388"/>
        <v>2.3126264869834054</v>
      </c>
      <c r="AE116" s="98">
        <f t="shared" ca="1" si="187"/>
        <v>0.57565754152920057</v>
      </c>
      <c r="AF116" s="77">
        <f t="shared" ca="1" si="343"/>
        <v>15545934.361406384</v>
      </c>
      <c r="AG116" s="77">
        <f t="shared" ca="1" si="344"/>
        <v>20435.188123467902</v>
      </c>
      <c r="AH116" s="77">
        <f t="shared" ca="1" si="345"/>
        <v>38578.117091503809</v>
      </c>
      <c r="AI116" s="77">
        <f t="shared" ca="1" si="346"/>
        <v>0</v>
      </c>
      <c r="AJ116" s="77">
        <f t="shared" ca="1" si="347"/>
        <v>34143.619878393358</v>
      </c>
      <c r="AK116" s="54">
        <f t="shared" ca="1" si="348"/>
        <v>344.88504927670067</v>
      </c>
      <c r="AL116" s="53">
        <f ca="1">OFFSET('National statistics'!$A$6,MATCH(R0_estimation!$A116,'National statistics'!$A$7:$A$5000,0),MATCH(R0_estimation!AL$16 &amp; "_Running14daysNew",'National statistics'!$B$1:$HA$1,0))</f>
        <v>9178</v>
      </c>
      <c r="AM116" s="97">
        <f t="shared" ca="1" si="389"/>
        <v>3.9118321635306974</v>
      </c>
      <c r="AN116" s="98">
        <f t="shared" ca="1" si="188"/>
        <v>0.74495013848278369</v>
      </c>
      <c r="AO116" s="77">
        <f t="shared" ca="1" si="349"/>
        <v>10979676.371858189</v>
      </c>
      <c r="AP116" s="77">
        <f t="shared" ca="1" si="350"/>
        <v>5765.3009778101232</v>
      </c>
      <c r="AQ116" s="77">
        <f t="shared" ca="1" si="351"/>
        <v>7608.4713872052434</v>
      </c>
      <c r="AR116" s="77">
        <f t="shared" ca="1" si="352"/>
        <v>0</v>
      </c>
      <c r="AS116" s="77">
        <f t="shared" ca="1" si="353"/>
        <v>7404.4651863952722</v>
      </c>
      <c r="AT116" s="54">
        <f t="shared" ca="1" si="354"/>
        <v>74.792577640356299</v>
      </c>
      <c r="AU116" s="53">
        <f ca="1">OFFSET('National statistics'!$A$6,MATCH(R0_estimation!$A116,'National statistics'!$A$7:$A$5000,0),MATCH(R0_estimation!AU$16 &amp; "_Running14daysNew",'National statistics'!$B$1:$HA$1,0))</f>
        <v>1038</v>
      </c>
      <c r="AV116" s="97">
        <f t="shared" ca="1" si="390"/>
        <v>3.1226563099465383</v>
      </c>
      <c r="AW116" s="98">
        <f t="shared" ca="1" si="189"/>
        <v>0.85754424097138826</v>
      </c>
      <c r="AX116" s="77">
        <f t="shared" ca="1" si="355"/>
        <v>5851209.8687729752</v>
      </c>
      <c r="AY116" s="77">
        <f t="shared" ca="1" si="356"/>
        <v>671.27583906857603</v>
      </c>
      <c r="AZ116" s="77">
        <f t="shared" ca="1" si="357"/>
        <v>1028.5361461842222</v>
      </c>
      <c r="BA116" s="77">
        <f t="shared" ca="1" si="358"/>
        <v>0</v>
      </c>
      <c r="BB116" s="77">
        <f t="shared" ca="1" si="359"/>
        <v>919.8450347323494</v>
      </c>
      <c r="BC116" s="54">
        <f t="shared" ca="1" si="360"/>
        <v>9.2913639871954494</v>
      </c>
      <c r="BD116" s="53">
        <f ca="1">OFFSET('National statistics'!$A$6,MATCH(R0_estimation!$A116,'National statistics'!$A$7:$A$5000,0),MATCH(R0_estimation!BD$16 &amp; "_Running14daysNew",'National statistics'!$B$1:$HA$1,0))</f>
        <v>1274</v>
      </c>
      <c r="BE116" s="97">
        <f t="shared" ca="1" si="391"/>
        <v>3.061981421838242</v>
      </c>
      <c r="BF116" s="98">
        <f t="shared" ca="1" si="190"/>
        <v>0.72178134408538486</v>
      </c>
      <c r="BG116" s="77">
        <f t="shared" ca="1" si="361"/>
        <v>4806112.7168835569</v>
      </c>
      <c r="BH116" s="77">
        <f t="shared" ca="1" si="362"/>
        <v>829.5738068185284</v>
      </c>
      <c r="BI116" s="77">
        <f t="shared" ca="1" si="363"/>
        <v>1287.877565437183</v>
      </c>
      <c r="BJ116" s="77">
        <f t="shared" ca="1" si="364"/>
        <v>0</v>
      </c>
      <c r="BK116" s="77">
        <f t="shared" ca="1" si="365"/>
        <v>957.79346310250037</v>
      </c>
      <c r="BL116" s="54">
        <f t="shared" ca="1" si="366"/>
        <v>9.674681445479802</v>
      </c>
      <c r="BM116" s="53">
        <f ca="1">OFFSET('National statistics'!$A$6,MATCH(R0_estimation!$A116,'National statistics'!$A$7:$A$5000,0),MATCH(R0_estimation!BM$16 &amp; "_Running14daysNew",'National statistics'!$B$1:$HA$1,0))</f>
        <v>3687</v>
      </c>
      <c r="BN116" s="97">
        <f t="shared" ca="1" si="392"/>
        <v>2.2007901862579322</v>
      </c>
      <c r="BO116" s="98">
        <f t="shared" ca="1" si="191"/>
        <v>0.99326027081939861</v>
      </c>
      <c r="BP116" s="77">
        <f t="shared" ca="1" si="367"/>
        <v>4098814.0229034708</v>
      </c>
      <c r="BQ116" s="77">
        <f t="shared" ca="1" si="368"/>
        <v>1862.0942747792456</v>
      </c>
      <c r="BR116" s="77">
        <f t="shared" ca="1" si="369"/>
        <v>3633.8242157294112</v>
      </c>
      <c r="BS116" s="77">
        <f t="shared" ca="1" si="370"/>
        <v>0</v>
      </c>
      <c r="BT116" s="77">
        <f t="shared" ca="1" si="371"/>
        <v>3291.9760823987613</v>
      </c>
      <c r="BU116" s="54">
        <f t="shared" ca="1" si="372"/>
        <v>33.252283660593548</v>
      </c>
      <c r="BV116" s="53">
        <f ca="1">OFFSET('National statistics'!$A$6,MATCH(R0_estimation!$A116,'National statistics'!$A$7:$A$5000,0),MATCH(R0_estimation!BV$16 &amp; "_Running14daysNew",'National statistics'!$B$1:$HA$1,0))</f>
        <v>454</v>
      </c>
      <c r="BW116" s="97">
        <f t="shared" ca="1" si="393"/>
        <v>3.7107329023164666</v>
      </c>
      <c r="BX116" s="98">
        <f t="shared" ca="1" si="192"/>
        <v>0.68996207341942262</v>
      </c>
      <c r="BY116" s="77">
        <f t="shared" ca="1" si="373"/>
        <v>1321077.1600067159</v>
      </c>
      <c r="BZ116" s="77">
        <f t="shared" ca="1" si="374"/>
        <v>323.6053625580933</v>
      </c>
      <c r="CA116" s="77">
        <f t="shared" ca="1" si="375"/>
        <v>442.08433504082279</v>
      </c>
      <c r="CB116" s="77">
        <f t="shared" ca="1" si="376"/>
        <v>0</v>
      </c>
      <c r="CC116" s="77">
        <f t="shared" ca="1" si="377"/>
        <v>387.33687438172655</v>
      </c>
      <c r="CD116" s="54">
        <f t="shared" ca="1" si="378"/>
        <v>3.9124936806235002</v>
      </c>
      <c r="CE116" s="53">
        <f ca="1">OFFSET('National statistics'!$A$6,MATCH(R0_estimation!$A116,'National statistics'!$A$7:$A$5000,0),MATCH(R0_estimation!CE$16 &amp; "_Running14daysNew",'National statistics'!$B$1:$HA$1,0))</f>
        <v>18203</v>
      </c>
      <c r="CF116" s="97">
        <f t="shared" ca="1" si="394"/>
        <v>0.97558293196811685</v>
      </c>
      <c r="CG116" s="98">
        <f t="shared" ca="1" si="193"/>
        <v>1.2165621122686727</v>
      </c>
      <c r="CH116" s="77">
        <f t="shared" ca="1" si="379"/>
        <v>7223092.3708902672</v>
      </c>
      <c r="CI116" s="77">
        <f t="shared" ca="1" si="380"/>
        <v>5067.1160407341686</v>
      </c>
      <c r="CJ116" s="77">
        <f t="shared" ca="1" si="381"/>
        <v>18281.233456801023</v>
      </c>
      <c r="CK116" s="77">
        <f t="shared" ca="1" si="382"/>
        <v>0</v>
      </c>
      <c r="CL116" s="77">
        <f t="shared" ca="1" si="383"/>
        <v>57857.762053573613</v>
      </c>
      <c r="CM116" s="54">
        <f t="shared" ca="1" si="384"/>
        <v>584.42183892498599</v>
      </c>
      <c r="CO116" s="209"/>
      <c r="CP116" s="210"/>
    </row>
    <row r="117" spans="1:94">
      <c r="A117" s="83">
        <v>44017</v>
      </c>
      <c r="B117" s="53">
        <f ca="1">OFFSET('National statistics'!$A$6,MATCH(R0_estimation!$A117,'National statistics'!$A$7:$A$5000,0),MATCH(R0_estimation!B$16 &amp; "_Running14daysNew",'National statistics'!$B$1:$HA$1,0))</f>
        <v>99451</v>
      </c>
      <c r="C117" s="97">
        <f t="shared" ca="1" si="385"/>
        <v>2.0904899451712211</v>
      </c>
      <c r="D117" s="98">
        <f t="shared" si="194"/>
        <v>1</v>
      </c>
      <c r="E117" s="77">
        <f t="shared" ca="1" si="325"/>
        <v>59434157.775506198</v>
      </c>
      <c r="F117" s="77">
        <f t="shared" ca="1" si="326"/>
        <v>47799.586710964868</v>
      </c>
      <c r="G117" s="77">
        <f t="shared" ca="1" si="327"/>
        <v>97020.657115082387</v>
      </c>
      <c r="H117" s="77">
        <f t="shared" ca="1" si="328"/>
        <v>0</v>
      </c>
      <c r="I117" s="77">
        <f t="shared" ca="1" si="329"/>
        <v>137163.99867619318</v>
      </c>
      <c r="J117" s="54">
        <f t="shared" ca="1" si="330"/>
        <v>1385.4949361231636</v>
      </c>
      <c r="K117" s="53">
        <f ca="1">OFFSET('National statistics'!$A$6,MATCH(R0_estimation!$A117,'National statistics'!$A$7:$A$5000,0),MATCH(R0_estimation!K$16 &amp; "_Running14daysNew",'National statistics'!$B$1:$HA$1,0))</f>
        <v>19897</v>
      </c>
      <c r="L117" s="97">
        <f t="shared" ca="1" si="386"/>
        <v>1.8311476326842264</v>
      </c>
      <c r="M117" s="98">
        <f t="shared" ca="1" si="185"/>
        <v>1.3891436550517304</v>
      </c>
      <c r="N117" s="77">
        <f t="shared" ca="1" si="331"/>
        <v>6817499.8400804019</v>
      </c>
      <c r="O117" s="77">
        <f t="shared" ca="1" si="332"/>
        <v>9204.3497499221867</v>
      </c>
      <c r="P117" s="77">
        <f t="shared" ca="1" si="333"/>
        <v>20545.179114163049</v>
      </c>
      <c r="Q117" s="77">
        <f t="shared" ca="1" si="334"/>
        <v>0</v>
      </c>
      <c r="R117" s="77">
        <f t="shared" ca="1" si="335"/>
        <v>23279.666301700829</v>
      </c>
      <c r="S117" s="54">
        <f t="shared" ca="1" si="336"/>
        <v>235.14814446162453</v>
      </c>
      <c r="T117" s="53">
        <f ca="1">OFFSET('National statistics'!$A$6,MATCH(R0_estimation!$A117,'National statistics'!$A$7:$A$5000,0),MATCH(R0_estimation!T$16 &amp; "_Running14daysNew",'National statistics'!$B$1:$HA$1,0))</f>
        <v>1820</v>
      </c>
      <c r="U117" s="97">
        <f t="shared" ca="1" si="387"/>
        <v>4.198313051542212</v>
      </c>
      <c r="V117" s="98">
        <f t="shared" ca="1" si="186"/>
        <v>0.50313552847557719</v>
      </c>
      <c r="W117" s="77">
        <f t="shared" ca="1" si="337"/>
        <v>2804592.8185178968</v>
      </c>
      <c r="X117" s="77">
        <f t="shared" ca="1" si="338"/>
        <v>1314.457869420422</v>
      </c>
      <c r="Y117" s="77">
        <f t="shared" ca="1" si="339"/>
        <v>1655.3196235977048</v>
      </c>
      <c r="Z117" s="77">
        <f t="shared" ca="1" si="340"/>
        <v>0</v>
      </c>
      <c r="AA117" s="77">
        <f t="shared" ca="1" si="341"/>
        <v>1432.0680033250335</v>
      </c>
      <c r="AB117" s="54">
        <f t="shared" ca="1" si="342"/>
        <v>14.465333366919532</v>
      </c>
      <c r="AC117" s="53">
        <f ca="1">OFFSET('National statistics'!$A$6,MATCH(R0_estimation!$A117,'National statistics'!$A$7:$A$5000,0),MATCH(R0_estimation!AC$16 &amp; "_Running14daysNew",'National statistics'!$B$1:$HA$1,0))</f>
        <v>42582</v>
      </c>
      <c r="AD117" s="97">
        <f t="shared" ca="1" si="388"/>
        <v>2.3126264869834054</v>
      </c>
      <c r="AE117" s="98">
        <f t="shared" ca="1" si="187"/>
        <v>0.57565754152920057</v>
      </c>
      <c r="AF117" s="77">
        <f t="shared" ca="1" si="343"/>
        <v>15539599.694234621</v>
      </c>
      <c r="AG117" s="77">
        <f t="shared" ca="1" si="344"/>
        <v>21661.058264364136</v>
      </c>
      <c r="AH117" s="77">
        <f t="shared" ca="1" si="345"/>
        <v>40931.33433012051</v>
      </c>
      <c r="AI117" s="77">
        <f t="shared" ca="1" si="346"/>
        <v>0</v>
      </c>
      <c r="AJ117" s="77">
        <f t="shared" ca="1" si="347"/>
        <v>36871.643872721128</v>
      </c>
      <c r="AK117" s="54">
        <f t="shared" ca="1" si="348"/>
        <v>372.4408471992034</v>
      </c>
      <c r="AL117" s="53">
        <f ca="1">OFFSET('National statistics'!$A$6,MATCH(R0_estimation!$A117,'National statistics'!$A$7:$A$5000,0),MATCH(R0_estimation!AL$16 &amp; "_Running14daysNew",'National statistics'!$B$1:$HA$1,0))</f>
        <v>10116</v>
      </c>
      <c r="AM117" s="97">
        <f t="shared" ca="1" si="389"/>
        <v>3.9118321635306974</v>
      </c>
      <c r="AN117" s="98">
        <f t="shared" ca="1" si="188"/>
        <v>0.74495013848278369</v>
      </c>
      <c r="AO117" s="77">
        <f t="shared" ca="1" si="349"/>
        <v>10977554.454354763</v>
      </c>
      <c r="AP117" s="77">
        <f t="shared" ca="1" si="350"/>
        <v>6445.8932367839043</v>
      </c>
      <c r="AQ117" s="77">
        <f t="shared" ca="1" si="351"/>
        <v>8506.3343897145423</v>
      </c>
      <c r="AR117" s="77">
        <f t="shared" ca="1" si="352"/>
        <v>0</v>
      </c>
      <c r="AS117" s="77">
        <f t="shared" ca="1" si="353"/>
        <v>7942.4928059190715</v>
      </c>
      <c r="AT117" s="54">
        <f t="shared" ca="1" si="354"/>
        <v>80.227200059788615</v>
      </c>
      <c r="AU117" s="53">
        <f ca="1">OFFSET('National statistics'!$A$6,MATCH(R0_estimation!$A117,'National statistics'!$A$7:$A$5000,0),MATCH(R0_estimation!AU$16 &amp; "_Running14daysNew",'National statistics'!$B$1:$HA$1,0))</f>
        <v>1142</v>
      </c>
      <c r="AV117" s="97">
        <f t="shared" ca="1" si="390"/>
        <v>3.1226563099465383</v>
      </c>
      <c r="AW117" s="98">
        <f t="shared" ca="1" si="189"/>
        <v>0.85754424097138826</v>
      </c>
      <c r="AX117" s="77">
        <f t="shared" ca="1" si="355"/>
        <v>5850980.5596597875</v>
      </c>
      <c r="AY117" s="77">
        <f t="shared" ca="1" si="356"/>
        <v>732.76599248899743</v>
      </c>
      <c r="AZ117" s="77">
        <f t="shared" ca="1" si="357"/>
        <v>1122.8882383667788</v>
      </c>
      <c r="BA117" s="77">
        <f t="shared" ca="1" si="358"/>
        <v>0</v>
      </c>
      <c r="BB117" s="77">
        <f t="shared" ca="1" si="359"/>
        <v>992.57723364109086</v>
      </c>
      <c r="BC117" s="54">
        <f t="shared" ca="1" si="360"/>
        <v>10.026032663041322</v>
      </c>
      <c r="BD117" s="53">
        <f ca="1">OFFSET('National statistics'!$A$6,MATCH(R0_estimation!$A117,'National statistics'!$A$7:$A$5000,0),MATCH(R0_estimation!BD$16 &amp; "_Running14daysNew",'National statistics'!$B$1:$HA$1,0))</f>
        <v>1392</v>
      </c>
      <c r="BE117" s="97">
        <f t="shared" ca="1" si="391"/>
        <v>3.061981421838242</v>
      </c>
      <c r="BF117" s="98">
        <f t="shared" ca="1" si="190"/>
        <v>0.72178134408538486</v>
      </c>
      <c r="BG117" s="77">
        <f t="shared" ca="1" si="361"/>
        <v>4805831.2214887422</v>
      </c>
      <c r="BH117" s="77">
        <f t="shared" ca="1" si="362"/>
        <v>903.67574992900541</v>
      </c>
      <c r="BI117" s="77">
        <f t="shared" ca="1" si="363"/>
        <v>1403.2797624677305</v>
      </c>
      <c r="BJ117" s="77">
        <f t="shared" ca="1" si="364"/>
        <v>0</v>
      </c>
      <c r="BK117" s="77">
        <f t="shared" ca="1" si="365"/>
        <v>1048.864805229844</v>
      </c>
      <c r="BL117" s="54">
        <f t="shared" ca="1" si="366"/>
        <v>10.594593992220647</v>
      </c>
      <c r="BM117" s="53">
        <f ca="1">OFFSET('National statistics'!$A$6,MATCH(R0_estimation!$A117,'National statistics'!$A$7:$A$5000,0),MATCH(R0_estimation!BM$16 &amp; "_Running14daysNew",'National statistics'!$B$1:$HA$1,0))</f>
        <v>3915</v>
      </c>
      <c r="BN117" s="97">
        <f t="shared" ca="1" si="392"/>
        <v>2.2007901862579322</v>
      </c>
      <c r="BO117" s="98">
        <f t="shared" ca="1" si="191"/>
        <v>0.99326027081939861</v>
      </c>
      <c r="BP117" s="77">
        <f t="shared" ca="1" si="367"/>
        <v>4098244.0103960061</v>
      </c>
      <c r="BQ117" s="77">
        <f t="shared" ca="1" si="368"/>
        <v>1966.5832135489582</v>
      </c>
      <c r="BR117" s="77">
        <f t="shared" ca="1" si="369"/>
        <v>3839.7889118721218</v>
      </c>
      <c r="BS117" s="77">
        <f t="shared" ca="1" si="370"/>
        <v>0</v>
      </c>
      <c r="BT117" s="77">
        <f t="shared" ca="1" si="371"/>
        <v>3548.939366225341</v>
      </c>
      <c r="BU117" s="54">
        <f t="shared" ca="1" si="372"/>
        <v>35.84787238611456</v>
      </c>
      <c r="BV117" s="53">
        <f ca="1">OFFSET('National statistics'!$A$6,MATCH(R0_estimation!$A117,'National statistics'!$A$7:$A$5000,0),MATCH(R0_estimation!BV$16 &amp; "_Running14daysNew",'National statistics'!$B$1:$HA$1,0))</f>
        <v>497</v>
      </c>
      <c r="BW117" s="97">
        <f t="shared" ca="1" si="393"/>
        <v>3.7107329023164666</v>
      </c>
      <c r="BX117" s="98">
        <f t="shared" ca="1" si="192"/>
        <v>0.68996207341942262</v>
      </c>
      <c r="BY117" s="77">
        <f t="shared" ca="1" si="373"/>
        <v>1320960.0866954797</v>
      </c>
      <c r="BZ117" s="77">
        <f t="shared" ca="1" si="374"/>
        <v>359.7773331548081</v>
      </c>
      <c r="CA117" s="77">
        <f t="shared" ca="1" si="375"/>
        <v>491.40822317743027</v>
      </c>
      <c r="CB117" s="77">
        <f t="shared" ca="1" si="376"/>
        <v>0</v>
      </c>
      <c r="CC117" s="77">
        <f t="shared" ca="1" si="377"/>
        <v>418.59855235961328</v>
      </c>
      <c r="CD117" s="54">
        <f t="shared" ca="1" si="378"/>
        <v>4.2282682056526593</v>
      </c>
      <c r="CE117" s="53">
        <f ca="1">OFFSET('National statistics'!$A$6,MATCH(R0_estimation!$A117,'National statistics'!$A$7:$A$5000,0),MATCH(R0_estimation!CE$16 &amp; "_Running14daysNew",'National statistics'!$B$1:$HA$1,0))</f>
        <v>18090</v>
      </c>
      <c r="CF117" s="97">
        <f t="shared" ca="1" si="394"/>
        <v>0.97558293196811685</v>
      </c>
      <c r="CG117" s="98">
        <f t="shared" ca="1" si="193"/>
        <v>1.2165621122686727</v>
      </c>
      <c r="CH117" s="77">
        <f t="shared" ca="1" si="379"/>
        <v>7221832.6152554387</v>
      </c>
      <c r="CI117" s="77">
        <f t="shared" ca="1" si="380"/>
        <v>5060.0926653793558</v>
      </c>
      <c r="CJ117" s="77">
        <f t="shared" ca="1" si="381"/>
        <v>18242.210077213062</v>
      </c>
      <c r="CK117" s="77">
        <f t="shared" ca="1" si="382"/>
        <v>0</v>
      </c>
      <c r="CL117" s="77">
        <f t="shared" ca="1" si="383"/>
        <v>59150.506419447396</v>
      </c>
      <c r="CM117" s="54">
        <f t="shared" ca="1" si="384"/>
        <v>597.47986282270097</v>
      </c>
      <c r="CO117" s="209"/>
      <c r="CP117" s="210"/>
    </row>
    <row r="118" spans="1:94">
      <c r="A118" s="83">
        <v>44018</v>
      </c>
      <c r="B118" s="53">
        <f ca="1">OFFSET('National statistics'!$A$6,MATCH(R0_estimation!$A118,'National statistics'!$A$7:$A$5000,0),MATCH(R0_estimation!B$16 &amp; "_Running14daysNew",'National statistics'!$B$1:$HA$1,0))</f>
        <v>104134</v>
      </c>
      <c r="C118" s="97">
        <f t="shared" ca="1" si="385"/>
        <v>2.0904899451712211</v>
      </c>
      <c r="D118" s="98">
        <f t="shared" si="194"/>
        <v>1</v>
      </c>
      <c r="E118" s="77">
        <f t="shared" ca="1" si="325"/>
        <v>59419738.991713487</v>
      </c>
      <c r="F118" s="77">
        <f t="shared" ca="1" si="326"/>
        <v>50268.473825932524</v>
      </c>
      <c r="G118" s="77">
        <f t="shared" ca="1" si="327"/>
        <v>102040.50685603201</v>
      </c>
      <c r="H118" s="77">
        <f t="shared" ca="1" si="328"/>
        <v>0</v>
      </c>
      <c r="I118" s="77">
        <f t="shared" ca="1" si="329"/>
        <v>144024.74514361686</v>
      </c>
      <c r="J118" s="54">
        <f t="shared" ca="1" si="330"/>
        <v>1454.7954054910797</v>
      </c>
      <c r="K118" s="53">
        <f ca="1">OFFSET('National statistics'!$A$6,MATCH(R0_estimation!$A118,'National statistics'!$A$7:$A$5000,0),MATCH(R0_estimation!K$16 &amp; "_Running14daysNew",'National statistics'!$B$1:$HA$1,0))</f>
        <v>21186</v>
      </c>
      <c r="L118" s="97">
        <f t="shared" ca="1" si="386"/>
        <v>1.8311476326842264</v>
      </c>
      <c r="M118" s="98">
        <f t="shared" ca="1" si="185"/>
        <v>1.3891436550517304</v>
      </c>
      <c r="N118" s="77">
        <f t="shared" ca="1" si="331"/>
        <v>6814833.348522081</v>
      </c>
      <c r="O118" s="77">
        <f t="shared" ca="1" si="332"/>
        <v>9569.7538707625299</v>
      </c>
      <c r="P118" s="77">
        <f t="shared" ca="1" si="333"/>
        <v>21378.753757774808</v>
      </c>
      <c r="Q118" s="77">
        <f t="shared" ca="1" si="334"/>
        <v>0</v>
      </c>
      <c r="R118" s="77">
        <f t="shared" ca="1" si="335"/>
        <v>24732.503967630932</v>
      </c>
      <c r="S118" s="54">
        <f t="shared" ca="1" si="336"/>
        <v>249.82327240031242</v>
      </c>
      <c r="T118" s="53">
        <f ca="1">OFFSET('National statistics'!$A$6,MATCH(R0_estimation!$A118,'National statistics'!$A$7:$A$5000,0),MATCH(R0_estimation!T$16 &amp; "_Running14daysNew",'National statistics'!$B$1:$HA$1,0))</f>
        <v>2032</v>
      </c>
      <c r="U118" s="97">
        <f t="shared" ca="1" si="387"/>
        <v>4.198313051542212</v>
      </c>
      <c r="V118" s="98">
        <f t="shared" ca="1" si="186"/>
        <v>0.50313552847557719</v>
      </c>
      <c r="W118" s="77">
        <f t="shared" ca="1" si="337"/>
        <v>2804097.1999705983</v>
      </c>
      <c r="X118" s="77">
        <f t="shared" ca="1" si="338"/>
        <v>1481.4619493637219</v>
      </c>
      <c r="Y118" s="77">
        <f t="shared" ca="1" si="339"/>
        <v>1865.6969749815457</v>
      </c>
      <c r="Z118" s="77">
        <f t="shared" ca="1" si="340"/>
        <v>0</v>
      </c>
      <c r="AA118" s="77">
        <f t="shared" ca="1" si="341"/>
        <v>1549.1227481365854</v>
      </c>
      <c r="AB118" s="54">
        <f t="shared" ca="1" si="342"/>
        <v>15.647704526632179</v>
      </c>
      <c r="AC118" s="53">
        <f ca="1">OFFSET('National statistics'!$A$6,MATCH(R0_estimation!$A118,'National statistics'!$A$7:$A$5000,0),MATCH(R0_estimation!AC$16 &amp; "_Running14daysNew",'National statistics'!$B$1:$HA$1,0))</f>
        <v>44550</v>
      </c>
      <c r="AD118" s="97">
        <f t="shared" ca="1" si="388"/>
        <v>2.3126264869834054</v>
      </c>
      <c r="AE118" s="98">
        <f t="shared" ca="1" si="187"/>
        <v>0.57565754152920057</v>
      </c>
      <c r="AF118" s="77">
        <f t="shared" ca="1" si="343"/>
        <v>15532881.347101267</v>
      </c>
      <c r="AG118" s="77">
        <f t="shared" ca="1" si="344"/>
        <v>22964.140831627261</v>
      </c>
      <c r="AH118" s="77">
        <f t="shared" ca="1" si="345"/>
        <v>43422.932158345793</v>
      </c>
      <c r="AI118" s="77">
        <f t="shared" ca="1" si="346"/>
        <v>0</v>
      </c>
      <c r="AJ118" s="77">
        <f t="shared" ca="1" si="347"/>
        <v>39766.073943208219</v>
      </c>
      <c r="AK118" s="54">
        <f t="shared" ca="1" si="348"/>
        <v>401.6775145778609</v>
      </c>
      <c r="AL118" s="53">
        <f ca="1">OFFSET('National statistics'!$A$6,MATCH(R0_estimation!$A118,'National statistics'!$A$7:$A$5000,0),MATCH(R0_estimation!AL$16 &amp; "_Running14daysNew",'National statistics'!$B$1:$HA$1,0))</f>
        <v>10541</v>
      </c>
      <c r="AM118" s="97">
        <f t="shared" ca="1" si="389"/>
        <v>3.9118321635306974</v>
      </c>
      <c r="AN118" s="98">
        <f t="shared" ca="1" si="188"/>
        <v>0.74495013848278369</v>
      </c>
      <c r="AO118" s="77">
        <f t="shared" ca="1" si="349"/>
        <v>10975182.590210158</v>
      </c>
      <c r="AP118" s="77">
        <f t="shared" ca="1" si="350"/>
        <v>7206.2840721934872</v>
      </c>
      <c r="AQ118" s="77">
        <f t="shared" ca="1" si="351"/>
        <v>9510.2123853594785</v>
      </c>
      <c r="AR118" s="77">
        <f t="shared" ca="1" si="352"/>
        <v>0</v>
      </c>
      <c r="AS118" s="77">
        <f t="shared" ca="1" si="353"/>
        <v>8544.0121663345999</v>
      </c>
      <c r="AT118" s="54">
        <f t="shared" ca="1" si="354"/>
        <v>86.303153195299004</v>
      </c>
      <c r="AU118" s="53">
        <f ca="1">OFFSET('National statistics'!$A$6,MATCH(R0_estimation!$A118,'National statistics'!$A$7:$A$5000,0),MATCH(R0_estimation!AU$16 &amp; "_Running14daysNew",'National statistics'!$B$1:$HA$1,0))</f>
        <v>1203</v>
      </c>
      <c r="AV118" s="97">
        <f t="shared" ca="1" si="390"/>
        <v>3.1226563099465383</v>
      </c>
      <c r="AW118" s="98">
        <f t="shared" ca="1" si="189"/>
        <v>0.85754424097138826</v>
      </c>
      <c r="AX118" s="77">
        <f t="shared" ca="1" si="355"/>
        <v>5850730.2248043381</v>
      </c>
      <c r="AY118" s="77">
        <f t="shared" ca="1" si="356"/>
        <v>799.90934981610462</v>
      </c>
      <c r="AZ118" s="77">
        <f t="shared" ca="1" si="357"/>
        <v>1225.8734337485439</v>
      </c>
      <c r="BA118" s="77">
        <f t="shared" ca="1" si="358"/>
        <v>0</v>
      </c>
      <c r="BB118" s="77">
        <f t="shared" ca="1" si="359"/>
        <v>1071.9814733541702</v>
      </c>
      <c r="BC118" s="54">
        <f t="shared" ca="1" si="360"/>
        <v>10.828095690446164</v>
      </c>
      <c r="BD118" s="53">
        <f ca="1">OFFSET('National statistics'!$A$6,MATCH(R0_estimation!$A118,'National statistics'!$A$7:$A$5000,0),MATCH(R0_estimation!BD$16 &amp; "_Running14daysNew",'National statistics'!$B$1:$HA$1,0))</f>
        <v>1577</v>
      </c>
      <c r="BE118" s="97">
        <f t="shared" ca="1" si="391"/>
        <v>3.061981421838242</v>
      </c>
      <c r="BF118" s="98">
        <f t="shared" ca="1" si="190"/>
        <v>0.72178134408538486</v>
      </c>
      <c r="BG118" s="77">
        <f t="shared" ca="1" si="361"/>
        <v>4805524.5201836787</v>
      </c>
      <c r="BH118" s="77">
        <f t="shared" ca="1" si="362"/>
        <v>984.45811750974735</v>
      </c>
      <c r="BI118" s="77">
        <f t="shared" ca="1" si="363"/>
        <v>1528.9644312022867</v>
      </c>
      <c r="BJ118" s="77">
        <f t="shared" ca="1" si="364"/>
        <v>0</v>
      </c>
      <c r="BK118" s="77">
        <f t="shared" ca="1" si="365"/>
        <v>1148.0967312900621</v>
      </c>
      <c r="BL118" s="54">
        <f t="shared" ca="1" si="366"/>
        <v>11.596936679697597</v>
      </c>
      <c r="BM118" s="53">
        <f ca="1">OFFSET('National statistics'!$A$6,MATCH(R0_estimation!$A118,'National statistics'!$A$7:$A$5000,0),MATCH(R0_estimation!BM$16 &amp; "_Running14daysNew",'National statistics'!$B$1:$HA$1,0))</f>
        <v>4095</v>
      </c>
      <c r="BN118" s="97">
        <f t="shared" ca="1" si="392"/>
        <v>2.2007901862579322</v>
      </c>
      <c r="BO118" s="98">
        <f t="shared" ca="1" si="191"/>
        <v>0.99326027081939861</v>
      </c>
      <c r="BP118" s="77">
        <f t="shared" ca="1" si="367"/>
        <v>4097641.7730346271</v>
      </c>
      <c r="BQ118" s="77">
        <f t="shared" ca="1" si="368"/>
        <v>2077.1747715406823</v>
      </c>
      <c r="BR118" s="77">
        <f t="shared" ca="1" si="369"/>
        <v>4057.1640786970675</v>
      </c>
      <c r="BS118" s="77">
        <f t="shared" ca="1" si="370"/>
        <v>0</v>
      </c>
      <c r="BT118" s="77">
        <f t="shared" ca="1" si="371"/>
        <v>3820.4672964220126</v>
      </c>
      <c r="BU118" s="54">
        <f t="shared" ca="1" si="372"/>
        <v>38.590578751737503</v>
      </c>
      <c r="BV118" s="53">
        <f ca="1">OFFSET('National statistics'!$A$6,MATCH(R0_estimation!$A118,'National statistics'!$A$7:$A$5000,0),MATCH(R0_estimation!BV$16 &amp; "_Running14daysNew",'National statistics'!$B$1:$HA$1,0))</f>
        <v>566</v>
      </c>
      <c r="BW118" s="97">
        <f t="shared" ca="1" si="393"/>
        <v>3.7107329023164666</v>
      </c>
      <c r="BX118" s="98">
        <f t="shared" ca="1" si="192"/>
        <v>0.68996207341942262</v>
      </c>
      <c r="BY118" s="77">
        <f t="shared" ca="1" si="373"/>
        <v>1320829.9628736654</v>
      </c>
      <c r="BZ118" s="77">
        <f t="shared" ca="1" si="374"/>
        <v>399.95682168042259</v>
      </c>
      <c r="CA118" s="77">
        <f t="shared" ca="1" si="375"/>
        <v>546.25196909631586</v>
      </c>
      <c r="CB118" s="77">
        <f t="shared" ca="1" si="376"/>
        <v>0</v>
      </c>
      <c r="CC118" s="77">
        <f t="shared" ca="1" si="377"/>
        <v>453.34813385573159</v>
      </c>
      <c r="CD118" s="54">
        <f t="shared" ca="1" si="378"/>
        <v>4.5792740793508235</v>
      </c>
      <c r="CE118" s="53">
        <f ca="1">OFFSET('National statistics'!$A$6,MATCH(R0_estimation!$A118,'National statistics'!$A$7:$A$5000,0),MATCH(R0_estimation!CE$16 &amp; "_Running14daysNew",'National statistics'!$B$1:$HA$1,0))</f>
        <v>18384</v>
      </c>
      <c r="CF118" s="97">
        <f t="shared" ca="1" si="394"/>
        <v>0.97558293196811685</v>
      </c>
      <c r="CG118" s="98">
        <f t="shared" ca="1" si="193"/>
        <v>1.2165621122686727</v>
      </c>
      <c r="CH118" s="77">
        <f t="shared" ca="1" si="379"/>
        <v>7220575.7657067347</v>
      </c>
      <c r="CI118" s="77">
        <f t="shared" ca="1" si="380"/>
        <v>5051.9190477384691</v>
      </c>
      <c r="CJ118" s="77">
        <f t="shared" ca="1" si="381"/>
        <v>18204.218238042682</v>
      </c>
      <c r="CK118" s="77">
        <f t="shared" ca="1" si="382"/>
        <v>0</v>
      </c>
      <c r="CL118" s="77">
        <f t="shared" ca="1" si="383"/>
        <v>60440.491274907465</v>
      </c>
      <c r="CM118" s="54">
        <f t="shared" ca="1" si="384"/>
        <v>610.51001287785311</v>
      </c>
      <c r="CO118" s="209"/>
      <c r="CP118" s="210"/>
    </row>
    <row r="119" spans="1:94">
      <c r="A119" s="83">
        <v>44019</v>
      </c>
      <c r="B119" s="53">
        <f ca="1">OFFSET('National statistics'!$A$6,MATCH(R0_estimation!$A119,'National statistics'!$A$7:$A$5000,0),MATCH(R0_estimation!B$16 &amp; "_Running14daysNew",'National statistics'!$B$1:$HA$1,0))</f>
        <v>109747</v>
      </c>
      <c r="C119" s="97">
        <f t="shared" ca="1" si="385"/>
        <v>2.0904899451712211</v>
      </c>
      <c r="D119" s="98">
        <f t="shared" si="194"/>
        <v>1</v>
      </c>
      <c r="E119" s="77">
        <f t="shared" ca="1" si="325"/>
        <v>59404577.841310807</v>
      </c>
      <c r="F119" s="77">
        <f t="shared" ca="1" si="326"/>
        <v>52862.505772130127</v>
      </c>
      <c r="G119" s="77">
        <f t="shared" ca="1" si="327"/>
        <v>107319.01767994143</v>
      </c>
      <c r="H119" s="77">
        <f t="shared" ca="1" si="328"/>
        <v>0</v>
      </c>
      <c r="I119" s="77">
        <f t="shared" ca="1" si="329"/>
        <v>151240.46669986483</v>
      </c>
      <c r="J119" s="54">
        <f t="shared" ca="1" si="330"/>
        <v>1527.6814818168168</v>
      </c>
      <c r="K119" s="53">
        <f ca="1">OFFSET('National statistics'!$A$6,MATCH(R0_estimation!$A119,'National statistics'!$A$7:$A$5000,0),MATCH(R0_estimation!K$16 &amp; "_Running14daysNew",'National statistics'!$B$1:$HA$1,0))</f>
        <v>22293</v>
      </c>
      <c r="L119" s="97">
        <f t="shared" ca="1" si="386"/>
        <v>1.8311476326842264</v>
      </c>
      <c r="M119" s="98">
        <f t="shared" ca="1" si="185"/>
        <v>1.3891436550517304</v>
      </c>
      <c r="N119" s="77">
        <f t="shared" ca="1" si="331"/>
        <v>6812059.7493594298</v>
      </c>
      <c r="O119" s="77">
        <f t="shared" ca="1" si="332"/>
        <v>9950.914565723202</v>
      </c>
      <c r="P119" s="77">
        <f t="shared" ca="1" si="333"/>
        <v>22244.138385624385</v>
      </c>
      <c r="Q119" s="77">
        <f t="shared" ca="1" si="334"/>
        <v>0</v>
      </c>
      <c r="R119" s="77">
        <f t="shared" ca="1" si="335"/>
        <v>26244.287269073578</v>
      </c>
      <c r="S119" s="54">
        <f t="shared" ca="1" si="336"/>
        <v>265.09381079872298</v>
      </c>
      <c r="T119" s="53">
        <f ca="1">OFFSET('National statistics'!$A$6,MATCH(R0_estimation!$A119,'National statistics'!$A$7:$A$5000,0),MATCH(R0_estimation!T$16 &amp; "_Running14daysNew",'National statistics'!$B$1:$HA$1,0))</f>
        <v>2220</v>
      </c>
      <c r="U119" s="97">
        <f t="shared" ca="1" si="387"/>
        <v>4.198313051542212</v>
      </c>
      <c r="V119" s="98">
        <f t="shared" ca="1" si="186"/>
        <v>0.50313552847557719</v>
      </c>
      <c r="W119" s="77">
        <f t="shared" ca="1" si="337"/>
        <v>2803538.6909098625</v>
      </c>
      <c r="X119" s="77">
        <f t="shared" ca="1" si="338"/>
        <v>1669.6055227584009</v>
      </c>
      <c r="Y119" s="77">
        <f t="shared" ca="1" si="339"/>
        <v>2102.7983926809375</v>
      </c>
      <c r="Z119" s="77">
        <f t="shared" ca="1" si="340"/>
        <v>0</v>
      </c>
      <c r="AA119" s="77">
        <f t="shared" ca="1" si="341"/>
        <v>1681.054177081709</v>
      </c>
      <c r="AB119" s="54">
        <f t="shared" ca="1" si="342"/>
        <v>16.980345223047568</v>
      </c>
      <c r="AC119" s="53">
        <f ca="1">OFFSET('National statistics'!$A$6,MATCH(R0_estimation!$A119,'National statistics'!$A$7:$A$5000,0),MATCH(R0_estimation!AC$16 &amp; "_Running14daysNew",'National statistics'!$B$1:$HA$1,0))</f>
        <v>47447</v>
      </c>
      <c r="AD119" s="97">
        <f t="shared" ca="1" si="388"/>
        <v>2.3126264869834054</v>
      </c>
      <c r="AE119" s="98">
        <f t="shared" ca="1" si="187"/>
        <v>0.57565754152920057</v>
      </c>
      <c r="AF119" s="77">
        <f t="shared" ca="1" si="343"/>
        <v>15525757.104614969</v>
      </c>
      <c r="AG119" s="77">
        <f t="shared" ca="1" si="344"/>
        <v>24347.348110019164</v>
      </c>
      <c r="AH119" s="77">
        <f t="shared" ca="1" si="345"/>
        <v>46062.329354942194</v>
      </c>
      <c r="AI119" s="77">
        <f t="shared" ca="1" si="346"/>
        <v>0</v>
      </c>
      <c r="AJ119" s="77">
        <f t="shared" ca="1" si="347"/>
        <v>42836.69557440553</v>
      </c>
      <c r="AK119" s="54">
        <f t="shared" ca="1" si="348"/>
        <v>432.69389469096507</v>
      </c>
      <c r="AL119" s="53">
        <f ca="1">OFFSET('National statistics'!$A$6,MATCH(R0_estimation!$A119,'National statistics'!$A$7:$A$5000,0),MATCH(R0_estimation!AL$16 &amp; "_Running14daysNew",'National statistics'!$B$1:$HA$1,0))</f>
        <v>11118</v>
      </c>
      <c r="AM119" s="97">
        <f t="shared" ca="1" si="389"/>
        <v>3.9118321635306974</v>
      </c>
      <c r="AN119" s="98">
        <f t="shared" ca="1" si="188"/>
        <v>0.74495013848278369</v>
      </c>
      <c r="AO119" s="77">
        <f t="shared" ca="1" si="349"/>
        <v>10972531.381190332</v>
      </c>
      <c r="AP119" s="77">
        <f t="shared" ca="1" si="350"/>
        <v>8055.9220739721104</v>
      </c>
      <c r="AQ119" s="77">
        <f t="shared" ca="1" si="351"/>
        <v>10632.482518739316</v>
      </c>
      <c r="AR119" s="77">
        <f t="shared" ca="1" si="352"/>
        <v>0</v>
      </c>
      <c r="AS119" s="77">
        <f t="shared" ca="1" si="353"/>
        <v>9216.5200421564496</v>
      </c>
      <c r="AT119" s="54">
        <f t="shared" ca="1" si="354"/>
        <v>93.096162041984343</v>
      </c>
      <c r="AU119" s="53">
        <f ca="1">OFFSET('National statistics'!$A$6,MATCH(R0_estimation!$A119,'National statistics'!$A$7:$A$5000,0),MATCH(R0_estimation!AU$16 &amp; "_Running14daysNew",'National statistics'!$B$1:$HA$1,0))</f>
        <v>1328</v>
      </c>
      <c r="AV119" s="97">
        <f t="shared" ca="1" si="390"/>
        <v>3.1226563099465383</v>
      </c>
      <c r="AW119" s="98">
        <f t="shared" ca="1" si="189"/>
        <v>0.85754424097138826</v>
      </c>
      <c r="AX119" s="77">
        <f t="shared" ca="1" si="355"/>
        <v>5850456.9422544362</v>
      </c>
      <c r="AY119" s="77">
        <f t="shared" ca="1" si="356"/>
        <v>873.21456226434816</v>
      </c>
      <c r="AZ119" s="77">
        <f t="shared" ca="1" si="357"/>
        <v>1338.2883830776741</v>
      </c>
      <c r="BA119" s="77">
        <f t="shared" ca="1" si="358"/>
        <v>0</v>
      </c>
      <c r="BB119" s="77">
        <f t="shared" ca="1" si="359"/>
        <v>1158.6682375978173</v>
      </c>
      <c r="BC119" s="54">
        <f t="shared" ca="1" si="360"/>
        <v>11.703719571695123</v>
      </c>
      <c r="BD119" s="53">
        <f ca="1">OFFSET('National statistics'!$A$6,MATCH(R0_estimation!$A119,'National statistics'!$A$7:$A$5000,0),MATCH(R0_estimation!BD$16 &amp; "_Running14daysNew",'National statistics'!$B$1:$HA$1,0))</f>
        <v>1691</v>
      </c>
      <c r="BE119" s="97">
        <f t="shared" ca="1" si="391"/>
        <v>3.061981421838242</v>
      </c>
      <c r="BF119" s="98">
        <f t="shared" ca="1" si="190"/>
        <v>0.72178134408538486</v>
      </c>
      <c r="BG119" s="77">
        <f t="shared" ca="1" si="361"/>
        <v>4805190.3704510825</v>
      </c>
      <c r="BH119" s="77">
        <f t="shared" ca="1" si="362"/>
        <v>1072.4933207286856</v>
      </c>
      <c r="BI119" s="77">
        <f t="shared" ca="1" si="363"/>
        <v>1665.8672154938458</v>
      </c>
      <c r="BJ119" s="77">
        <f t="shared" ca="1" si="364"/>
        <v>0</v>
      </c>
      <c r="BK119" s="77">
        <f t="shared" ca="1" si="365"/>
        <v>1256.2163589250808</v>
      </c>
      <c r="BL119" s="54">
        <f t="shared" ca="1" si="366"/>
        <v>12.689054130556373</v>
      </c>
      <c r="BM119" s="53">
        <f ca="1">OFFSET('National statistics'!$A$6,MATCH(R0_estimation!$A119,'National statistics'!$A$7:$A$5000,0),MATCH(R0_estimation!BM$16 &amp; "_Running14daysNew",'National statistics'!$B$1:$HA$1,0))</f>
        <v>4388</v>
      </c>
      <c r="BN119" s="97">
        <f t="shared" ca="1" si="392"/>
        <v>2.2007901862579322</v>
      </c>
      <c r="BO119" s="98">
        <f t="shared" ca="1" si="191"/>
        <v>0.99326027081939861</v>
      </c>
      <c r="BP119" s="77">
        <f t="shared" ca="1" si="367"/>
        <v>4097005.535360517</v>
      </c>
      <c r="BQ119" s="77">
        <f t="shared" ca="1" si="368"/>
        <v>2194.1187527656193</v>
      </c>
      <c r="BR119" s="77">
        <f t="shared" ca="1" si="369"/>
        <v>4286.6603373895905</v>
      </c>
      <c r="BS119" s="77">
        <f t="shared" ca="1" si="370"/>
        <v>0</v>
      </c>
      <c r="BT119" s="77">
        <f t="shared" ca="1" si="371"/>
        <v>4107.3667562727342</v>
      </c>
      <c r="BU119" s="54">
        <f t="shared" ca="1" si="372"/>
        <v>41.488553093663981</v>
      </c>
      <c r="BV119" s="53">
        <f ca="1">OFFSET('National statistics'!$A$6,MATCH(R0_estimation!$A119,'National statistics'!$A$7:$A$5000,0),MATCH(R0_estimation!BV$16 &amp; "_Running14daysNew",'National statistics'!$B$1:$HA$1,0))</f>
        <v>618</v>
      </c>
      <c r="BW119" s="97">
        <f t="shared" ca="1" si="393"/>
        <v>3.7107329023164666</v>
      </c>
      <c r="BX119" s="98">
        <f t="shared" ca="1" si="192"/>
        <v>0.68996207341942262</v>
      </c>
      <c r="BY119" s="77">
        <f t="shared" ca="1" si="373"/>
        <v>1320685.3307582652</v>
      </c>
      <c r="BZ119" s="77">
        <f t="shared" ca="1" si="374"/>
        <v>444.59973166051469</v>
      </c>
      <c r="CA119" s="77">
        <f t="shared" ca="1" si="375"/>
        <v>607.22317672382758</v>
      </c>
      <c r="CB119" s="77">
        <f t="shared" ca="1" si="376"/>
        <v>0</v>
      </c>
      <c r="CC119" s="77">
        <f t="shared" ca="1" si="377"/>
        <v>491.97595167039964</v>
      </c>
      <c r="CD119" s="54">
        <f t="shared" ca="1" si="378"/>
        <v>4.9694540572767636</v>
      </c>
      <c r="CE119" s="53">
        <f ca="1">OFFSET('National statistics'!$A$6,MATCH(R0_estimation!$A119,'National statistics'!$A$7:$A$5000,0),MATCH(R0_estimation!CE$16 &amp; "_Running14daysNew",'National statistics'!$B$1:$HA$1,0))</f>
        <v>18644</v>
      </c>
      <c r="CF119" s="97">
        <f t="shared" ca="1" si="394"/>
        <v>0.97558293196811685</v>
      </c>
      <c r="CG119" s="98">
        <f t="shared" ca="1" si="193"/>
        <v>1.2165621122686727</v>
      </c>
      <c r="CH119" s="77">
        <f t="shared" ca="1" si="379"/>
        <v>7219321.7497579549</v>
      </c>
      <c r="CI119" s="77">
        <f t="shared" ca="1" si="380"/>
        <v>5042.9552345837383</v>
      </c>
      <c r="CJ119" s="77">
        <f t="shared" ca="1" si="381"/>
        <v>18166.896697259966</v>
      </c>
      <c r="CK119" s="77">
        <f t="shared" ca="1" si="382"/>
        <v>0</v>
      </c>
      <c r="CL119" s="77">
        <f t="shared" ca="1" si="383"/>
        <v>61727.789564597624</v>
      </c>
      <c r="CM119" s="54">
        <f t="shared" ca="1" si="384"/>
        <v>623.51302590502644</v>
      </c>
      <c r="CO119" s="209"/>
      <c r="CP119" s="210"/>
    </row>
    <row r="120" spans="1:94">
      <c r="A120" s="83">
        <v>44020</v>
      </c>
      <c r="B120" s="53">
        <f ca="1">OFFSET('National statistics'!$A$6,MATCH(R0_estimation!$A120,'National statistics'!$A$7:$A$5000,0),MATCH(R0_estimation!B$16 &amp; "_Running14daysNew",'National statistics'!$B$1:$HA$1,0))</f>
        <v>112869</v>
      </c>
      <c r="C120" s="97">
        <f t="shared" ca="1" si="385"/>
        <v>1.4871713096412069</v>
      </c>
      <c r="D120" s="98">
        <f t="shared" si="194"/>
        <v>1</v>
      </c>
      <c r="E120" s="77">
        <f t="shared" ca="1" si="325"/>
        <v>59388636.460297897</v>
      </c>
      <c r="F120" s="77">
        <f t="shared" ca="1" si="326"/>
        <v>55588.260342006142</v>
      </c>
      <c r="G120" s="77">
        <f t="shared" ca="1" si="327"/>
        <v>112869.00000297814</v>
      </c>
      <c r="H120" s="77">
        <f t="shared" ca="1" si="328"/>
        <v>0</v>
      </c>
      <c r="I120" s="77">
        <f t="shared" ca="1" si="329"/>
        <v>158829.45437866068</v>
      </c>
      <c r="J120" s="54">
        <f t="shared" ca="1" si="330"/>
        <v>1604.337923016775</v>
      </c>
      <c r="K120" s="53">
        <f ca="1">OFFSET('National statistics'!$A$6,MATCH(R0_estimation!$A120,'National statistics'!$A$7:$A$5000,0),MATCH(R0_estimation!K$16 &amp; "_Running14daysNew",'National statistics'!$B$1:$HA$1,0))</f>
        <v>23143</v>
      </c>
      <c r="L120" s="97">
        <f t="shared" ca="1" si="386"/>
        <v>0.97213300294969573</v>
      </c>
      <c r="M120" s="98">
        <f t="shared" ca="1" si="185"/>
        <v>1.3891436550517304</v>
      </c>
      <c r="N120" s="77">
        <f t="shared" ca="1" si="331"/>
        <v>6809175.0465693902</v>
      </c>
      <c r="O120" s="77">
        <f t="shared" ca="1" si="332"/>
        <v>10347.888714331742</v>
      </c>
      <c r="P120" s="77">
        <f t="shared" ca="1" si="333"/>
        <v>23142.999999510586</v>
      </c>
      <c r="Q120" s="77">
        <f t="shared" ca="1" si="334"/>
        <v>0</v>
      </c>
      <c r="R120" s="77">
        <f t="shared" ca="1" si="335"/>
        <v>27817.265626342731</v>
      </c>
      <c r="S120" s="54">
        <f t="shared" ca="1" si="336"/>
        <v>280.98248107416896</v>
      </c>
      <c r="T120" s="53">
        <f ca="1">OFFSET('National statistics'!$A$6,MATCH(R0_estimation!$A120,'National statistics'!$A$7:$A$5000,0),MATCH(R0_estimation!T$16 &amp; "_Running14daysNew",'National statistics'!$B$1:$HA$1,0))</f>
        <v>2370</v>
      </c>
      <c r="U120" s="97">
        <f t="shared" ca="1" si="387"/>
        <v>3.2573756695954525</v>
      </c>
      <c r="V120" s="98">
        <f t="shared" ca="1" si="186"/>
        <v>0.50313552847557719</v>
      </c>
      <c r="W120" s="77">
        <f t="shared" ca="1" si="337"/>
        <v>2802909.3290095758</v>
      </c>
      <c r="X120" s="77">
        <f t="shared" ca="1" si="338"/>
        <v>1881.5660423554789</v>
      </c>
      <c r="Y120" s="77">
        <f t="shared" ca="1" si="339"/>
        <v>2369.999888179042</v>
      </c>
      <c r="Z120" s="77">
        <f t="shared" ca="1" si="340"/>
        <v>0</v>
      </c>
      <c r="AA120" s="77">
        <f t="shared" ca="1" si="341"/>
        <v>1829.7520634212897</v>
      </c>
      <c r="AB120" s="54">
        <f t="shared" ca="1" si="342"/>
        <v>18.482344074962523</v>
      </c>
      <c r="AC120" s="53">
        <f ca="1">OFFSET('National statistics'!$A$6,MATCH(R0_estimation!$A120,'National statistics'!$A$7:$A$5000,0),MATCH(R0_estimation!AC$16 &amp; "_Running14daysNew",'National statistics'!$B$1:$HA$1,0))</f>
        <v>48859</v>
      </c>
      <c r="AD120" s="97">
        <f t="shared" ca="1" si="388"/>
        <v>1.3382350102780447</v>
      </c>
      <c r="AE120" s="98">
        <f t="shared" ca="1" si="187"/>
        <v>0.57565754152920057</v>
      </c>
      <c r="AF120" s="77">
        <f t="shared" ca="1" si="343"/>
        <v>15518203.277040705</v>
      </c>
      <c r="AG120" s="77">
        <f t="shared" ca="1" si="344"/>
        <v>25814.33865677772</v>
      </c>
      <c r="AH120" s="77">
        <f t="shared" ca="1" si="345"/>
        <v>48858.999999951113</v>
      </c>
      <c r="AI120" s="77">
        <f t="shared" ca="1" si="346"/>
        <v>0</v>
      </c>
      <c r="AJ120" s="77">
        <f t="shared" ca="1" si="347"/>
        <v>46093.960293076445</v>
      </c>
      <c r="AK120" s="54">
        <f t="shared" ca="1" si="348"/>
        <v>465.59555851592376</v>
      </c>
      <c r="AL120" s="53">
        <f ca="1">OFFSET('National statistics'!$A$6,MATCH(R0_estimation!$A120,'National statistics'!$A$7:$A$5000,0),MATCH(R0_estimation!AL$16 &amp; "_Running14daysNew",'National statistics'!$B$1:$HA$1,0))</f>
        <v>11887</v>
      </c>
      <c r="AM120" s="97">
        <f t="shared" ca="1" si="389"/>
        <v>2.4526722057434021</v>
      </c>
      <c r="AN120" s="98">
        <f t="shared" ca="1" si="188"/>
        <v>0.74495013848278369</v>
      </c>
      <c r="AO120" s="77">
        <f t="shared" ca="1" si="349"/>
        <v>10969568.025548378</v>
      </c>
      <c r="AP120" s="77">
        <f t="shared" ca="1" si="350"/>
        <v>9005.2971974326247</v>
      </c>
      <c r="AQ120" s="77">
        <f t="shared" ca="1" si="351"/>
        <v>11887.000000179536</v>
      </c>
      <c r="AR120" s="77">
        <f t="shared" ca="1" si="352"/>
        <v>0</v>
      </c>
      <c r="AS120" s="77">
        <f t="shared" ca="1" si="353"/>
        <v>9968.3884488387303</v>
      </c>
      <c r="AT120" s="54">
        <f t="shared" ca="1" si="354"/>
        <v>100.69079241251242</v>
      </c>
      <c r="AU120" s="53">
        <f ca="1">OFFSET('National statistics'!$A$6,MATCH(R0_estimation!$A120,'National statistics'!$A$7:$A$5000,0),MATCH(R0_estimation!AU$16 &amp; "_Running14daysNew",'National statistics'!$B$1:$HA$1,0))</f>
        <v>1461</v>
      </c>
      <c r="AV120" s="97">
        <f t="shared" ca="1" si="390"/>
        <v>2.3100549624621229</v>
      </c>
      <c r="AW120" s="98">
        <f t="shared" ca="1" si="189"/>
        <v>0.85754424097138826</v>
      </c>
      <c r="AX120" s="77">
        <f t="shared" ca="1" si="355"/>
        <v>5850158.6130603319</v>
      </c>
      <c r="AY120" s="77">
        <f t="shared" ca="1" si="356"/>
        <v>953.2401158022742</v>
      </c>
      <c r="AZ120" s="77">
        <f t="shared" ca="1" si="357"/>
        <v>1460.9999962810703</v>
      </c>
      <c r="BA120" s="77">
        <f t="shared" ca="1" si="358"/>
        <v>0</v>
      </c>
      <c r="BB120" s="77">
        <f t="shared" ca="1" si="359"/>
        <v>1253.3043446868814</v>
      </c>
      <c r="BC120" s="54">
        <f t="shared" ca="1" si="360"/>
        <v>12.659639845322033</v>
      </c>
      <c r="BD120" s="53">
        <f ca="1">OFFSET('National statistics'!$A$6,MATCH(R0_estimation!$A120,'National statistics'!$A$7:$A$5000,0),MATCH(R0_estimation!BD$16 &amp; "_Running14daysNew",'National statistics'!$B$1:$HA$1,0))</f>
        <v>1815</v>
      </c>
      <c r="BE120" s="97">
        <f t="shared" ca="1" si="391"/>
        <v>2.9472771828663058</v>
      </c>
      <c r="BF120" s="98">
        <f t="shared" ca="1" si="190"/>
        <v>0.72178134408538486</v>
      </c>
      <c r="BG120" s="77">
        <f t="shared" ca="1" si="361"/>
        <v>4804826.3263351265</v>
      </c>
      <c r="BH120" s="77">
        <f t="shared" ca="1" si="362"/>
        <v>1168.4141065021061</v>
      </c>
      <c r="BI120" s="77">
        <f t="shared" ca="1" si="363"/>
        <v>1815.0000302835997</v>
      </c>
      <c r="BJ120" s="77">
        <f t="shared" ca="1" si="364"/>
        <v>0</v>
      </c>
      <c r="BK120" s="77">
        <f t="shared" ca="1" si="365"/>
        <v>1374.0169691635742</v>
      </c>
      <c r="BL120" s="54">
        <f t="shared" ca="1" si="366"/>
        <v>13.878959284480549</v>
      </c>
      <c r="BM120" s="53">
        <f ca="1">OFFSET('National statistics'!$A$6,MATCH(R0_estimation!$A120,'National statistics'!$A$7:$A$5000,0),MATCH(R0_estimation!BM$16 &amp; "_Running14daysNew",'National statistics'!$B$1:$HA$1,0))</f>
        <v>4529</v>
      </c>
      <c r="BN120" s="97">
        <f t="shared" ca="1" si="392"/>
        <v>1.7549160185529205</v>
      </c>
      <c r="BO120" s="98">
        <f t="shared" ca="1" si="191"/>
        <v>0.99326027081939861</v>
      </c>
      <c r="BP120" s="77">
        <f t="shared" ca="1" si="367"/>
        <v>4096333.4123695367</v>
      </c>
      <c r="BQ120" s="77">
        <f t="shared" ca="1" si="368"/>
        <v>2317.7120555546626</v>
      </c>
      <c r="BR120" s="77">
        <f t="shared" ca="1" si="369"/>
        <v>4529.0000014817388</v>
      </c>
      <c r="BS120" s="77">
        <f t="shared" ca="1" si="370"/>
        <v>0</v>
      </c>
      <c r="BT120" s="77">
        <f t="shared" ca="1" si="371"/>
        <v>4410.4948801309984</v>
      </c>
      <c r="BU120" s="54">
        <f t="shared" ca="1" si="372"/>
        <v>44.550453334656545</v>
      </c>
      <c r="BV120" s="53">
        <f ca="1">OFFSET('National statistics'!$A$6,MATCH(R0_estimation!$A120,'National statistics'!$A$7:$A$5000,0),MATCH(R0_estimation!BV$16 &amp; "_Running14daysNew",'National statistics'!$B$1:$HA$1,0))</f>
        <v>675</v>
      </c>
      <c r="BW120" s="97">
        <f t="shared" ca="1" si="393"/>
        <v>2.3513154820600626</v>
      </c>
      <c r="BX120" s="98">
        <f t="shared" ca="1" si="192"/>
        <v>0.68996207341942262</v>
      </c>
      <c r="BY120" s="77">
        <f t="shared" ca="1" si="373"/>
        <v>1320524.5727443011</v>
      </c>
      <c r="BZ120" s="77">
        <f t="shared" ca="1" si="374"/>
        <v>494.20781270944536</v>
      </c>
      <c r="CA120" s="77">
        <f t="shared" ca="1" si="375"/>
        <v>675.0000255872543</v>
      </c>
      <c r="CB120" s="77">
        <f t="shared" ca="1" si="376"/>
        <v>0</v>
      </c>
      <c r="CC120" s="77">
        <f t="shared" ca="1" si="377"/>
        <v>534.91530488158458</v>
      </c>
      <c r="CD120" s="54">
        <f t="shared" ca="1" si="378"/>
        <v>5.4031848977937837</v>
      </c>
      <c r="CE120" s="53">
        <f ca="1">OFFSET('National statistics'!$A$6,MATCH(R0_estimation!$A120,'National statistics'!$A$7:$A$5000,0),MATCH(R0_estimation!CE$16 &amp; "_Running14daysNew",'National statistics'!$B$1:$HA$1,0))</f>
        <v>18130</v>
      </c>
      <c r="CF120" s="97">
        <f t="shared" ca="1" si="394"/>
        <v>0.67342857018631086</v>
      </c>
      <c r="CG120" s="98">
        <f t="shared" ca="1" si="193"/>
        <v>1.2165621122686727</v>
      </c>
      <c r="CH120" s="77">
        <f t="shared" ca="1" si="379"/>
        <v>7218070.5198554257</v>
      </c>
      <c r="CI120" s="77">
        <f t="shared" ca="1" si="380"/>
        <v>5033.4463284666763</v>
      </c>
      <c r="CJ120" s="77">
        <f t="shared" ca="1" si="381"/>
        <v>18130.00002753019</v>
      </c>
      <c r="CK120" s="77">
        <f t="shared" ca="1" si="382"/>
        <v>0</v>
      </c>
      <c r="CL120" s="77">
        <f t="shared" ca="1" si="383"/>
        <v>63012.448688189579</v>
      </c>
      <c r="CM120" s="54">
        <f t="shared" ca="1" si="384"/>
        <v>636.48938068878351</v>
      </c>
      <c r="CO120" s="209"/>
      <c r="CP120" s="210"/>
    </row>
    <row r="121" spans="1:94">
      <c r="A121" s="83">
        <v>44021</v>
      </c>
      <c r="B121" s="53">
        <f ca="1">OFFSET('National statistics'!$A$6,MATCH(R0_estimation!$A121,'National statistics'!$A$7:$A$5000,0),MATCH(R0_estimation!B$16 &amp; "_Running14daysNew",'National statistics'!$B$1:$HA$1,0))</f>
        <v>119964</v>
      </c>
      <c r="C121" s="97">
        <f t="shared" ca="1" si="385"/>
        <v>1.4871713096412069</v>
      </c>
      <c r="D121" s="98">
        <f t="shared" si="194"/>
        <v>1</v>
      </c>
      <c r="E121" s="77">
        <f t="shared" ref="E121" ca="1" si="395">E120-E120*(C120/14)*G120*G$16/SUM(E120:I120)-E120*(D120/14)*H$16*H120/SUM(E120:I120)</f>
        <v>59376712.491151378</v>
      </c>
      <c r="F121" s="77">
        <f t="shared" ref="F121" ca="1" si="396">F120+E120*(C120/14)*G120*G$16/SUM(E120:I120)+E120*(D120/14)*H$16*H120/SUM(E120:I120)-F120/4</f>
        <v>53615.164403027688</v>
      </c>
      <c r="G121" s="77">
        <f t="shared" ref="G121" ca="1" si="397">G120+G$16*F120/4-G120/14</f>
        <v>118703.99365969552</v>
      </c>
      <c r="H121" s="77">
        <f t="shared" ref="H121" ca="1" si="398">H120+H$16*F120/4-H120/14</f>
        <v>0</v>
      </c>
      <c r="I121" s="77">
        <f t="shared" ref="I121" ca="1" si="399">I120+H120/14+(G120/14)*(1-J$16)</f>
        <v>166810.90509315699</v>
      </c>
      <c r="J121" s="54">
        <f t="shared" ref="J121" ca="1" si="400">J120+(G120/14)*(J$16)</f>
        <v>1684.9586373046166</v>
      </c>
      <c r="K121" s="53">
        <f ca="1">OFFSET('National statistics'!$A$6,MATCH(R0_estimation!$A121,'National statistics'!$A$7:$A$5000,0),MATCH(R0_estimation!K$16 &amp; "_Running14daysNew",'National statistics'!$B$1:$HA$1,0))</f>
        <v>23945</v>
      </c>
      <c r="L121" s="97">
        <f t="shared" ca="1" si="386"/>
        <v>0.97213300294969573</v>
      </c>
      <c r="M121" s="98">
        <f t="shared" ca="1" si="185"/>
        <v>1.3891436550517304</v>
      </c>
      <c r="N121" s="77">
        <f t="shared" ref="N121" ca="1" si="401">N120-N120*(L120/14)*P120/SUM(N120:R120)-N120*(M120/14)*Q120/SUM(N120:R120)</f>
        <v>6807582.3812482739</v>
      </c>
      <c r="O121" s="77">
        <f t="shared" ref="O121" ca="1" si="402">O120+N120*(L120/14)*P120/SUM(N120:R120)+N120*(M120/14)*Q120/SUM(N120:R120)-O120/4</f>
        <v>9353.5818568653376</v>
      </c>
      <c r="P121" s="77">
        <f t="shared" ref="P121" ca="1" si="403">P120+(O120/4)*P$16-P120/14</f>
        <v>24076.900749557051</v>
      </c>
      <c r="Q121" s="77">
        <f t="shared" ref="Q121" ca="1" si="404">Q120+(O120/4)*Q$16-Q120/14</f>
        <v>0</v>
      </c>
      <c r="R121" s="77">
        <f t="shared" ref="R121" ca="1" si="405">R120+Q120/14+(P120/14)*(1-S$16)</f>
        <v>29453.806340593837</v>
      </c>
      <c r="S121" s="54">
        <f t="shared" ref="S121" ca="1" si="406">S120+(P120/14)*(S$16)</f>
        <v>297.51319535953365</v>
      </c>
      <c r="T121" s="53">
        <f ca="1">OFFSET('National statistics'!$A$6,MATCH(R0_estimation!$A121,'National statistics'!$A$7:$A$5000,0),MATCH(R0_estimation!T$16 &amp; "_Running14daysNew",'National statistics'!$B$1:$HA$1,0))</f>
        <v>2748</v>
      </c>
      <c r="U121" s="97">
        <f t="shared" ca="1" si="387"/>
        <v>3.2573756695954525</v>
      </c>
      <c r="V121" s="98">
        <f t="shared" ca="1" si="186"/>
        <v>0.50313552847557719</v>
      </c>
      <c r="W121" s="77">
        <f t="shared" ref="W121" ca="1" si="407">W120-W120*(U120/14)*Y120/SUM(W120:AA120)-W120*(V120/14)*Z120/SUM(W120:AA120)</f>
        <v>2802359.0956796193</v>
      </c>
      <c r="X121" s="77">
        <f t="shared" ref="X121" ca="1" si="408">X120+W120*(U120/14)*Y120/SUM(W120:AA120)+W120*(V120/14)*Z120/SUM(W120:AA120)-X120/4</f>
        <v>1961.4078617230959</v>
      </c>
      <c r="Y121" s="77">
        <f t="shared" ref="Y121" ca="1" si="409">Y120+(X120/4)*Y$16-Y120/14</f>
        <v>2671.1056924694085</v>
      </c>
      <c r="Z121" s="77">
        <f t="shared" ref="Z121" ca="1" si="410">Z120+(X120/4)*Z$16-Z120/14</f>
        <v>0</v>
      </c>
      <c r="AA121" s="77">
        <f t="shared" ref="AA121" ca="1" si="411">AA120+Z120/14+(Y120/14)*(1-AB$16)</f>
        <v>1997.3449126568075</v>
      </c>
      <c r="AB121" s="54">
        <f t="shared" ref="AB121" ca="1" si="412">AB120+(Y120/14)*(AB$16)</f>
        <v>20.175201137947553</v>
      </c>
      <c r="AC121" s="53">
        <f ca="1">OFFSET('National statistics'!$A$6,MATCH(R0_estimation!$A121,'National statistics'!$A$7:$A$5000,0),MATCH(R0_estimation!AC$16 &amp; "_Running14daysNew",'National statistics'!$B$1:$HA$1,0))</f>
        <v>52800</v>
      </c>
      <c r="AD121" s="97">
        <f t="shared" ca="1" si="388"/>
        <v>1.3382350102780447</v>
      </c>
      <c r="AE121" s="98">
        <f t="shared" ca="1" si="187"/>
        <v>0.57565754152920057</v>
      </c>
      <c r="AF121" s="77">
        <f t="shared" ref="AF121" ca="1" si="413">AF120-AF120*(AD120/14)*AH120/SUM(AF120:AJ120)-AF120*(AE120/14)*AI120/SUM(AF120:AJ120)</f>
        <v>15513568.997790162</v>
      </c>
      <c r="AG121" s="77">
        <f t="shared" ref="AG121" ca="1" si="414">AG120+AF120*(AD120/14)*AH120/SUM(AF120:AJ120)+AF120*(AE120/14)*AI120/SUM(AF120:AJ120)-AG120/4</f>
        <v>23995.033243126731</v>
      </c>
      <c r="AH121" s="77">
        <f t="shared" ref="AH121" ca="1" si="415">AH120+(AG120/4)*AH$16-AH120/14</f>
        <v>51822.656092720463</v>
      </c>
      <c r="AI121" s="77">
        <f t="shared" ref="AI121" ca="1" si="416">AI120+(AG120/4)*AI$16-AI120/14</f>
        <v>0</v>
      </c>
      <c r="AJ121" s="77">
        <f t="shared" ref="AJ121" ca="1" si="417">AJ120+AI120/14+(AH120/14)*(1-AK$16)</f>
        <v>49548.989578787274</v>
      </c>
      <c r="AK121" s="54">
        <f t="shared" ref="AK121" ca="1" si="418">AK120+(AH120/14)*(AK$16)</f>
        <v>500.49484423017452</v>
      </c>
      <c r="AL121" s="53">
        <f ca="1">OFFSET('National statistics'!$A$6,MATCH(R0_estimation!$A121,'National statistics'!$A$7:$A$5000,0),MATCH(R0_estimation!AL$16 &amp; "_Running14daysNew",'National statistics'!$B$1:$HA$1,0))</f>
        <v>13040</v>
      </c>
      <c r="AM121" s="97">
        <f t="shared" ca="1" si="389"/>
        <v>2.4526722057434021</v>
      </c>
      <c r="AN121" s="98">
        <f t="shared" ca="1" si="188"/>
        <v>0.74495013848278369</v>
      </c>
      <c r="AO121" s="77">
        <f t="shared" ref="AO121" ca="1" si="419">AO120-AO120*(AM120/14)*AQ120/SUM(AO120:AS120)-AO120*(AN120/14)*AR120/SUM(AO120:AS120)</f>
        <v>10967491.373898869</v>
      </c>
      <c r="AP121" s="77">
        <f t="shared" ref="AP121" ca="1" si="420">AP120+AO120*(AM120/14)*AQ120/SUM(AO120:AS120)+AO120*(AN120/14)*AR120/SUM(AO120:AS120)-AP120/4</f>
        <v>8830.6245475834585</v>
      </c>
      <c r="AQ121" s="77">
        <f t="shared" ref="AQ121" ca="1" si="421">AQ120+(AP120/4)*AQ$16-AQ120/14</f>
        <v>13289.25287095344</v>
      </c>
      <c r="AR121" s="77">
        <f t="shared" ref="AR121" ca="1" si="422">AR120+(AP120/4)*AR$16-AR120/14</f>
        <v>0</v>
      </c>
      <c r="AS121" s="77">
        <f t="shared" ref="AS121" ca="1" si="423">AS120+AR120/14+(AQ120/14)*(1-AT$16)</f>
        <v>10808.969163137141</v>
      </c>
      <c r="AT121" s="54">
        <f t="shared" ref="AT121" ca="1" si="424">AT120+(AQ120/14)*(AT$16)</f>
        <v>109.18150669835495</v>
      </c>
      <c r="AU121" s="53">
        <f ca="1">OFFSET('National statistics'!$A$6,MATCH(R0_estimation!$A121,'National statistics'!$A$7:$A$5000,0),MATCH(R0_estimation!AU$16 &amp; "_Running14daysNew",'National statistics'!$B$1:$HA$1,0))</f>
        <v>1651</v>
      </c>
      <c r="AV121" s="97">
        <f t="shared" ca="1" si="390"/>
        <v>2.3100549624621229</v>
      </c>
      <c r="AW121" s="98">
        <f t="shared" ca="1" si="189"/>
        <v>0.85754424097138826</v>
      </c>
      <c r="AX121" s="77">
        <f t="shared" ref="AX121" ca="1" si="425">AX120-AX120*(AV120/14)*AZ120/SUM(AX120:BB120)-AX120*(AW120/14)*BA120/SUM(AX120:BB120)</f>
        <v>5849917.6933610747</v>
      </c>
      <c r="AY121" s="77">
        <f t="shared" ref="AY121" ca="1" si="426">AY120+AX120*(AV120/14)*AZ120/SUM(AX120:BB120)+AX120*(AW120/14)*BA120/SUM(AX120:BB120)-AY120/4</f>
        <v>955.84978610866006</v>
      </c>
      <c r="AZ121" s="77">
        <f t="shared" ref="AZ121" ca="1" si="427">AZ120+(AY120/4)*AZ$16-AZ120/14</f>
        <v>1594.9528826401338</v>
      </c>
      <c r="BA121" s="77">
        <f t="shared" ref="BA121" ca="1" si="428">BA120+(AY120/4)*BA$16-BA120/14</f>
        <v>0</v>
      </c>
      <c r="BB121" s="77">
        <f t="shared" ref="BB121" ca="1" si="429">BB120+BA120/14+(AZ120/14)*(1-BC$16)</f>
        <v>1356.6179158524715</v>
      </c>
      <c r="BC121" s="54">
        <f t="shared" ref="BC121" ca="1" si="430">BC120+(AZ120/14)*(BC$16)</f>
        <v>13.703211271237084</v>
      </c>
      <c r="BD121" s="53">
        <f ca="1">OFFSET('National statistics'!$A$6,MATCH(R0_estimation!$A121,'National statistics'!$A$7:$A$5000,0),MATCH(R0_estimation!BD$16 &amp; "_Running14daysNew",'National statistics'!$B$1:$HA$1,0))</f>
        <v>2119</v>
      </c>
      <c r="BE121" s="97">
        <f t="shared" ca="1" si="391"/>
        <v>2.9472771828663058</v>
      </c>
      <c r="BF121" s="98">
        <f t="shared" ca="1" si="190"/>
        <v>0.72178134408538486</v>
      </c>
      <c r="BG121" s="77">
        <f t="shared" ref="BG121" ca="1" si="431">BG120-BG120*(BE120/14)*BI120/SUM(BG120:BK120)-BG120*(BF120/14)*BJ120/SUM(BG120:BK120)</f>
        <v>4804444.5790953096</v>
      </c>
      <c r="BH121" s="77">
        <f t="shared" ref="BH121" ca="1" si="432">BH120+BG120*(BE120/14)*BI120/SUM(BG120:BK120)+BG120*(BF120/14)*BJ120/SUM(BG120:BK120)-BH120/4</f>
        <v>1258.0578196937906</v>
      </c>
      <c r="BI121" s="77">
        <f t="shared" ref="BI121" ca="1" si="433">BI120+(BH120/4)*BI$16-BI120/14</f>
        <v>1977.460697603155</v>
      </c>
      <c r="BJ121" s="77">
        <f t="shared" ref="BJ121" ca="1" si="434">BJ120+(BH120/4)*BJ$16-BJ120/14</f>
        <v>0</v>
      </c>
      <c r="BK121" s="77">
        <f t="shared" ref="BK121" ca="1" si="435">BK120+BJ120/14+(BI120/14)*(1-BL$16)</f>
        <v>1502.3633998764858</v>
      </c>
      <c r="BL121" s="54">
        <f t="shared" ref="BL121" ca="1" si="436">BL120+(BI120/14)*(BL$16)</f>
        <v>15.175387877540263</v>
      </c>
      <c r="BM121" s="53">
        <f ca="1">OFFSET('National statistics'!$A$6,MATCH(R0_estimation!$A121,'National statistics'!$A$7:$A$5000,0),MATCH(R0_estimation!BM$16 &amp; "_Running14daysNew",'National statistics'!$B$1:$HA$1,0))</f>
        <v>4905</v>
      </c>
      <c r="BN121" s="97">
        <f t="shared" ca="1" si="392"/>
        <v>1.7549160185529205</v>
      </c>
      <c r="BO121" s="98">
        <f t="shared" ca="1" si="191"/>
        <v>0.99326027081939861</v>
      </c>
      <c r="BP121" s="77">
        <f t="shared" ref="BP121" ca="1" si="437">BP120-BP120*(BN120/14)*BR120/SUM(BP120:BT120)-BP120*(BO120/14)*BS120/SUM(BP120:BT120)</f>
        <v>4095767.2529102606</v>
      </c>
      <c r="BQ121" s="77">
        <f t="shared" ref="BQ121" ca="1" si="438">BQ120+BP120*(BN120/14)*BR120/SUM(BP120:BT120)+BP120*(BO120/14)*BS120/SUM(BP120:BT120)-BQ120/4</f>
        <v>2304.4435009421709</v>
      </c>
      <c r="BR121" s="77">
        <f t="shared" ref="BR121" ca="1" si="439">BR120+(BQ120/4)*BR$16-BR120/14</f>
        <v>4784.9280152645651</v>
      </c>
      <c r="BS121" s="77">
        <f t="shared" ref="BS121" ca="1" si="440">BS120+(BQ120/4)*BS$16-BS120/14</f>
        <v>0</v>
      </c>
      <c r="BT121" s="77">
        <f t="shared" ref="BT121" ca="1" si="441">BT120+BS120/14+(BR120/14)*(1-BU$16)</f>
        <v>4730.7598802357788</v>
      </c>
      <c r="BU121" s="54">
        <f t="shared" ref="BU121" ca="1" si="442">BU120+(BR120/14)*(BU$16)</f>
        <v>47.785453335714934</v>
      </c>
      <c r="BV121" s="53">
        <f ca="1">OFFSET('National statistics'!$A$6,MATCH(R0_estimation!$A121,'National statistics'!$A$7:$A$5000,0),MATCH(R0_estimation!BV$16 &amp; "_Running14daysNew",'National statistics'!$B$1:$HA$1,0))</f>
        <v>721</v>
      </c>
      <c r="BW121" s="97">
        <f t="shared" ca="1" si="393"/>
        <v>2.3513154820600626</v>
      </c>
      <c r="BX121" s="98">
        <f t="shared" ca="1" si="192"/>
        <v>0.68996207341942262</v>
      </c>
      <c r="BY121" s="77">
        <f t="shared" ref="BY121" ca="1" si="443">BY120-BY120*(BW120/14)*CA120/SUM(BY120:CC120)-BY120*(BX120/14)*CB120/SUM(BY120:CC120)</f>
        <v>1320411.3518539215</v>
      </c>
      <c r="BZ121" s="77">
        <f t="shared" ref="BZ121" ca="1" si="444">BZ120+BY120*(BW120/14)*CA120/SUM(BY120:CC120)+BY120*(BX120/14)*CB120/SUM(BY120:CC120)-BZ120/4</f>
        <v>483.87674991166574</v>
      </c>
      <c r="CA121" s="77">
        <f t="shared" ref="CA121" ca="1" si="445">CA120+(BZ120/4)*CA$16-CA120/14</f>
        <v>750.33769122266892</v>
      </c>
      <c r="CB121" s="77">
        <f t="shared" ref="CB121" ca="1" si="446">CB120+(BZ120/4)*CB$16-CB120/14</f>
        <v>0</v>
      </c>
      <c r="CC121" s="77">
        <f t="shared" ref="CC121" ca="1" si="447">CC120+CB120/14+(CA120/14)*(1-CD$16)</f>
        <v>582.64744954811181</v>
      </c>
      <c r="CD121" s="54">
        <f t="shared" ref="CD121" ca="1" si="448">CD120+(CA120/14)*(CD$16)</f>
        <v>5.885327773213251</v>
      </c>
      <c r="CE121" s="53">
        <f ca="1">OFFSET('National statistics'!$A$6,MATCH(R0_estimation!$A121,'National statistics'!$A$7:$A$5000,0),MATCH(R0_estimation!CE$16 &amp; "_Running14daysNew",'National statistics'!$B$1:$HA$1,0))</f>
        <v>18035</v>
      </c>
      <c r="CF121" s="97">
        <f t="shared" ca="1" si="394"/>
        <v>0.67342857018631086</v>
      </c>
      <c r="CG121" s="98">
        <f t="shared" ca="1" si="193"/>
        <v>1.2165621122686727</v>
      </c>
      <c r="CH121" s="77">
        <f t="shared" ref="CH121" ca="1" si="449">CH120-CH120*(CF120/14)*CJ120/SUM(CH120:CL120)-CH120*(CG120/14)*CK120/SUM(CH120:CL120)</f>
        <v>7217208.718820788</v>
      </c>
      <c r="CI121" s="77">
        <f t="shared" ref="CI121" ca="1" si="450">CI120+CH120*(CF120/14)*CJ120/SUM(CH120:CL120)+CH120*(CG120/14)*CK120/SUM(CH120:CL120)-CI120/4</f>
        <v>4636.8857809874607</v>
      </c>
      <c r="CJ121" s="77">
        <f t="shared" ref="CJ121" ca="1" si="451">CJ120+(CI120/4)*CJ$16-CJ120/14</f>
        <v>18093.361607680417</v>
      </c>
      <c r="CK121" s="77">
        <f t="shared" ref="CK121" ca="1" si="452">CK120+(CI120/4)*CK$16-CK120/14</f>
        <v>0</v>
      </c>
      <c r="CL121" s="77">
        <f t="shared" ref="CL121" ca="1" si="453">CL120+CK120/14+(CJ120/14)*(1-CM$16)</f>
        <v>64294.498690136359</v>
      </c>
      <c r="CM121" s="54">
        <f t="shared" ref="CM121" ca="1" si="454">CM120+(CJ120/14)*(CM$16)</f>
        <v>649.43938070844797</v>
      </c>
      <c r="CO121" s="209"/>
      <c r="CP121" s="210"/>
    </row>
    <row r="122" spans="1:94">
      <c r="A122" s="83">
        <v>44022</v>
      </c>
      <c r="B122" s="53">
        <f ca="1">OFFSET('National statistics'!$A$6,MATCH(R0_estimation!$A122,'National statistics'!$A$7:$A$5000,0),MATCH(R0_estimation!B$16 &amp; "_Running14daysNew",'National statistics'!$B$1:$HA$1,0))</f>
        <v>126097</v>
      </c>
      <c r="C122" s="97">
        <f t="shared" ca="1" si="385"/>
        <v>1.4871713096412069</v>
      </c>
      <c r="D122" s="98">
        <f t="shared" si="194"/>
        <v>1</v>
      </c>
      <c r="E122" s="77">
        <f t="shared" ref="E122:E137" ca="1" si="455">E121-E121*(C121/14)*G121*G$16/SUM(E121:I121)-E121*(D121/14)*H$16*H121/SUM(E121:I121)</f>
        <v>59364174.588965431</v>
      </c>
      <c r="F122" s="77">
        <f t="shared" ref="F122:F137" ca="1" si="456">F121+E121*(C121/14)*G121*G$16/SUM(E121:I121)+E121*(D121/14)*H$16*H121/SUM(E121:I121)-F121/4</f>
        <v>52749.275488215673</v>
      </c>
      <c r="G122" s="77">
        <f t="shared" ref="G122:G137" ca="1" si="457">G121+G$16*F121/4-G121/14</f>
        <v>123628.92807047421</v>
      </c>
      <c r="H122" s="77">
        <f t="shared" ref="H122:H137" ca="1" si="458">H121+H$16*F121/4-H121/14</f>
        <v>0</v>
      </c>
      <c r="I122" s="77">
        <f t="shared" ref="I122:I137" ca="1" si="459">I121+H121/14+(G121/14)*(1-J$16)</f>
        <v>175204.97321623546</v>
      </c>
      <c r="J122" s="54">
        <f t="shared" ref="J122:J137" ca="1" si="460">J121+(G121/14)*(J$16)</f>
        <v>1769.7472042043992</v>
      </c>
      <c r="K122" s="53">
        <f ca="1">OFFSET('National statistics'!$A$6,MATCH(R0_estimation!$A122,'National statistics'!$A$7:$A$5000,0),MATCH(R0_estimation!K$16 &amp; "_Running14daysNew",'National statistics'!$B$1:$HA$1,0))</f>
        <v>24346</v>
      </c>
      <c r="L122" s="97">
        <f t="shared" ca="1" si="386"/>
        <v>0.97213300294969573</v>
      </c>
      <c r="M122" s="98">
        <f t="shared" ca="1" si="185"/>
        <v>1.3891436550517304</v>
      </c>
      <c r="N122" s="77">
        <f t="shared" ref="N122:N137" ca="1" si="461">N121-N121*(L121/14)*P121/SUM(N121:R121)-N121*(M121/14)*Q121/SUM(N121:R121)</f>
        <v>6805925.8298989562</v>
      </c>
      <c r="O122" s="77">
        <f t="shared" ref="O122:O137" ca="1" si="462">O121+N121*(L121/14)*P121/SUM(N121:R121)+N121*(M121/14)*Q121/SUM(N121:R121)-O121/4</f>
        <v>8671.7377419662043</v>
      </c>
      <c r="P122" s="77">
        <f t="shared" ref="P122:P137" ca="1" si="463">P121+(O121/4)*P$16-P121/14</f>
        <v>24695.517588805025</v>
      </c>
      <c r="Q122" s="77">
        <f t="shared" ref="Q122:Q137" ca="1" si="464">Q121+(O121/4)*Q$16-Q121/14</f>
        <v>0</v>
      </c>
      <c r="R122" s="77">
        <f t="shared" ref="R122:R137" ca="1" si="465">R121+Q121/14+(P121/14)*(1-S$16)</f>
        <v>31156.387179312514</v>
      </c>
      <c r="S122" s="54">
        <f t="shared" ref="S122:S137" ca="1" si="466">S121+(P121/14)*(S$16)</f>
        <v>314.71098160921724</v>
      </c>
      <c r="T122" s="53">
        <f ca="1">OFFSET('National statistics'!$A$6,MATCH(R0_estimation!$A122,'National statistics'!$A$7:$A$5000,0),MATCH(R0_estimation!T$16 &amp; "_Running14daysNew",'National statistics'!$B$1:$HA$1,0))</f>
        <v>3152</v>
      </c>
      <c r="U122" s="97">
        <f t="shared" ca="1" si="387"/>
        <v>3.2573756695954525</v>
      </c>
      <c r="V122" s="98">
        <f t="shared" ca="1" si="186"/>
        <v>0.50313552847557719</v>
      </c>
      <c r="W122" s="77">
        <f t="shared" ref="W122:W137" ca="1" si="467">W121-W121*(U121/14)*Y121/SUM(W121:AA121)-W121*(V121/14)*Z121/SUM(W121:AA121)</f>
        <v>2801739.0771923582</v>
      </c>
      <c r="X122" s="77">
        <f t="shared" ref="X122:X137" ca="1" si="468">X121+W121*(U121/14)*Y121/SUM(W121:AA121)+W121*(V121/14)*Z121/SUM(W121:AA121)-X121/4</f>
        <v>2091.0743835533744</v>
      </c>
      <c r="Y122" s="77">
        <f t="shared" ref="Y122:Y137" ca="1" si="469">Y121+(X121/4)*Y$16-Y121/14</f>
        <v>2970.6643941523675</v>
      </c>
      <c r="Z122" s="77">
        <f t="shared" ref="Z122:Z137" ca="1" si="470">Z121+(X121/4)*Z$16-Z121/14</f>
        <v>0</v>
      </c>
      <c r="AA122" s="77">
        <f t="shared" ref="AA122:AA137" ca="1" si="471">AA121+Z121/14+(Y121/14)*(1-AB$16)</f>
        <v>2186.2302437671442</v>
      </c>
      <c r="AB122" s="54">
        <f t="shared" ref="AB122:AB137" ca="1" si="472">AB121+(Y121/14)*(AB$16)</f>
        <v>22.083133775425701</v>
      </c>
      <c r="AC122" s="53">
        <f ca="1">OFFSET('National statistics'!$A$6,MATCH(R0_estimation!$A122,'National statistics'!$A$7:$A$5000,0),MATCH(R0_estimation!AC$16 &amp; "_Running14daysNew",'National statistics'!$B$1:$HA$1,0))</f>
        <v>55689</v>
      </c>
      <c r="AD122" s="97">
        <f t="shared" ca="1" si="388"/>
        <v>1.3382350102780447</v>
      </c>
      <c r="AE122" s="98">
        <f t="shared" ca="1" si="187"/>
        <v>0.57565754152920057</v>
      </c>
      <c r="AF122" s="77">
        <f t="shared" ref="AF122:AF137" ca="1" si="473">AF121-AF121*(AD121/14)*AH121/SUM(AF121:AJ121)-AF121*(AE121/14)*AI121/SUM(AF121:AJ121)</f>
        <v>15508655.072510798</v>
      </c>
      <c r="AG122" s="77">
        <f t="shared" ref="AG122:AG137" ca="1" si="474">AG121+AF121*(AD121/14)*AH121/SUM(AF121:AJ121)+AF121*(AE121/14)*AI121/SUM(AF121:AJ121)-AG121/4</f>
        <v>22910.200211709092</v>
      </c>
      <c r="AH122" s="77">
        <f t="shared" ref="AH122:AH137" ca="1" si="475">AH121+(AG121/4)*AH$16-AH121/14</f>
        <v>54119.796111164971</v>
      </c>
      <c r="AI122" s="77">
        <f t="shared" ref="AI122:AI137" ca="1" si="476">AI121+(AG121/4)*AI$16-AI121/14</f>
        <v>0</v>
      </c>
      <c r="AJ122" s="77">
        <f t="shared" ref="AJ122:AJ137" ca="1" si="477">AJ121+AI121/14+(AH121/14)*(1-AK$16)</f>
        <v>53213.591688201079</v>
      </c>
      <c r="AK122" s="54">
        <f t="shared" ref="AK122:AK137" ca="1" si="478">AK121+(AH121/14)*(AK$16)</f>
        <v>537.51102715354625</v>
      </c>
      <c r="AL122" s="53">
        <f ca="1">OFFSET('National statistics'!$A$6,MATCH(R0_estimation!$A122,'National statistics'!$A$7:$A$5000,0),MATCH(R0_estimation!AL$16 &amp; "_Running14daysNew",'National statistics'!$B$1:$HA$1,0))</f>
        <v>14296</v>
      </c>
      <c r="AM122" s="97">
        <f t="shared" ca="1" si="389"/>
        <v>2.4526722057434021</v>
      </c>
      <c r="AN122" s="98">
        <f t="shared" ca="1" si="188"/>
        <v>0.74495013848278369</v>
      </c>
      <c r="AO122" s="77">
        <f t="shared" ref="AO122:AO137" ca="1" si="479">AO121-AO121*(AM121/14)*AQ121/SUM(AO121:AS121)-AO121*(AN121/14)*AR121/SUM(AO121:AS121)</f>
        <v>10965170.187243817</v>
      </c>
      <c r="AP122" s="77">
        <f t="shared" ref="AP122:AP137" ca="1" si="480">AP121+AO121*(AM121/14)*AQ121/SUM(AO121:AS121)+AO121*(AN121/14)*AR121/SUM(AO121:AS121)-AP121/4</f>
        <v>8944.1550657394127</v>
      </c>
      <c r="AQ122" s="77">
        <f t="shared" ref="AQ122:AQ137" ca="1" si="481">AQ121+(AP121/4)*AQ$16-AQ121/14</f>
        <v>14547.676659924058</v>
      </c>
      <c r="AR122" s="77">
        <f t="shared" ref="AR122:AR137" ca="1" si="482">AR121+(AP121/4)*AR$16-AR121/14</f>
        <v>0</v>
      </c>
      <c r="AS122" s="77">
        <f t="shared" ref="AS122:AS137" ca="1" si="483">AS121+AR121/14+(AQ121/14)*(1-AT$16)</f>
        <v>11748.709187583134</v>
      </c>
      <c r="AT122" s="54">
        <f t="shared" ref="AT122:AT137" ca="1" si="484">AT121+(AQ121/14)*(AT$16)</f>
        <v>118.67383017760741</v>
      </c>
      <c r="AU122" s="53">
        <f ca="1">OFFSET('National statistics'!$A$6,MATCH(R0_estimation!$A122,'National statistics'!$A$7:$A$5000,0),MATCH(R0_estimation!AU$16 &amp; "_Running14daysNew",'National statistics'!$B$1:$HA$1,0))</f>
        <v>1781</v>
      </c>
      <c r="AV122" s="97">
        <f t="shared" ca="1" si="390"/>
        <v>2.3100549624621229</v>
      </c>
      <c r="AW122" s="98">
        <f t="shared" ca="1" si="189"/>
        <v>0.85754424097138826</v>
      </c>
      <c r="AX122" s="77">
        <f t="shared" ref="AX122:AX137" ca="1" si="485">AX121-AX121*(AV121/14)*AZ121/SUM(AX121:BB121)-AX121*(AW121/14)*BA121/SUM(AX121:BB121)</f>
        <v>5849654.695541787</v>
      </c>
      <c r="AY122" s="77">
        <f t="shared" ref="AY122:AY137" ca="1" si="486">AY121+AX121*(AV121/14)*AZ121/SUM(AX121:BB121)+AX121*(AW121/14)*BA121/SUM(AX121:BB121)-AY121/4</f>
        <v>979.88515886942196</v>
      </c>
      <c r="AZ122" s="77">
        <f t="shared" ref="AZ122:AZ137" ca="1" si="487">AZ121+(AY121/4)*AZ$16-AZ121/14</f>
        <v>1719.990123264432</v>
      </c>
      <c r="BA122" s="77">
        <f t="shared" ref="BA122:BA137" ca="1" si="488">BA121+(AY121/4)*BA$16-BA121/14</f>
        <v>0</v>
      </c>
      <c r="BB122" s="77">
        <f t="shared" ref="BB122:BB137" ca="1" si="489">BB121+BA121/14+(AZ121/14)*(1-BC$16)</f>
        <v>1469.4038696963096</v>
      </c>
      <c r="BC122" s="54">
        <f t="shared" ref="BC122:BC137" ca="1" si="490">BC121+(AZ121/14)*(BC$16)</f>
        <v>14.842463330265751</v>
      </c>
      <c r="BD122" s="53">
        <f ca="1">OFFSET('National statistics'!$A$6,MATCH(R0_estimation!$A122,'National statistics'!$A$7:$A$5000,0),MATCH(R0_estimation!BD$16 &amp; "_Running14daysNew",'National statistics'!$B$1:$HA$1,0))</f>
        <v>2418</v>
      </c>
      <c r="BE122" s="97">
        <f t="shared" ca="1" si="391"/>
        <v>2.9472771828663058</v>
      </c>
      <c r="BF122" s="98">
        <f t="shared" ca="1" si="190"/>
        <v>0.72178134408538486</v>
      </c>
      <c r="BG122" s="77">
        <f t="shared" ref="BG122:BG137" ca="1" si="491">BG121-BG121*(BE121/14)*BI121/SUM(BG121:BK121)-BG121*(BF121/14)*BJ121/SUM(BG121:BK121)</f>
        <v>4804028.6945898402</v>
      </c>
      <c r="BH122" s="77">
        <f t="shared" ref="BH122:BH137" ca="1" si="492">BH121+BG121*(BE121/14)*BI121/SUM(BG121:BK121)+BG121*(BF121/14)*BJ121/SUM(BG121:BK121)-BH121/4</f>
        <v>1359.4278702393228</v>
      </c>
      <c r="BI122" s="77">
        <f t="shared" ref="BI122:BI137" ca="1" si="493">BI121+(BH121/4)*BI$16-BI121/14</f>
        <v>2150.7279598406631</v>
      </c>
      <c r="BJ122" s="77">
        <f t="shared" ref="BJ122:BJ137" ca="1" si="494">BJ121+(BH121/4)*BJ$16-BJ121/14</f>
        <v>0</v>
      </c>
      <c r="BK122" s="77">
        <f t="shared" ref="BK122:BK137" ca="1" si="495">BK121+BJ121/14+(BI121/14)*(1-BL$16)</f>
        <v>1642.1981206355661</v>
      </c>
      <c r="BL122" s="54">
        <f t="shared" ref="BL122:BL137" ca="1" si="496">BL121+(BI121/14)*(BL$16)</f>
        <v>16.58785980439966</v>
      </c>
      <c r="BM122" s="53">
        <f ca="1">OFFSET('National statistics'!$A$6,MATCH(R0_estimation!$A122,'National statistics'!$A$7:$A$5000,0),MATCH(R0_estimation!BM$16 &amp; "_Running14daysNew",'National statistics'!$B$1:$HA$1,0))</f>
        <v>5458</v>
      </c>
      <c r="BN122" s="97">
        <f t="shared" ca="1" si="392"/>
        <v>1.7549160185529205</v>
      </c>
      <c r="BO122" s="98">
        <f t="shared" ca="1" si="191"/>
        <v>0.99326027081939861</v>
      </c>
      <c r="BP122" s="77">
        <f t="shared" ref="BP122:BP137" ca="1" si="497">BP121-BP121*(BN121/14)*BR121/SUM(BP121:BT121)-BP121*(BO121/14)*BS121/SUM(BP121:BT121)</f>
        <v>4095169.1827024086</v>
      </c>
      <c r="BQ122" s="77">
        <f t="shared" ref="BQ122:BQ137" ca="1" si="498">BQ121+BP121*(BN121/14)*BR121/SUM(BP121:BT121)+BP121*(BO121/14)*BS121/SUM(BP121:BT121)-BQ121/4</f>
        <v>2326.4028335585508</v>
      </c>
      <c r="BR122" s="77">
        <f t="shared" ref="BR122:BR137" ca="1" si="499">BR121+(BQ121/4)*BR$16-BR121/14</f>
        <v>5019.2583179812109</v>
      </c>
      <c r="BS122" s="77">
        <f t="shared" ref="BS122:BS137" ca="1" si="500">BS121+(BQ121/4)*BS$16-BS121/14</f>
        <v>0</v>
      </c>
      <c r="BT122" s="77">
        <f t="shared" ref="BT122:BT137" ca="1" si="501">BT121+BS121/14+(BR121/14)*(1-BU$16)</f>
        <v>5069.1226470294878</v>
      </c>
      <c r="BU122" s="54">
        <f t="shared" ref="BU122:BU137" ca="1" si="502">BU121+(BR121/14)*(BU$16)</f>
        <v>51.20325906090391</v>
      </c>
      <c r="BV122" s="53">
        <f ca="1">OFFSET('National statistics'!$A$6,MATCH(R0_estimation!$A122,'National statistics'!$A$7:$A$5000,0),MATCH(R0_estimation!BV$16 &amp; "_Running14daysNew",'National statistics'!$B$1:$HA$1,0))</f>
        <v>831</v>
      </c>
      <c r="BW122" s="97">
        <f t="shared" ca="1" si="393"/>
        <v>2.3513154820600626</v>
      </c>
      <c r="BX122" s="98">
        <f t="shared" ca="1" si="192"/>
        <v>0.68996207341942262</v>
      </c>
      <c r="BY122" s="77">
        <f t="shared" ref="BY122:BY137" ca="1" si="503">BY121-BY121*(BW121/14)*CA121/SUM(BY121:CC121)-BY121*(BX121/14)*CB121/SUM(BY121:CC121)</f>
        <v>1320285.504971921</v>
      </c>
      <c r="BZ122" s="77">
        <f t="shared" ref="BZ122:BZ137" ca="1" si="504">BZ121+BY121*(BW121/14)*CA121/SUM(BY121:CC121)+BY121*(BX121/14)*CB121/SUM(BY121:CC121)-BZ121/4</f>
        <v>488.75444443423021</v>
      </c>
      <c r="CA122" s="77">
        <f t="shared" ref="CA122:CA137" ca="1" si="505">CA121+(BZ121/4)*CA$16-CA121/14</f>
        <v>817.71132932753756</v>
      </c>
      <c r="CB122" s="77">
        <f t="shared" ref="CB122:CB137" ca="1" si="506">CB121+(BZ121/4)*CB$16-CB121/14</f>
        <v>0</v>
      </c>
      <c r="CC122" s="77">
        <f t="shared" ref="CC122:CC137" ca="1" si="507">CC121+CB121/14+(CA121/14)*(1-CD$16)</f>
        <v>635.70704342742908</v>
      </c>
      <c r="CD122" s="54">
        <f t="shared" ref="CD122:CD137" ca="1" si="508">CD121+(CA121/14)*(CD$16)</f>
        <v>6.4212832669437283</v>
      </c>
      <c r="CE122" s="53">
        <f ca="1">OFFSET('National statistics'!$A$6,MATCH(R0_estimation!$A122,'National statistics'!$A$7:$A$5000,0),MATCH(R0_estimation!CE$16 &amp; "_Running14daysNew",'National statistics'!$B$1:$HA$1,0))</f>
        <v>18126</v>
      </c>
      <c r="CF122" s="97">
        <f t="shared" ca="1" si="394"/>
        <v>0.67342857018631086</v>
      </c>
      <c r="CG122" s="98">
        <f t="shared" ca="1" si="193"/>
        <v>1.2165621122686727</v>
      </c>
      <c r="CH122" s="77">
        <f t="shared" ref="CH122:CH137" ca="1" si="509">CH121-CH121*(CF121/14)*CJ121/SUM(CH121:CL121)-CH121*(CG121/14)*CK121/SUM(CH121:CL121)</f>
        <v>7216348.7605383098</v>
      </c>
      <c r="CI122" s="77">
        <f t="shared" ref="CI122:CI137" ca="1" si="510">CI121+CH121*(CF121/14)*CJ121/SUM(CH121:CL121)+CH121*(CG121/14)*CK121/SUM(CH121:CL121)-CI121/4</f>
        <v>4337.6226182187474</v>
      </c>
      <c r="CJ122" s="77">
        <f t="shared" ref="CJ122:CJ137" ca="1" si="511">CJ121+(CI121/4)*CJ$16-CJ121/14</f>
        <v>17960.200080950111</v>
      </c>
      <c r="CK122" s="77">
        <f t="shared" ref="CK122:CK137" ca="1" si="512">CK121+(CI121/4)*CK$16-CK121/14</f>
        <v>0</v>
      </c>
      <c r="CL122" s="77">
        <f t="shared" ref="CL122:CL137" ca="1" si="513">CL121+CK121/14+(CJ121/14)*(1-CM$16)</f>
        <v>65573.95783239376</v>
      </c>
      <c r="CM122" s="54">
        <f t="shared" ref="CM122:CM137" ca="1" si="514">CM121+(CJ121/14)*(CM$16)</f>
        <v>662.36321042821965</v>
      </c>
      <c r="CO122" s="209"/>
      <c r="CP122" s="210"/>
    </row>
    <row r="123" spans="1:94">
      <c r="A123" s="83">
        <v>44023</v>
      </c>
      <c r="B123" s="53">
        <f ca="1">OFFSET('National statistics'!$A$6,MATCH(R0_estimation!$A123,'National statistics'!$A$7:$A$5000,0),MATCH(R0_estimation!B$16 &amp; "_Running14daysNew",'National statistics'!$B$1:$HA$1,0))</f>
        <v>132384</v>
      </c>
      <c r="C123" s="97">
        <f t="shared" ca="1" si="385"/>
        <v>1.4871713096412069</v>
      </c>
      <c r="D123" s="98">
        <f t="shared" si="194"/>
        <v>1</v>
      </c>
      <c r="E123" s="77">
        <f t="shared" ca="1" si="455"/>
        <v>59351119.237967409</v>
      </c>
      <c r="F123" s="77">
        <f t="shared" ca="1" si="456"/>
        <v>52617.307614181613</v>
      </c>
      <c r="G123" s="77">
        <f t="shared" ca="1" si="457"/>
        <v>127985.60922320854</v>
      </c>
      <c r="H123" s="77">
        <f t="shared" ca="1" si="458"/>
        <v>0</v>
      </c>
      <c r="I123" s="77">
        <f t="shared" ca="1" si="459"/>
        <v>183947.30455836185</v>
      </c>
      <c r="J123" s="54">
        <f t="shared" ca="1" si="460"/>
        <v>1858.0535813975951</v>
      </c>
      <c r="K123" s="53">
        <f ca="1">OFFSET('National statistics'!$A$6,MATCH(R0_estimation!$A123,'National statistics'!$A$7:$A$5000,0),MATCH(R0_estimation!K$16 &amp; "_Running14daysNew",'National statistics'!$B$1:$HA$1,0))</f>
        <v>24574</v>
      </c>
      <c r="L123" s="97">
        <f t="shared" ca="1" si="386"/>
        <v>0.97213300294969573</v>
      </c>
      <c r="M123" s="98">
        <f t="shared" ca="1" si="185"/>
        <v>1.3891436550517304</v>
      </c>
      <c r="N123" s="77">
        <f t="shared" ca="1" si="461"/>
        <v>6804227.1253634496</v>
      </c>
      <c r="O123" s="77">
        <f t="shared" ca="1" si="462"/>
        <v>8202.5078419815691</v>
      </c>
      <c r="P123" s="77">
        <f t="shared" ca="1" si="463"/>
        <v>25099.486482239074</v>
      </c>
      <c r="Q123" s="77">
        <f t="shared" ca="1" si="464"/>
        <v>0</v>
      </c>
      <c r="R123" s="77">
        <f t="shared" ca="1" si="465"/>
        <v>32902.713065949443</v>
      </c>
      <c r="S123" s="54">
        <f t="shared" ca="1" si="466"/>
        <v>332.35063702979227</v>
      </c>
      <c r="T123" s="53">
        <f ca="1">OFFSET('National statistics'!$A$6,MATCH(R0_estimation!$A123,'National statistics'!$A$7:$A$5000,0),MATCH(R0_estimation!T$16 &amp; "_Running14daysNew",'National statistics'!$B$1:$HA$1,0))</f>
        <v>3519</v>
      </c>
      <c r="U123" s="97">
        <f t="shared" ca="1" si="387"/>
        <v>3.2573756695954525</v>
      </c>
      <c r="V123" s="98">
        <f t="shared" ca="1" si="186"/>
        <v>0.50313552847557719</v>
      </c>
      <c r="W123" s="77">
        <f t="shared" ca="1" si="467"/>
        <v>2801049.677072769</v>
      </c>
      <c r="X123" s="77">
        <f t="shared" ca="1" si="468"/>
        <v>2257.7059072540992</v>
      </c>
      <c r="Y123" s="77">
        <f t="shared" ca="1" si="469"/>
        <v>3281.2426761726847</v>
      </c>
      <c r="Z123" s="77">
        <f t="shared" ca="1" si="470"/>
        <v>0</v>
      </c>
      <c r="AA123" s="77">
        <f t="shared" ca="1" si="471"/>
        <v>2396.2986544964901</v>
      </c>
      <c r="AB123" s="54">
        <f t="shared" ca="1" si="472"/>
        <v>24.205036914105964</v>
      </c>
      <c r="AC123" s="53">
        <f ca="1">OFFSET('National statistics'!$A$6,MATCH(R0_estimation!$A123,'National statistics'!$A$7:$A$5000,0),MATCH(R0_estimation!AC$16 &amp; "_Running14daysNew",'National statistics'!$B$1:$HA$1,0))</f>
        <v>58759</v>
      </c>
      <c r="AD123" s="97">
        <f t="shared" ca="1" si="388"/>
        <v>1.3382350102780447</v>
      </c>
      <c r="AE123" s="98">
        <f t="shared" ca="1" si="187"/>
        <v>0.57565754152920057</v>
      </c>
      <c r="AF123" s="77">
        <f t="shared" ca="1" si="473"/>
        <v>15503524.941274812</v>
      </c>
      <c r="AG123" s="77">
        <f t="shared" ca="1" si="474"/>
        <v>22312.781394766069</v>
      </c>
      <c r="AH123" s="77">
        <f t="shared" ca="1" si="475"/>
        <v>55981.646441866178</v>
      </c>
      <c r="AI123" s="77">
        <f t="shared" ca="1" si="476"/>
        <v>0</v>
      </c>
      <c r="AJ123" s="77">
        <f t="shared" ca="1" si="477"/>
        <v>57040.634413204891</v>
      </c>
      <c r="AK123" s="54">
        <f t="shared" ca="1" si="478"/>
        <v>576.16802437580691</v>
      </c>
      <c r="AL123" s="53">
        <f ca="1">OFFSET('National statistics'!$A$6,MATCH(R0_estimation!$A123,'National statistics'!$A$7:$A$5000,0),MATCH(R0_estimation!AL$16 &amp; "_Running14daysNew",'National statistics'!$B$1:$HA$1,0))</f>
        <v>15967</v>
      </c>
      <c r="AM123" s="97">
        <f t="shared" ca="1" si="389"/>
        <v>2.4526722057434021</v>
      </c>
      <c r="AN123" s="98">
        <f t="shared" ca="1" si="188"/>
        <v>0.74495013848278369</v>
      </c>
      <c r="AO123" s="77">
        <f t="shared" ca="1" si="479"/>
        <v>10962629.731759215</v>
      </c>
      <c r="AP123" s="77">
        <f t="shared" ca="1" si="480"/>
        <v>9248.5717839072786</v>
      </c>
      <c r="AQ123" s="77">
        <f t="shared" ca="1" si="481"/>
        <v>15744.595664935763</v>
      </c>
      <c r="AR123" s="77">
        <f t="shared" ca="1" si="482"/>
        <v>0</v>
      </c>
      <c r="AS123" s="77">
        <f t="shared" ca="1" si="483"/>
        <v>12777.43775139205</v>
      </c>
      <c r="AT123" s="54">
        <f t="shared" ca="1" si="484"/>
        <v>129.06502779183887</v>
      </c>
      <c r="AU123" s="53">
        <f ca="1">OFFSET('National statistics'!$A$6,MATCH(R0_estimation!$A123,'National statistics'!$A$7:$A$5000,0),MATCH(R0_estimation!AU$16 &amp; "_Running14daysNew",'National statistics'!$B$1:$HA$1,0))</f>
        <v>1973</v>
      </c>
      <c r="AV123" s="97">
        <f t="shared" ca="1" si="390"/>
        <v>2.3100549624621229</v>
      </c>
      <c r="AW123" s="98">
        <f t="shared" ca="1" si="189"/>
        <v>0.85754424097138826</v>
      </c>
      <c r="AX123" s="77">
        <f t="shared" ca="1" si="485"/>
        <v>5849371.0925539685</v>
      </c>
      <c r="AY123" s="77">
        <f t="shared" ca="1" si="486"/>
        <v>1018.5168569705683</v>
      </c>
      <c r="AZ123" s="77">
        <f t="shared" ca="1" si="487"/>
        <v>1842.1049756057564</v>
      </c>
      <c r="BA123" s="77">
        <f t="shared" ca="1" si="488"/>
        <v>0</v>
      </c>
      <c r="BB123" s="77">
        <f t="shared" ca="1" si="489"/>
        <v>1591.03174269858</v>
      </c>
      <c r="BC123" s="54">
        <f t="shared" ca="1" si="490"/>
        <v>16.071027704026058</v>
      </c>
      <c r="BD123" s="53">
        <f ca="1">OFFSET('National statistics'!$A$6,MATCH(R0_estimation!$A123,'National statistics'!$A$7:$A$5000,0),MATCH(R0_estimation!BD$16 &amp; "_Running14daysNew",'National statistics'!$B$1:$HA$1,0))</f>
        <v>2696</v>
      </c>
      <c r="BE123" s="97">
        <f t="shared" ca="1" si="391"/>
        <v>2.9472771828663058</v>
      </c>
      <c r="BF123" s="98">
        <f t="shared" ca="1" si="190"/>
        <v>0.72178134408538486</v>
      </c>
      <c r="BG123" s="77">
        <f t="shared" ca="1" si="491"/>
        <v>4803576.4088520892</v>
      </c>
      <c r="BH123" s="77">
        <f t="shared" ca="1" si="492"/>
        <v>1471.8566404302771</v>
      </c>
      <c r="BI123" s="77">
        <f t="shared" ca="1" si="493"/>
        <v>2336.961501697589</v>
      </c>
      <c r="BJ123" s="77">
        <f t="shared" ca="1" si="494"/>
        <v>0</v>
      </c>
      <c r="BK123" s="77">
        <f t="shared" ca="1" si="495"/>
        <v>1794.2853120814416</v>
      </c>
      <c r="BL123" s="54">
        <f t="shared" ca="1" si="496"/>
        <v>18.124094061428703</v>
      </c>
      <c r="BM123" s="53">
        <f ca="1">OFFSET('National statistics'!$A$6,MATCH(R0_estimation!$A123,'National statistics'!$A$7:$A$5000,0),MATCH(R0_estimation!BM$16 &amp; "_Running14daysNew",'National statistics'!$B$1:$HA$1,0))</f>
        <v>5964</v>
      </c>
      <c r="BN123" s="97">
        <f t="shared" ca="1" si="392"/>
        <v>1.7549160185529205</v>
      </c>
      <c r="BO123" s="98">
        <f t="shared" ca="1" si="191"/>
        <v>0.99326027081939861</v>
      </c>
      <c r="BP123" s="77">
        <f t="shared" ca="1" si="497"/>
        <v>4094541.9145353977</v>
      </c>
      <c r="BQ123" s="77">
        <f t="shared" ca="1" si="498"/>
        <v>2372.0702921798184</v>
      </c>
      <c r="BR123" s="77">
        <f t="shared" ca="1" si="499"/>
        <v>5242.3405750864758</v>
      </c>
      <c r="BS123" s="77">
        <f t="shared" ca="1" si="500"/>
        <v>0</v>
      </c>
      <c r="BT123" s="77">
        <f t="shared" ca="1" si="501"/>
        <v>5424.0559138010158</v>
      </c>
      <c r="BU123" s="54">
        <f t="shared" ca="1" si="502"/>
        <v>54.788443573747635</v>
      </c>
      <c r="BV123" s="53">
        <f ca="1">OFFSET('National statistics'!$A$6,MATCH(R0_estimation!$A123,'National statistics'!$A$7:$A$5000,0),MATCH(R0_estimation!BV$16 &amp; "_Running14daysNew",'National statistics'!$B$1:$HA$1,0))</f>
        <v>911</v>
      </c>
      <c r="BW123" s="97">
        <f t="shared" ca="1" si="393"/>
        <v>2.3513154820600626</v>
      </c>
      <c r="BX123" s="98">
        <f t="shared" ca="1" si="192"/>
        <v>0.68996207341942262</v>
      </c>
      <c r="BY123" s="77">
        <f t="shared" ca="1" si="503"/>
        <v>1320148.371177108</v>
      </c>
      <c r="BZ123" s="77">
        <f t="shared" ca="1" si="504"/>
        <v>503.69962813856534</v>
      </c>
      <c r="CA123" s="77">
        <f t="shared" ca="1" si="505"/>
        <v>881.49198834127105</v>
      </c>
      <c r="CB123" s="77">
        <f t="shared" ca="1" si="506"/>
        <v>0</v>
      </c>
      <c r="CC123" s="77">
        <f t="shared" ca="1" si="507"/>
        <v>693.53091600130494</v>
      </c>
      <c r="CD123" s="54">
        <f t="shared" ca="1" si="508"/>
        <v>7.0053627878919693</v>
      </c>
      <c r="CE123" s="53">
        <f ca="1">OFFSET('National statistics'!$A$6,MATCH(R0_estimation!$A123,'National statistics'!$A$7:$A$5000,0),MATCH(R0_estimation!CE$16 &amp; "_Running14daysNew",'National statistics'!$B$1:$HA$1,0))</f>
        <v>18021</v>
      </c>
      <c r="CF123" s="97">
        <f t="shared" ca="1" si="394"/>
        <v>0.67342857018631086</v>
      </c>
      <c r="CG123" s="98">
        <f t="shared" ca="1" si="193"/>
        <v>1.2165621122686727</v>
      </c>
      <c r="CH123" s="77">
        <f t="shared" ca="1" si="509"/>
        <v>7215495.2314849496</v>
      </c>
      <c r="CI123" s="77">
        <f t="shared" ca="1" si="510"/>
        <v>4106.7460170239647</v>
      </c>
      <c r="CJ123" s="77">
        <f t="shared" ca="1" si="511"/>
        <v>17761.73430115122</v>
      </c>
      <c r="CK123" s="77">
        <f t="shared" ca="1" si="512"/>
        <v>0</v>
      </c>
      <c r="CL123" s="77">
        <f t="shared" ca="1" si="513"/>
        <v>66844.000552403799</v>
      </c>
      <c r="CM123" s="54">
        <f t="shared" ca="1" si="514"/>
        <v>675.19192477175545</v>
      </c>
      <c r="CO123" s="209"/>
      <c r="CP123" s="210"/>
    </row>
    <row r="124" spans="1:94">
      <c r="A124" s="83">
        <v>44024</v>
      </c>
      <c r="B124" s="53">
        <f ca="1">OFFSET('National statistics'!$A$6,MATCH(R0_estimation!$A124,'National statistics'!$A$7:$A$5000,0),MATCH(R0_estimation!B$16 &amp; "_Running14daysNew",'National statistics'!$B$1:$HA$1,0))</f>
        <v>138108</v>
      </c>
      <c r="C124" s="97">
        <f t="shared" ca="1" si="385"/>
        <v>1.4871713096412069</v>
      </c>
      <c r="D124" s="98">
        <f t="shared" si="194"/>
        <v>1</v>
      </c>
      <c r="E124" s="77">
        <f t="shared" ca="1" si="455"/>
        <v>59337606.768965542</v>
      </c>
      <c r="F124" s="77">
        <f t="shared" ca="1" si="456"/>
        <v>52975.449712502319</v>
      </c>
      <c r="G124" s="77">
        <f t="shared" ca="1" si="457"/>
        <v>131998.10689652478</v>
      </c>
      <c r="H124" s="77">
        <f t="shared" ca="1" si="458"/>
        <v>0</v>
      </c>
      <c r="I124" s="77">
        <f t="shared" ca="1" si="459"/>
        <v>192997.71549628873</v>
      </c>
      <c r="J124" s="54">
        <f t="shared" ca="1" si="460"/>
        <v>1949.4718736998868</v>
      </c>
      <c r="K124" s="53">
        <f ca="1">OFFSET('National statistics'!$A$6,MATCH(R0_estimation!$A124,'National statistics'!$A$7:$A$5000,0),MATCH(R0_estimation!K$16 &amp; "_Running14daysNew",'National statistics'!$B$1:$HA$1,0))</f>
        <v>25201</v>
      </c>
      <c r="L124" s="97">
        <f t="shared" ca="1" si="386"/>
        <v>0.97213300294969573</v>
      </c>
      <c r="M124" s="98">
        <f t="shared" ca="1" si="185"/>
        <v>1.3891436550517304</v>
      </c>
      <c r="N124" s="77">
        <f t="shared" ca="1" si="461"/>
        <v>6802501.0599324433</v>
      </c>
      <c r="O124" s="77">
        <f t="shared" ca="1" si="462"/>
        <v>7877.9463124928661</v>
      </c>
      <c r="P124" s="77">
        <f t="shared" ca="1" si="463"/>
        <v>25357.292979717389</v>
      </c>
      <c r="Q124" s="77">
        <f t="shared" ca="1" si="464"/>
        <v>0</v>
      </c>
      <c r="R124" s="77">
        <f t="shared" ca="1" si="465"/>
        <v>34677.605324336349</v>
      </c>
      <c r="S124" s="54">
        <f t="shared" ca="1" si="466"/>
        <v>350.27884165996306</v>
      </c>
      <c r="T124" s="53">
        <f ca="1">OFFSET('National statistics'!$A$6,MATCH(R0_estimation!$A124,'National statistics'!$A$7:$A$5000,0),MATCH(R0_estimation!T$16 &amp; "_Running14daysNew",'National statistics'!$B$1:$HA$1,0))</f>
        <v>3945</v>
      </c>
      <c r="U124" s="97">
        <f t="shared" ca="1" si="387"/>
        <v>3.2573756695954525</v>
      </c>
      <c r="V124" s="98">
        <f t="shared" ca="1" si="186"/>
        <v>0.50313552847557719</v>
      </c>
      <c r="W124" s="77">
        <f t="shared" ca="1" si="467"/>
        <v>2800288.3880516565</v>
      </c>
      <c r="X124" s="77">
        <f t="shared" ca="1" si="468"/>
        <v>2454.5684515528683</v>
      </c>
      <c r="Y124" s="77">
        <f t="shared" ca="1" si="469"/>
        <v>3611.2946761167323</v>
      </c>
      <c r="Z124" s="77">
        <f t="shared" ca="1" si="470"/>
        <v>0</v>
      </c>
      <c r="AA124" s="77">
        <f t="shared" ca="1" si="471"/>
        <v>2628.3293865972728</v>
      </c>
      <c r="AB124" s="54">
        <f t="shared" ca="1" si="472"/>
        <v>26.54878168280074</v>
      </c>
      <c r="AC124" s="53">
        <f ca="1">OFFSET('National statistics'!$A$6,MATCH(R0_estimation!$A124,'National statistics'!$A$7:$A$5000,0),MATCH(R0_estimation!AC$16 &amp; "_Running14daysNew",'National statistics'!$B$1:$HA$1,0))</f>
        <v>61536</v>
      </c>
      <c r="AD124" s="97">
        <f t="shared" ca="1" si="388"/>
        <v>1.3382350102780447</v>
      </c>
      <c r="AE124" s="98">
        <f t="shared" ca="1" si="187"/>
        <v>0.57565754152920057</v>
      </c>
      <c r="AF124" s="77">
        <f t="shared" ca="1" si="473"/>
        <v>15498220.063535394</v>
      </c>
      <c r="AG124" s="77">
        <f t="shared" ca="1" si="474"/>
        <v>22039.463785493128</v>
      </c>
      <c r="AH124" s="77">
        <f t="shared" ca="1" si="475"/>
        <v>57561.15275899582</v>
      </c>
      <c r="AI124" s="77">
        <f t="shared" ca="1" si="476"/>
        <v>0</v>
      </c>
      <c r="AJ124" s="77">
        <f t="shared" ca="1" si="477"/>
        <v>60999.33655445114</v>
      </c>
      <c r="AK124" s="54">
        <f t="shared" ca="1" si="478"/>
        <v>616.15491469142557</v>
      </c>
      <c r="AL124" s="53">
        <f ca="1">OFFSET('National statistics'!$A$6,MATCH(R0_estimation!$A124,'National statistics'!$A$7:$A$5000,0),MATCH(R0_estimation!AL$16 &amp; "_Running14daysNew",'National statistics'!$B$1:$HA$1,0))</f>
        <v>17139</v>
      </c>
      <c r="AM124" s="97">
        <f t="shared" ca="1" si="389"/>
        <v>2.4526722057434021</v>
      </c>
      <c r="AN124" s="98">
        <f t="shared" ca="1" si="188"/>
        <v>0.74495013848278369</v>
      </c>
      <c r="AO124" s="77">
        <f t="shared" ca="1" si="479"/>
        <v>10959880.893156597</v>
      </c>
      <c r="AP124" s="77">
        <f t="shared" ca="1" si="480"/>
        <v>9685.2674405474208</v>
      </c>
      <c r="AQ124" s="77">
        <f t="shared" ca="1" si="481"/>
        <v>16932.124634845743</v>
      </c>
      <c r="AR124" s="77">
        <f t="shared" ca="1" si="482"/>
        <v>0</v>
      </c>
      <c r="AS124" s="77">
        <f t="shared" ca="1" si="483"/>
        <v>13890.805587698222</v>
      </c>
      <c r="AT124" s="54">
        <f t="shared" ca="1" si="484"/>
        <v>140.31116755250727</v>
      </c>
      <c r="AU124" s="53">
        <f ca="1">OFFSET('National statistics'!$A$6,MATCH(R0_estimation!$A124,'National statistics'!$A$7:$A$5000,0),MATCH(R0_estimation!AU$16 &amp; "_Running14daysNew",'National statistics'!$B$1:$HA$1,0))</f>
        <v>2079</v>
      </c>
      <c r="AV124" s="97">
        <f t="shared" ca="1" si="390"/>
        <v>2.3100549624621229</v>
      </c>
      <c r="AW124" s="98">
        <f t="shared" ca="1" si="189"/>
        <v>0.85754424097138826</v>
      </c>
      <c r="AX124" s="77">
        <f t="shared" ca="1" si="485"/>
        <v>5849067.3691492546</v>
      </c>
      <c r="AY124" s="77">
        <f t="shared" ca="1" si="486"/>
        <v>1067.6110474420441</v>
      </c>
      <c r="AZ124" s="77">
        <f t="shared" ca="1" si="487"/>
        <v>1965.1552630194158</v>
      </c>
      <c r="BA124" s="77">
        <f t="shared" ca="1" si="488"/>
        <v>0</v>
      </c>
      <c r="BB124" s="77">
        <f t="shared" ca="1" si="489"/>
        <v>1721.2948802592728</v>
      </c>
      <c r="BC124" s="54">
        <f t="shared" ca="1" si="490"/>
        <v>17.386816972315884</v>
      </c>
      <c r="BD124" s="53">
        <f ca="1">OFFSET('National statistics'!$A$6,MATCH(R0_estimation!$A124,'National statistics'!$A$7:$A$5000,0),MATCH(R0_estimation!BD$16 &amp; "_Running14daysNew",'National statistics'!$B$1:$HA$1,0))</f>
        <v>2961</v>
      </c>
      <c r="BE124" s="97">
        <f t="shared" ca="1" si="391"/>
        <v>2.9472771828663058</v>
      </c>
      <c r="BF124" s="98">
        <f t="shared" ca="1" si="190"/>
        <v>0.72178134408538486</v>
      </c>
      <c r="BG124" s="77">
        <f t="shared" ca="1" si="491"/>
        <v>4803085.0053816922</v>
      </c>
      <c r="BH124" s="77">
        <f t="shared" ca="1" si="492"/>
        <v>1595.2959507194294</v>
      </c>
      <c r="BI124" s="77">
        <f t="shared" ca="1" si="493"/>
        <v>2537.9998402553301</v>
      </c>
      <c r="BJ124" s="77">
        <f t="shared" ca="1" si="494"/>
        <v>0</v>
      </c>
      <c r="BK124" s="77">
        <f t="shared" ca="1" si="495"/>
        <v>1959.5418754157711</v>
      </c>
      <c r="BL124" s="54">
        <f t="shared" ca="1" si="496"/>
        <v>19.793352276926981</v>
      </c>
      <c r="BM124" s="53">
        <f ca="1">OFFSET('National statistics'!$A$6,MATCH(R0_estimation!$A124,'National statistics'!$A$7:$A$5000,0),MATCH(R0_estimation!BM$16 &amp; "_Running14daysNew",'National statistics'!$B$1:$HA$1,0))</f>
        <v>6277</v>
      </c>
      <c r="BN124" s="97">
        <f t="shared" ca="1" si="392"/>
        <v>1.7549160185529205</v>
      </c>
      <c r="BO124" s="98">
        <f t="shared" ca="1" si="191"/>
        <v>0.99326027081939861</v>
      </c>
      <c r="BP124" s="77">
        <f t="shared" ca="1" si="497"/>
        <v>4093886.8670485392</v>
      </c>
      <c r="BQ124" s="77">
        <f t="shared" ca="1" si="498"/>
        <v>2434.1002059932962</v>
      </c>
      <c r="BR124" s="77">
        <f t="shared" ca="1" si="499"/>
        <v>5460.9052499109675</v>
      </c>
      <c r="BS124" s="77">
        <f t="shared" ca="1" si="500"/>
        <v>0</v>
      </c>
      <c r="BT124" s="77">
        <f t="shared" ca="1" si="501"/>
        <v>5794.7642830392733</v>
      </c>
      <c r="BU124" s="54">
        <f t="shared" ca="1" si="502"/>
        <v>58.532972555952263</v>
      </c>
      <c r="BV124" s="53">
        <f ca="1">OFFSET('National statistics'!$A$6,MATCH(R0_estimation!$A124,'National statistics'!$A$7:$A$5000,0),MATCH(R0_estimation!BV$16 &amp; "_Running14daysNew",'National statistics'!$B$1:$HA$1,0))</f>
        <v>1016</v>
      </c>
      <c r="BW124" s="97">
        <f t="shared" ca="1" si="393"/>
        <v>2.3513154820600626</v>
      </c>
      <c r="BX124" s="98">
        <f t="shared" ca="1" si="192"/>
        <v>0.68996207341942262</v>
      </c>
      <c r="BY124" s="77">
        <f t="shared" ca="1" si="503"/>
        <v>1320000.5563739403</v>
      </c>
      <c r="BZ124" s="77">
        <f t="shared" ca="1" si="504"/>
        <v>525.5895242716922</v>
      </c>
      <c r="CA124" s="77">
        <f t="shared" ca="1" si="505"/>
        <v>944.45318192296452</v>
      </c>
      <c r="CB124" s="77">
        <f t="shared" ca="1" si="506"/>
        <v>0</v>
      </c>
      <c r="CC124" s="77">
        <f t="shared" ca="1" si="507"/>
        <v>755.86499231972334</v>
      </c>
      <c r="CD124" s="54">
        <f t="shared" ca="1" si="508"/>
        <v>7.6349999224214482</v>
      </c>
      <c r="CE124" s="53">
        <f ca="1">OFFSET('National statistics'!$A$6,MATCH(R0_estimation!$A124,'National statistics'!$A$7:$A$5000,0),MATCH(R0_estimation!CE$16 &amp; "_Running14daysNew",'National statistics'!$B$1:$HA$1,0))</f>
        <v>17954</v>
      </c>
      <c r="CF124" s="97">
        <f t="shared" ca="1" si="394"/>
        <v>0.67342857018631086</v>
      </c>
      <c r="CG124" s="98">
        <f t="shared" ca="1" si="193"/>
        <v>1.2165621122686727</v>
      </c>
      <c r="CH124" s="77">
        <f t="shared" ca="1" si="509"/>
        <v>7214651.23254734</v>
      </c>
      <c r="CI124" s="77">
        <f t="shared" ca="1" si="510"/>
        <v>3924.0584503775026</v>
      </c>
      <c r="CJ124" s="77">
        <f t="shared" ca="1" si="511"/>
        <v>17519.725498182124</v>
      </c>
      <c r="CK124" s="77">
        <f t="shared" ca="1" si="512"/>
        <v>0</v>
      </c>
      <c r="CL124" s="77">
        <f t="shared" ca="1" si="513"/>
        <v>68100.008906556628</v>
      </c>
      <c r="CM124" s="54">
        <f t="shared" ca="1" si="514"/>
        <v>687.8788778440063</v>
      </c>
      <c r="CO124" s="209"/>
      <c r="CP124" s="210"/>
    </row>
    <row r="125" spans="1:94">
      <c r="A125" s="83">
        <v>44025</v>
      </c>
      <c r="B125" s="53">
        <f ca="1">OFFSET('National statistics'!$A$6,MATCH(R0_estimation!$A125,'National statistics'!$A$7:$A$5000,0),MATCH(R0_estimation!B$16 &amp; "_Running14daysNew",'National statistics'!$B$1:$HA$1,0))</f>
        <v>143532</v>
      </c>
      <c r="C125" s="97">
        <f t="shared" ca="1" si="385"/>
        <v>1.4871713096412069</v>
      </c>
      <c r="D125" s="98">
        <f t="shared" si="194"/>
        <v>1</v>
      </c>
      <c r="E125" s="77">
        <f t="shared" ca="1" si="455"/>
        <v>59323673.819850005</v>
      </c>
      <c r="F125" s="77">
        <f t="shared" ca="1" si="456"/>
        <v>53664.536399913224</v>
      </c>
      <c r="G125" s="77">
        <f t="shared" ca="1" si="457"/>
        <v>135813.53311775572</v>
      </c>
      <c r="H125" s="77">
        <f t="shared" ca="1" si="458"/>
        <v>0</v>
      </c>
      <c r="I125" s="77">
        <f t="shared" ca="1" si="459"/>
        <v>202331.86734111441</v>
      </c>
      <c r="J125" s="54">
        <f t="shared" ca="1" si="460"/>
        <v>2043.756235768833</v>
      </c>
      <c r="K125" s="53">
        <f ca="1">OFFSET('National statistics'!$A$6,MATCH(R0_estimation!$A125,'National statistics'!$A$7:$A$5000,0),MATCH(R0_estimation!K$16 &amp; "_Running14daysNew",'National statistics'!$B$1:$HA$1,0))</f>
        <v>25863</v>
      </c>
      <c r="L125" s="97">
        <f t="shared" ca="1" si="386"/>
        <v>0.97213300294969573</v>
      </c>
      <c r="M125" s="98">
        <f t="shared" ca="1" si="185"/>
        <v>1.3891436550517304</v>
      </c>
      <c r="N125" s="77">
        <f t="shared" ca="1" si="461"/>
        <v>6800757.7032269035</v>
      </c>
      <c r="O125" s="77">
        <f t="shared" ca="1" si="462"/>
        <v>7651.816439909222</v>
      </c>
      <c r="P125" s="77">
        <f t="shared" ca="1" si="463"/>
        <v>25515.544345003651</v>
      </c>
      <c r="Q125" s="77">
        <f t="shared" ca="1" si="464"/>
        <v>0</v>
      </c>
      <c r="R125" s="77">
        <f t="shared" ca="1" si="465"/>
        <v>36470.728185044936</v>
      </c>
      <c r="S125" s="54">
        <f t="shared" ca="1" si="466"/>
        <v>368.39119378833266</v>
      </c>
      <c r="T125" s="53">
        <f ca="1">OFFSET('National statistics'!$A$6,MATCH(R0_estimation!$A125,'National statistics'!$A$7:$A$5000,0),MATCH(R0_estimation!T$16 &amp; "_Running14daysNew",'National statistics'!$B$1:$HA$1,0))</f>
        <v>4255</v>
      </c>
      <c r="U125" s="97">
        <f t="shared" ca="1" si="387"/>
        <v>3.2573756695954525</v>
      </c>
      <c r="V125" s="98">
        <f t="shared" ca="1" si="186"/>
        <v>0.50313552847557719</v>
      </c>
      <c r="W125" s="77">
        <f t="shared" ca="1" si="467"/>
        <v>2799450.7498926101</v>
      </c>
      <c r="X125" s="77">
        <f t="shared" ca="1" si="468"/>
        <v>2678.5644977112865</v>
      </c>
      <c r="Y125" s="77">
        <f t="shared" ca="1" si="469"/>
        <v>3966.9871692823253</v>
      </c>
      <c r="Z125" s="77">
        <f t="shared" ca="1" si="470"/>
        <v>0</v>
      </c>
      <c r="AA125" s="77">
        <f t="shared" ca="1" si="471"/>
        <v>2883.6995101226703</v>
      </c>
      <c r="AB125" s="54">
        <f t="shared" ca="1" si="472"/>
        <v>29.128277880026978</v>
      </c>
      <c r="AC125" s="53">
        <f ca="1">OFFSET('National statistics'!$A$6,MATCH(R0_estimation!$A125,'National statistics'!$A$7:$A$5000,0),MATCH(R0_estimation!AC$16 &amp; "_Running14daysNew",'National statistics'!$B$1:$HA$1,0))</f>
        <v>63872</v>
      </c>
      <c r="AD125" s="97">
        <f t="shared" ca="1" si="388"/>
        <v>1.3382350102780447</v>
      </c>
      <c r="AE125" s="98">
        <f t="shared" ca="1" si="187"/>
        <v>0.57565754152920057</v>
      </c>
      <c r="AF125" s="77">
        <f t="shared" ca="1" si="473"/>
        <v>15492767.362626743</v>
      </c>
      <c r="AG125" s="77">
        <f t="shared" ca="1" si="474"/>
        <v>21982.29874777158</v>
      </c>
      <c r="AH125" s="77">
        <f t="shared" ca="1" si="475"/>
        <v>58959.507794012257</v>
      </c>
      <c r="AI125" s="77">
        <f t="shared" ca="1" si="476"/>
        <v>0</v>
      </c>
      <c r="AJ125" s="77">
        <f t="shared" ca="1" si="477"/>
        <v>65069.732356694418</v>
      </c>
      <c r="AK125" s="54">
        <f t="shared" ca="1" si="478"/>
        <v>657.27002380499403</v>
      </c>
      <c r="AL125" s="53">
        <f ca="1">OFFSET('National statistics'!$A$6,MATCH(R0_estimation!$A125,'National statistics'!$A$7:$A$5000,0),MATCH(R0_estimation!AL$16 &amp; "_Running14daysNew",'National statistics'!$B$1:$HA$1,0))</f>
        <v>18346</v>
      </c>
      <c r="AM125" s="97">
        <f t="shared" ca="1" si="389"/>
        <v>2.4526722057434021</v>
      </c>
      <c r="AN125" s="98">
        <f t="shared" ca="1" si="188"/>
        <v>0.74495013848278369</v>
      </c>
      <c r="AO125" s="77">
        <f t="shared" ca="1" si="479"/>
        <v>10956925.462878907</v>
      </c>
      <c r="AP125" s="77">
        <f t="shared" ca="1" si="480"/>
        <v>10219.380858101147</v>
      </c>
      <c r="AQ125" s="77">
        <f t="shared" ca="1" si="481"/>
        <v>18144.004021065044</v>
      </c>
      <c r="AR125" s="77">
        <f t="shared" ca="1" si="482"/>
        <v>0</v>
      </c>
      <c r="AS125" s="77">
        <f t="shared" ca="1" si="483"/>
        <v>15088.148686876599</v>
      </c>
      <c r="AT125" s="54">
        <f t="shared" ca="1" si="484"/>
        <v>152.40554229168279</v>
      </c>
      <c r="AU125" s="53">
        <f ca="1">OFFSET('National statistics'!$A$6,MATCH(R0_estimation!$A125,'National statistics'!$A$7:$A$5000,0),MATCH(R0_estimation!AU$16 &amp; "_Running14daysNew",'National statistics'!$B$1:$HA$1,0))</f>
        <v>2305</v>
      </c>
      <c r="AV125" s="97">
        <f t="shared" ca="1" si="390"/>
        <v>2.3100549624621229</v>
      </c>
      <c r="AW125" s="98">
        <f t="shared" ca="1" si="189"/>
        <v>0.85754424097138826</v>
      </c>
      <c r="AX125" s="77">
        <f t="shared" ca="1" si="485"/>
        <v>5848743.3741556378</v>
      </c>
      <c r="AY125" s="77">
        <f t="shared" ca="1" si="486"/>
        <v>1124.7032791986555</v>
      </c>
      <c r="AZ125" s="77">
        <f t="shared" ca="1" si="487"/>
        <v>2091.6897918071118</v>
      </c>
      <c r="BA125" s="77">
        <f t="shared" ca="1" si="488"/>
        <v>0</v>
      </c>
      <c r="BB125" s="77">
        <f t="shared" ca="1" si="489"/>
        <v>1860.2594310013601</v>
      </c>
      <c r="BC125" s="54">
        <f t="shared" ca="1" si="490"/>
        <v>18.790499303044037</v>
      </c>
      <c r="BD125" s="53">
        <f ca="1">OFFSET('National statistics'!$A$6,MATCH(R0_estimation!$A125,'National statistics'!$A$7:$A$5000,0),MATCH(R0_estimation!BD$16 &amp; "_Running14daysNew",'National statistics'!$B$1:$HA$1,0))</f>
        <v>3210</v>
      </c>
      <c r="BE125" s="97">
        <f t="shared" ca="1" si="391"/>
        <v>2.9472771828663058</v>
      </c>
      <c r="BF125" s="98">
        <f t="shared" ca="1" si="190"/>
        <v>0.72178134408538486</v>
      </c>
      <c r="BG125" s="77">
        <f t="shared" ca="1" si="491"/>
        <v>4802551.3830797318</v>
      </c>
      <c r="BH125" s="77">
        <f t="shared" ca="1" si="492"/>
        <v>1730.0942650001891</v>
      </c>
      <c r="BI125" s="77">
        <f t="shared" ca="1" si="493"/>
        <v>2755.538125059807</v>
      </c>
      <c r="BJ125" s="77">
        <f t="shared" ca="1" si="494"/>
        <v>0</v>
      </c>
      <c r="BK125" s="77">
        <f t="shared" ca="1" si="495"/>
        <v>2139.0147212623979</v>
      </c>
      <c r="BL125" s="54">
        <f t="shared" ca="1" si="496"/>
        <v>21.606209305680789</v>
      </c>
      <c r="BM125" s="53">
        <f ca="1">OFFSET('National statistics'!$A$6,MATCH(R0_estimation!$A125,'National statistics'!$A$7:$A$5000,0),MATCH(R0_estimation!BM$16 &amp; "_Running14daysNew",'National statistics'!$B$1:$HA$1,0))</f>
        <v>6594</v>
      </c>
      <c r="BN125" s="97">
        <f t="shared" ca="1" si="392"/>
        <v>1.7549160185529205</v>
      </c>
      <c r="BO125" s="98">
        <f t="shared" ca="1" si="191"/>
        <v>0.99326027081939861</v>
      </c>
      <c r="BP125" s="77">
        <f t="shared" ca="1" si="497"/>
        <v>4093204.6177375661</v>
      </c>
      <c r="BQ125" s="77">
        <f t="shared" ca="1" si="498"/>
        <v>2507.8244654679143</v>
      </c>
      <c r="BR125" s="77">
        <f t="shared" ca="1" si="499"/>
        <v>5679.365640701365</v>
      </c>
      <c r="BS125" s="77">
        <f t="shared" ca="1" si="500"/>
        <v>0</v>
      </c>
      <c r="BT125" s="77">
        <f t="shared" ca="1" si="501"/>
        <v>6180.9282971401208</v>
      </c>
      <c r="BU125" s="54">
        <f t="shared" ca="1" si="502"/>
        <v>62.433619163031523</v>
      </c>
      <c r="BV125" s="53">
        <f ca="1">OFFSET('National statistics'!$A$6,MATCH(R0_estimation!$A125,'National statistics'!$A$7:$A$5000,0),MATCH(R0_estimation!BV$16 &amp; "_Running14daysNew",'National statistics'!$B$1:$HA$1,0))</f>
        <v>1118</v>
      </c>
      <c r="BW125" s="97">
        <f t="shared" ca="1" si="393"/>
        <v>2.3513154820600626</v>
      </c>
      <c r="BX125" s="98">
        <f t="shared" ca="1" si="192"/>
        <v>0.68996207341942262</v>
      </c>
      <c r="BY125" s="77">
        <f t="shared" ca="1" si="503"/>
        <v>1319842.2014504012</v>
      </c>
      <c r="BZ125" s="77">
        <f t="shared" ca="1" si="504"/>
        <v>552.54706674296403</v>
      </c>
      <c r="CA125" s="77">
        <f t="shared" ca="1" si="505"/>
        <v>1008.3896214249614</v>
      </c>
      <c r="CB125" s="77">
        <f t="shared" ca="1" si="506"/>
        <v>0</v>
      </c>
      <c r="CC125" s="77">
        <f t="shared" ca="1" si="507"/>
        <v>822.65132446999007</v>
      </c>
      <c r="CD125" s="54">
        <f t="shared" ca="1" si="508"/>
        <v>8.3096093380807083</v>
      </c>
      <c r="CE125" s="53">
        <f ca="1">OFFSET('National statistics'!$A$6,MATCH(R0_estimation!$A125,'National statistics'!$A$7:$A$5000,0),MATCH(R0_estimation!CE$16 &amp; "_Running14daysNew",'National statistics'!$B$1:$HA$1,0))</f>
        <v>17969</v>
      </c>
      <c r="CF125" s="97">
        <f t="shared" ca="1" si="394"/>
        <v>0.67342857018631086</v>
      </c>
      <c r="CG125" s="98">
        <f t="shared" ca="1" si="193"/>
        <v>1.2165621122686727</v>
      </c>
      <c r="CH125" s="77">
        <f t="shared" ca="1" si="509"/>
        <v>7213818.8292729538</v>
      </c>
      <c r="CI125" s="77">
        <f t="shared" ca="1" si="510"/>
        <v>3775.4471121690467</v>
      </c>
      <c r="CJ125" s="77">
        <f t="shared" ca="1" si="511"/>
        <v>17249.331146620632</v>
      </c>
      <c r="CK125" s="77">
        <f t="shared" ca="1" si="512"/>
        <v>0</v>
      </c>
      <c r="CL125" s="77">
        <f t="shared" ca="1" si="513"/>
        <v>69338.903781070941</v>
      </c>
      <c r="CM125" s="54">
        <f t="shared" ca="1" si="514"/>
        <v>700.39296748556501</v>
      </c>
      <c r="CO125" s="209"/>
      <c r="CP125" s="210"/>
    </row>
    <row r="126" spans="1:94">
      <c r="A126" s="83">
        <v>44026</v>
      </c>
      <c r="B126" s="53">
        <f ca="1">OFFSET('National statistics'!$A$6,MATCH(R0_estimation!$A126,'National statistics'!$A$7:$A$5000,0),MATCH(R0_estimation!B$16 &amp; "_Running14daysNew",'National statistics'!$B$1:$HA$1,0))</f>
        <v>146976</v>
      </c>
      <c r="C126" s="97">
        <f t="shared" ca="1" si="385"/>
        <v>1.4871713096412069</v>
      </c>
      <c r="D126" s="98">
        <f t="shared" si="194"/>
        <v>1</v>
      </c>
      <c r="E126" s="77">
        <f t="shared" ca="1" si="455"/>
        <v>59309341.480134793</v>
      </c>
      <c r="F126" s="77">
        <f t="shared" ca="1" si="456"/>
        <v>54580.742015146876</v>
      </c>
      <c r="G126" s="77">
        <f t="shared" ca="1" si="457"/>
        <v>139528.70056646576</v>
      </c>
      <c r="H126" s="77">
        <f t="shared" ca="1" si="458"/>
        <v>0</v>
      </c>
      <c r="I126" s="77">
        <f t="shared" ca="1" si="459"/>
        <v>211935.82432586999</v>
      </c>
      <c r="J126" s="54">
        <f t="shared" ca="1" si="460"/>
        <v>2140.7659022815155</v>
      </c>
      <c r="K126" s="53">
        <f ca="1">OFFSET('National statistics'!$A$6,MATCH(R0_estimation!$A126,'National statistics'!$A$7:$A$5000,0),MATCH(R0_estimation!K$16 &amp; "_Running14daysNew",'National statistics'!$B$1:$HA$1,0))</f>
        <v>26273</v>
      </c>
      <c r="L126" s="97">
        <f t="shared" ca="1" si="386"/>
        <v>0.97213300294969573</v>
      </c>
      <c r="M126" s="98">
        <f t="shared" ca="1" si="185"/>
        <v>1.3891436550517304</v>
      </c>
      <c r="N126" s="77">
        <f t="shared" ca="1" si="461"/>
        <v>6799003.9114281395</v>
      </c>
      <c r="O126" s="77">
        <f t="shared" ca="1" si="462"/>
        <v>7492.6541286954744</v>
      </c>
      <c r="P126" s="77">
        <f t="shared" ca="1" si="463"/>
        <v>25605.959573194981</v>
      </c>
      <c r="Q126" s="77">
        <f t="shared" ca="1" si="464"/>
        <v>0</v>
      </c>
      <c r="R126" s="77">
        <f t="shared" ca="1" si="465"/>
        <v>38275.041678013054</v>
      </c>
      <c r="S126" s="54">
        <f t="shared" ca="1" si="466"/>
        <v>386.61658260619242</v>
      </c>
      <c r="T126" s="53">
        <f ca="1">OFFSET('National statistics'!$A$6,MATCH(R0_estimation!$A126,'National statistics'!$A$7:$A$5000,0),MATCH(R0_estimation!T$16 &amp; "_Running14daysNew",'National statistics'!$B$1:$HA$1,0))</f>
        <v>4459</v>
      </c>
      <c r="U126" s="97">
        <f t="shared" ca="1" si="387"/>
        <v>3.2573756695954525</v>
      </c>
      <c r="V126" s="98">
        <f t="shared" ca="1" si="186"/>
        <v>0.50313552847557719</v>
      </c>
      <c r="W126" s="77">
        <f t="shared" ca="1" si="467"/>
        <v>2798530.8834144557</v>
      </c>
      <c r="X126" s="77">
        <f t="shared" ca="1" si="468"/>
        <v>2928.7898514377957</v>
      </c>
      <c r="Y126" s="77">
        <f t="shared" ca="1" si="469"/>
        <v>4353.2720673328377</v>
      </c>
      <c r="Z126" s="77">
        <f t="shared" ca="1" si="470"/>
        <v>0</v>
      </c>
      <c r="AA126" s="77">
        <f t="shared" ca="1" si="471"/>
        <v>3164.2221742362062</v>
      </c>
      <c r="AB126" s="54">
        <f t="shared" ca="1" si="472"/>
        <v>31.961840143800067</v>
      </c>
      <c r="AC126" s="53">
        <f ca="1">OFFSET('National statistics'!$A$6,MATCH(R0_estimation!$A126,'National statistics'!$A$7:$A$5000,0),MATCH(R0_estimation!AC$16 &amp; "_Running14daysNew",'National statistics'!$B$1:$HA$1,0))</f>
        <v>64189</v>
      </c>
      <c r="AD126" s="97">
        <f t="shared" ca="1" si="388"/>
        <v>1.3382350102780447</v>
      </c>
      <c r="AE126" s="98">
        <f t="shared" ca="1" si="187"/>
        <v>0.57565754152920057</v>
      </c>
      <c r="AF126" s="77">
        <f t="shared" ca="1" si="473"/>
        <v>15487184.147512134</v>
      </c>
      <c r="AG126" s="77">
        <f t="shared" ca="1" si="474"/>
        <v>22069.939175437736</v>
      </c>
      <c r="AH126" s="77">
        <f t="shared" ca="1" si="475"/>
        <v>60243.689067097141</v>
      </c>
      <c r="AI126" s="77">
        <f t="shared" ca="1" si="476"/>
        <v>0</v>
      </c>
      <c r="AJ126" s="77">
        <f t="shared" ca="1" si="477"/>
        <v>69239.011836413862</v>
      </c>
      <c r="AK126" s="54">
        <f t="shared" ca="1" si="478"/>
        <v>699.38395794357416</v>
      </c>
      <c r="AL126" s="53">
        <f ca="1">OFFSET('National statistics'!$A$6,MATCH(R0_estimation!$A126,'National statistics'!$A$7:$A$5000,0),MATCH(R0_estimation!AL$16 &amp; "_Running14daysNew",'National statistics'!$B$1:$HA$1,0))</f>
        <v>20913</v>
      </c>
      <c r="AM126" s="97">
        <f t="shared" ca="1" si="389"/>
        <v>2.4526722057434021</v>
      </c>
      <c r="AN126" s="98">
        <f t="shared" ca="1" si="188"/>
        <v>0.74495013848278369</v>
      </c>
      <c r="AO126" s="77">
        <f t="shared" ca="1" si="479"/>
        <v>10953759.354730986</v>
      </c>
      <c r="AP126" s="77">
        <f t="shared" ca="1" si="480"/>
        <v>10830.643791496468</v>
      </c>
      <c r="AQ126" s="77">
        <f t="shared" ca="1" si="481"/>
        <v>19402.848948371397</v>
      </c>
      <c r="AR126" s="77">
        <f t="shared" ca="1" si="482"/>
        <v>0</v>
      </c>
      <c r="AS126" s="77">
        <f t="shared" ca="1" si="483"/>
        <v>16371.188971223341</v>
      </c>
      <c r="AT126" s="54">
        <f t="shared" ca="1" si="484"/>
        <v>165.3655451638721</v>
      </c>
      <c r="AU126" s="53">
        <f ca="1">OFFSET('National statistics'!$A$6,MATCH(R0_estimation!$A126,'National statistics'!$A$7:$A$5000,0),MATCH(R0_estimation!AU$16 &amp; "_Running14daysNew",'National statistics'!$B$1:$HA$1,0))</f>
        <v>2327</v>
      </c>
      <c r="AV126" s="97">
        <f t="shared" ca="1" si="390"/>
        <v>2.3100549624621229</v>
      </c>
      <c r="AW126" s="98">
        <f t="shared" ca="1" si="189"/>
        <v>0.85754424097138826</v>
      </c>
      <c r="AX126" s="77">
        <f t="shared" ca="1" si="485"/>
        <v>5848398.5364440335</v>
      </c>
      <c r="AY126" s="77">
        <f t="shared" ca="1" si="486"/>
        <v>1188.3651710035945</v>
      </c>
      <c r="AZ126" s="77">
        <f t="shared" ca="1" si="487"/>
        <v>2223.4591979062675</v>
      </c>
      <c r="BA126" s="77">
        <f t="shared" ca="1" si="488"/>
        <v>0</v>
      </c>
      <c r="BB126" s="77">
        <f t="shared" ca="1" si="489"/>
        <v>2008.171780564863</v>
      </c>
      <c r="BC126" s="54">
        <f t="shared" ca="1" si="490"/>
        <v>20.284563440049116</v>
      </c>
      <c r="BD126" s="53">
        <f ca="1">OFFSET('National statistics'!$A$6,MATCH(R0_estimation!$A126,'National statistics'!$A$7:$A$5000,0),MATCH(R0_estimation!BD$16 &amp; "_Running14daysNew",'National statistics'!$B$1:$HA$1,0))</f>
        <v>3386</v>
      </c>
      <c r="BE126" s="97">
        <f t="shared" ca="1" si="391"/>
        <v>2.9472771828663058</v>
      </c>
      <c r="BF126" s="98">
        <f t="shared" ca="1" si="190"/>
        <v>0.72178134408538486</v>
      </c>
      <c r="BG126" s="77">
        <f t="shared" ca="1" si="491"/>
        <v>4801972.0868303031</v>
      </c>
      <c r="BH126" s="77">
        <f t="shared" ca="1" si="492"/>
        <v>1876.8669481784859</v>
      </c>
      <c r="BI126" s="77">
        <f t="shared" ca="1" si="493"/>
        <v>2991.2375395198678</v>
      </c>
      <c r="BJ126" s="77">
        <f t="shared" ca="1" si="494"/>
        <v>0</v>
      </c>
      <c r="BK126" s="77">
        <f t="shared" ca="1" si="495"/>
        <v>2333.8706315344843</v>
      </c>
      <c r="BL126" s="54">
        <f t="shared" ca="1" si="496"/>
        <v>23.574450823580651</v>
      </c>
      <c r="BM126" s="53">
        <f ca="1">OFFSET('National statistics'!$A$6,MATCH(R0_estimation!$A126,'National statistics'!$A$7:$A$5000,0),MATCH(R0_estimation!BM$16 &amp; "_Running14daysNew",'National statistics'!$B$1:$HA$1,0))</f>
        <v>6597</v>
      </c>
      <c r="BN126" s="97">
        <f t="shared" ca="1" si="392"/>
        <v>1.7549160185529205</v>
      </c>
      <c r="BO126" s="98">
        <f t="shared" ca="1" si="191"/>
        <v>0.99326027081939861</v>
      </c>
      <c r="BP126" s="77">
        <f t="shared" ca="1" si="497"/>
        <v>4092495.1930052368</v>
      </c>
      <c r="BQ126" s="77">
        <f t="shared" ca="1" si="498"/>
        <v>2590.2930814303527</v>
      </c>
      <c r="BR126" s="77">
        <f t="shared" ca="1" si="499"/>
        <v>5900.6527827325317</v>
      </c>
      <c r="BS126" s="77">
        <f t="shared" ca="1" si="500"/>
        <v>0</v>
      </c>
      <c r="BT126" s="77">
        <f t="shared" ca="1" si="501"/>
        <v>6582.5405817325745</v>
      </c>
      <c r="BU126" s="54">
        <f t="shared" ca="1" si="502"/>
        <v>66.490308906389643</v>
      </c>
      <c r="BV126" s="53">
        <f ca="1">OFFSET('National statistics'!$A$6,MATCH(R0_estimation!$A126,'National statistics'!$A$7:$A$5000,0),MATCH(R0_estimation!BV$16 &amp; "_Running14daysNew",'National statistics'!$B$1:$HA$1,0))</f>
        <v>1114</v>
      </c>
      <c r="BW126" s="97">
        <f t="shared" ca="1" si="393"/>
        <v>2.3513154820600626</v>
      </c>
      <c r="BX126" s="98">
        <f t="shared" ca="1" si="192"/>
        <v>0.68996207341942262</v>
      </c>
      <c r="BY126" s="77">
        <f t="shared" ca="1" si="503"/>
        <v>1319673.1466053734</v>
      </c>
      <c r="BZ126" s="77">
        <f t="shared" ca="1" si="504"/>
        <v>583.46514508512098</v>
      </c>
      <c r="CA126" s="77">
        <f t="shared" ca="1" si="505"/>
        <v>1074.4985580089196</v>
      </c>
      <c r="CB126" s="77">
        <f t="shared" ca="1" si="506"/>
        <v>0</v>
      </c>
      <c r="CC126" s="77">
        <f t="shared" ca="1" si="507"/>
        <v>893.95887627075524</v>
      </c>
      <c r="CD126" s="54">
        <f t="shared" ca="1" si="508"/>
        <v>9.0298876390985381</v>
      </c>
      <c r="CE126" s="53">
        <f ca="1">OFFSET('National statistics'!$A$6,MATCH(R0_estimation!$A126,'National statistics'!$A$7:$A$5000,0),MATCH(R0_estimation!CE$16 &amp; "_Running14daysNew",'National statistics'!$B$1:$HA$1,0))</f>
        <v>17718</v>
      </c>
      <c r="CF126" s="97">
        <f t="shared" ca="1" si="394"/>
        <v>0.67342857018631086</v>
      </c>
      <c r="CG126" s="98">
        <f t="shared" ca="1" si="193"/>
        <v>1.2165621122686727</v>
      </c>
      <c r="CH126" s="77">
        <f t="shared" ca="1" si="509"/>
        <v>7212999.366222579</v>
      </c>
      <c r="CI126" s="77">
        <f t="shared" ca="1" si="510"/>
        <v>3651.0483845019835</v>
      </c>
      <c r="CJ126" s="77">
        <f t="shared" ca="1" si="511"/>
        <v>16961.097842761421</v>
      </c>
      <c r="CK126" s="77">
        <f t="shared" ca="1" si="512"/>
        <v>0</v>
      </c>
      <c r="CL126" s="77">
        <f t="shared" ca="1" si="513"/>
        <v>70558.677912153405</v>
      </c>
      <c r="CM126" s="54">
        <f t="shared" ca="1" si="514"/>
        <v>712.71391830457969</v>
      </c>
      <c r="CO126" s="209"/>
      <c r="CP126" s="210"/>
    </row>
    <row r="127" spans="1:94">
      <c r="A127" s="83">
        <v>44027</v>
      </c>
      <c r="B127" s="53">
        <f ca="1">OFFSET('National statistics'!$A$6,MATCH(R0_estimation!$A127,'National statistics'!$A$7:$A$5000,0),MATCH(R0_estimation!B$16 &amp; "_Running14daysNew",'National statistics'!$B$1:$HA$1,0))</f>
        <v>151609</v>
      </c>
      <c r="C127" s="97">
        <f t="shared" ca="1" si="385"/>
        <v>1.4871713096412069</v>
      </c>
      <c r="D127" s="98">
        <f t="shared" si="194"/>
        <v>1</v>
      </c>
      <c r="E127" s="77">
        <f t="shared" ca="1" si="455"/>
        <v>59294620.613942556</v>
      </c>
      <c r="F127" s="77">
        <f t="shared" ca="1" si="456"/>
        <v>55656.422703598073</v>
      </c>
      <c r="G127" s="77">
        <f t="shared" ca="1" si="457"/>
        <v>143207.55031550492</v>
      </c>
      <c r="H127" s="77">
        <f t="shared" ca="1" si="458"/>
        <v>0</v>
      </c>
      <c r="I127" s="77">
        <f t="shared" ca="1" si="459"/>
        <v>221802.49672307007</v>
      </c>
      <c r="J127" s="54">
        <f t="shared" ca="1" si="460"/>
        <v>2240.4292598289912</v>
      </c>
      <c r="K127" s="53">
        <f ca="1">OFFSET('National statistics'!$A$6,MATCH(R0_estimation!$A127,'National statistics'!$A$7:$A$5000,0),MATCH(R0_estimation!K$16 &amp; "_Running14daysNew",'National statistics'!$B$1:$HA$1,0))</f>
        <v>26244</v>
      </c>
      <c r="L127" s="97">
        <f t="shared" ca="1" si="386"/>
        <v>0.97213300294969573</v>
      </c>
      <c r="M127" s="98">
        <f t="shared" ca="1" si="185"/>
        <v>1.3891436550517304</v>
      </c>
      <c r="N127" s="77">
        <f t="shared" ca="1" si="461"/>
        <v>6797244.3542125095</v>
      </c>
      <c r="O127" s="77">
        <f t="shared" ca="1" si="462"/>
        <v>7379.047812151297</v>
      </c>
      <c r="P127" s="77">
        <f t="shared" ca="1" si="463"/>
        <v>25650.125992997779</v>
      </c>
      <c r="Q127" s="77">
        <f t="shared" ca="1" si="464"/>
        <v>0</v>
      </c>
      <c r="R127" s="77">
        <f t="shared" ca="1" si="465"/>
        <v>40085.748819260414</v>
      </c>
      <c r="S127" s="54">
        <f t="shared" ca="1" si="466"/>
        <v>404.90655372990312</v>
      </c>
      <c r="T127" s="53">
        <f ca="1">OFFSET('National statistics'!$A$6,MATCH(R0_estimation!$A127,'National statistics'!$A$7:$A$5000,0),MATCH(R0_estimation!T$16 &amp; "_Running14daysNew",'National statistics'!$B$1:$HA$1,0))</f>
        <v>4889</v>
      </c>
      <c r="U127" s="97">
        <f t="shared" ca="1" si="387"/>
        <v>3.2573756695954525</v>
      </c>
      <c r="V127" s="98">
        <f t="shared" ca="1" si="186"/>
        <v>0.50313552847557719</v>
      </c>
      <c r="W127" s="77">
        <f t="shared" ca="1" si="467"/>
        <v>2797521.7757203225</v>
      </c>
      <c r="X127" s="77">
        <f t="shared" ca="1" si="468"/>
        <v>3205.7000827113607</v>
      </c>
      <c r="Y127" s="77">
        <f t="shared" ca="1" si="469"/>
        <v>4774.5215253827982</v>
      </c>
      <c r="Z127" s="77">
        <f t="shared" ca="1" si="470"/>
        <v>0</v>
      </c>
      <c r="AA127" s="77">
        <f t="shared" ca="1" si="471"/>
        <v>3472.0606989975995</v>
      </c>
      <c r="AB127" s="54">
        <f t="shared" ca="1" si="472"/>
        <v>35.071320191894955</v>
      </c>
      <c r="AC127" s="53">
        <f ca="1">OFFSET('National statistics'!$A$6,MATCH(R0_estimation!$A127,'National statistics'!$A$7:$A$5000,0),MATCH(R0_estimation!AC$16 &amp; "_Running14daysNew",'National statistics'!$B$1:$HA$1,0))</f>
        <v>66770</v>
      </c>
      <c r="AD127" s="97">
        <f t="shared" ca="1" si="388"/>
        <v>1.3382350102780447</v>
      </c>
      <c r="AE127" s="98">
        <f t="shared" ca="1" si="187"/>
        <v>0.57565754152920057</v>
      </c>
      <c r="AF127" s="77">
        <f t="shared" ca="1" si="473"/>
        <v>15481481.366403425</v>
      </c>
      <c r="AG127" s="77">
        <f t="shared" ca="1" si="474"/>
        <v>22255.235490288025</v>
      </c>
      <c r="AH127" s="77">
        <f t="shared" ca="1" si="475"/>
        <v>61458.053213306783</v>
      </c>
      <c r="AI127" s="77">
        <f t="shared" ca="1" si="476"/>
        <v>0</v>
      </c>
      <c r="AJ127" s="77">
        <f t="shared" ca="1" si="477"/>
        <v>73499.101277587164</v>
      </c>
      <c r="AK127" s="54">
        <f t="shared" ca="1" si="478"/>
        <v>742.41516442007207</v>
      </c>
      <c r="AL127" s="53">
        <f ca="1">OFFSET('National statistics'!$A$6,MATCH(R0_estimation!$A127,'National statistics'!$A$7:$A$5000,0),MATCH(R0_estimation!AL$16 &amp; "_Running14daysNew",'National statistics'!$B$1:$HA$1,0))</f>
        <v>22307</v>
      </c>
      <c r="AM127" s="97">
        <f t="shared" ca="1" si="389"/>
        <v>2.4526722057434021</v>
      </c>
      <c r="AN127" s="98">
        <f t="shared" ca="1" si="188"/>
        <v>0.74495013848278369</v>
      </c>
      <c r="AO127" s="77">
        <f t="shared" ca="1" si="479"/>
        <v>10950374.553933546</v>
      </c>
      <c r="AP127" s="77">
        <f t="shared" ca="1" si="480"/>
        <v>11507.78364106234</v>
      </c>
      <c r="AQ127" s="77">
        <f t="shared" ca="1" si="481"/>
        <v>20724.592114218984</v>
      </c>
      <c r="AR127" s="77">
        <f t="shared" ca="1" si="482"/>
        <v>0</v>
      </c>
      <c r="AS127" s="77">
        <f t="shared" ca="1" si="483"/>
        <v>17743.247575429603</v>
      </c>
      <c r="AT127" s="54">
        <f t="shared" ca="1" si="484"/>
        <v>179.22472298413737</v>
      </c>
      <c r="AU127" s="53">
        <f ca="1">OFFSET('National statistics'!$A$6,MATCH(R0_estimation!$A127,'National statistics'!$A$7:$A$5000,0),MATCH(R0_estimation!AU$16 &amp; "_Running14daysNew",'National statistics'!$B$1:$HA$1,0))</f>
        <v>2470</v>
      </c>
      <c r="AV127" s="97">
        <f t="shared" ca="1" si="390"/>
        <v>2.3100549624621229</v>
      </c>
      <c r="AW127" s="98">
        <f t="shared" ca="1" si="189"/>
        <v>0.85754424097138826</v>
      </c>
      <c r="AX127" s="77">
        <f t="shared" ca="1" si="485"/>
        <v>5848031.9966376368</v>
      </c>
      <c r="AY127" s="77">
        <f t="shared" ca="1" si="486"/>
        <v>1257.8136846491041</v>
      </c>
      <c r="AZ127" s="77">
        <f t="shared" ca="1" si="487"/>
        <v>2361.7319765210041</v>
      </c>
      <c r="BA127" s="77">
        <f t="shared" ca="1" si="488"/>
        <v>0</v>
      </c>
      <c r="BB127" s="77">
        <f t="shared" ca="1" si="489"/>
        <v>2165.4021095596631</v>
      </c>
      <c r="BC127" s="54">
        <f t="shared" ca="1" si="490"/>
        <v>21.872748581410736</v>
      </c>
      <c r="BD127" s="53">
        <f ca="1">OFFSET('National statistics'!$A$6,MATCH(R0_estimation!$A127,'National statistics'!$A$7:$A$5000,0),MATCH(R0_estimation!BD$16 &amp; "_Running14daysNew",'National statistics'!$B$1:$HA$1,0))</f>
        <v>3745</v>
      </c>
      <c r="BE127" s="97">
        <f t="shared" ca="1" si="391"/>
        <v>2.9472771828663058</v>
      </c>
      <c r="BF127" s="98">
        <f t="shared" ca="1" si="190"/>
        <v>0.72178134408538486</v>
      </c>
      <c r="BG127" s="77">
        <f t="shared" ca="1" si="491"/>
        <v>4801343.3151342198</v>
      </c>
      <c r="BH127" s="77">
        <f t="shared" ca="1" si="492"/>
        <v>2036.4219072169358</v>
      </c>
      <c r="BI127" s="77">
        <f t="shared" ca="1" si="493"/>
        <v>3246.79445231307</v>
      </c>
      <c r="BJ127" s="77">
        <f t="shared" ca="1" si="494"/>
        <v>0</v>
      </c>
      <c r="BK127" s="77">
        <f t="shared" ca="1" si="495"/>
        <v>2545.3938575433895</v>
      </c>
      <c r="BL127" s="54">
        <f t="shared" ca="1" si="496"/>
        <v>25.711049066094844</v>
      </c>
      <c r="BM127" s="53">
        <f ca="1">OFFSET('National statistics'!$A$6,MATCH(R0_estimation!$A127,'National statistics'!$A$7:$A$5000,0),MATCH(R0_estimation!BM$16 &amp; "_Running14daysNew",'National statistics'!$B$1:$HA$1,0))</f>
        <v>6832</v>
      </c>
      <c r="BN127" s="97">
        <f t="shared" ca="1" si="392"/>
        <v>1.7549160185529205</v>
      </c>
      <c r="BO127" s="98">
        <f t="shared" ca="1" si="191"/>
        <v>0.99326027081939861</v>
      </c>
      <c r="BP127" s="77">
        <f t="shared" ca="1" si="497"/>
        <v>4091758.253723728</v>
      </c>
      <c r="BQ127" s="77">
        <f t="shared" ca="1" si="498"/>
        <v>2679.6590925816486</v>
      </c>
      <c r="BR127" s="77">
        <f t="shared" ca="1" si="499"/>
        <v>6126.7508543235108</v>
      </c>
      <c r="BS127" s="77">
        <f t="shared" ca="1" si="500"/>
        <v>0</v>
      </c>
      <c r="BT127" s="77">
        <f t="shared" ca="1" si="501"/>
        <v>6999.8010285115179</v>
      </c>
      <c r="BU127" s="54">
        <f t="shared" ca="1" si="502"/>
        <v>70.705060894055734</v>
      </c>
      <c r="BV127" s="53">
        <f ca="1">OFFSET('National statistics'!$A$6,MATCH(R0_estimation!$A127,'National statistics'!$A$7:$A$5000,0),MATCH(R0_estimation!BV$16 &amp; "_Running14daysNew",'National statistics'!$B$1:$HA$1,0))</f>
        <v>1173</v>
      </c>
      <c r="BW127" s="97">
        <f t="shared" ca="1" si="393"/>
        <v>2.3513154820600626</v>
      </c>
      <c r="BX127" s="98">
        <f t="shared" ca="1" si="192"/>
        <v>0.68996207341942262</v>
      </c>
      <c r="BY127" s="77">
        <f t="shared" ca="1" si="503"/>
        <v>1319493.0316821742</v>
      </c>
      <c r="BZ127" s="77">
        <f t="shared" ca="1" si="504"/>
        <v>617.71378201300547</v>
      </c>
      <c r="CA127" s="77">
        <f t="shared" ca="1" si="505"/>
        <v>1143.6149472795628</v>
      </c>
      <c r="CB127" s="77">
        <f t="shared" ca="1" si="506"/>
        <v>0</v>
      </c>
      <c r="CC127" s="77">
        <f t="shared" ca="1" si="507"/>
        <v>969.94127430138599</v>
      </c>
      <c r="CD127" s="54">
        <f t="shared" ca="1" si="508"/>
        <v>9.79738660910491</v>
      </c>
      <c r="CE127" s="53">
        <f ca="1">OFFSET('National statistics'!$A$6,MATCH(R0_estimation!$A127,'National statistics'!$A$7:$A$5000,0),MATCH(R0_estimation!CE$16 &amp; "_Running14daysNew",'National statistics'!$B$1:$HA$1,0))</f>
        <v>17179</v>
      </c>
      <c r="CF127" s="97">
        <f t="shared" ca="1" si="394"/>
        <v>0.67342857018631086</v>
      </c>
      <c r="CG127" s="98">
        <f t="shared" ca="1" si="193"/>
        <v>1.2165621122686727</v>
      </c>
      <c r="CH127" s="77">
        <f t="shared" ca="1" si="509"/>
        <v>7212193.686429753</v>
      </c>
      <c r="CI127" s="77">
        <f t="shared" ca="1" si="510"/>
        <v>3543.966081202655</v>
      </c>
      <c r="CJ127" s="77">
        <f t="shared" ca="1" si="511"/>
        <v>16662.352950118242</v>
      </c>
      <c r="CK127" s="77">
        <f t="shared" ca="1" si="512"/>
        <v>0</v>
      </c>
      <c r="CL127" s="77">
        <f t="shared" ca="1" si="513"/>
        <v>71758.069831034387</v>
      </c>
      <c r="CM127" s="54">
        <f t="shared" ca="1" si="514"/>
        <v>724.82898819226648</v>
      </c>
      <c r="CO127" s="209"/>
      <c r="CP127" s="210"/>
    </row>
    <row r="128" spans="1:94">
      <c r="A128" s="83">
        <v>44028</v>
      </c>
      <c r="B128" s="53">
        <f ca="1">OFFSET('National statistics'!$A$6,MATCH(R0_estimation!$A128,'National statistics'!$A$7:$A$5000,0),MATCH(R0_estimation!B$16 &amp; "_Running14daysNew",'National statistics'!$B$1:$HA$1,0))</f>
        <v>156099</v>
      </c>
      <c r="C128" s="97">
        <f t="shared" ca="1" si="385"/>
        <v>1.4871713096412069</v>
      </c>
      <c r="D128" s="98">
        <f t="shared" si="194"/>
        <v>1</v>
      </c>
      <c r="E128" s="77">
        <f t="shared" ca="1" si="455"/>
        <v>59279515.338507853</v>
      </c>
      <c r="F128" s="77">
        <f t="shared" ca="1" si="456"/>
        <v>56847.592462399458</v>
      </c>
      <c r="G128" s="77">
        <f t="shared" ca="1" si="457"/>
        <v>146892.54525458266</v>
      </c>
      <c r="H128" s="77">
        <f t="shared" ca="1" si="458"/>
        <v>0</v>
      </c>
      <c r="I128" s="77">
        <f t="shared" ca="1" si="459"/>
        <v>231929.31635252363</v>
      </c>
      <c r="J128" s="54">
        <f t="shared" ca="1" si="460"/>
        <v>2342.7203671972093</v>
      </c>
      <c r="K128" s="53">
        <f ca="1">OFFSET('National statistics'!$A$6,MATCH(R0_estimation!$A128,'National statistics'!$A$7:$A$5000,0),MATCH(R0_estimation!K$16 &amp; "_Running14daysNew",'National statistics'!$B$1:$HA$1,0))</f>
        <v>26583</v>
      </c>
      <c r="L128" s="97">
        <f t="shared" ca="1" si="386"/>
        <v>0.97213300294969573</v>
      </c>
      <c r="M128" s="98">
        <f t="shared" ca="1" si="185"/>
        <v>1.3891436550517304</v>
      </c>
      <c r="N128" s="77">
        <f t="shared" ca="1" si="461"/>
        <v>6795482.2134872572</v>
      </c>
      <c r="O128" s="77">
        <f t="shared" ca="1" si="462"/>
        <v>7296.4265843660532</v>
      </c>
      <c r="P128" s="77">
        <f t="shared" ca="1" si="463"/>
        <v>25662.736089392907</v>
      </c>
      <c r="Q128" s="77">
        <f t="shared" ca="1" si="464"/>
        <v>0</v>
      </c>
      <c r="R128" s="77">
        <f t="shared" ca="1" si="465"/>
        <v>41899.579157336688</v>
      </c>
      <c r="S128" s="54">
        <f t="shared" ca="1" si="466"/>
        <v>423.22807229633008</v>
      </c>
      <c r="T128" s="53">
        <f ca="1">OFFSET('National statistics'!$A$6,MATCH(R0_estimation!$A128,'National statistics'!$A$7:$A$5000,0),MATCH(R0_estimation!T$16 &amp; "_Running14daysNew",'National statistics'!$B$1:$HA$1,0))</f>
        <v>5426</v>
      </c>
      <c r="U128" s="97">
        <f t="shared" ca="1" si="387"/>
        <v>3.2573756695954525</v>
      </c>
      <c r="V128" s="98">
        <f t="shared" ca="1" si="186"/>
        <v>0.50313552847557719</v>
      </c>
      <c r="W128" s="77">
        <f t="shared" ca="1" si="467"/>
        <v>2796415.4183954825</v>
      </c>
      <c r="X128" s="77">
        <f t="shared" ca="1" si="468"/>
        <v>3510.6323868737104</v>
      </c>
      <c r="Y128" s="77">
        <f t="shared" ca="1" si="469"/>
        <v>5234.9092942475818</v>
      </c>
      <c r="Z128" s="77">
        <f t="shared" ca="1" si="470"/>
        <v>0</v>
      </c>
      <c r="AA128" s="77">
        <f t="shared" ca="1" si="471"/>
        <v>3809.6875782925258</v>
      </c>
      <c r="AB128" s="54">
        <f t="shared" ca="1" si="472"/>
        <v>38.481692710025527</v>
      </c>
      <c r="AC128" s="53">
        <f ca="1">OFFSET('National statistics'!$A$6,MATCH(R0_estimation!$A128,'National statistics'!$A$7:$A$5000,0),MATCH(R0_estimation!AC$16 &amp; "_Running14daysNew",'National statistics'!$B$1:$HA$1,0))</f>
        <v>67958</v>
      </c>
      <c r="AD128" s="97">
        <f t="shared" ca="1" si="388"/>
        <v>1.3382350102780447</v>
      </c>
      <c r="AE128" s="98">
        <f t="shared" ca="1" si="187"/>
        <v>0.57565754152920057</v>
      </c>
      <c r="AF128" s="77">
        <f t="shared" ca="1" si="473"/>
        <v>15475665.75753491</v>
      </c>
      <c r="AG128" s="77">
        <f t="shared" ca="1" si="474"/>
        <v>22507.035486230699</v>
      </c>
      <c r="AH128" s="77">
        <f t="shared" ca="1" si="475"/>
        <v>62632.001142071167</v>
      </c>
      <c r="AI128" s="77">
        <f t="shared" ca="1" si="476"/>
        <v>0</v>
      </c>
      <c r="AJ128" s="77">
        <f t="shared" ca="1" si="477"/>
        <v>77845.063611956721</v>
      </c>
      <c r="AK128" s="54">
        <f t="shared" ca="1" si="478"/>
        <v>786.31377385814835</v>
      </c>
      <c r="AL128" s="53">
        <f ca="1">OFFSET('National statistics'!$A$6,MATCH(R0_estimation!$A128,'National statistics'!$A$7:$A$5000,0),MATCH(R0_estimation!AL$16 &amp; "_Running14daysNew",'National statistics'!$B$1:$HA$1,0))</f>
        <v>23935</v>
      </c>
      <c r="AM128" s="97">
        <f t="shared" ca="1" si="389"/>
        <v>2.4526722057434021</v>
      </c>
      <c r="AN128" s="98">
        <f t="shared" ca="1" si="188"/>
        <v>0.74495013848278369</v>
      </c>
      <c r="AO128" s="77">
        <f t="shared" ca="1" si="479"/>
        <v>10946760.289453106</v>
      </c>
      <c r="AP128" s="77">
        <f t="shared" ca="1" si="480"/>
        <v>12245.102211236293</v>
      </c>
      <c r="AQ128" s="77">
        <f t="shared" ca="1" si="481"/>
        <v>22121.210016326069</v>
      </c>
      <c r="AR128" s="77">
        <f t="shared" ca="1" si="482"/>
        <v>0</v>
      </c>
      <c r="AS128" s="77">
        <f t="shared" ca="1" si="483"/>
        <v>19208.772303506517</v>
      </c>
      <c r="AT128" s="54">
        <f t="shared" ca="1" si="484"/>
        <v>194.02800306572237</v>
      </c>
      <c r="AU128" s="53">
        <f ca="1">OFFSET('National statistics'!$A$6,MATCH(R0_estimation!$A128,'National statistics'!$A$7:$A$5000,0),MATCH(R0_estimation!AU$16 &amp; "_Running14daysNew",'National statistics'!$B$1:$HA$1,0))</f>
        <v>2597</v>
      </c>
      <c r="AV128" s="97">
        <f t="shared" ca="1" si="390"/>
        <v>2.3100549624621229</v>
      </c>
      <c r="AW128" s="98">
        <f t="shared" ca="1" si="189"/>
        <v>0.85754424097138826</v>
      </c>
      <c r="AX128" s="77">
        <f t="shared" ca="1" si="485"/>
        <v>5847642.6866999613</v>
      </c>
      <c r="AY128" s="77">
        <f t="shared" ca="1" si="486"/>
        <v>1332.6702011618972</v>
      </c>
      <c r="AZ128" s="77">
        <f t="shared" ca="1" si="487"/>
        <v>2507.490256503208</v>
      </c>
      <c r="BA128" s="77">
        <f t="shared" ca="1" si="488"/>
        <v>0</v>
      </c>
      <c r="BB128" s="77">
        <f t="shared" ca="1" si="489"/>
        <v>2332.4102993279339</v>
      </c>
      <c r="BC128" s="54">
        <f t="shared" ca="1" si="490"/>
        <v>23.559699993211453</v>
      </c>
      <c r="BD128" s="53">
        <f ca="1">OFFSET('National statistics'!$A$6,MATCH(R0_estimation!$A128,'National statistics'!$A$7:$A$5000,0),MATCH(R0_estimation!BD$16 &amp; "_Running14daysNew",'National statistics'!$B$1:$HA$1,0))</f>
        <v>4094</v>
      </c>
      <c r="BE128" s="97">
        <f t="shared" ca="1" si="391"/>
        <v>2.9472771828663058</v>
      </c>
      <c r="BF128" s="98">
        <f t="shared" ca="1" si="190"/>
        <v>0.72178134408538486</v>
      </c>
      <c r="BG128" s="77">
        <f t="shared" ca="1" si="491"/>
        <v>4800660.9132785117</v>
      </c>
      <c r="BH128" s="77">
        <f t="shared" ca="1" si="492"/>
        <v>2209.7182861212182</v>
      </c>
      <c r="BI128" s="77">
        <f t="shared" ca="1" si="493"/>
        <v>3523.9860396663703</v>
      </c>
      <c r="BJ128" s="77">
        <f t="shared" ca="1" si="494"/>
        <v>0</v>
      </c>
      <c r="BK128" s="77">
        <f t="shared" ca="1" si="495"/>
        <v>2774.9886080998135</v>
      </c>
      <c r="BL128" s="54">
        <f t="shared" ca="1" si="496"/>
        <v>28.030187960604181</v>
      </c>
      <c r="BM128" s="53">
        <f ca="1">OFFSET('National statistics'!$A$6,MATCH(R0_estimation!$A128,'National statistics'!$A$7:$A$5000,0),MATCH(R0_estimation!BM$16 &amp; "_Running14daysNew",'National statistics'!$B$1:$HA$1,0))</f>
        <v>7103</v>
      </c>
      <c r="BN128" s="97">
        <f t="shared" ca="1" si="392"/>
        <v>1.7549160185529205</v>
      </c>
      <c r="BO128" s="98">
        <f t="shared" ca="1" si="191"/>
        <v>0.99326027081939861</v>
      </c>
      <c r="BP128" s="77">
        <f t="shared" ca="1" si="497"/>
        <v>4090993.2137962985</v>
      </c>
      <c r="BQ128" s="77">
        <f t="shared" ca="1" si="498"/>
        <v>2774.7842468656122</v>
      </c>
      <c r="BR128" s="77">
        <f t="shared" ca="1" si="499"/>
        <v>6359.0405664458149</v>
      </c>
      <c r="BS128" s="77">
        <f t="shared" ca="1" si="500"/>
        <v>0</v>
      </c>
      <c r="BT128" s="77">
        <f t="shared" ca="1" si="501"/>
        <v>7433.0498389243949</v>
      </c>
      <c r="BU128" s="54">
        <f t="shared" ca="1" si="502"/>
        <v>75.081311504286816</v>
      </c>
      <c r="BV128" s="53">
        <f ca="1">OFFSET('National statistics'!$A$6,MATCH(R0_estimation!$A128,'National statistics'!$A$7:$A$5000,0),MATCH(R0_estimation!BV$16 &amp; "_Running14daysNew",'National statistics'!$B$1:$HA$1,0))</f>
        <v>1258</v>
      </c>
      <c r="BW128" s="97">
        <f t="shared" ca="1" si="393"/>
        <v>2.3513154820600626</v>
      </c>
      <c r="BX128" s="98">
        <f t="shared" ca="1" si="192"/>
        <v>0.68996207341942262</v>
      </c>
      <c r="BY128" s="77">
        <f t="shared" ca="1" si="503"/>
        <v>1319301.3570419</v>
      </c>
      <c r="BZ128" s="77">
        <f t="shared" ca="1" si="504"/>
        <v>654.95997678385106</v>
      </c>
      <c r="CA128" s="77">
        <f t="shared" ca="1" si="505"/>
        <v>1216.3566108342741</v>
      </c>
      <c r="CB128" s="77">
        <f t="shared" ca="1" si="506"/>
        <v>0</v>
      </c>
      <c r="CC128" s="77">
        <f t="shared" ca="1" si="507"/>
        <v>1050.8111884304408</v>
      </c>
      <c r="CD128" s="54">
        <f t="shared" ca="1" si="508"/>
        <v>10.614254428590312</v>
      </c>
      <c r="CE128" s="53">
        <f ca="1">OFFSET('National statistics'!$A$6,MATCH(R0_estimation!$A128,'National statistics'!$A$7:$A$5000,0),MATCH(R0_estimation!CE$16 &amp; "_Running14daysNew",'National statistics'!$B$1:$HA$1,0))</f>
        <v>17145</v>
      </c>
      <c r="CF128" s="97">
        <f t="shared" ca="1" si="394"/>
        <v>0.67342857018631086</v>
      </c>
      <c r="CG128" s="98">
        <f t="shared" ca="1" si="193"/>
        <v>1.2165621122686727</v>
      </c>
      <c r="CH128" s="77">
        <f t="shared" ca="1" si="509"/>
        <v>7211402.2846015692</v>
      </c>
      <c r="CI128" s="77">
        <f t="shared" ca="1" si="510"/>
        <v>3449.3763890856972</v>
      </c>
      <c r="CJ128" s="77">
        <f t="shared" ca="1" si="511"/>
        <v>16358.176402553318</v>
      </c>
      <c r="CK128" s="77">
        <f t="shared" ca="1" si="512"/>
        <v>0</v>
      </c>
      <c r="CL128" s="77">
        <f t="shared" ca="1" si="513"/>
        <v>72936.336218221317</v>
      </c>
      <c r="CM128" s="54">
        <f t="shared" ca="1" si="514"/>
        <v>736.73066887092239</v>
      </c>
      <c r="CO128" s="209"/>
      <c r="CP128" s="210"/>
    </row>
    <row r="129" spans="1:94">
      <c r="A129" s="83">
        <v>44029</v>
      </c>
      <c r="B129" s="53">
        <f ca="1">OFFSET('National statistics'!$A$6,MATCH(R0_estimation!$A129,'National statistics'!$A$7:$A$5000,0),MATCH(R0_estimation!B$16 &amp; "_Running14daysNew",'National statistics'!$B$1:$HA$1,0))</f>
        <v>160409</v>
      </c>
      <c r="C129" s="97">
        <f t="shared" ca="1" si="385"/>
        <v>1.4871713096412069</v>
      </c>
      <c r="D129" s="98">
        <f t="shared" si="194"/>
        <v>1</v>
      </c>
      <c r="E129" s="77">
        <f t="shared" ca="1" si="455"/>
        <v>59264025.296964444</v>
      </c>
      <c r="F129" s="77">
        <f t="shared" ca="1" si="456"/>
        <v>58125.735890209631</v>
      </c>
      <c r="G129" s="77">
        <f t="shared" ca="1" si="457"/>
        <v>150612.11870914092</v>
      </c>
      <c r="H129" s="77">
        <f t="shared" ca="1" si="458"/>
        <v>0</v>
      </c>
      <c r="I129" s="77">
        <f t="shared" ca="1" si="459"/>
        <v>242316.71776695483</v>
      </c>
      <c r="J129" s="54">
        <f t="shared" ca="1" si="460"/>
        <v>2447.6436138076256</v>
      </c>
      <c r="K129" s="53">
        <f ca="1">OFFSET('National statistics'!$A$6,MATCH(R0_estimation!$A129,'National statistics'!$A$7:$A$5000,0),MATCH(R0_estimation!K$16 &amp; "_Running14daysNew",'National statistics'!$B$1:$HA$1,0))</f>
        <v>26703</v>
      </c>
      <c r="L129" s="97">
        <f t="shared" ca="1" si="386"/>
        <v>0.97213300294969573</v>
      </c>
      <c r="M129" s="98">
        <f t="shared" ca="1" si="185"/>
        <v>1.3891436550517304</v>
      </c>
      <c r="N129" s="77">
        <f t="shared" ca="1" si="461"/>
        <v>6793719.6588072991</v>
      </c>
      <c r="O129" s="77">
        <f t="shared" ca="1" si="462"/>
        <v>7234.8746182330033</v>
      </c>
      <c r="P129" s="77">
        <f t="shared" ca="1" si="463"/>
        <v>25653.790157670643</v>
      </c>
      <c r="Q129" s="77">
        <f t="shared" ca="1" si="464"/>
        <v>0</v>
      </c>
      <c r="R129" s="77">
        <f t="shared" ca="1" si="465"/>
        <v>43714.30120937233</v>
      </c>
      <c r="S129" s="54">
        <f t="shared" ca="1" si="466"/>
        <v>441.55859807446785</v>
      </c>
      <c r="T129" s="53">
        <f ca="1">OFFSET('National statistics'!$A$6,MATCH(R0_estimation!$A129,'National statistics'!$A$7:$A$5000,0),MATCH(R0_estimation!T$16 &amp; "_Running14daysNew",'National statistics'!$B$1:$HA$1,0))</f>
        <v>6160</v>
      </c>
      <c r="U129" s="97">
        <f t="shared" ca="1" si="387"/>
        <v>3.2573756695954525</v>
      </c>
      <c r="V129" s="98">
        <f t="shared" ca="1" si="186"/>
        <v>0.50313552847557719</v>
      </c>
      <c r="W129" s="77">
        <f t="shared" ca="1" si="467"/>
        <v>2795202.8577733086</v>
      </c>
      <c r="X129" s="77">
        <f t="shared" ca="1" si="468"/>
        <v>3845.5349123290503</v>
      </c>
      <c r="Y129" s="77">
        <f t="shared" ca="1" si="469"/>
        <v>5738.6452985197529</v>
      </c>
      <c r="Z129" s="77">
        <f t="shared" ca="1" si="470"/>
        <v>0</v>
      </c>
      <c r="AA129" s="77">
        <f t="shared" ca="1" si="471"/>
        <v>4179.8704498143188</v>
      </c>
      <c r="AB129" s="54">
        <f t="shared" ca="1" si="472"/>
        <v>42.220913634488085</v>
      </c>
      <c r="AC129" s="53">
        <f ca="1">OFFSET('National statistics'!$A$6,MATCH(R0_estimation!$A129,'National statistics'!$A$7:$A$5000,0),MATCH(R0_estimation!AC$16 &amp; "_Running14daysNew",'National statistics'!$B$1:$HA$1,0))</f>
        <v>69077</v>
      </c>
      <c r="AD129" s="97">
        <f t="shared" ca="1" si="388"/>
        <v>1.3382350102780447</v>
      </c>
      <c r="AE129" s="98">
        <f t="shared" ca="1" si="187"/>
        <v>0.57565754152920057</v>
      </c>
      <c r="AF129" s="77">
        <f t="shared" ca="1" si="473"/>
        <v>15469741.270887751</v>
      </c>
      <c r="AG129" s="77">
        <f t="shared" ca="1" si="474"/>
        <v>22804.763261832399</v>
      </c>
      <c r="AH129" s="77">
        <f t="shared" ca="1" si="475"/>
        <v>63785.04564633804</v>
      </c>
      <c r="AI129" s="77">
        <f t="shared" ca="1" si="476"/>
        <v>0</v>
      </c>
      <c r="AJ129" s="77">
        <f t="shared" ca="1" si="477"/>
        <v>82274.040835574604</v>
      </c>
      <c r="AK129" s="54">
        <f t="shared" ca="1" si="478"/>
        <v>831.05091753105637</v>
      </c>
      <c r="AL129" s="53">
        <f ca="1">OFFSET('National statistics'!$A$6,MATCH(R0_estimation!$A129,'National statistics'!$A$7:$A$5000,0),MATCH(R0_estimation!AL$16 &amp; "_Running14daysNew",'National statistics'!$B$1:$HA$1,0))</f>
        <v>24965</v>
      </c>
      <c r="AM129" s="97">
        <f t="shared" ca="1" si="389"/>
        <v>2.4526722057434021</v>
      </c>
      <c r="AN129" s="98">
        <f t="shared" ca="1" si="188"/>
        <v>0.74495013848278369</v>
      </c>
      <c r="AO129" s="77">
        <f t="shared" ca="1" si="479"/>
        <v>10942903.729964016</v>
      </c>
      <c r="AP129" s="77">
        <f t="shared" ca="1" si="480"/>
        <v>13040.386147517596</v>
      </c>
      <c r="AQ129" s="77">
        <f t="shared" ca="1" si="481"/>
        <v>23602.399139397567</v>
      </c>
      <c r="AR129" s="77">
        <f t="shared" ca="1" si="482"/>
        <v>0</v>
      </c>
      <c r="AS129" s="77">
        <f t="shared" ca="1" si="483"/>
        <v>20773.057868946718</v>
      </c>
      <c r="AT129" s="54">
        <f t="shared" ca="1" si="484"/>
        <v>209.82886736309814</v>
      </c>
      <c r="AU129" s="53">
        <f ca="1">OFFSET('National statistics'!$A$6,MATCH(R0_estimation!$A129,'National statistics'!$A$7:$A$5000,0),MATCH(R0_estimation!AU$16 &amp; "_Running14daysNew",'National statistics'!$B$1:$HA$1,0))</f>
        <v>2752</v>
      </c>
      <c r="AV129" s="97">
        <f t="shared" ca="1" si="390"/>
        <v>2.3100549624621229</v>
      </c>
      <c r="AW129" s="98">
        <f t="shared" ca="1" si="189"/>
        <v>0.85754424097138826</v>
      </c>
      <c r="AX129" s="77">
        <f t="shared" ca="1" si="485"/>
        <v>5847229.3772387775</v>
      </c>
      <c r="AY129" s="77">
        <f t="shared" ca="1" si="486"/>
        <v>1412.8121120554667</v>
      </c>
      <c r="AZ129" s="77">
        <f t="shared" ca="1" si="487"/>
        <v>2661.5513599005963</v>
      </c>
      <c r="BA129" s="77">
        <f t="shared" ca="1" si="488"/>
        <v>0</v>
      </c>
      <c r="BB129" s="77">
        <f t="shared" ca="1" si="489"/>
        <v>2509.7256817520893</v>
      </c>
      <c r="BC129" s="54">
        <f t="shared" ca="1" si="490"/>
        <v>25.350764462142315</v>
      </c>
      <c r="BD129" s="53">
        <f ca="1">OFFSET('National statistics'!$A$6,MATCH(R0_estimation!$A129,'National statistics'!$A$7:$A$5000,0),MATCH(R0_estimation!BD$16 &amp; "_Running14daysNew",'National statistics'!$B$1:$HA$1,0))</f>
        <v>4462</v>
      </c>
      <c r="BE129" s="97">
        <f t="shared" ca="1" si="391"/>
        <v>2.9472771828663058</v>
      </c>
      <c r="BF129" s="98">
        <f t="shared" ca="1" si="190"/>
        <v>0.72178134408538486</v>
      </c>
      <c r="BG129" s="77">
        <f t="shared" ca="1" si="491"/>
        <v>4799920.3570087198</v>
      </c>
      <c r="BH129" s="77">
        <f t="shared" ca="1" si="492"/>
        <v>2397.8449843827088</v>
      </c>
      <c r="BI129" s="77">
        <f t="shared" ca="1" si="493"/>
        <v>3824.7023226490769</v>
      </c>
      <c r="BJ129" s="77">
        <f t="shared" ca="1" si="494"/>
        <v>0</v>
      </c>
      <c r="BK129" s="77">
        <f t="shared" ca="1" si="495"/>
        <v>3024.1847637619353</v>
      </c>
      <c r="BL129" s="54">
        <f t="shared" ca="1" si="496"/>
        <v>30.547320846080162</v>
      </c>
      <c r="BM129" s="53">
        <f ca="1">OFFSET('National statistics'!$A$6,MATCH(R0_estimation!$A129,'National statistics'!$A$7:$A$5000,0),MATCH(R0_estimation!BM$16 &amp; "_Running14daysNew",'National statistics'!$B$1:$HA$1,0))</f>
        <v>7554</v>
      </c>
      <c r="BN129" s="97">
        <f t="shared" ca="1" si="392"/>
        <v>1.7549160185529205</v>
      </c>
      <c r="BO129" s="98">
        <f t="shared" ca="1" si="191"/>
        <v>0.99326027081939861</v>
      </c>
      <c r="BP129" s="77">
        <f t="shared" ca="1" si="497"/>
        <v>4090199.3157526846</v>
      </c>
      <c r="BQ129" s="77">
        <f t="shared" ca="1" si="498"/>
        <v>2874.9862287629226</v>
      </c>
      <c r="BR129" s="77">
        <f t="shared" ca="1" si="499"/>
        <v>6598.51944484466</v>
      </c>
      <c r="BS129" s="77">
        <f t="shared" ca="1" si="500"/>
        <v>0</v>
      </c>
      <c r="BT129" s="77">
        <f t="shared" ca="1" si="501"/>
        <v>7882.7248504087775</v>
      </c>
      <c r="BU129" s="54">
        <f t="shared" ca="1" si="502"/>
        <v>79.623483337462403</v>
      </c>
      <c r="BV129" s="53">
        <f ca="1">OFFSET('National statistics'!$A$6,MATCH(R0_estimation!$A129,'National statistics'!$A$7:$A$5000,0),MATCH(R0_estimation!BV$16 &amp; "_Running14daysNew",'National statistics'!$B$1:$HA$1,0))</f>
        <v>1418</v>
      </c>
      <c r="BW129" s="97">
        <f t="shared" ca="1" si="393"/>
        <v>2.3513154820600626</v>
      </c>
      <c r="BX129" s="98">
        <f t="shared" ca="1" si="192"/>
        <v>0.68996207341942262</v>
      </c>
      <c r="BY129" s="77">
        <f t="shared" ca="1" si="503"/>
        <v>1319097.5200835799</v>
      </c>
      <c r="BZ129" s="77">
        <f t="shared" ca="1" si="504"/>
        <v>695.05694090790757</v>
      </c>
      <c r="CA129" s="77">
        <f t="shared" ca="1" si="505"/>
        <v>1293.2139899706458</v>
      </c>
      <c r="CB129" s="77">
        <f t="shared" ca="1" si="506"/>
        <v>0</v>
      </c>
      <c r="CC129" s="77">
        <f t="shared" ca="1" si="507"/>
        <v>1136.8249773394359</v>
      </c>
      <c r="CD129" s="54">
        <f t="shared" ca="1" si="508"/>
        <v>11.483080579186222</v>
      </c>
      <c r="CE129" s="53">
        <f ca="1">OFFSET('National statistics'!$A$6,MATCH(R0_estimation!$A129,'National statistics'!$A$7:$A$5000,0),MATCH(R0_estimation!CE$16 &amp; "_Running14daysNew",'National statistics'!$B$1:$HA$1,0))</f>
        <v>17318</v>
      </c>
      <c r="CF129" s="97">
        <f t="shared" ca="1" si="394"/>
        <v>0.67342857018631086</v>
      </c>
      <c r="CG129" s="98">
        <f t="shared" ca="1" si="193"/>
        <v>1.2165621122686727</v>
      </c>
      <c r="CH129" s="77">
        <f t="shared" ca="1" si="509"/>
        <v>7210625.4140554266</v>
      </c>
      <c r="CI129" s="77">
        <f t="shared" ca="1" si="510"/>
        <v>3363.902837956728</v>
      </c>
      <c r="CJ129" s="77">
        <f t="shared" ca="1" si="511"/>
        <v>16052.079328213791</v>
      </c>
      <c r="CK129" s="77">
        <f t="shared" ca="1" si="512"/>
        <v>0</v>
      </c>
      <c r="CL129" s="77">
        <f t="shared" ca="1" si="513"/>
        <v>74093.092978116154</v>
      </c>
      <c r="CM129" s="54">
        <f t="shared" ca="1" si="514"/>
        <v>748.41508058703187</v>
      </c>
      <c r="CO129" s="209"/>
      <c r="CP129" s="210"/>
    </row>
    <row r="130" spans="1:94">
      <c r="A130" s="83">
        <v>44030</v>
      </c>
      <c r="B130" s="53">
        <f ca="1">OFFSET('National statistics'!$A$6,MATCH(R0_estimation!$A130,'National statistics'!$A$7:$A$5000,0),MATCH(R0_estimation!B$16 &amp; "_Running14daysNew",'National statistics'!$B$1:$HA$1,0))</f>
        <v>162835</v>
      </c>
      <c r="C130" s="97">
        <f t="shared" ca="1" si="385"/>
        <v>1.4871713096412069</v>
      </c>
      <c r="D130" s="98">
        <f t="shared" si="194"/>
        <v>1</v>
      </c>
      <c r="E130" s="77">
        <f t="shared" ca="1" si="455"/>
        <v>59248147.142983839</v>
      </c>
      <c r="F130" s="77">
        <f t="shared" ca="1" si="456"/>
        <v>59472.455898262488</v>
      </c>
      <c r="G130" s="77">
        <f t="shared" ca="1" si="457"/>
        <v>154385.544202469</v>
      </c>
      <c r="H130" s="77">
        <f t="shared" ca="1" si="458"/>
        <v>0</v>
      </c>
      <c r="I130" s="77">
        <f t="shared" ca="1" si="459"/>
        <v>252967.14616138695</v>
      </c>
      <c r="J130" s="54">
        <f t="shared" ca="1" si="460"/>
        <v>2555.2236985998693</v>
      </c>
      <c r="K130" s="53">
        <f ca="1">OFFSET('National statistics'!$A$6,MATCH(R0_estimation!$A130,'National statistics'!$A$7:$A$5000,0),MATCH(R0_estimation!K$16 &amp; "_Running14daysNew",'National statistics'!$B$1:$HA$1,0))</f>
        <v>26815</v>
      </c>
      <c r="L130" s="97">
        <f t="shared" ca="1" si="386"/>
        <v>0.97213300294969573</v>
      </c>
      <c r="M130" s="98">
        <f t="shared" ca="1" si="185"/>
        <v>1.3891436550517304</v>
      </c>
      <c r="N130" s="77">
        <f t="shared" ca="1" si="461"/>
        <v>6791958.1708445558</v>
      </c>
      <c r="O130" s="77">
        <f t="shared" ca="1" si="462"/>
        <v>7187.6439264178889</v>
      </c>
      <c r="P130" s="77">
        <f t="shared" ca="1" si="463"/>
        <v>25630.095229538136</v>
      </c>
      <c r="Q130" s="77">
        <f t="shared" ca="1" si="464"/>
        <v>0</v>
      </c>
      <c r="R130" s="77">
        <f t="shared" ca="1" si="465"/>
        <v>45528.390656236181</v>
      </c>
      <c r="S130" s="54">
        <f t="shared" ca="1" si="466"/>
        <v>459.88273390137545</v>
      </c>
      <c r="T130" s="53">
        <f ca="1">OFFSET('National statistics'!$A$6,MATCH(R0_estimation!$A130,'National statistics'!$A$7:$A$5000,0),MATCH(R0_estimation!T$16 &amp; "_Running14daysNew",'National statistics'!$B$1:$HA$1,0))</f>
        <v>6628</v>
      </c>
      <c r="U130" s="97">
        <f t="shared" ca="1" si="387"/>
        <v>3.2573756695954525</v>
      </c>
      <c r="V130" s="98">
        <f t="shared" ca="1" si="186"/>
        <v>0.50313552847557719</v>
      </c>
      <c r="W130" s="77">
        <f t="shared" ca="1" si="467"/>
        <v>2793874.1915236218</v>
      </c>
      <c r="X130" s="77">
        <f t="shared" ca="1" si="468"/>
        <v>4212.8174339338311</v>
      </c>
      <c r="Y130" s="77">
        <f t="shared" ca="1" si="469"/>
        <v>6290.125790993462</v>
      </c>
      <c r="Z130" s="77">
        <f t="shared" ca="1" si="470"/>
        <v>0</v>
      </c>
      <c r="AA130" s="77">
        <f t="shared" ca="1" si="471"/>
        <v>4585.674653066787</v>
      </c>
      <c r="AB130" s="54">
        <f t="shared" ca="1" si="472"/>
        <v>46.319945990573622</v>
      </c>
      <c r="AC130" s="53">
        <f ca="1">OFFSET('National statistics'!$A$6,MATCH(R0_estimation!$A130,'National statistics'!$A$7:$A$5000,0),MATCH(R0_estimation!AC$16 &amp; "_Running14daysNew",'National statistics'!$B$1:$HA$1,0))</f>
        <v>69231</v>
      </c>
      <c r="AD130" s="97">
        <f t="shared" ca="1" si="388"/>
        <v>1.3382350102780447</v>
      </c>
      <c r="AE130" s="98">
        <f t="shared" ca="1" si="187"/>
        <v>0.57565754152920057</v>
      </c>
      <c r="AF130" s="77">
        <f t="shared" ca="1" si="473"/>
        <v>15463710.00799574</v>
      </c>
      <c r="AG130" s="77">
        <f t="shared" ca="1" si="474"/>
        <v>23134.835338385521</v>
      </c>
      <c r="AH130" s="77">
        <f t="shared" ca="1" si="475"/>
        <v>64930.161772772</v>
      </c>
      <c r="AI130" s="77">
        <f t="shared" ca="1" si="476"/>
        <v>0</v>
      </c>
      <c r="AJ130" s="77">
        <f t="shared" ca="1" si="477"/>
        <v>86784.554777708501</v>
      </c>
      <c r="AK130" s="54">
        <f t="shared" ca="1" si="478"/>
        <v>876.61166442129786</v>
      </c>
      <c r="AL130" s="53">
        <f ca="1">OFFSET('National statistics'!$A$6,MATCH(R0_estimation!$A130,'National statistics'!$A$7:$A$5000,0),MATCH(R0_estimation!AL$16 &amp; "_Running14daysNew",'National statistics'!$B$1:$HA$1,0))</f>
        <v>26102</v>
      </c>
      <c r="AM130" s="97">
        <f t="shared" ca="1" si="389"/>
        <v>2.4526722057434021</v>
      </c>
      <c r="AN130" s="98">
        <f t="shared" ca="1" si="188"/>
        <v>0.74495013848278369</v>
      </c>
      <c r="AO130" s="77">
        <f t="shared" ca="1" si="479"/>
        <v>10938790.387199612</v>
      </c>
      <c r="AP130" s="77">
        <f t="shared" ca="1" si="480"/>
        <v>13893.632375042162</v>
      </c>
      <c r="AQ130" s="77">
        <f t="shared" ca="1" si="481"/>
        <v>25176.610023462854</v>
      </c>
      <c r="AR130" s="77">
        <f t="shared" ca="1" si="482"/>
        <v>0</v>
      </c>
      <c r="AS130" s="77">
        <f t="shared" ca="1" si="483"/>
        <v>22442.084665232687</v>
      </c>
      <c r="AT130" s="54">
        <f t="shared" ca="1" si="484"/>
        <v>226.68772389123927</v>
      </c>
      <c r="AU130" s="53">
        <f ca="1">OFFSET('National statistics'!$A$6,MATCH(R0_estimation!$A130,'National statistics'!$A$7:$A$5000,0),MATCH(R0_estimation!AU$16 &amp; "_Running14daysNew",'National statistics'!$B$1:$HA$1,0))</f>
        <v>2931</v>
      </c>
      <c r="AV130" s="97">
        <f t="shared" ca="1" si="390"/>
        <v>2.3100549624621229</v>
      </c>
      <c r="AW130" s="98">
        <f t="shared" ca="1" si="189"/>
        <v>0.85754424097138826</v>
      </c>
      <c r="AX130" s="77">
        <f t="shared" ca="1" si="485"/>
        <v>5846790.7047688048</v>
      </c>
      <c r="AY130" s="77">
        <f t="shared" ca="1" si="486"/>
        <v>1498.2815540142353</v>
      </c>
      <c r="AZ130" s="77">
        <f t="shared" ca="1" si="487"/>
        <v>2824.6435764929915</v>
      </c>
      <c r="BA130" s="77">
        <f t="shared" ca="1" si="488"/>
        <v>0</v>
      </c>
      <c r="BB130" s="77">
        <f t="shared" ca="1" si="489"/>
        <v>2697.9353850593457</v>
      </c>
      <c r="BC130" s="54">
        <f t="shared" ca="1" si="490"/>
        <v>27.251872576357027</v>
      </c>
      <c r="BD130" s="53">
        <f ca="1">OFFSET('National statistics'!$A$6,MATCH(R0_estimation!$A130,'National statistics'!$A$7:$A$5000,0),MATCH(R0_estimation!BD$16 &amp; "_Running14daysNew",'National statistics'!$B$1:$HA$1,0))</f>
        <v>4826</v>
      </c>
      <c r="BE130" s="97">
        <f t="shared" ca="1" si="391"/>
        <v>2.9472771828663058</v>
      </c>
      <c r="BF130" s="98">
        <f t="shared" ca="1" si="190"/>
        <v>0.72178134408538486</v>
      </c>
      <c r="BG130" s="77">
        <f t="shared" ca="1" si="491"/>
        <v>4799116.7295809621</v>
      </c>
      <c r="BH130" s="77">
        <f t="shared" ca="1" si="492"/>
        <v>2602.0111660449766</v>
      </c>
      <c r="BI130" s="77">
        <f t="shared" ca="1" si="493"/>
        <v>4150.970545698392</v>
      </c>
      <c r="BJ130" s="77">
        <f t="shared" ca="1" si="494"/>
        <v>0</v>
      </c>
      <c r="BK130" s="77">
        <f t="shared" ca="1" si="495"/>
        <v>3294.6458565778344</v>
      </c>
      <c r="BL130" s="54">
        <f t="shared" ca="1" si="496"/>
        <v>33.279251076543787</v>
      </c>
      <c r="BM130" s="53">
        <f ca="1">OFFSET('National statistics'!$A$6,MATCH(R0_estimation!$A130,'National statistics'!$A$7:$A$5000,0),MATCH(R0_estimation!BM$16 &amp; "_Running14daysNew",'National statistics'!$B$1:$HA$1,0))</f>
        <v>7756</v>
      </c>
      <c r="BN130" s="97">
        <f t="shared" ca="1" si="392"/>
        <v>1.7549160185529205</v>
      </c>
      <c r="BO130" s="98">
        <f t="shared" ca="1" si="191"/>
        <v>0.99326027081939861</v>
      </c>
      <c r="BP130" s="77">
        <f t="shared" ca="1" si="497"/>
        <v>4089375.6787870475</v>
      </c>
      <c r="BQ130" s="77">
        <f t="shared" ca="1" si="498"/>
        <v>2979.8766372093937</v>
      </c>
      <c r="BR130" s="77">
        <f t="shared" ca="1" si="499"/>
        <v>6845.943184546486</v>
      </c>
      <c r="BS130" s="77">
        <f t="shared" ca="1" si="500"/>
        <v>0</v>
      </c>
      <c r="BT130" s="77">
        <f t="shared" ca="1" si="501"/>
        <v>8349.334439722792</v>
      </c>
      <c r="BU130" s="54">
        <f t="shared" ca="1" si="502"/>
        <v>84.336711512351442</v>
      </c>
      <c r="BV130" s="53">
        <f ca="1">OFFSET('National statistics'!$A$6,MATCH(R0_estimation!$A130,'National statistics'!$A$7:$A$5000,0),MATCH(R0_estimation!BV$16 &amp; "_Running14daysNew",'National statistics'!$B$1:$HA$1,0))</f>
        <v>1511</v>
      </c>
      <c r="BW130" s="97">
        <f t="shared" ca="1" si="393"/>
        <v>2.3513154820600626</v>
      </c>
      <c r="BX130" s="98">
        <f t="shared" ca="1" si="192"/>
        <v>0.68996207341942262</v>
      </c>
      <c r="BY130" s="77">
        <f t="shared" ca="1" si="503"/>
        <v>1318880.836712034</v>
      </c>
      <c r="BZ130" s="77">
        <f t="shared" ca="1" si="504"/>
        <v>737.9760772269583</v>
      </c>
      <c r="CA130" s="77">
        <f t="shared" ca="1" si="505"/>
        <v>1374.6057973425764</v>
      </c>
      <c r="CB130" s="77">
        <f t="shared" ca="1" si="506"/>
        <v>0</v>
      </c>
      <c r="CC130" s="77">
        <f t="shared" ca="1" si="507"/>
        <v>1228.2736809159317</v>
      </c>
      <c r="CD130" s="54">
        <f t="shared" ca="1" si="508"/>
        <v>12.406804857736683</v>
      </c>
      <c r="CE130" s="53">
        <f ca="1">OFFSET('National statistics'!$A$6,MATCH(R0_estimation!$A130,'National statistics'!$A$7:$A$5000,0),MATCH(R0_estimation!CE$16 &amp; "_Running14daysNew",'National statistics'!$B$1:$HA$1,0))</f>
        <v>17035</v>
      </c>
      <c r="CF130" s="97">
        <f t="shared" ca="1" si="394"/>
        <v>0.67342857018631086</v>
      </c>
      <c r="CG130" s="98">
        <f t="shared" ca="1" si="193"/>
        <v>1.2165621122686727</v>
      </c>
      <c r="CH130" s="77">
        <f t="shared" ca="1" si="509"/>
        <v>7209863.161352965</v>
      </c>
      <c r="CI130" s="77">
        <f t="shared" ca="1" si="510"/>
        <v>3285.1798309287014</v>
      </c>
      <c r="CJ130" s="77">
        <f t="shared" ca="1" si="511"/>
        <v>15746.477942830559</v>
      </c>
      <c r="CK130" s="77">
        <f t="shared" ca="1" si="512"/>
        <v>0</v>
      </c>
      <c r="CL130" s="77">
        <f t="shared" ca="1" si="513"/>
        <v>75228.204302039841</v>
      </c>
      <c r="CM130" s="54">
        <f t="shared" ca="1" si="514"/>
        <v>759.88085153575605</v>
      </c>
      <c r="CO130" s="209"/>
      <c r="CP130" s="210"/>
    </row>
    <row r="131" spans="1:94">
      <c r="A131" s="83">
        <v>44031</v>
      </c>
      <c r="B131" s="53">
        <f ca="1">OFFSET('National statistics'!$A$6,MATCH(R0_estimation!$A131,'National statistics'!$A$7:$A$5000,0),MATCH(R0_estimation!B$16 &amp; "_Running14daysNew",'National statistics'!$B$1:$HA$1,0))</f>
        <v>167511</v>
      </c>
      <c r="C131" s="97">
        <f t="shared" ca="1" si="385"/>
        <v>1.4871713096412069</v>
      </c>
      <c r="D131" s="98">
        <f t="shared" si="194"/>
        <v>1</v>
      </c>
      <c r="E131" s="77">
        <f t="shared" ca="1" si="455"/>
        <v>59231875.510222882</v>
      </c>
      <c r="F131" s="77">
        <f t="shared" ca="1" si="456"/>
        <v>60875.974684654037</v>
      </c>
      <c r="G131" s="77">
        <f t="shared" ca="1" si="457"/>
        <v>158226.11930542969</v>
      </c>
      <c r="H131" s="77">
        <f t="shared" ca="1" si="458"/>
        <v>0</v>
      </c>
      <c r="I131" s="77">
        <f t="shared" ca="1" si="459"/>
        <v>263884.40964427585</v>
      </c>
      <c r="J131" s="54">
        <f t="shared" ca="1" si="460"/>
        <v>2665.4990873159186</v>
      </c>
      <c r="K131" s="53">
        <f ca="1">OFFSET('National statistics'!$A$6,MATCH(R0_estimation!$A131,'National statistics'!$A$7:$A$5000,0),MATCH(R0_estimation!K$16 &amp; "_Running14daysNew",'National statistics'!$B$1:$HA$1,0))</f>
        <v>27533</v>
      </c>
      <c r="L131" s="97">
        <f t="shared" ca="1" si="386"/>
        <v>0.97213300294969573</v>
      </c>
      <c r="M131" s="98">
        <f t="shared" ca="1" si="185"/>
        <v>1.3891436550517304</v>
      </c>
      <c r="N131" s="77">
        <f t="shared" ca="1" si="461"/>
        <v>6790198.7614741214</v>
      </c>
      <c r="O131" s="77">
        <f t="shared" ca="1" si="462"/>
        <v>7150.1423152482103</v>
      </c>
      <c r="P131" s="77">
        <f t="shared" ca="1" si="463"/>
        <v>25596.285123318456</v>
      </c>
      <c r="Q131" s="77">
        <f t="shared" ca="1" si="464"/>
        <v>0</v>
      </c>
      <c r="R131" s="77">
        <f t="shared" ca="1" si="465"/>
        <v>47340.80453318209</v>
      </c>
      <c r="S131" s="54">
        <f t="shared" ca="1" si="466"/>
        <v>478.18994477961695</v>
      </c>
      <c r="T131" s="53">
        <f ca="1">OFFSET('National statistics'!$A$6,MATCH(R0_estimation!$A131,'National statistics'!$A$7:$A$5000,0),MATCH(R0_estimation!T$16 &amp; "_Running14daysNew",'National statistics'!$B$1:$HA$1,0))</f>
        <v>7440</v>
      </c>
      <c r="U131" s="97">
        <f t="shared" ca="1" si="387"/>
        <v>3.2573756695954525</v>
      </c>
      <c r="V131" s="98">
        <f t="shared" ca="1" si="186"/>
        <v>0.50313552847557719</v>
      </c>
      <c r="W131" s="77">
        <f t="shared" ca="1" si="467"/>
        <v>2792418.5313506885</v>
      </c>
      <c r="X131" s="77">
        <f t="shared" ca="1" si="468"/>
        <v>4615.2732483837517</v>
      </c>
      <c r="Y131" s="77">
        <f t="shared" ca="1" si="469"/>
        <v>6894.0354501202446</v>
      </c>
      <c r="Z131" s="77">
        <f t="shared" ca="1" si="470"/>
        <v>0</v>
      </c>
      <c r="AA131" s="77">
        <f t="shared" ca="1" si="471"/>
        <v>5030.4764054298957</v>
      </c>
      <c r="AB131" s="54">
        <f t="shared" ca="1" si="472"/>
        <v>50.812892984140383</v>
      </c>
      <c r="AC131" s="53">
        <f ca="1">OFFSET('National statistics'!$A$6,MATCH(R0_estimation!$A131,'National statistics'!$A$7:$A$5000,0),MATCH(R0_estimation!AC$16 &amp; "_Running14daysNew",'National statistics'!$B$1:$HA$1,0))</f>
        <v>70213</v>
      </c>
      <c r="AD131" s="97">
        <f t="shared" ca="1" si="388"/>
        <v>1.3382350102780447</v>
      </c>
      <c r="AE131" s="98">
        <f t="shared" ca="1" si="187"/>
        <v>0.57565754152920057</v>
      </c>
      <c r="AF131" s="77">
        <f t="shared" ca="1" si="473"/>
        <v>15457572.843202062</v>
      </c>
      <c r="AG131" s="77">
        <f t="shared" ca="1" si="474"/>
        <v>23488.291297466596</v>
      </c>
      <c r="AH131" s="77">
        <f t="shared" ca="1" si="475"/>
        <v>66076.001909313243</v>
      </c>
      <c r="AI131" s="77">
        <f t="shared" ca="1" si="476"/>
        <v>0</v>
      </c>
      <c r="AJ131" s="77">
        <f t="shared" ca="1" si="477"/>
        <v>91376.044788783096</v>
      </c>
      <c r="AK131" s="54">
        <f t="shared" ca="1" si="478"/>
        <v>922.99035140184924</v>
      </c>
      <c r="AL131" s="53">
        <f ca="1">OFFSET('National statistics'!$A$6,MATCH(R0_estimation!$A131,'National statistics'!$A$7:$A$5000,0),MATCH(R0_estimation!AL$16 &amp; "_Running14daysNew",'National statistics'!$B$1:$HA$1,0))</f>
        <v>28069</v>
      </c>
      <c r="AM131" s="97">
        <f t="shared" ca="1" si="389"/>
        <v>2.4526722057434021</v>
      </c>
      <c r="AN131" s="98">
        <f t="shared" ca="1" si="188"/>
        <v>0.74495013848278369</v>
      </c>
      <c r="AO131" s="77">
        <f t="shared" ca="1" si="479"/>
        <v>10934404.339095013</v>
      </c>
      <c r="AP131" s="77">
        <f t="shared" ca="1" si="480"/>
        <v>14806.272385880926</v>
      </c>
      <c r="AQ131" s="77">
        <f t="shared" ca="1" si="481"/>
        <v>26851.688829833191</v>
      </c>
      <c r="AR131" s="77">
        <f t="shared" ca="1" si="482"/>
        <v>0</v>
      </c>
      <c r="AS131" s="77">
        <f t="shared" ca="1" si="483"/>
        <v>24222.430659748989</v>
      </c>
      <c r="AT131" s="54">
        <f t="shared" ca="1" si="484"/>
        <v>244.6710167651413</v>
      </c>
      <c r="AU131" s="53">
        <f ca="1">OFFSET('National statistics'!$A$6,MATCH(R0_estimation!$A131,'National statistics'!$A$7:$A$5000,0),MATCH(R0_estimation!AU$16 &amp; "_Running14daysNew",'National statistics'!$B$1:$HA$1,0))</f>
        <v>3222</v>
      </c>
      <c r="AV131" s="97">
        <f t="shared" ca="1" si="390"/>
        <v>2.3100549624621229</v>
      </c>
      <c r="AW131" s="98">
        <f t="shared" ca="1" si="189"/>
        <v>0.85754424097138826</v>
      </c>
      <c r="AX131" s="77">
        <f t="shared" ca="1" si="485"/>
        <v>5846325.1864865227</v>
      </c>
      <c r="AY131" s="77">
        <f t="shared" ca="1" si="486"/>
        <v>1589.2294477931007</v>
      </c>
      <c r="AZ131" s="77">
        <f t="shared" ca="1" si="487"/>
        <v>2997.4537095327651</v>
      </c>
      <c r="BA131" s="77">
        <f t="shared" ca="1" si="488"/>
        <v>0</v>
      </c>
      <c r="BB131" s="77">
        <f t="shared" ca="1" si="489"/>
        <v>2897.6780379684928</v>
      </c>
      <c r="BC131" s="54">
        <f t="shared" ca="1" si="490"/>
        <v>29.269475130994877</v>
      </c>
      <c r="BD131" s="53">
        <f ca="1">OFFSET('National statistics'!$A$6,MATCH(R0_estimation!$A131,'National statistics'!$A$7:$A$5000,0),MATCH(R0_estimation!BD$16 &amp; "_Running14daysNew",'National statistics'!$B$1:$HA$1,0))</f>
        <v>5164</v>
      </c>
      <c r="BE131" s="97">
        <f t="shared" ca="1" si="391"/>
        <v>2.9472771828663058</v>
      </c>
      <c r="BF131" s="98">
        <f t="shared" ca="1" si="190"/>
        <v>0.72178134408538486</v>
      </c>
      <c r="BG131" s="77">
        <f t="shared" ca="1" si="491"/>
        <v>4798244.6938267676</v>
      </c>
      <c r="BH131" s="77">
        <f t="shared" ca="1" si="492"/>
        <v>2823.5441287279573</v>
      </c>
      <c r="BI131" s="77">
        <f t="shared" ca="1" si="493"/>
        <v>4504.9754410883224</v>
      </c>
      <c r="BJ131" s="77">
        <f t="shared" ca="1" si="494"/>
        <v>0</v>
      </c>
      <c r="BK131" s="77">
        <f t="shared" ca="1" si="495"/>
        <v>3588.178773737935</v>
      </c>
      <c r="BL131" s="54">
        <f t="shared" ca="1" si="496"/>
        <v>36.244230037756921</v>
      </c>
      <c r="BM131" s="53">
        <f ca="1">OFFSET('National statistics'!$A$6,MATCH(R0_estimation!$A131,'National statistics'!$A$7:$A$5000,0),MATCH(R0_estimation!BM$16 &amp; "_Running14daysNew",'National statistics'!$B$1:$HA$1,0))</f>
        <v>7943</v>
      </c>
      <c r="BN131" s="97">
        <f t="shared" ca="1" si="392"/>
        <v>1.7549160185529205</v>
      </c>
      <c r="BO131" s="98">
        <f t="shared" ca="1" si="191"/>
        <v>0.99326027081939861</v>
      </c>
      <c r="BP131" s="77">
        <f t="shared" ca="1" si="497"/>
        <v>4088521.3291170993</v>
      </c>
      <c r="BQ131" s="77">
        <f t="shared" ca="1" si="498"/>
        <v>3089.2571478551722</v>
      </c>
      <c r="BR131" s="77">
        <f t="shared" ca="1" si="499"/>
        <v>7101.9164020955141</v>
      </c>
      <c r="BS131" s="77">
        <f t="shared" ca="1" si="500"/>
        <v>0</v>
      </c>
      <c r="BT131" s="77">
        <f t="shared" ca="1" si="501"/>
        <v>8833.4404220585784</v>
      </c>
      <c r="BU131" s="54">
        <f t="shared" ca="1" si="502"/>
        <v>89.226670929884648</v>
      </c>
      <c r="BV131" s="53">
        <f ca="1">OFFSET('National statistics'!$A$6,MATCH(R0_estimation!$A131,'National statistics'!$A$7:$A$5000,0),MATCH(R0_estimation!BV$16 &amp; "_Running14daysNew",'National statistics'!$B$1:$HA$1,0))</f>
        <v>1532</v>
      </c>
      <c r="BW131" s="97">
        <f t="shared" ca="1" si="393"/>
        <v>2.3513154820600626</v>
      </c>
      <c r="BX131" s="98">
        <f t="shared" ca="1" si="192"/>
        <v>0.68996207341942262</v>
      </c>
      <c r="BY131" s="77">
        <f t="shared" ca="1" si="503"/>
        <v>1318650.5534784452</v>
      </c>
      <c r="BZ131" s="77">
        <f t="shared" ca="1" si="504"/>
        <v>783.76529150894669</v>
      </c>
      <c r="CA131" s="77">
        <f t="shared" ca="1" si="505"/>
        <v>1460.9136882677033</v>
      </c>
      <c r="CB131" s="77">
        <f t="shared" ca="1" si="506"/>
        <v>0</v>
      </c>
      <c r="CC131" s="77">
        <f t="shared" ca="1" si="507"/>
        <v>1325.4779480137281</v>
      </c>
      <c r="CD131" s="54">
        <f t="shared" ca="1" si="508"/>
        <v>13.388666141552809</v>
      </c>
      <c r="CE131" s="53">
        <f ca="1">OFFSET('National statistics'!$A$6,MATCH(R0_estimation!$A131,'National statistics'!$A$7:$A$5000,0),MATCH(R0_estimation!CE$16 &amp; "_Running14daysNew",'National statistics'!$B$1:$HA$1,0))</f>
        <v>16395</v>
      </c>
      <c r="CF131" s="97">
        <f t="shared" ca="1" si="394"/>
        <v>0.67342857018631086</v>
      </c>
      <c r="CG131" s="98">
        <f t="shared" ca="1" si="193"/>
        <v>1.2165621122686727</v>
      </c>
      <c r="CH131" s="77">
        <f t="shared" ca="1" si="509"/>
        <v>7209115.4983794801</v>
      </c>
      <c r="CI131" s="77">
        <f t="shared" ca="1" si="510"/>
        <v>3211.5478466818986</v>
      </c>
      <c r="CJ131" s="77">
        <f t="shared" ca="1" si="511"/>
        <v>15443.024476074836</v>
      </c>
      <c r="CK131" s="77">
        <f t="shared" ca="1" si="512"/>
        <v>0</v>
      </c>
      <c r="CL131" s="77">
        <f t="shared" ca="1" si="513"/>
        <v>76341.705242282856</v>
      </c>
      <c r="CM131" s="54">
        <f t="shared" ca="1" si="514"/>
        <v>771.12833578063498</v>
      </c>
      <c r="CO131" s="209"/>
      <c r="CP131" s="210"/>
    </row>
    <row r="132" spans="1:94">
      <c r="A132" s="83">
        <v>44032</v>
      </c>
      <c r="B132" s="53">
        <f ca="1">OFFSET('National statistics'!$A$6,MATCH(R0_estimation!$A132,'National statistics'!$A$7:$A$5000,0),MATCH(R0_estimation!B$16 &amp; "_Running14daysNew",'National statistics'!$B$1:$HA$1,0))</f>
        <v>167673</v>
      </c>
      <c r="C132" s="97">
        <f t="shared" ca="1" si="385"/>
        <v>1.4871713096412069</v>
      </c>
      <c r="D132" s="98">
        <f t="shared" si="194"/>
        <v>1</v>
      </c>
      <c r="E132" s="77">
        <f t="shared" ca="1" si="455"/>
        <v>59215203.645005718</v>
      </c>
      <c r="F132" s="77">
        <f t="shared" ca="1" si="456"/>
        <v>62328.846230657829</v>
      </c>
      <c r="G132" s="77">
        <f t="shared" ca="1" si="457"/>
        <v>162143.24731191964</v>
      </c>
      <c r="H132" s="77">
        <f t="shared" ca="1" si="458"/>
        <v>0</v>
      </c>
      <c r="I132" s="77">
        <f t="shared" ca="1" si="459"/>
        <v>275073.25665230263</v>
      </c>
      <c r="J132" s="54">
        <f t="shared" ca="1" si="460"/>
        <v>2778.5177439626541</v>
      </c>
      <c r="K132" s="53">
        <f ca="1">OFFSET('National statistics'!$A$6,MATCH(R0_estimation!$A132,'National statistics'!$A$7:$A$5000,0),MATCH(R0_estimation!K$16 &amp; "_Running14daysNew",'National statistics'!$B$1:$HA$1,0))</f>
        <v>27235</v>
      </c>
      <c r="L132" s="97">
        <f t="shared" ca="1" si="386"/>
        <v>0.97213300294969573</v>
      </c>
      <c r="M132" s="98">
        <f t="shared" ca="1" si="185"/>
        <v>1.3891436550517304</v>
      </c>
      <c r="N132" s="77">
        <f t="shared" ca="1" si="461"/>
        <v>6788442.1235205671</v>
      </c>
      <c r="O132" s="77">
        <f t="shared" ca="1" si="462"/>
        <v>7119.2446899903152</v>
      </c>
      <c r="P132" s="77">
        <f t="shared" ca="1" si="463"/>
        <v>25555.514621893479</v>
      </c>
      <c r="Q132" s="77">
        <f t="shared" ca="1" si="464"/>
        <v>0</v>
      </c>
      <c r="R132" s="77">
        <f t="shared" ca="1" si="465"/>
        <v>49150.827552616756</v>
      </c>
      <c r="S132" s="54">
        <f t="shared" ca="1" si="466"/>
        <v>496.47300558198725</v>
      </c>
      <c r="T132" s="53">
        <f ca="1">OFFSET('National statistics'!$A$6,MATCH(R0_estimation!$A132,'National statistics'!$A$7:$A$5000,0),MATCH(R0_estimation!T$16 &amp; "_Running14daysNew",'National statistics'!$B$1:$HA$1,0))</f>
        <v>7923</v>
      </c>
      <c r="U132" s="97">
        <f t="shared" ca="1" si="387"/>
        <v>3.2573756695954525</v>
      </c>
      <c r="V132" s="98">
        <f t="shared" ca="1" si="186"/>
        <v>0.50313552847557719</v>
      </c>
      <c r="W132" s="77">
        <f t="shared" ca="1" si="467"/>
        <v>2790823.9431664338</v>
      </c>
      <c r="X132" s="77">
        <f t="shared" ca="1" si="468"/>
        <v>5056.0431205423756</v>
      </c>
      <c r="Y132" s="77">
        <f t="shared" ca="1" si="469"/>
        <v>7555.4226586361647</v>
      </c>
      <c r="Z132" s="77">
        <f t="shared" ca="1" si="470"/>
        <v>0</v>
      </c>
      <c r="AA132" s="77">
        <f t="shared" ca="1" si="471"/>
        <v>5517.983197974113</v>
      </c>
      <c r="AB132" s="54">
        <f t="shared" ca="1" si="472"/>
        <v>55.737204019940556</v>
      </c>
      <c r="AC132" s="53">
        <f ca="1">OFFSET('National statistics'!$A$6,MATCH(R0_estimation!$A132,'National statistics'!$A$7:$A$5000,0),MATCH(R0_estimation!AC$16 &amp; "_Running14daysNew",'National statistics'!$B$1:$HA$1,0))</f>
        <v>69988</v>
      </c>
      <c r="AD132" s="97">
        <f t="shared" ca="1" si="388"/>
        <v>1.3382350102780447</v>
      </c>
      <c r="AE132" s="98">
        <f t="shared" ca="1" si="187"/>
        <v>0.57565754152920057</v>
      </c>
      <c r="AF132" s="77">
        <f t="shared" ca="1" si="473"/>
        <v>15451329.834358227</v>
      </c>
      <c r="AG132" s="77">
        <f t="shared" ca="1" si="474"/>
        <v>23859.227316936263</v>
      </c>
      <c r="AH132" s="77">
        <f t="shared" ca="1" si="475"/>
        <v>67228.36031158609</v>
      </c>
      <c r="AI132" s="77">
        <f t="shared" ca="1" si="476"/>
        <v>0</v>
      </c>
      <c r="AJ132" s="77">
        <f t="shared" ca="1" si="477"/>
        <v>96048.562066655955</v>
      </c>
      <c r="AK132" s="54">
        <f t="shared" ca="1" si="478"/>
        <v>970.18749562278731</v>
      </c>
      <c r="AL132" s="53">
        <f ca="1">OFFSET('National statistics'!$A$6,MATCH(R0_estimation!$A132,'National statistics'!$A$7:$A$5000,0),MATCH(R0_estimation!AL$16 &amp; "_Running14daysNew",'National statistics'!$B$1:$HA$1,0))</f>
        <v>29795</v>
      </c>
      <c r="AM132" s="97">
        <f t="shared" ca="1" si="389"/>
        <v>2.4526722057434021</v>
      </c>
      <c r="AN132" s="98">
        <f t="shared" ca="1" si="188"/>
        <v>0.74495013848278369</v>
      </c>
      <c r="AO132" s="77">
        <f t="shared" ca="1" si="479"/>
        <v>10929728.341463337</v>
      </c>
      <c r="AP132" s="77">
        <f t="shared" ca="1" si="480"/>
        <v>15780.701921086971</v>
      </c>
      <c r="AQ132" s="77">
        <f t="shared" ca="1" si="481"/>
        <v>28635.279152743911</v>
      </c>
      <c r="AR132" s="77">
        <f t="shared" ca="1" si="482"/>
        <v>0</v>
      </c>
      <c r="AS132" s="77">
        <f t="shared" ca="1" si="483"/>
        <v>26121.228655572908</v>
      </c>
      <c r="AT132" s="54">
        <f t="shared" ca="1" si="484"/>
        <v>263.85079450073647</v>
      </c>
      <c r="AU132" s="53">
        <f ca="1">OFFSET('National statistics'!$A$6,MATCH(R0_estimation!$A132,'National statistics'!$A$7:$A$5000,0),MATCH(R0_estimation!AU$16 &amp; "_Running14daysNew",'National statistics'!$B$1:$HA$1,0))</f>
        <v>3371</v>
      </c>
      <c r="AV132" s="97">
        <f t="shared" ca="1" si="390"/>
        <v>2.3100549624621229</v>
      </c>
      <c r="AW132" s="98">
        <f t="shared" ca="1" si="189"/>
        <v>0.85754424097138826</v>
      </c>
      <c r="AX132" s="77">
        <f t="shared" ca="1" si="485"/>
        <v>5845831.2272146223</v>
      </c>
      <c r="AY132" s="77">
        <f t="shared" ca="1" si="486"/>
        <v>1685.8813577449223</v>
      </c>
      <c r="AZ132" s="77">
        <f t="shared" ca="1" si="487"/>
        <v>3180.6572350858428</v>
      </c>
      <c r="BA132" s="77">
        <f t="shared" ca="1" si="488"/>
        <v>0</v>
      </c>
      <c r="BB132" s="77">
        <f t="shared" ca="1" si="489"/>
        <v>3109.6408359997386</v>
      </c>
      <c r="BC132" s="54">
        <f t="shared" ca="1" si="490"/>
        <v>31.410513494946851</v>
      </c>
      <c r="BD132" s="53">
        <f ca="1">OFFSET('National statistics'!$A$6,MATCH(R0_estimation!$A132,'National statistics'!$A$7:$A$5000,0),MATCH(R0_estimation!BD$16 &amp; "_Running14daysNew",'National statistics'!$B$1:$HA$1,0))</f>
        <v>5069</v>
      </c>
      <c r="BE132" s="97">
        <f t="shared" ca="1" si="391"/>
        <v>2.9472771828663058</v>
      </c>
      <c r="BF132" s="98">
        <f t="shared" ca="1" si="190"/>
        <v>0.72178134408538486</v>
      </c>
      <c r="BG132" s="77">
        <f t="shared" ca="1" si="491"/>
        <v>4797298.4601214966</v>
      </c>
      <c r="BH132" s="77">
        <f t="shared" ca="1" si="492"/>
        <v>3063.8918018167356</v>
      </c>
      <c r="BI132" s="77">
        <f t="shared" ca="1" si="493"/>
        <v>4889.0775131925748</v>
      </c>
      <c r="BJ132" s="77">
        <f t="shared" ca="1" si="494"/>
        <v>0</v>
      </c>
      <c r="BK132" s="77">
        <f t="shared" ca="1" si="495"/>
        <v>3906.7448942148949</v>
      </c>
      <c r="BL132" s="54">
        <f t="shared" ca="1" si="496"/>
        <v>39.462069638534295</v>
      </c>
      <c r="BM132" s="53">
        <f ca="1">OFFSET('National statistics'!$A$6,MATCH(R0_estimation!$A132,'National statistics'!$A$7:$A$5000,0),MATCH(R0_estimation!BM$16 &amp; "_Running14daysNew",'National statistics'!$B$1:$HA$1,0))</f>
        <v>7927</v>
      </c>
      <c r="BN132" s="97">
        <f t="shared" ca="1" si="392"/>
        <v>1.7549160185529205</v>
      </c>
      <c r="BO132" s="98">
        <f t="shared" ca="1" si="191"/>
        <v>0.99326027081939861</v>
      </c>
      <c r="BP132" s="77">
        <f t="shared" ca="1" si="497"/>
        <v>4087635.2189975581</v>
      </c>
      <c r="BQ132" s="77">
        <f t="shared" ca="1" si="498"/>
        <v>3203.0529804325156</v>
      </c>
      <c r="BR132" s="77">
        <f t="shared" ca="1" si="499"/>
        <v>7366.9509460524851</v>
      </c>
      <c r="BS132" s="77">
        <f t="shared" ca="1" si="500"/>
        <v>0</v>
      </c>
      <c r="BT132" s="77">
        <f t="shared" ca="1" si="501"/>
        <v>9335.6473676353326</v>
      </c>
      <c r="BU132" s="54">
        <f t="shared" ca="1" si="502"/>
        <v>94.299468359952868</v>
      </c>
      <c r="BV132" s="53">
        <f ca="1">OFFSET('National statistics'!$A$6,MATCH(R0_estimation!$A132,'National statistics'!$A$7:$A$5000,0),MATCH(R0_estimation!BV$16 &amp; "_Running14daysNew",'National statistics'!$B$1:$HA$1,0))</f>
        <v>1531</v>
      </c>
      <c r="BW132" s="97">
        <f t="shared" ca="1" si="393"/>
        <v>2.3513154820600626</v>
      </c>
      <c r="BX132" s="98">
        <f t="shared" ca="1" si="192"/>
        <v>0.68996207341942262</v>
      </c>
      <c r="BY132" s="77">
        <f t="shared" ca="1" si="503"/>
        <v>1318405.8539163985</v>
      </c>
      <c r="BZ132" s="77">
        <f t="shared" ca="1" si="504"/>
        <v>832.52353067841818</v>
      </c>
      <c r="CA132" s="77">
        <f t="shared" ca="1" si="505"/>
        <v>1552.5040334115324</v>
      </c>
      <c r="CB132" s="77">
        <f t="shared" ca="1" si="506"/>
        <v>0</v>
      </c>
      <c r="CC132" s="77">
        <f t="shared" ca="1" si="507"/>
        <v>1428.7854159698013</v>
      </c>
      <c r="CD132" s="54">
        <f t="shared" ca="1" si="508"/>
        <v>14.432175918886884</v>
      </c>
      <c r="CE132" s="53">
        <f ca="1">OFFSET('National statistics'!$A$6,MATCH(R0_estimation!$A132,'National statistics'!$A$7:$A$5000,0),MATCH(R0_estimation!CE$16 &amp; "_Running14daysNew",'National statistics'!$B$1:$HA$1,0))</f>
        <v>14834</v>
      </c>
      <c r="CF132" s="97">
        <f t="shared" ca="1" si="394"/>
        <v>0.67342857018631086</v>
      </c>
      <c r="CG132" s="98">
        <f t="shared" ca="1" si="193"/>
        <v>1.2165621122686727</v>
      </c>
      <c r="CH132" s="77">
        <f t="shared" ca="1" si="509"/>
        <v>7208382.3186753988</v>
      </c>
      <c r="CI132" s="77">
        <f t="shared" ca="1" si="510"/>
        <v>3141.8405890922509</v>
      </c>
      <c r="CJ132" s="77">
        <f t="shared" ca="1" si="511"/>
        <v>15142.838260882821</v>
      </c>
      <c r="CK132" s="77">
        <f t="shared" ca="1" si="512"/>
        <v>0</v>
      </c>
      <c r="CL132" s="77">
        <f t="shared" ca="1" si="513"/>
        <v>77433.747687376715</v>
      </c>
      <c r="CM132" s="54">
        <f t="shared" ca="1" si="514"/>
        <v>782.15906754925982</v>
      </c>
      <c r="CO132" s="209"/>
      <c r="CP132" s="210"/>
    </row>
    <row r="133" spans="1:94">
      <c r="A133" s="83">
        <v>44033</v>
      </c>
      <c r="B133" s="53">
        <f ca="1">OFFSET('National statistics'!$A$6,MATCH(R0_estimation!$A133,'National statistics'!$A$7:$A$5000,0),MATCH(R0_estimation!B$16 &amp; "_Running14daysNew",'National statistics'!$B$1:$HA$1,0))</f>
        <v>165897</v>
      </c>
      <c r="C133" s="97">
        <f t="shared" ca="1" si="385"/>
        <v>1.4871713096412069</v>
      </c>
      <c r="D133" s="98">
        <f t="shared" si="194"/>
        <v>1</v>
      </c>
      <c r="E133" s="77">
        <f t="shared" ca="1" si="455"/>
        <v>59198123.818871781</v>
      </c>
      <c r="F133" s="77">
        <f t="shared" ca="1" si="456"/>
        <v>63826.460806927775</v>
      </c>
      <c r="G133" s="77">
        <f t="shared" ca="1" si="457"/>
        <v>166143.79834730411</v>
      </c>
      <c r="H133" s="77">
        <f t="shared" ca="1" si="458"/>
        <v>0</v>
      </c>
      <c r="I133" s="77">
        <f t="shared" ca="1" si="459"/>
        <v>286539.10056935978</v>
      </c>
      <c r="J133" s="54">
        <f t="shared" ca="1" si="460"/>
        <v>2894.3343491854539</v>
      </c>
      <c r="K133" s="53">
        <f ca="1">OFFSET('National statistics'!$A$6,MATCH(R0_estimation!$A133,'National statistics'!$A$7:$A$5000,0),MATCH(R0_estimation!K$16 &amp; "_Running14daysNew",'National statistics'!$B$1:$HA$1,0))</f>
        <v>26358</v>
      </c>
      <c r="L133" s="97">
        <f t="shared" ca="1" si="386"/>
        <v>0.97213300294969573</v>
      </c>
      <c r="M133" s="98">
        <f t="shared" ca="1" si="185"/>
        <v>1.3891436550517304</v>
      </c>
      <c r="N133" s="77">
        <f t="shared" ca="1" si="461"/>
        <v>6786688.7326464253</v>
      </c>
      <c r="O133" s="77">
        <f t="shared" ca="1" si="462"/>
        <v>7092.8243916349747</v>
      </c>
      <c r="P133" s="77">
        <f t="shared" ca="1" si="463"/>
        <v>25509.931892827237</v>
      </c>
      <c r="Q133" s="77">
        <f t="shared" ca="1" si="464"/>
        <v>0</v>
      </c>
      <c r="R133" s="77">
        <f t="shared" ca="1" si="465"/>
        <v>50957.967515164935</v>
      </c>
      <c r="S133" s="54">
        <f t="shared" ca="1" si="466"/>
        <v>514.72694459762545</v>
      </c>
      <c r="T133" s="53">
        <f ca="1">OFFSET('National statistics'!$A$6,MATCH(R0_estimation!$A133,'National statistics'!$A$7:$A$5000,0),MATCH(R0_estimation!T$16 &amp; "_Running14daysNew",'National statistics'!$B$1:$HA$1,0))</f>
        <v>8318</v>
      </c>
      <c r="U133" s="97">
        <f t="shared" ca="1" si="387"/>
        <v>3.2573756695954525</v>
      </c>
      <c r="V133" s="98">
        <f t="shared" ca="1" si="186"/>
        <v>0.50313552847557719</v>
      </c>
      <c r="W133" s="77">
        <f t="shared" ca="1" si="467"/>
        <v>2789077.3712055231</v>
      </c>
      <c r="X133" s="77">
        <f t="shared" ca="1" si="468"/>
        <v>5538.6043013173512</v>
      </c>
      <c r="Y133" s="77">
        <f t="shared" ca="1" si="469"/>
        <v>8279.7603917263186</v>
      </c>
      <c r="Z133" s="77">
        <f t="shared" ca="1" si="470"/>
        <v>0</v>
      </c>
      <c r="AA133" s="77">
        <f t="shared" ca="1" si="471"/>
        <v>6052.2595145490986</v>
      </c>
      <c r="AB133" s="54">
        <f t="shared" ca="1" si="472"/>
        <v>61.133934490394957</v>
      </c>
      <c r="AC133" s="53">
        <f ca="1">OFFSET('National statistics'!$A$6,MATCH(R0_estimation!$A133,'National statistics'!$A$7:$A$5000,0),MATCH(R0_estimation!AC$16 &amp; "_Running14daysNew",'National statistics'!$B$1:$HA$1,0))</f>
        <v>67947</v>
      </c>
      <c r="AD133" s="97">
        <f t="shared" ca="1" si="388"/>
        <v>1.3382350102780447</v>
      </c>
      <c r="AE133" s="98">
        <f t="shared" ca="1" si="187"/>
        <v>0.57565754152920057</v>
      </c>
      <c r="AF133" s="77">
        <f t="shared" ca="1" si="473"/>
        <v>15444980.494347483</v>
      </c>
      <c r="AG133" s="77">
        <f t="shared" ca="1" si="474"/>
        <v>24243.760498446616</v>
      </c>
      <c r="AH133" s="77">
        <f t="shared" ca="1" si="475"/>
        <v>68391.141404278285</v>
      </c>
      <c r="AI133" s="77">
        <f t="shared" ca="1" si="476"/>
        <v>0</v>
      </c>
      <c r="AJ133" s="77">
        <f t="shared" ca="1" si="477"/>
        <v>100802.5675458324</v>
      </c>
      <c r="AK133" s="54">
        <f t="shared" ca="1" si="478"/>
        <v>1018.2077529882059</v>
      </c>
      <c r="AL133" s="53">
        <f ca="1">OFFSET('National statistics'!$A$6,MATCH(R0_estimation!$A133,'National statistics'!$A$7:$A$5000,0),MATCH(R0_estimation!AL$16 &amp; "_Running14daysNew",'National statistics'!$B$1:$HA$1,0))</f>
        <v>30942</v>
      </c>
      <c r="AM133" s="97">
        <f t="shared" ca="1" si="389"/>
        <v>2.4526722057434021</v>
      </c>
      <c r="AN133" s="98">
        <f t="shared" ca="1" si="188"/>
        <v>0.74495013848278369</v>
      </c>
      <c r="AO133" s="77">
        <f t="shared" ca="1" si="479"/>
        <v>10924743.870235186</v>
      </c>
      <c r="AP133" s="77">
        <f t="shared" ca="1" si="480"/>
        <v>16819.997668965079</v>
      </c>
      <c r="AQ133" s="77">
        <f t="shared" ca="1" si="481"/>
        <v>30535.077550676804</v>
      </c>
      <c r="AR133" s="77">
        <f t="shared" ca="1" si="482"/>
        <v>0</v>
      </c>
      <c r="AS133" s="77">
        <f t="shared" ca="1" si="483"/>
        <v>28146.151967088372</v>
      </c>
      <c r="AT133" s="54">
        <f t="shared" ca="1" si="484"/>
        <v>284.30456532412495</v>
      </c>
      <c r="AU133" s="53">
        <f ca="1">OFFSET('National statistics'!$A$6,MATCH(R0_estimation!$A133,'National statistics'!$A$7:$A$5000,0),MATCH(R0_estimation!AU$16 &amp; "_Running14daysNew",'National statistics'!$B$1:$HA$1,0))</f>
        <v>3405</v>
      </c>
      <c r="AV133" s="97">
        <f t="shared" ca="1" si="390"/>
        <v>2.3100549624621229</v>
      </c>
      <c r="AW133" s="98">
        <f t="shared" ca="1" si="189"/>
        <v>0.85754424097138826</v>
      </c>
      <c r="AX133" s="77">
        <f t="shared" ca="1" si="485"/>
        <v>5845307.1213853294</v>
      </c>
      <c r="AY133" s="77">
        <f t="shared" ca="1" si="486"/>
        <v>1788.5168476020317</v>
      </c>
      <c r="AZ133" s="77">
        <f t="shared" ca="1" si="487"/>
        <v>3374.9377720159418</v>
      </c>
      <c r="BA133" s="77">
        <f t="shared" ca="1" si="488"/>
        <v>0</v>
      </c>
      <c r="BB133" s="77">
        <f t="shared" ca="1" si="489"/>
        <v>3334.5587404808089</v>
      </c>
      <c r="BC133" s="54">
        <f t="shared" ca="1" si="490"/>
        <v>33.682411520008166</v>
      </c>
      <c r="BD133" s="53">
        <f ca="1">OFFSET('National statistics'!$A$6,MATCH(R0_estimation!$A133,'National statistics'!$A$7:$A$5000,0),MATCH(R0_estimation!BD$16 &amp; "_Running14daysNew",'National statistics'!$B$1:$HA$1,0))</f>
        <v>5311</v>
      </c>
      <c r="BE133" s="97">
        <f t="shared" ca="1" si="391"/>
        <v>2.9472771828663058</v>
      </c>
      <c r="BF133" s="98">
        <f t="shared" ca="1" si="190"/>
        <v>0.72178134408538486</v>
      </c>
      <c r="BG133" s="77">
        <f t="shared" ca="1" si="491"/>
        <v>4796271.7507024938</v>
      </c>
      <c r="BH133" s="77">
        <f t="shared" ca="1" si="492"/>
        <v>3324.6282703657052</v>
      </c>
      <c r="BI133" s="77">
        <f t="shared" ca="1" si="493"/>
        <v>5305.8306412758602</v>
      </c>
      <c r="BJ133" s="77">
        <f t="shared" ca="1" si="494"/>
        <v>0</v>
      </c>
      <c r="BK133" s="77">
        <f t="shared" ca="1" si="495"/>
        <v>4252.472518362084</v>
      </c>
      <c r="BL133" s="54">
        <f t="shared" ca="1" si="496"/>
        <v>42.954267862243277</v>
      </c>
      <c r="BM133" s="53">
        <f ca="1">OFFSET('National statistics'!$A$6,MATCH(R0_estimation!$A133,'National statistics'!$A$7:$A$5000,0),MATCH(R0_estimation!BM$16 &amp; "_Running14daysNew",'National statistics'!$B$1:$HA$1,0))</f>
        <v>7792</v>
      </c>
      <c r="BN133" s="97">
        <f t="shared" ca="1" si="392"/>
        <v>1.7549160185529205</v>
      </c>
      <c r="BO133" s="98">
        <f t="shared" ca="1" si="191"/>
        <v>0.99326027081939861</v>
      </c>
      <c r="BP133" s="77">
        <f t="shared" ca="1" si="497"/>
        <v>4086716.2384480652</v>
      </c>
      <c r="BQ133" s="77">
        <f t="shared" ca="1" si="498"/>
        <v>3321.2702848170893</v>
      </c>
      <c r="BR133" s="77">
        <f t="shared" ca="1" si="499"/>
        <v>7641.5034092997221</v>
      </c>
      <c r="BS133" s="77">
        <f t="shared" ca="1" si="500"/>
        <v>0</v>
      </c>
      <c r="BT133" s="77">
        <f t="shared" ca="1" si="501"/>
        <v>9856.5960416776161</v>
      </c>
      <c r="BU133" s="54">
        <f t="shared" ca="1" si="502"/>
        <v>99.561576178561779</v>
      </c>
      <c r="BV133" s="53">
        <f ca="1">OFFSET('National statistics'!$A$6,MATCH(R0_estimation!$A133,'National statistics'!$A$7:$A$5000,0),MATCH(R0_estimation!BV$16 &amp; "_Running14daysNew",'National statistics'!$B$1:$HA$1,0))</f>
        <v>1651</v>
      </c>
      <c r="BW133" s="97">
        <f t="shared" ca="1" si="393"/>
        <v>2.3513154820600626</v>
      </c>
      <c r="BX133" s="98">
        <f t="shared" ca="1" si="192"/>
        <v>0.68996207341942262</v>
      </c>
      <c r="BY133" s="77">
        <f t="shared" ca="1" si="503"/>
        <v>1318145.8612398526</v>
      </c>
      <c r="BZ133" s="77">
        <f t="shared" ca="1" si="504"/>
        <v>884.3853245547707</v>
      </c>
      <c r="CA133" s="77">
        <f t="shared" ca="1" si="505"/>
        <v>1649.741770837456</v>
      </c>
      <c r="CB133" s="77">
        <f t="shared" ca="1" si="506"/>
        <v>0</v>
      </c>
      <c r="CC133" s="77">
        <f t="shared" ca="1" si="507"/>
        <v>1538.5696297610455</v>
      </c>
      <c r="CD133" s="54">
        <f t="shared" ca="1" si="508"/>
        <v>15.541107371323694</v>
      </c>
      <c r="CE133" s="53">
        <f ca="1">OFFSET('National statistics'!$A$6,MATCH(R0_estimation!$A133,'National statistics'!$A$7:$A$5000,0),MATCH(R0_estimation!CE$16 &amp; "_Running14daysNew",'National statistics'!$B$1:$HA$1,0))</f>
        <v>14173</v>
      </c>
      <c r="CF133" s="97">
        <f t="shared" ca="1" si="394"/>
        <v>0.67342857018631086</v>
      </c>
      <c r="CG133" s="98">
        <f t="shared" ca="1" si="193"/>
        <v>1.2165621122686727</v>
      </c>
      <c r="CH133" s="77">
        <f t="shared" ca="1" si="509"/>
        <v>7207663.4627724132</v>
      </c>
      <c r="CI133" s="77">
        <f t="shared" ca="1" si="510"/>
        <v>3075.2363448043998</v>
      </c>
      <c r="CJ133" s="77">
        <f t="shared" ca="1" si="511"/>
        <v>14846.667103807111</v>
      </c>
      <c r="CK133" s="77">
        <f t="shared" ca="1" si="512"/>
        <v>0</v>
      </c>
      <c r="CL133" s="77">
        <f t="shared" ca="1" si="513"/>
        <v>78504.562678682007</v>
      </c>
      <c r="CM133" s="54">
        <f t="shared" ca="1" si="514"/>
        <v>792.97538059274757</v>
      </c>
      <c r="CO133" s="209"/>
      <c r="CP133" s="210"/>
    </row>
    <row r="134" spans="1:94">
      <c r="A134" s="83">
        <v>44034</v>
      </c>
      <c r="B134" s="53">
        <f ca="1">OFFSET('National statistics'!$A$6,MATCH(R0_estimation!$A134,'National statistics'!$A$7:$A$5000,0),MATCH(R0_estimation!B$16 &amp; "_Running14daysNew",'National statistics'!$B$1:$HA$1,0))</f>
        <v>170233</v>
      </c>
      <c r="C134" s="97">
        <f t="shared" ca="1" si="385"/>
        <v>0.52495785440847798</v>
      </c>
      <c r="D134" s="98">
        <f t="shared" si="194"/>
        <v>1</v>
      </c>
      <c r="E134" s="77">
        <f t="shared" ca="1" si="455"/>
        <v>59180627.597229175</v>
      </c>
      <c r="F134" s="77">
        <f t="shared" ca="1" si="456"/>
        <v>65366.06724779823</v>
      </c>
      <c r="G134" s="77">
        <f t="shared" ca="1" si="457"/>
        <v>170232.99938137148</v>
      </c>
      <c r="H134" s="77">
        <f t="shared" ca="1" si="458"/>
        <v>0</v>
      </c>
      <c r="I134" s="77">
        <f t="shared" ca="1" si="459"/>
        <v>298287.84059534769</v>
      </c>
      <c r="J134" s="54">
        <f t="shared" ca="1" si="460"/>
        <v>3013.0084908620997</v>
      </c>
      <c r="K134" s="53">
        <f ca="1">OFFSET('National statistics'!$A$6,MATCH(R0_estimation!$A134,'National statistics'!$A$7:$A$5000,0),MATCH(R0_estimation!K$16 &amp; "_Running14daysNew",'National statistics'!$B$1:$HA$1,0))</f>
        <v>25461</v>
      </c>
      <c r="L134" s="97">
        <f t="shared" ca="1" si="386"/>
        <v>2.1664074451369558E-2</v>
      </c>
      <c r="M134" s="98">
        <f t="shared" ca="1" si="185"/>
        <v>1.3891436550517304</v>
      </c>
      <c r="N134" s="77">
        <f t="shared" ca="1" si="461"/>
        <v>6784938.9166789474</v>
      </c>
      <c r="O134" s="77">
        <f t="shared" ca="1" si="462"/>
        <v>7069.434261204</v>
      </c>
      <c r="P134" s="77">
        <f t="shared" ca="1" si="463"/>
        <v>25460.999998391177</v>
      </c>
      <c r="Q134" s="77">
        <f t="shared" ca="1" si="464"/>
        <v>0</v>
      </c>
      <c r="R134" s="77">
        <f t="shared" ca="1" si="465"/>
        <v>52761.884127586287</v>
      </c>
      <c r="S134" s="54">
        <f t="shared" ca="1" si="466"/>
        <v>532.94832452107346</v>
      </c>
      <c r="T134" s="53">
        <f ca="1">OFFSET('National statistics'!$A$6,MATCH(R0_estimation!$A134,'National statistics'!$A$7:$A$5000,0),MATCH(R0_estimation!T$16 &amp; "_Running14daysNew",'National statistics'!$B$1:$HA$1,0))</f>
        <v>9073</v>
      </c>
      <c r="U134" s="97">
        <f t="shared" ca="1" si="387"/>
        <v>1.1769239022738553</v>
      </c>
      <c r="V134" s="98">
        <f t="shared" ca="1" si="186"/>
        <v>0.50313552847557719</v>
      </c>
      <c r="W134" s="77">
        <f t="shared" ca="1" si="467"/>
        <v>2787164.5497049778</v>
      </c>
      <c r="X134" s="77">
        <f t="shared" ca="1" si="468"/>
        <v>6066.7747265332191</v>
      </c>
      <c r="Y134" s="77">
        <f t="shared" ca="1" si="469"/>
        <v>9073.0000105037761</v>
      </c>
      <c r="Z134" s="77">
        <f t="shared" ca="1" si="470"/>
        <v>0</v>
      </c>
      <c r="AA134" s="77">
        <f t="shared" ca="1" si="471"/>
        <v>6637.7568565354595</v>
      </c>
      <c r="AB134" s="54">
        <f t="shared" ca="1" si="472"/>
        <v>67.048049055913751</v>
      </c>
      <c r="AC134" s="53">
        <f ca="1">OFFSET('National statistics'!$A$6,MATCH(R0_estimation!$A134,'National statistics'!$A$7:$A$5000,0),MATCH(R0_estimation!AC$16 &amp; "_Running14daysNew",'National statistics'!$B$1:$HA$1,0))</f>
        <v>69567</v>
      </c>
      <c r="AD134" s="97">
        <f t="shared" ca="1" si="388"/>
        <v>0.14295215870982222</v>
      </c>
      <c r="AE134" s="98">
        <f t="shared" ca="1" si="187"/>
        <v>0.57565754152920057</v>
      </c>
      <c r="AF134" s="77">
        <f t="shared" ca="1" si="473"/>
        <v>15438523.970615946</v>
      </c>
      <c r="AG134" s="77">
        <f t="shared" ca="1" si="474"/>
        <v>24639.344105371616</v>
      </c>
      <c r="AH134" s="77">
        <f t="shared" ca="1" si="475"/>
        <v>69567.000000012922</v>
      </c>
      <c r="AI134" s="77">
        <f t="shared" ca="1" si="476"/>
        <v>0</v>
      </c>
      <c r="AJ134" s="77">
        <f t="shared" ca="1" si="477"/>
        <v>105638.79825942064</v>
      </c>
      <c r="AK134" s="54">
        <f t="shared" ca="1" si="478"/>
        <v>1067.0585682769761</v>
      </c>
      <c r="AL134" s="53">
        <f ca="1">OFFSET('National statistics'!$A$6,MATCH(R0_estimation!$A134,'National statistics'!$A$7:$A$5000,0),MATCH(R0_estimation!AL$16 &amp; "_Running14daysNew",'National statistics'!$B$1:$HA$1,0))</f>
        <v>32559</v>
      </c>
      <c r="AM134" s="97">
        <f t="shared" ca="1" si="389"/>
        <v>0.92006151916402468</v>
      </c>
      <c r="AN134" s="98">
        <f t="shared" ca="1" si="188"/>
        <v>0.74495013848278369</v>
      </c>
      <c r="AO134" s="77">
        <f t="shared" ca="1" si="479"/>
        <v>10919431.119951364</v>
      </c>
      <c r="AP134" s="77">
        <f t="shared" ca="1" si="480"/>
        <v>17927.748535545536</v>
      </c>
      <c r="AQ134" s="77">
        <f t="shared" ca="1" si="481"/>
        <v>32559.000000012587</v>
      </c>
      <c r="AR134" s="77">
        <f t="shared" ca="1" si="482"/>
        <v>0</v>
      </c>
      <c r="AS134" s="77">
        <f t="shared" ca="1" si="483"/>
        <v>30305.418165314804</v>
      </c>
      <c r="AT134" s="54">
        <f t="shared" ca="1" si="484"/>
        <v>306.11533500317984</v>
      </c>
      <c r="AU134" s="53">
        <f ca="1">OFFSET('National statistics'!$A$6,MATCH(R0_estimation!$A134,'National statistics'!$A$7:$A$5000,0),MATCH(R0_estimation!AU$16 &amp; "_Running14daysNew",'National statistics'!$B$1:$HA$1,0))</f>
        <v>3581</v>
      </c>
      <c r="AV134" s="97">
        <f t="shared" ca="1" si="390"/>
        <v>0.85842762525408822</v>
      </c>
      <c r="AW134" s="98">
        <f t="shared" ca="1" si="189"/>
        <v>0.85754424097138826</v>
      </c>
      <c r="AX134" s="77">
        <f t="shared" ca="1" si="485"/>
        <v>5844751.0518273069</v>
      </c>
      <c r="AY134" s="77">
        <f t="shared" ca="1" si="486"/>
        <v>1897.4571937244323</v>
      </c>
      <c r="AZ134" s="77">
        <f t="shared" ca="1" si="487"/>
        <v>3581.0000002010252</v>
      </c>
      <c r="BA134" s="77">
        <f t="shared" ca="1" si="488"/>
        <v>0</v>
      </c>
      <c r="BB134" s="77">
        <f t="shared" ca="1" si="489"/>
        <v>3573.2150543590792</v>
      </c>
      <c r="BC134" s="54">
        <f t="shared" ca="1" si="490"/>
        <v>36.093081357162411</v>
      </c>
      <c r="BD134" s="53">
        <f ca="1">OFFSET('National statistics'!$A$6,MATCH(R0_estimation!$A134,'National statistics'!$A$7:$A$5000,0),MATCH(R0_estimation!BD$16 &amp; "_Running14daysNew",'National statistics'!$B$1:$HA$1,0))</f>
        <v>5758</v>
      </c>
      <c r="BE134" s="97">
        <f t="shared" ca="1" si="391"/>
        <v>1.3624483146705904</v>
      </c>
      <c r="BF134" s="98">
        <f t="shared" ca="1" si="190"/>
        <v>0.72178134408538486</v>
      </c>
      <c r="BG134" s="77">
        <f t="shared" ca="1" si="491"/>
        <v>4795157.7605149914</v>
      </c>
      <c r="BH134" s="77">
        <f t="shared" ca="1" si="492"/>
        <v>3607.4613902766059</v>
      </c>
      <c r="BI134" s="77">
        <f t="shared" ca="1" si="493"/>
        <v>5757.9998059190111</v>
      </c>
      <c r="BJ134" s="77">
        <f t="shared" ca="1" si="494"/>
        <v>0</v>
      </c>
      <c r="BK134" s="77">
        <f t="shared" ca="1" si="495"/>
        <v>4627.6705422808773</v>
      </c>
      <c r="BL134" s="54">
        <f t="shared" ca="1" si="496"/>
        <v>46.744146891726032</v>
      </c>
      <c r="BM134" s="53">
        <f ca="1">OFFSET('National statistics'!$A$6,MATCH(R0_estimation!$A134,'National statistics'!$A$7:$A$5000,0),MATCH(R0_estimation!BM$16 &amp; "_Running14daysNew",'National statistics'!$B$1:$HA$1,0))</f>
        <v>7926</v>
      </c>
      <c r="BN134" s="97">
        <f t="shared" ca="1" si="392"/>
        <v>0.3064754691900618</v>
      </c>
      <c r="BO134" s="98">
        <f t="shared" ca="1" si="191"/>
        <v>0.99326027081939861</v>
      </c>
      <c r="BP134" s="77">
        <f t="shared" ca="1" si="497"/>
        <v>4085763.2222984987</v>
      </c>
      <c r="BQ134" s="77">
        <f t="shared" ca="1" si="498"/>
        <v>3443.9688631793824</v>
      </c>
      <c r="BR134" s="77">
        <f t="shared" ca="1" si="499"/>
        <v>7925.9993084111575</v>
      </c>
      <c r="BS134" s="77">
        <f t="shared" ca="1" si="500"/>
        <v>0</v>
      </c>
      <c r="BT134" s="77">
        <f t="shared" ca="1" si="501"/>
        <v>10396.959497049525</v>
      </c>
      <c r="BU134" s="54">
        <f t="shared" ca="1" si="502"/>
        <v>105.01979289949016</v>
      </c>
      <c r="BV134" s="53">
        <f ca="1">OFFSET('National statistics'!$A$6,MATCH(R0_estimation!$A134,'National statistics'!$A$7:$A$5000,0),MATCH(R0_estimation!BV$16 &amp; "_Running14daysNew",'National statistics'!$B$1:$HA$1,0))</f>
        <v>1753</v>
      </c>
      <c r="BW134" s="97">
        <f t="shared" ca="1" si="393"/>
        <v>1.6202596710853827</v>
      </c>
      <c r="BX134" s="98">
        <f t="shared" ca="1" si="192"/>
        <v>0.68996207341942262</v>
      </c>
      <c r="BY134" s="77">
        <f t="shared" ca="1" si="503"/>
        <v>1317869.6387342268</v>
      </c>
      <c r="BZ134" s="77">
        <f t="shared" ca="1" si="504"/>
        <v>939.51149904185672</v>
      </c>
      <c r="CA134" s="77">
        <f t="shared" ca="1" si="505"/>
        <v>1752.9994040591876</v>
      </c>
      <c r="CB134" s="77">
        <f t="shared" ca="1" si="506"/>
        <v>0</v>
      </c>
      <c r="CC134" s="77">
        <f t="shared" ca="1" si="507"/>
        <v>1655.229940698837</v>
      </c>
      <c r="CD134" s="54">
        <f t="shared" ca="1" si="508"/>
        <v>16.719494350493306</v>
      </c>
      <c r="CE134" s="53">
        <f ca="1">OFFSET('National statistics'!$A$6,MATCH(R0_estimation!$A134,'National statistics'!$A$7:$A$5000,0),MATCH(R0_estimation!CE$16 &amp; "_Running14daysNew",'National statistics'!$B$1:$HA$1,0))</f>
        <v>14555</v>
      </c>
      <c r="CF134" s="97">
        <f t="shared" ca="1" si="394"/>
        <v>0.56175899989322098</v>
      </c>
      <c r="CG134" s="98">
        <f t="shared" ca="1" si="193"/>
        <v>1.2165621122686727</v>
      </c>
      <c r="CH134" s="77">
        <f t="shared" ca="1" si="509"/>
        <v>7206958.7358526643</v>
      </c>
      <c r="CI134" s="77">
        <f t="shared" ca="1" si="510"/>
        <v>3011.1541783519147</v>
      </c>
      <c r="CJ134" s="77">
        <f t="shared" ca="1" si="511"/>
        <v>14554.999968307702</v>
      </c>
      <c r="CK134" s="77">
        <f t="shared" ca="1" si="512"/>
        <v>0</v>
      </c>
      <c r="CL134" s="77">
        <f t="shared" ca="1" si="513"/>
        <v>79554.43413816551</v>
      </c>
      <c r="CM134" s="54">
        <f t="shared" ca="1" si="514"/>
        <v>803.5801428097526</v>
      </c>
      <c r="CO134" s="209"/>
      <c r="CP134" s="210"/>
    </row>
    <row r="135" spans="1:94">
      <c r="A135" s="83">
        <v>44035</v>
      </c>
      <c r="B135" s="53">
        <f ca="1">OFFSET('National statistics'!$A$6,MATCH(R0_estimation!$A135,'National statistics'!$A$7:$A$5000,0),MATCH(R0_estimation!B$16 &amp; "_Running14daysNew",'National statistics'!$B$1:$HA$1,0))</f>
        <v>169663</v>
      </c>
      <c r="C135" s="97">
        <f t="shared" ca="1" si="385"/>
        <v>0.52495785440847798</v>
      </c>
      <c r="D135" s="98">
        <f t="shared" si="194"/>
        <v>1</v>
      </c>
      <c r="E135" s="77">
        <f t="shared" ca="1" si="455"/>
        <v>59174301.442437962</v>
      </c>
      <c r="F135" s="77">
        <f t="shared" ca="1" si="456"/>
        <v>55350.705227059567</v>
      </c>
      <c r="G135" s="77">
        <f t="shared" ca="1" si="457"/>
        <v>174415.0162375088</v>
      </c>
      <c r="H135" s="77">
        <f t="shared" ca="1" si="458"/>
        <v>0</v>
      </c>
      <c r="I135" s="77">
        <f t="shared" ca="1" si="459"/>
        <v>310325.74555160181</v>
      </c>
      <c r="J135" s="54">
        <f t="shared" ca="1" si="460"/>
        <v>3134.6034904202224</v>
      </c>
      <c r="K135" s="53">
        <f ca="1">OFFSET('National statistics'!$A$6,MATCH(R0_estimation!$A135,'National statistics'!$A$7:$A$5000,0),MATCH(R0_estimation!K$16 &amp; "_Running14daysNew",'National statistics'!$B$1:$HA$1,0))</f>
        <v>25013</v>
      </c>
      <c r="L135" s="97">
        <f t="shared" ca="1" si="386"/>
        <v>2.1664074451369558E-2</v>
      </c>
      <c r="M135" s="98">
        <f t="shared" ref="M135:M162" ca="1" si="515">M134</f>
        <v>1.3891436550517304</v>
      </c>
      <c r="N135" s="77">
        <f t="shared" ca="1" si="461"/>
        <v>6784900.0065967478</v>
      </c>
      <c r="O135" s="77">
        <f t="shared" ca="1" si="462"/>
        <v>5340.9857781025057</v>
      </c>
      <c r="P135" s="77">
        <f t="shared" ca="1" si="463"/>
        <v>25409.715706664236</v>
      </c>
      <c r="Q135" s="77">
        <f t="shared" ca="1" si="464"/>
        <v>0</v>
      </c>
      <c r="R135" s="77">
        <f t="shared" ca="1" si="465"/>
        <v>54562.34055604395</v>
      </c>
      <c r="S135" s="54">
        <f t="shared" ca="1" si="466"/>
        <v>551.13475309135288</v>
      </c>
      <c r="T135" s="53">
        <f ca="1">OFFSET('National statistics'!$A$6,MATCH(R0_estimation!$A135,'National statistics'!$A$7:$A$5000,0),MATCH(R0_estimation!T$16 &amp; "_Running14daysNew",'National statistics'!$B$1:$HA$1,0))</f>
        <v>9719</v>
      </c>
      <c r="U135" s="97">
        <f t="shared" ca="1" si="387"/>
        <v>1.1769239022738553</v>
      </c>
      <c r="V135" s="98">
        <f t="shared" ref="V135:V162" ca="1" si="516">V134</f>
        <v>0.50313552847557719</v>
      </c>
      <c r="W135" s="77">
        <f t="shared" ca="1" si="467"/>
        <v>2786407.7323476565</v>
      </c>
      <c r="X135" s="77">
        <f t="shared" ca="1" si="468"/>
        <v>5306.898402221309</v>
      </c>
      <c r="Y135" s="77">
        <f t="shared" ca="1" si="469"/>
        <v>9941.6222628153828</v>
      </c>
      <c r="Z135" s="77">
        <f t="shared" ca="1" si="470"/>
        <v>0</v>
      </c>
      <c r="AA135" s="77">
        <f t="shared" ca="1" si="471"/>
        <v>7279.3475715639406</v>
      </c>
      <c r="AB135" s="54">
        <f t="shared" ca="1" si="472"/>
        <v>73.528763349130728</v>
      </c>
      <c r="AC135" s="53">
        <f ca="1">OFFSET('National statistics'!$A$6,MATCH(R0_estimation!$A135,'National statistics'!$A$7:$A$5000,0),MATCH(R0_estimation!AC$16 &amp; "_Running14daysNew",'National statistics'!$B$1:$HA$1,0))</f>
        <v>67308</v>
      </c>
      <c r="AD135" s="97">
        <f t="shared" ca="1" si="388"/>
        <v>0.14295215870982222</v>
      </c>
      <c r="AE135" s="98">
        <f t="shared" ref="AE135:AE162" ca="1" si="517">AE134</f>
        <v>0.57565754152920057</v>
      </c>
      <c r="AF135" s="77">
        <f t="shared" ca="1" si="473"/>
        <v>15437822.708666841</v>
      </c>
      <c r="AG135" s="77">
        <f t="shared" ca="1" si="474"/>
        <v>19180.77002813475</v>
      </c>
      <c r="AH135" s="77">
        <f t="shared" ca="1" si="475"/>
        <v>70757.764597783476</v>
      </c>
      <c r="AI135" s="77">
        <f t="shared" ca="1" si="476"/>
        <v>0</v>
      </c>
      <c r="AJ135" s="77">
        <f t="shared" ca="1" si="477"/>
        <v>110558.17897370727</v>
      </c>
      <c r="AK135" s="54">
        <f t="shared" ca="1" si="478"/>
        <v>1116.7492825626996</v>
      </c>
      <c r="AL135" s="53">
        <f ca="1">OFFSET('National statistics'!$A$6,MATCH(R0_estimation!$A135,'National statistics'!$A$7:$A$5000,0),MATCH(R0_estimation!AL$16 &amp; "_Running14daysNew",'National statistics'!$B$1:$HA$1,0))</f>
        <v>33776</v>
      </c>
      <c r="AM135" s="97">
        <f t="shared" ca="1" si="389"/>
        <v>0.92006151916402468</v>
      </c>
      <c r="AN135" s="98">
        <f t="shared" ref="AN135:AN162" ca="1" si="518">AN134</f>
        <v>0.74495013848278369</v>
      </c>
      <c r="AO135" s="77">
        <f t="shared" ca="1" si="479"/>
        <v>10917307.100930948</v>
      </c>
      <c r="AP135" s="77">
        <f t="shared" ca="1" si="480"/>
        <v>15569.830422074252</v>
      </c>
      <c r="AQ135" s="77">
        <f t="shared" ca="1" si="481"/>
        <v>34715.294276755216</v>
      </c>
      <c r="AR135" s="77">
        <f t="shared" ca="1" si="482"/>
        <v>0</v>
      </c>
      <c r="AS135" s="77">
        <f t="shared" ca="1" si="483"/>
        <v>32607.804593887122</v>
      </c>
      <c r="AT135" s="54">
        <f t="shared" ca="1" si="484"/>
        <v>329.37176357461738</v>
      </c>
      <c r="AU135" s="53">
        <f ca="1">OFFSET('National statistics'!$A$6,MATCH(R0_estimation!$A135,'National statistics'!$A$7:$A$5000,0),MATCH(R0_estimation!AU$16 &amp; "_Running14daysNew",'National statistics'!$B$1:$HA$1,0))</f>
        <v>3687</v>
      </c>
      <c r="AV135" s="97">
        <f t="shared" ca="1" si="390"/>
        <v>0.85842762525408822</v>
      </c>
      <c r="AW135" s="98">
        <f t="shared" ref="AW135:AW162" ca="1" si="519">AW134</f>
        <v>0.85754424097138826</v>
      </c>
      <c r="AX135" s="77">
        <f t="shared" ca="1" si="485"/>
        <v>5844531.8178281859</v>
      </c>
      <c r="AY135" s="77">
        <f t="shared" ca="1" si="486"/>
        <v>1642.326894414276</v>
      </c>
      <c r="AZ135" s="77">
        <f t="shared" ca="1" si="487"/>
        <v>3799.57858433206</v>
      </c>
      <c r="BA135" s="77">
        <f t="shared" ca="1" si="488"/>
        <v>0</v>
      </c>
      <c r="BB135" s="77">
        <f t="shared" ca="1" si="489"/>
        <v>3826.4429115161515</v>
      </c>
      <c r="BC135" s="54">
        <f t="shared" ca="1" si="490"/>
        <v>38.650938500163143</v>
      </c>
      <c r="BD135" s="53">
        <f ca="1">OFFSET('National statistics'!$A$6,MATCH(R0_estimation!$A135,'National statistics'!$A$7:$A$5000,0),MATCH(R0_estimation!BD$16 &amp; "_Running14daysNew",'National statistics'!$B$1:$HA$1,0))</f>
        <v>6085</v>
      </c>
      <c r="BE135" s="97">
        <f t="shared" ca="1" si="391"/>
        <v>1.3624483146705904</v>
      </c>
      <c r="BF135" s="98">
        <f t="shared" ref="BF135:BF162" ca="1" si="520">BF134</f>
        <v>0.72178134408538486</v>
      </c>
      <c r="BG135" s="77">
        <f t="shared" ca="1" si="491"/>
        <v>4794599.0354656642</v>
      </c>
      <c r="BH135" s="77">
        <f t="shared" ca="1" si="492"/>
        <v>3264.3210920343199</v>
      </c>
      <c r="BI135" s="77">
        <f t="shared" ca="1" si="493"/>
        <v>6248.5794530653766</v>
      </c>
      <c r="BJ135" s="77">
        <f t="shared" ca="1" si="494"/>
        <v>0</v>
      </c>
      <c r="BK135" s="77">
        <f t="shared" ca="1" si="495"/>
        <v>5034.8433856994361</v>
      </c>
      <c r="BL135" s="54">
        <f t="shared" ca="1" si="496"/>
        <v>50.857003895953895</v>
      </c>
      <c r="BM135" s="53">
        <f ca="1">OFFSET('National statistics'!$A$6,MATCH(R0_estimation!$A135,'National statistics'!$A$7:$A$5000,0),MATCH(R0_estimation!BM$16 &amp; "_Running14daysNew",'National statistics'!$B$1:$HA$1,0))</f>
        <v>8031</v>
      </c>
      <c r="BN135" s="97">
        <f t="shared" ca="1" si="392"/>
        <v>0.3064754691900618</v>
      </c>
      <c r="BO135" s="98">
        <f t="shared" ref="BO135:BO162" ca="1" si="521">BO134</f>
        <v>0.99326027081939861</v>
      </c>
      <c r="BP135" s="77">
        <f t="shared" ca="1" si="497"/>
        <v>4085590.6328869751</v>
      </c>
      <c r="BQ135" s="77">
        <f t="shared" ca="1" si="498"/>
        <v>2755.5660589083573</v>
      </c>
      <c r="BR135" s="77">
        <f t="shared" ca="1" si="499"/>
        <v>8220.8487164623493</v>
      </c>
      <c r="BS135" s="77">
        <f t="shared" ca="1" si="500"/>
        <v>0</v>
      </c>
      <c r="BT135" s="77">
        <f t="shared" ca="1" si="501"/>
        <v>10957.440876715744</v>
      </c>
      <c r="BU135" s="54">
        <f t="shared" ca="1" si="502"/>
        <v>110.6812209769267</v>
      </c>
      <c r="BV135" s="53">
        <f ca="1">OFFSET('National statistics'!$A$6,MATCH(R0_estimation!$A135,'National statistics'!$A$7:$A$5000,0),MATCH(R0_estimation!BV$16 &amp; "_Running14daysNew",'National statistics'!$B$1:$HA$1,0))</f>
        <v>1931</v>
      </c>
      <c r="BW135" s="97">
        <f t="shared" ca="1" si="393"/>
        <v>1.6202596710853827</v>
      </c>
      <c r="BX135" s="98">
        <f t="shared" ref="BX135:BX162" ca="1" si="522">BX134</f>
        <v>0.68996207341942262</v>
      </c>
      <c r="BY135" s="77">
        <f t="shared" ca="1" si="503"/>
        <v>1317667.4262584094</v>
      </c>
      <c r="BZ135" s="77">
        <f t="shared" ca="1" si="504"/>
        <v>906.84610009879134</v>
      </c>
      <c r="CA135" s="77">
        <f t="shared" ca="1" si="505"/>
        <v>1862.663035672567</v>
      </c>
      <c r="CB135" s="77">
        <f t="shared" ca="1" si="506"/>
        <v>0</v>
      </c>
      <c r="CC135" s="77">
        <f t="shared" ca="1" si="507"/>
        <v>1779.1920414144511</v>
      </c>
      <c r="CD135" s="54">
        <f t="shared" ca="1" si="508"/>
        <v>17.971636781964154</v>
      </c>
      <c r="CE135" s="53">
        <f ca="1">OFFSET('National statistics'!$A$6,MATCH(R0_estimation!$A135,'National statistics'!$A$7:$A$5000,0),MATCH(R0_estimation!CE$16 &amp; "_Running14daysNew",'National statistics'!$B$1:$HA$1,0))</f>
        <v>14113</v>
      </c>
      <c r="CF135" s="97">
        <f t="shared" ca="1" si="394"/>
        <v>0.56175899989322098</v>
      </c>
      <c r="CG135" s="98">
        <f t="shared" ref="CG135:CG162" ca="1" si="523">CG134</f>
        <v>1.2165621122686727</v>
      </c>
      <c r="CH135" s="77">
        <f t="shared" ca="1" si="509"/>
        <v>7206382.4728120016</v>
      </c>
      <c r="CI135" s="77">
        <f t="shared" ca="1" si="510"/>
        <v>2834.6286744263643</v>
      </c>
      <c r="CJ135" s="77">
        <f t="shared" ca="1" si="511"/>
        <v>14268.14565801656</v>
      </c>
      <c r="CK135" s="77">
        <f t="shared" ca="1" si="512"/>
        <v>0</v>
      </c>
      <c r="CL135" s="77">
        <f t="shared" ca="1" si="513"/>
        <v>80583.680564495837</v>
      </c>
      <c r="CM135" s="54">
        <f t="shared" ca="1" si="514"/>
        <v>813.97657135854377</v>
      </c>
      <c r="CO135" s="209"/>
      <c r="CP135" s="210"/>
    </row>
    <row r="136" spans="1:94">
      <c r="A136" s="83">
        <v>44036</v>
      </c>
      <c r="B136" s="53">
        <f ca="1">OFFSET('National statistics'!$A$6,MATCH(R0_estimation!$A136,'National statistics'!$A$7:$A$5000,0),MATCH(R0_estimation!B$16 &amp; "_Running14daysNew",'National statistics'!$B$1:$HA$1,0))</f>
        <v>171259</v>
      </c>
      <c r="C136" s="97">
        <f t="shared" ca="1" si="385"/>
        <v>0.52495785440847798</v>
      </c>
      <c r="D136" s="98">
        <f t="shared" si="194"/>
        <v>1</v>
      </c>
      <c r="E136" s="77">
        <f t="shared" ca="1" si="455"/>
        <v>59167820.556270279</v>
      </c>
      <c r="F136" s="77">
        <f t="shared" ca="1" si="456"/>
        <v>47993.915087978428</v>
      </c>
      <c r="G136" s="77">
        <f t="shared" ca="1" si="457"/>
        <v>175794.47709873735</v>
      </c>
      <c r="H136" s="77">
        <f t="shared" ca="1" si="458"/>
        <v>0</v>
      </c>
      <c r="I136" s="77">
        <f t="shared" ca="1" si="459"/>
        <v>322659.37884268281</v>
      </c>
      <c r="J136" s="54">
        <f t="shared" ca="1" si="460"/>
        <v>3259.1856448755857</v>
      </c>
      <c r="K136" s="53">
        <f ca="1">OFFSET('National statistics'!$A$6,MATCH(R0_estimation!$A136,'National statistics'!$A$7:$A$5000,0),MATCH(R0_estimation!K$16 &amp; "_Running14daysNew",'National statistics'!$B$1:$HA$1,0))</f>
        <v>25054</v>
      </c>
      <c r="L136" s="97">
        <f t="shared" ca="1" si="386"/>
        <v>2.1664074451369558E-2</v>
      </c>
      <c r="M136" s="98">
        <f t="shared" ca="1" si="515"/>
        <v>1.3891436550517304</v>
      </c>
      <c r="N136" s="77">
        <f t="shared" ca="1" si="461"/>
        <v>6784861.1750082737</v>
      </c>
      <c r="O136" s="77">
        <f t="shared" ca="1" si="462"/>
        <v>4044.5709220509143</v>
      </c>
      <c r="P136" s="77">
        <f t="shared" ca="1" si="463"/>
        <v>24929.982457856702</v>
      </c>
      <c r="Q136" s="77">
        <f t="shared" ca="1" si="464"/>
        <v>0</v>
      </c>
      <c r="R136" s="77">
        <f t="shared" ca="1" si="465"/>
        <v>56359.170452443781</v>
      </c>
      <c r="S136" s="54">
        <f t="shared" ca="1" si="466"/>
        <v>569.28455002468445</v>
      </c>
      <c r="T136" s="53">
        <f ca="1">OFFSET('National statistics'!$A$6,MATCH(R0_estimation!$A136,'National statistics'!$A$7:$A$5000,0),MATCH(R0_estimation!T$16 &amp; "_Running14daysNew",'National statistics'!$B$1:$HA$1,0))</f>
        <v>10321</v>
      </c>
      <c r="U136" s="97">
        <f t="shared" ca="1" si="387"/>
        <v>1.1769239022738553</v>
      </c>
      <c r="V136" s="98">
        <f t="shared" ca="1" si="516"/>
        <v>0.50313552847557719</v>
      </c>
      <c r="W136" s="77">
        <f t="shared" ca="1" si="467"/>
        <v>2785578.6827946478</v>
      </c>
      <c r="X136" s="77">
        <f t="shared" ca="1" si="468"/>
        <v>4809.2233546749603</v>
      </c>
      <c r="Y136" s="77">
        <f t="shared" ca="1" si="469"/>
        <v>10558.230987455327</v>
      </c>
      <c r="Z136" s="77">
        <f t="shared" ca="1" si="470"/>
        <v>0</v>
      </c>
      <c r="AA136" s="77">
        <f t="shared" ca="1" si="471"/>
        <v>7982.3622887201709</v>
      </c>
      <c r="AB136" s="54">
        <f t="shared" ca="1" si="472"/>
        <v>80.629922108284575</v>
      </c>
      <c r="AC136" s="53">
        <f ca="1">OFFSET('National statistics'!$A$6,MATCH(R0_estimation!$A136,'National statistics'!$A$7:$A$5000,0),MATCH(R0_estimation!AC$16 &amp; "_Running14daysNew",'National statistics'!$B$1:$HA$1,0))</f>
        <v>65987</v>
      </c>
      <c r="AD136" s="97">
        <f t="shared" ca="1" si="388"/>
        <v>0.14295215870982222</v>
      </c>
      <c r="AE136" s="98">
        <f t="shared" ca="1" si="517"/>
        <v>0.57565754152920057</v>
      </c>
      <c r="AF136" s="77">
        <f t="shared" ca="1" si="473"/>
        <v>15437109.473487725</v>
      </c>
      <c r="AG136" s="77">
        <f t="shared" ca="1" si="474"/>
        <v>15098.812700216546</v>
      </c>
      <c r="AH136" s="77">
        <f t="shared" ca="1" si="475"/>
        <v>70498.831062118348</v>
      </c>
      <c r="AI136" s="77">
        <f t="shared" ca="1" si="476"/>
        <v>0</v>
      </c>
      <c r="AJ136" s="77">
        <f t="shared" ca="1" si="477"/>
        <v>115561.7637559791</v>
      </c>
      <c r="AK136" s="54">
        <f t="shared" ca="1" si="478"/>
        <v>1167.2905429896878</v>
      </c>
      <c r="AL136" s="53">
        <f ca="1">OFFSET('National statistics'!$A$6,MATCH(R0_estimation!$A136,'National statistics'!$A$7:$A$5000,0),MATCH(R0_estimation!AL$16 &amp; "_Running14daysNew",'National statistics'!$B$1:$HA$1,0))</f>
        <v>35776</v>
      </c>
      <c r="AM136" s="97">
        <f t="shared" ca="1" si="389"/>
        <v>0.92006151916402468</v>
      </c>
      <c r="AN136" s="98">
        <f t="shared" ca="1" si="518"/>
        <v>0.74495013848278369</v>
      </c>
      <c r="AO136" s="77">
        <f t="shared" ca="1" si="479"/>
        <v>10915042.849624647</v>
      </c>
      <c r="AP136" s="77">
        <f t="shared" ca="1" si="480"/>
        <v>13941.624122857285</v>
      </c>
      <c r="AQ136" s="77">
        <f t="shared" ca="1" si="481"/>
        <v>36128.08800536269</v>
      </c>
      <c r="AR136" s="77">
        <f t="shared" ca="1" si="482"/>
        <v>0</v>
      </c>
      <c r="AS136" s="77">
        <f t="shared" ca="1" si="483"/>
        <v>35062.671832029097</v>
      </c>
      <c r="AT136" s="54">
        <f t="shared" ca="1" si="484"/>
        <v>354.16840234372825</v>
      </c>
      <c r="AU136" s="53">
        <f ca="1">OFFSET('National statistics'!$A$6,MATCH(R0_estimation!$A136,'National statistics'!$A$7:$A$5000,0),MATCH(R0_estimation!AU$16 &amp; "_Running14daysNew",'National statistics'!$B$1:$HA$1,0))</f>
        <v>3815</v>
      </c>
      <c r="AV136" s="97">
        <f t="shared" ca="1" si="390"/>
        <v>0.85842762525408822</v>
      </c>
      <c r="AW136" s="98">
        <f t="shared" ca="1" si="519"/>
        <v>0.85754424097138826</v>
      </c>
      <c r="AX136" s="77">
        <f t="shared" ca="1" si="485"/>
        <v>5844299.2107556909</v>
      </c>
      <c r="AY136" s="77">
        <f t="shared" ca="1" si="486"/>
        <v>1464.3522433051698</v>
      </c>
      <c r="AZ136" s="77">
        <f t="shared" ca="1" si="487"/>
        <v>3938.7618376261962</v>
      </c>
      <c r="BA136" s="77">
        <f t="shared" ca="1" si="488"/>
        <v>0</v>
      </c>
      <c r="BB136" s="77">
        <f t="shared" ca="1" si="489"/>
        <v>4095.12739712249</v>
      </c>
      <c r="BC136" s="54">
        <f t="shared" ca="1" si="490"/>
        <v>41.364923203257469</v>
      </c>
      <c r="BD136" s="53">
        <f ca="1">OFFSET('National statistics'!$A$6,MATCH(R0_estimation!$A136,'National statistics'!$A$7:$A$5000,0),MATCH(R0_estimation!BD$16 &amp; "_Running14daysNew",'National statistics'!$B$1:$HA$1,0))</f>
        <v>6483</v>
      </c>
      <c r="BE136" s="97">
        <f t="shared" ca="1" si="391"/>
        <v>1.3624483146705904</v>
      </c>
      <c r="BF136" s="98">
        <f t="shared" ca="1" si="520"/>
        <v>0.72178134408538486</v>
      </c>
      <c r="BG136" s="77">
        <f t="shared" ca="1" si="491"/>
        <v>4793992.7773600584</v>
      </c>
      <c r="BH136" s="77">
        <f t="shared" ca="1" si="492"/>
        <v>3054.4989246317091</v>
      </c>
      <c r="BI136" s="77">
        <f t="shared" ca="1" si="493"/>
        <v>6618.3326222835722</v>
      </c>
      <c r="BJ136" s="77">
        <f t="shared" ca="1" si="494"/>
        <v>0</v>
      </c>
      <c r="BK136" s="77">
        <f t="shared" ca="1" si="495"/>
        <v>5476.7072184519166</v>
      </c>
      <c r="BL136" s="54">
        <f t="shared" ca="1" si="496"/>
        <v>55.320274933857732</v>
      </c>
      <c r="BM136" s="53">
        <f ca="1">OFFSET('National statistics'!$A$6,MATCH(R0_estimation!$A136,'National statistics'!$A$7:$A$5000,0),MATCH(R0_estimation!BM$16 &amp; "_Running14daysNew",'National statistics'!$B$1:$HA$1,0))</f>
        <v>7872</v>
      </c>
      <c r="BN136" s="97">
        <f t="shared" ca="1" si="392"/>
        <v>0.3064754691900618</v>
      </c>
      <c r="BO136" s="98">
        <f t="shared" ca="1" si="521"/>
        <v>0.99326027081939861</v>
      </c>
      <c r="BP136" s="77">
        <f t="shared" ca="1" si="497"/>
        <v>4085411.6304156519</v>
      </c>
      <c r="BQ136" s="77">
        <f t="shared" ca="1" si="498"/>
        <v>2245.6770155043432</v>
      </c>
      <c r="BR136" s="77">
        <f t="shared" ca="1" si="499"/>
        <v>8322.5367514421268</v>
      </c>
      <c r="BS136" s="77">
        <f t="shared" ca="1" si="500"/>
        <v>0</v>
      </c>
      <c r="BT136" s="77">
        <f t="shared" ca="1" si="501"/>
        <v>11538.772321665581</v>
      </c>
      <c r="BU136" s="54">
        <f t="shared" ca="1" si="502"/>
        <v>116.5532557743998</v>
      </c>
      <c r="BV136" s="53">
        <f ca="1">OFFSET('National statistics'!$A$6,MATCH(R0_estimation!$A136,'National statistics'!$A$7:$A$5000,0),MATCH(R0_estimation!BV$16 &amp; "_Running14daysNew",'National statistics'!$B$1:$HA$1,0))</f>
        <v>2007</v>
      </c>
      <c r="BW136" s="97">
        <f t="shared" ca="1" si="393"/>
        <v>1.6202596710853827</v>
      </c>
      <c r="BX136" s="98">
        <f t="shared" ca="1" si="522"/>
        <v>0.68996207341942262</v>
      </c>
      <c r="BY136" s="77">
        <f t="shared" ca="1" si="503"/>
        <v>1317452.5965976063</v>
      </c>
      <c r="BZ136" s="77">
        <f t="shared" ca="1" si="504"/>
        <v>894.96423587712491</v>
      </c>
      <c r="CA136" s="77">
        <f t="shared" ca="1" si="505"/>
        <v>1956.3272010063672</v>
      </c>
      <c r="CB136" s="77">
        <f t="shared" ca="1" si="506"/>
        <v>0</v>
      </c>
      <c r="CC136" s="77">
        <f t="shared" ca="1" si="507"/>
        <v>1910.9089275084398</v>
      </c>
      <c r="CD136" s="54">
        <f t="shared" ca="1" si="508"/>
        <v>19.302110378873131</v>
      </c>
      <c r="CE136" s="53">
        <f ca="1">OFFSET('National statistics'!$A$6,MATCH(R0_estimation!$A136,'National statistics'!$A$7:$A$5000,0),MATCH(R0_estimation!CE$16 &amp; "_Running14daysNew",'National statistics'!$B$1:$HA$1,0))</f>
        <v>13944</v>
      </c>
      <c r="CF136" s="97">
        <f t="shared" ca="1" si="394"/>
        <v>0.56175899989322098</v>
      </c>
      <c r="CG136" s="98">
        <f t="shared" ca="1" si="523"/>
        <v>1.2165621122686727</v>
      </c>
      <c r="CH136" s="77">
        <f t="shared" ca="1" si="509"/>
        <v>7205817.6113018421</v>
      </c>
      <c r="CI136" s="77">
        <f t="shared" ca="1" si="510"/>
        <v>2690.8330159795287</v>
      </c>
      <c r="CJ136" s="77">
        <f t="shared" ca="1" si="511"/>
        <v>13957.649565336253</v>
      </c>
      <c r="CK136" s="77">
        <f t="shared" ca="1" si="512"/>
        <v>0</v>
      </c>
      <c r="CL136" s="77">
        <f t="shared" ca="1" si="513"/>
        <v>81592.642293169862</v>
      </c>
      <c r="CM136" s="54">
        <f t="shared" ca="1" si="514"/>
        <v>824.16810397141273</v>
      </c>
      <c r="CO136" s="209"/>
      <c r="CP136" s="210"/>
    </row>
    <row r="137" spans="1:94">
      <c r="A137" s="83">
        <v>44037</v>
      </c>
      <c r="B137" s="53">
        <f ca="1">OFFSET('National statistics'!$A$6,MATCH(R0_estimation!$A137,'National statistics'!$A$7:$A$5000,0),MATCH(R0_estimation!B$16 &amp; "_Running14daysNew",'National statistics'!$B$1:$HA$1,0))</f>
        <v>169966</v>
      </c>
      <c r="C137" s="97">
        <f t="shared" ca="1" si="385"/>
        <v>0.52495785440847798</v>
      </c>
      <c r="D137" s="98">
        <f t="shared" si="194"/>
        <v>1</v>
      </c>
      <c r="E137" s="77">
        <f t="shared" ca="1" si="455"/>
        <v>59161289.114096239</v>
      </c>
      <c r="F137" s="77">
        <f t="shared" ca="1" si="456"/>
        <v>42526.878490022966</v>
      </c>
      <c r="G137" s="77">
        <f t="shared" ca="1" si="457"/>
        <v>175236.20750653645</v>
      </c>
      <c r="H137" s="77">
        <f t="shared" ca="1" si="458"/>
        <v>0</v>
      </c>
      <c r="I137" s="77">
        <f t="shared" ca="1" si="459"/>
        <v>335090.55972323637</v>
      </c>
      <c r="J137" s="54">
        <f t="shared" ca="1" si="460"/>
        <v>3384.753128517541</v>
      </c>
      <c r="K137" s="53">
        <f ca="1">OFFSET('National statistics'!$A$6,MATCH(R0_estimation!$A137,'National statistics'!$A$7:$A$5000,0),MATCH(R0_estimation!K$16 &amp; "_Running14daysNew",'National statistics'!$B$1:$HA$1,0))</f>
        <v>24540</v>
      </c>
      <c r="L137" s="97">
        <f t="shared" ca="1" si="386"/>
        <v>2.1664074451369558E-2</v>
      </c>
      <c r="M137" s="98">
        <f t="shared" ca="1" si="515"/>
        <v>1.3891436550517304</v>
      </c>
      <c r="N137" s="77">
        <f t="shared" ca="1" si="461"/>
        <v>6784823.0766742509</v>
      </c>
      <c r="O137" s="77">
        <f t="shared" ca="1" si="462"/>
        <v>3071.5265255611553</v>
      </c>
      <c r="P137" s="77">
        <f t="shared" ca="1" si="463"/>
        <v>24160.412155665381</v>
      </c>
      <c r="Q137" s="77">
        <f t="shared" ca="1" si="464"/>
        <v>0</v>
      </c>
      <c r="R137" s="77">
        <f t="shared" ca="1" si="465"/>
        <v>58122.076354820791</v>
      </c>
      <c r="S137" s="54">
        <f t="shared" ca="1" si="466"/>
        <v>587.0916803517249</v>
      </c>
      <c r="T137" s="53">
        <f ca="1">OFFSET('National statistics'!$A$6,MATCH(R0_estimation!$A137,'National statistics'!$A$7:$A$5000,0),MATCH(R0_estimation!T$16 &amp; "_Running14daysNew",'National statistics'!$B$1:$HA$1,0))</f>
        <v>10833</v>
      </c>
      <c r="U137" s="97">
        <f t="shared" ca="1" si="387"/>
        <v>1.1769239022738553</v>
      </c>
      <c r="V137" s="98">
        <f t="shared" ca="1" si="516"/>
        <v>0.50313552847557719</v>
      </c>
      <c r="W137" s="77">
        <f t="shared" ca="1" si="467"/>
        <v>2784698.4728879537</v>
      </c>
      <c r="X137" s="77">
        <f t="shared" ca="1" si="468"/>
        <v>4487.127422700326</v>
      </c>
      <c r="Y137" s="77">
        <f t="shared" ca="1" si="469"/>
        <v>11006.377469877258</v>
      </c>
      <c r="Z137" s="77">
        <f t="shared" ca="1" si="470"/>
        <v>0</v>
      </c>
      <c r="AA137" s="77">
        <f t="shared" ca="1" si="471"/>
        <v>8728.9800514045128</v>
      </c>
      <c r="AB137" s="54">
        <f t="shared" ca="1" si="472"/>
        <v>88.171515670752669</v>
      </c>
      <c r="AC137" s="53">
        <f ca="1">OFFSET('National statistics'!$A$6,MATCH(R0_estimation!$A137,'National statistics'!$A$7:$A$5000,0),MATCH(R0_estimation!AC$16 &amp; "_Running14daysNew",'National statistics'!$B$1:$HA$1,0))</f>
        <v>63777</v>
      </c>
      <c r="AD137" s="97">
        <f t="shared" ca="1" si="388"/>
        <v>0.14295215870982222</v>
      </c>
      <c r="AE137" s="98">
        <f t="shared" ca="1" si="517"/>
        <v>0.57565754152920057</v>
      </c>
      <c r="AF137" s="77">
        <f t="shared" ca="1" si="473"/>
        <v>15436398.878882028</v>
      </c>
      <c r="AG137" s="77">
        <f t="shared" ca="1" si="474"/>
        <v>12034.704130860213</v>
      </c>
      <c r="AH137" s="77">
        <f t="shared" ca="1" si="475"/>
        <v>69237.903447021177</v>
      </c>
      <c r="AI137" s="77">
        <f t="shared" ca="1" si="476"/>
        <v>0</v>
      </c>
      <c r="AJ137" s="77">
        <f t="shared" ca="1" si="477"/>
        <v>120547.0382382289</v>
      </c>
      <c r="AK137" s="54">
        <f t="shared" ca="1" si="478"/>
        <v>1217.646850891201</v>
      </c>
      <c r="AL137" s="53">
        <f ca="1">OFFSET('National statistics'!$A$6,MATCH(R0_estimation!$A137,'National statistics'!$A$7:$A$5000,0),MATCH(R0_estimation!AL$16 &amp; "_Running14daysNew",'National statistics'!$B$1:$HA$1,0))</f>
        <v>36779</v>
      </c>
      <c r="AM137" s="97">
        <f t="shared" ca="1" si="389"/>
        <v>0.92006151916402468</v>
      </c>
      <c r="AN137" s="98">
        <f t="shared" ca="1" si="518"/>
        <v>0.74495013848278369</v>
      </c>
      <c r="AO137" s="77">
        <f t="shared" ca="1" si="479"/>
        <v>10912686.93444212</v>
      </c>
      <c r="AP137" s="77">
        <f t="shared" ca="1" si="480"/>
        <v>12812.133274669412</v>
      </c>
      <c r="AQ137" s="77">
        <f t="shared" ca="1" si="481"/>
        <v>37032.916321408251</v>
      </c>
      <c r="AR137" s="77">
        <f t="shared" ca="1" si="482"/>
        <v>0</v>
      </c>
      <c r="AS137" s="77">
        <f t="shared" ca="1" si="483"/>
        <v>37617.443769551173</v>
      </c>
      <c r="AT137" s="54">
        <f t="shared" ca="1" si="484"/>
        <v>379.97417949041591</v>
      </c>
      <c r="AU137" s="53">
        <f ca="1">OFFSET('National statistics'!$A$6,MATCH(R0_estimation!$A137,'National statistics'!$A$7:$A$5000,0),MATCH(R0_estimation!AU$16 &amp; "_Running14daysNew",'National statistics'!$B$1:$HA$1,0))</f>
        <v>3897</v>
      </c>
      <c r="AV137" s="97">
        <f t="shared" ca="1" si="390"/>
        <v>0.85842762525408822</v>
      </c>
      <c r="AW137" s="98">
        <f t="shared" ca="1" si="519"/>
        <v>0.85754424097138826</v>
      </c>
      <c r="AX137" s="77">
        <f t="shared" ca="1" si="485"/>
        <v>5844058.0924839051</v>
      </c>
      <c r="AY137" s="77">
        <f t="shared" ca="1" si="486"/>
        <v>1339.3824542642851</v>
      </c>
      <c r="AZ137" s="77">
        <f t="shared" ca="1" si="487"/>
        <v>4023.5097671934745</v>
      </c>
      <c r="BA137" s="77">
        <f t="shared" ca="1" si="488"/>
        <v>0</v>
      </c>
      <c r="BB137" s="77">
        <f t="shared" ca="1" si="489"/>
        <v>4373.654127068914</v>
      </c>
      <c r="BC137" s="54">
        <f t="shared" ca="1" si="490"/>
        <v>44.178324515847606</v>
      </c>
      <c r="BD137" s="53">
        <f ca="1">OFFSET('National statistics'!$A$6,MATCH(R0_estimation!$A137,'National statistics'!$A$7:$A$5000,0),MATCH(R0_estimation!BD$16 &amp; "_Running14daysNew",'National statistics'!$B$1:$HA$1,0))</f>
        <v>6796</v>
      </c>
      <c r="BE137" s="97">
        <f t="shared" ca="1" si="391"/>
        <v>1.3624483146705904</v>
      </c>
      <c r="BF137" s="98">
        <f t="shared" ca="1" si="520"/>
        <v>0.72178134408538486</v>
      </c>
      <c r="BG137" s="77">
        <f t="shared" ca="1" si="491"/>
        <v>4793350.7251629168</v>
      </c>
      <c r="BH137" s="77">
        <f t="shared" ca="1" si="492"/>
        <v>2932.9263906151764</v>
      </c>
      <c r="BI137" s="77">
        <f t="shared" ca="1" si="493"/>
        <v>6909.2193089926732</v>
      </c>
      <c r="BJ137" s="77">
        <f t="shared" ca="1" si="494"/>
        <v>0</v>
      </c>
      <c r="BK137" s="77">
        <f t="shared" ca="1" si="495"/>
        <v>5944.7178824562552</v>
      </c>
      <c r="BL137" s="54">
        <f t="shared" ca="1" si="496"/>
        <v>60.047655378346001</v>
      </c>
      <c r="BM137" s="53">
        <f ca="1">OFFSET('National statistics'!$A$6,MATCH(R0_estimation!$A137,'National statistics'!$A$7:$A$5000,0),MATCH(R0_estimation!BM$16 &amp; "_Running14daysNew",'National statistics'!$B$1:$HA$1,0))</f>
        <v>7524</v>
      </c>
      <c r="BN137" s="97">
        <f t="shared" ca="1" si="392"/>
        <v>0.3064754691900618</v>
      </c>
      <c r="BO137" s="98">
        <f t="shared" ca="1" si="521"/>
        <v>0.99326027081939861</v>
      </c>
      <c r="BP137" s="77">
        <f t="shared" ca="1" si="497"/>
        <v>4085230.4214485004</v>
      </c>
      <c r="BQ137" s="77">
        <f t="shared" ca="1" si="498"/>
        <v>1865.4667287798729</v>
      </c>
      <c r="BR137" s="77">
        <f t="shared" ca="1" si="499"/>
        <v>8289.4890945009174</v>
      </c>
      <c r="BS137" s="77">
        <f t="shared" ca="1" si="500"/>
        <v>0</v>
      </c>
      <c r="BT137" s="77">
        <f t="shared" ca="1" si="501"/>
        <v>12127.294563374704</v>
      </c>
      <c r="BU137" s="54">
        <f t="shared" ca="1" si="502"/>
        <v>122.49792488257275</v>
      </c>
      <c r="BV137" s="53">
        <f ca="1">OFFSET('National statistics'!$A$6,MATCH(R0_estimation!$A137,'National statistics'!$A$7:$A$5000,0),MATCH(R0_estimation!BV$16 &amp; "_Running14daysNew",'National statistics'!$B$1:$HA$1,0))</f>
        <v>2123</v>
      </c>
      <c r="BW137" s="97">
        <f t="shared" ca="1" si="393"/>
        <v>1.6202596710853827</v>
      </c>
      <c r="BX137" s="98">
        <f t="shared" ca="1" si="522"/>
        <v>0.68996207341942262</v>
      </c>
      <c r="BY137" s="77">
        <f t="shared" ca="1" si="503"/>
        <v>1317227.000769095</v>
      </c>
      <c r="BZ137" s="77">
        <f t="shared" ca="1" si="504"/>
        <v>896.81900541921243</v>
      </c>
      <c r="CA137" s="77">
        <f t="shared" ca="1" si="505"/>
        <v>2040.3306027609078</v>
      </c>
      <c r="CB137" s="77">
        <f t="shared" ca="1" si="506"/>
        <v>0</v>
      </c>
      <c r="CC137" s="77">
        <f t="shared" ca="1" si="507"/>
        <v>2049.2492081510327</v>
      </c>
      <c r="CD137" s="54">
        <f t="shared" ca="1" si="508"/>
        <v>20.699486951020535</v>
      </c>
      <c r="CE137" s="53">
        <f ca="1">OFFSET('National statistics'!$A$6,MATCH(R0_estimation!$A137,'National statistics'!$A$7:$A$5000,0),MATCH(R0_estimation!CE$16 &amp; "_Running14daysNew",'National statistics'!$B$1:$HA$1,0))</f>
        <v>13697</v>
      </c>
      <c r="CF137" s="97">
        <f t="shared" ca="1" si="394"/>
        <v>0.56175899989322098</v>
      </c>
      <c r="CG137" s="98">
        <f t="shared" ca="1" si="523"/>
        <v>1.2165621122686727</v>
      </c>
      <c r="CH137" s="77">
        <f t="shared" ca="1" si="509"/>
        <v>7205265.0845605023</v>
      </c>
      <c r="CI137" s="77">
        <f t="shared" ca="1" si="510"/>
        <v>2570.6515033243722</v>
      </c>
      <c r="CJ137" s="77">
        <f t="shared" ca="1" si="511"/>
        <v>13633.382850378546</v>
      </c>
      <c r="CK137" s="77">
        <f t="shared" ca="1" si="512"/>
        <v>0</v>
      </c>
      <c r="CL137" s="77">
        <f t="shared" ca="1" si="513"/>
        <v>82579.64751243293</v>
      </c>
      <c r="CM137" s="54">
        <f t="shared" ca="1" si="514"/>
        <v>834.13785366093862</v>
      </c>
      <c r="CO137" s="209"/>
      <c r="CP137" s="210"/>
    </row>
    <row r="138" spans="1:94">
      <c r="A138" s="83">
        <f>A137+1</f>
        <v>44038</v>
      </c>
      <c r="B138" s="53">
        <f ca="1">OFFSET('National statistics'!$A$6,MATCH(R0_estimation!$A138,'National statistics'!$A$7:$A$5000,0),MATCH(R0_estimation!B$16 &amp; "_Running14daysNew",'National statistics'!$B$1:$HA$1,0))</f>
        <v>169141</v>
      </c>
      <c r="C138" s="97">
        <f t="shared" ca="1" si="385"/>
        <v>0.52495785440847798</v>
      </c>
      <c r="D138" s="98">
        <f t="shared" si="194"/>
        <v>1</v>
      </c>
      <c r="E138" s="77">
        <f t="shared" ref="E138" ca="1" si="524">E137-E137*(C137/14)*G137*G$16/SUM(E137:I137)-E137*(D137/14)*H$16*H137/SUM(E137:I137)</f>
        <v>59154779.118805267</v>
      </c>
      <c r="F138" s="77">
        <f t="shared" ref="F138" ca="1" si="525">F137+E137*(C137/14)*G137*G$16/SUM(E137:I137)+E137*(D137/14)*H$16*H137/SUM(E137:I137)-F137/4</f>
        <v>38405.154158488534</v>
      </c>
      <c r="G138" s="77">
        <f t="shared" ref="G138" ca="1" si="526">G137+G$16*F137/4-G137/14</f>
        <v>173351.05516428957</v>
      </c>
      <c r="H138" s="77">
        <f t="shared" ref="H138" ca="1" si="527">H137+H$16*F137/4-H137/14</f>
        <v>0</v>
      </c>
      <c r="I138" s="77">
        <f t="shared" ref="I138" ca="1" si="528">I137+H137/14+(G137/14)*(1-J$16)</f>
        <v>347482.26296834147</v>
      </c>
      <c r="J138" s="54">
        <f t="shared" ref="J138" ca="1" si="529">J137+(G137/14)*(J$16)</f>
        <v>3509.9218481650669</v>
      </c>
      <c r="K138" s="53">
        <f ca="1">OFFSET('National statistics'!$A$6,MATCH(R0_estimation!$A138,'National statistics'!$A$7:$A$5000,0),MATCH(R0_estimation!K$16 &amp; "_Running14daysNew",'National statistics'!$B$1:$HA$1,0))</f>
        <v>23285</v>
      </c>
      <c r="L138" s="97">
        <f t="shared" ca="1" si="386"/>
        <v>2.1664074451369558E-2</v>
      </c>
      <c r="M138" s="98">
        <f t="shared" ca="1" si="515"/>
        <v>1.3891436550517304</v>
      </c>
      <c r="N138" s="77">
        <f t="shared" ref="N138" ca="1" si="530">N137-N137*(L137/14)*P137/SUM(N137:R137)-N137*(M137/14)*Q137/SUM(N137:R137)</f>
        <v>6784786.1545195254</v>
      </c>
      <c r="O138" s="77">
        <f t="shared" ref="O138" ca="1" si="531">O137+N137*(L137/14)*P137/SUM(N137:R137)+N137*(M137/14)*Q137/SUM(N137:R137)-O137/4</f>
        <v>2340.5670488962292</v>
      </c>
      <c r="P138" s="77">
        <f t="shared" ref="P138" ca="1" si="532">P137+(O137/4)*P$16-P137/14</f>
        <v>23202.550061651</v>
      </c>
      <c r="Q138" s="77">
        <f t="shared" ref="Q138" ca="1" si="533">Q137+(O137/4)*Q$16-Q137/14</f>
        <v>0</v>
      </c>
      <c r="R138" s="77">
        <f t="shared" ref="R138" ca="1" si="534">R137+Q137/14+(P137/14)*(1-S$16)</f>
        <v>59830.562642971418</v>
      </c>
      <c r="S138" s="54">
        <f t="shared" ref="S138" ca="1" si="535">S137+(P137/14)*(S$16)</f>
        <v>604.34911760577165</v>
      </c>
      <c r="T138" s="53">
        <f ca="1">OFFSET('National statistics'!$A$6,MATCH(R0_estimation!$A138,'National statistics'!$A$7:$A$5000,0),MATCH(R0_estimation!T$16 &amp; "_Running14daysNew",'National statistics'!$B$1:$HA$1,0))</f>
        <v>11258</v>
      </c>
      <c r="U138" s="97">
        <f t="shared" ca="1" si="387"/>
        <v>1.1769239022738553</v>
      </c>
      <c r="V138" s="98">
        <f t="shared" ca="1" si="516"/>
        <v>0.50313552847557719</v>
      </c>
      <c r="W138" s="77">
        <f t="shared" ref="W138" ca="1" si="536">W137-W137*(U137/14)*Y137/SUM(W137:AA137)-W137*(V137/14)*Z137/SUM(W137:AA137)</f>
        <v>2783781.1897530197</v>
      </c>
      <c r="X138" s="77">
        <f t="shared" ref="X138" ca="1" si="537">X137+W137*(U137/14)*Y137/SUM(W137:AA137)+W137*(V137/14)*Z137/SUM(W137:AA137)-X137/4</f>
        <v>4282.6287019592137</v>
      </c>
      <c r="Y138" s="77">
        <f t="shared" ref="Y138" ca="1" si="538">Y137+(X137/4)*Y$16-Y137/14</f>
        <v>11341.989506275391</v>
      </c>
      <c r="Z138" s="77">
        <f t="shared" ref="Z138" ca="1" si="539">Z137+(X137/4)*Z$16-Z137/14</f>
        <v>0</v>
      </c>
      <c r="AA138" s="77">
        <f t="shared" ref="AA138" ca="1" si="540">AA137+Z137/14+(Y137/14)*(1-AB$16)</f>
        <v>9507.2881724886902</v>
      </c>
      <c r="AB138" s="54">
        <f t="shared" ref="AB138" ca="1" si="541">AB137+(Y137/14)*(AB$16)</f>
        <v>96.033213863522136</v>
      </c>
      <c r="AC138" s="53">
        <f ca="1">OFFSET('National statistics'!$A$6,MATCH(R0_estimation!$A138,'National statistics'!$A$7:$A$5000,0),MATCH(R0_estimation!AC$16 &amp; "_Running14daysNew",'National statistics'!$B$1:$HA$1,0))</f>
        <v>61723</v>
      </c>
      <c r="AD138" s="97">
        <f t="shared" ca="1" si="388"/>
        <v>0.14295215870982222</v>
      </c>
      <c r="AE138" s="98">
        <f t="shared" ca="1" si="517"/>
        <v>0.57565754152920057</v>
      </c>
      <c r="AF138" s="77">
        <f t="shared" ref="AF138" ca="1" si="542">AF137-AF137*(AD137/14)*AH137/SUM(AF137:AJ137)-AF137*(AE137/14)*AI137/SUM(AF137:AJ137)</f>
        <v>15435701.023703137</v>
      </c>
      <c r="AG138" s="77">
        <f t="shared" ref="AG138" ca="1" si="543">AG137+AF137*(AD137/14)*AH137/SUM(AF137:AJ137)+AF137*(AE137/14)*AI137/SUM(AF137:AJ137)-AG137/4</f>
        <v>9723.8832770367026</v>
      </c>
      <c r="AH138" s="77">
        <f t="shared" ref="AH138" ca="1" si="544">AH137+(AG137/4)*AH$16-AH137/14</f>
        <v>67301.01494780615</v>
      </c>
      <c r="AI138" s="77">
        <f t="shared" ref="AI138" ca="1" si="545">AI137+(AG137/4)*AI$16-AI137/14</f>
        <v>0</v>
      </c>
      <c r="AJ138" s="77">
        <f t="shared" ref="AJ138" ca="1" si="546">AJ137+AI137/14+(AH137/14)*(1-AK$16)</f>
        <v>125443.14712483968</v>
      </c>
      <c r="AK138" s="54">
        <f t="shared" ref="AK138" ca="1" si="547">AK137+(AH137/14)*(AK$16)</f>
        <v>1267.1024962105018</v>
      </c>
      <c r="AL138" s="53">
        <f ca="1">OFFSET('National statistics'!$A$6,MATCH(R0_estimation!$A138,'National statistics'!$A$7:$A$5000,0),MATCH(R0_estimation!AL$16 &amp; "_Running14daysNew",'National statistics'!$B$1:$HA$1,0))</f>
        <v>38489</v>
      </c>
      <c r="AM138" s="97">
        <f t="shared" ca="1" si="389"/>
        <v>0.92006151916402468</v>
      </c>
      <c r="AN138" s="98">
        <f t="shared" ca="1" si="518"/>
        <v>0.74495013848278369</v>
      </c>
      <c r="AO138" s="77">
        <f t="shared" ref="AO138" ca="1" si="548">AO137-AO137*(AM137/14)*AQ137/SUM(AO137:AS137)-AO137*(AN137/14)*AR137/SUM(AO137:AS137)</f>
        <v>10910272.530915713</v>
      </c>
      <c r="AP138" s="77">
        <f t="shared" ref="AP138" ca="1" si="549">AP137+AO137*(AM137/14)*AQ137/SUM(AO137:AS137)+AO137*(AN137/14)*AR137/SUM(AO137:AS137)-AP137/4</f>
        <v>12023.50348240954</v>
      </c>
      <c r="AQ138" s="77">
        <f t="shared" ref="AQ138" ca="1" si="550">AQ137+(AP137/4)*AQ$16-AQ137/14</f>
        <v>37590.741331403588</v>
      </c>
      <c r="AR138" s="77">
        <f t="shared" ref="AR138" ca="1" si="551">AR137+(AP137/4)*AR$16-AR137/14</f>
        <v>0</v>
      </c>
      <c r="AS138" s="77">
        <f t="shared" ref="AS138" ca="1" si="552">AS137+AR137/14+(AQ137/14)*(1-AT$16)</f>
        <v>40236.199995136471</v>
      </c>
      <c r="AT138" s="54">
        <f t="shared" ref="AT138" ca="1" si="553">AT137+(AQ137/14)*(AT$16)</f>
        <v>406.42626257713607</v>
      </c>
      <c r="AU138" s="53">
        <f ca="1">OFFSET('National statistics'!$A$6,MATCH(R0_estimation!$A138,'National statistics'!$A$7:$A$5000,0),MATCH(R0_estimation!AU$16 &amp; "_Running14daysNew",'National statistics'!$B$1:$HA$1,0))</f>
        <v>4062</v>
      </c>
      <c r="AV138" s="97">
        <f t="shared" ca="1" si="390"/>
        <v>0.85842762525408822</v>
      </c>
      <c r="AW138" s="98">
        <f t="shared" ca="1" si="519"/>
        <v>0.85754424097138826</v>
      </c>
      <c r="AX138" s="77">
        <f t="shared" ref="AX138" ca="1" si="554">AX137-AX137*(AV137/14)*AZ137/SUM(AX137:BB137)-AX137*(AW137/14)*BA137/SUM(AX137:BB137)</f>
        <v>5843811.7962612165</v>
      </c>
      <c r="AY138" s="77">
        <f t="shared" ref="AY138" ca="1" si="555">AY137+AX137*(AV137/14)*AZ137/SUM(AX137:BB137)+AX137*(AW137/14)*BA137/SUM(AX137:BB137)-AY137/4</f>
        <v>1250.8330633873054</v>
      </c>
      <c r="AZ138" s="77">
        <f t="shared" ref="AZ138" ca="1" si="556">AZ137+(AY137/4)*AZ$16-AZ137/14</f>
        <v>4070.9618259600115</v>
      </c>
      <c r="BA138" s="77">
        <f t="shared" ref="BA138" ca="1" si="557">BA137+(AY137/4)*BA$16-BA137/14</f>
        <v>0</v>
      </c>
      <c r="BB138" s="77">
        <f t="shared" ref="BB138" ca="1" si="558">BB137+BA137/14+(AZ137/14)*(1-BC$16)</f>
        <v>4658.1737463204527</v>
      </c>
      <c r="BC138" s="54">
        <f t="shared" ref="BC138" ca="1" si="559">BC137+(AZ137/14)*(BC$16)</f>
        <v>47.052260063842944</v>
      </c>
      <c r="BD138" s="53">
        <f ca="1">OFFSET('National statistics'!$A$6,MATCH(R0_estimation!$A138,'National statistics'!$A$7:$A$5000,0),MATCH(R0_estimation!BD$16 &amp; "_Running14daysNew",'National statistics'!$B$1:$HA$1,0))</f>
        <v>7031</v>
      </c>
      <c r="BE138" s="97">
        <f t="shared" ca="1" si="391"/>
        <v>1.3624483146705904</v>
      </c>
      <c r="BF138" s="98">
        <f t="shared" ca="1" si="520"/>
        <v>0.72178134408538486</v>
      </c>
      <c r="BG138" s="77">
        <f t="shared" ref="BG138" ca="1" si="560">BG137-BG137*(BE137/14)*BI137/SUM(BG137:BK137)-BG137*(BF137/14)*BJ137/SUM(BG137:BK137)</f>
        <v>4792680.5428173495</v>
      </c>
      <c r="BH138" s="77">
        <f t="shared" ref="BH138" ca="1" si="561">BH137+BG137*(BE137/14)*BI137/SUM(BG137:BK137)+BG137*(BF137/14)*BJ137/SUM(BG137:BK137)-BH137/4</f>
        <v>2869.8771385285372</v>
      </c>
      <c r="BI138" s="77">
        <f t="shared" ref="BI138" ca="1" si="562">BI137+(BH137/4)*BI$16-BI137/14</f>
        <v>7148.9352417184191</v>
      </c>
      <c r="BJ138" s="77">
        <f t="shared" ref="BJ138" ca="1" si="563">BJ137+(BH137/4)*BJ$16-BJ137/14</f>
        <v>0</v>
      </c>
      <c r="BK138" s="77">
        <f t="shared" ref="BK138" ca="1" si="564">BK137+BJ137/14+(BI137/14)*(1-BL$16)</f>
        <v>6433.2983907350226</v>
      </c>
      <c r="BL138" s="54">
        <f t="shared" ref="BL138" ca="1" si="565">BL137+(BI137/14)*(BL$16)</f>
        <v>64.98281202762648</v>
      </c>
      <c r="BM138" s="53">
        <f ca="1">OFFSET('National statistics'!$A$6,MATCH(R0_estimation!$A138,'National statistics'!$A$7:$A$5000,0),MATCH(R0_estimation!BM$16 &amp; "_Running14daysNew",'National statistics'!$B$1:$HA$1,0))</f>
        <v>7414</v>
      </c>
      <c r="BN138" s="97">
        <f t="shared" ca="1" si="392"/>
        <v>0.3064754691900618</v>
      </c>
      <c r="BO138" s="98">
        <f t="shared" ca="1" si="521"/>
        <v>0.99326027081939861</v>
      </c>
      <c r="BP138" s="77">
        <f t="shared" ref="BP138" ca="1" si="566">BP137-BP137*(BN137/14)*BR137/SUM(BP137:BT137)-BP137*(BO137/14)*BS137/SUM(BP137:BT137)</f>
        <v>4085049.9397818386</v>
      </c>
      <c r="BQ138" s="77">
        <f t="shared" ref="BQ138" ca="1" si="567">BQ137+BP137*(BN137/14)*BR137/SUM(BP137:BT137)+BP137*(BO137/14)*BS137/SUM(BP137:BT137)-BQ137/4</f>
        <v>1579.5817132466909</v>
      </c>
      <c r="BR138" s="77">
        <f t="shared" ref="BR138" ca="1" si="568">BR137+(BQ137/4)*BR$16-BR137/14</f>
        <v>8163.749412802963</v>
      </c>
      <c r="BS138" s="77">
        <f t="shared" ref="BS138" ca="1" si="569">BS137+(BQ137/4)*BS$16-BS137/14</f>
        <v>0</v>
      </c>
      <c r="BT138" s="77">
        <f t="shared" ref="BT138" ca="1" si="570">BT137+BS137/14+(BR137/14)*(1-BU$16)</f>
        <v>12713.479863628698</v>
      </c>
      <c r="BU138" s="54">
        <f t="shared" ref="BU138" ca="1" si="571">BU137+(BR137/14)*(BU$16)</f>
        <v>128.41898852150197</v>
      </c>
      <c r="BV138" s="53">
        <f ca="1">OFFSET('National statistics'!$A$6,MATCH(R0_estimation!$A138,'National statistics'!$A$7:$A$5000,0),MATCH(R0_estimation!BV$16 &amp; "_Running14daysNew",'National statistics'!$B$1:$HA$1,0))</f>
        <v>2199</v>
      </c>
      <c r="BW138" s="97">
        <f t="shared" ca="1" si="393"/>
        <v>1.6202596710853827</v>
      </c>
      <c r="BX138" s="98">
        <f t="shared" ca="1" si="522"/>
        <v>0.68996207341942262</v>
      </c>
      <c r="BY138" s="77">
        <f t="shared" ref="BY138" ca="1" si="572">BY137-BY137*(BW137/14)*CA137/SUM(BY137:CC137)-BY137*(BX137/14)*CB137/SUM(BY137:CC137)</f>
        <v>1316991.7580446205</v>
      </c>
      <c r="BZ138" s="77">
        <f t="shared" ref="BZ138" ca="1" si="573">BZ137+BY137*(BW137/14)*CA137/SUM(BY137:CC137)+BY137*(BX137/14)*CB137/SUM(BY137:CC137)-BZ137/4</f>
        <v>907.8569785390174</v>
      </c>
      <c r="CA138" s="77">
        <f t="shared" ref="CA138" ca="1" si="574">CA137+(BZ137/4)*CA$16-CA137/14</f>
        <v>2118.7974539185034</v>
      </c>
      <c r="CB138" s="77">
        <f t="shared" ref="CB138" ca="1" si="575">CB137+(BZ137/4)*CB$16-CB137/14</f>
        <v>0</v>
      </c>
      <c r="CC138" s="77">
        <f t="shared" ref="CC138" ca="1" si="576">CC137+CB137/14+(CA137/14)*(1-CD$16)</f>
        <v>2193.5297293462681</v>
      </c>
      <c r="CD138" s="54">
        <f t="shared" ref="CD138" ca="1" si="577">CD137+(CA137/14)*(CD$16)</f>
        <v>22.156865952992611</v>
      </c>
      <c r="CE138" s="53">
        <f ca="1">OFFSET('National statistics'!$A$6,MATCH(R0_estimation!$A138,'National statistics'!$A$7:$A$5000,0),MATCH(R0_estimation!CE$16 &amp; "_Running14daysNew",'National statistics'!$B$1:$HA$1,0))</f>
        <v>13680</v>
      </c>
      <c r="CF138" s="97">
        <f t="shared" ca="1" si="394"/>
        <v>0.56175899989322098</v>
      </c>
      <c r="CG138" s="98">
        <f t="shared" ca="1" si="523"/>
        <v>1.2165621122686727</v>
      </c>
      <c r="CH138" s="77">
        <f t="shared" ref="CH138" ca="1" si="578">CH137-CH137*(CF137/14)*CJ137/SUM(CH137:CL137)-CH137*(CG137/14)*CK137/SUM(CH137:CL137)</f>
        <v>7204725.4348690556</v>
      </c>
      <c r="CI138" s="77">
        <f t="shared" ref="CI138" ca="1" si="579">CI137+CH137*(CF137/14)*CJ137/SUM(CH137:CL137)+CH137*(CG137/14)*CK137/SUM(CH137:CL137)-CI137/4</f>
        <v>2467.6383189398252</v>
      </c>
      <c r="CJ138" s="77">
        <f t="shared" ref="CJ138" ca="1" si="580">CJ137+(CI137/4)*CJ$16-CJ137/14</f>
        <v>13302.232665468315</v>
      </c>
      <c r="CK138" s="77">
        <f t="shared" ref="CK138" ca="1" si="581">CK137+(CI137/4)*CK$16-CK137/14</f>
        <v>0</v>
      </c>
      <c r="CL138" s="77">
        <f t="shared" ref="CL138" ca="1" si="582">CL137+CK137/14+(CJ137/14)*(1-CM$16)</f>
        <v>83543.722442566839</v>
      </c>
      <c r="CM138" s="54">
        <f t="shared" ref="CM138" ca="1" si="583">CM137+(CJ137/14)*(CM$16)</f>
        <v>843.87598426835189</v>
      </c>
      <c r="CO138" s="209"/>
      <c r="CP138" s="210"/>
    </row>
    <row r="139" spans="1:94">
      <c r="A139" s="83">
        <f t="shared" ref="A139:A155" si="584">A138+1</f>
        <v>44039</v>
      </c>
      <c r="B139" s="53">
        <f ca="1">OFFSET('National statistics'!$A$6,MATCH(R0_estimation!$A139,'National statistics'!$A$7:$A$5000,0),MATCH(R0_estimation!B$16 &amp; "_Running14daysNew",'National statistics'!$B$1:$HA$1,0))</f>
        <v>164683</v>
      </c>
      <c r="C139" s="97">
        <f t="shared" ca="1" si="385"/>
        <v>0.52495785440847798</v>
      </c>
      <c r="D139" s="98">
        <f t="shared" si="194"/>
        <v>1</v>
      </c>
      <c r="E139" s="77">
        <f t="shared" ref="E139:E155" ca="1" si="585">E138-E138*(C138/14)*G138*G$16/SUM(E138:I138)-E138*(D138/14)*H$16*H138/SUM(E138:I138)</f>
        <v>59148339.851746626</v>
      </c>
      <c r="F139" s="77">
        <f t="shared" ref="F139:F155" ca="1" si="586">F138+E138*(C138/14)*G138*G$16/SUM(E138:I138)+E138*(D138/14)*H$16*H138/SUM(E138:I138)-F138/4</f>
        <v>35243.132677506474</v>
      </c>
      <c r="G139" s="77">
        <f t="shared" ref="G139:G155" ca="1" si="587">G138+G$16*F138/4-G138/14</f>
        <v>170570.12547789101</v>
      </c>
      <c r="H139" s="77">
        <f t="shared" ref="H139:H155" ca="1" si="588">H138+H$16*F138/4-H138/14</f>
        <v>0</v>
      </c>
      <c r="I139" s="77">
        <f t="shared" ref="I139:I155" ca="1" si="589">I138+H138/14+(G138/14)*(1-J$16)</f>
        <v>359740.65901210194</v>
      </c>
      <c r="J139" s="54">
        <f t="shared" ref="J139:J155" ca="1" si="590">J138+(G138/14)*(J$16)</f>
        <v>3633.7440304252736</v>
      </c>
      <c r="K139" s="53">
        <f ca="1">OFFSET('National statistics'!$A$6,MATCH(R0_estimation!$A139,'National statistics'!$A$7:$A$5000,0),MATCH(R0_estimation!K$16 &amp; "_Running14daysNew",'National statistics'!$B$1:$HA$1,0))</f>
        <v>22173</v>
      </c>
      <c r="L139" s="97">
        <f t="shared" ca="1" si="386"/>
        <v>2.1664074451369558E-2</v>
      </c>
      <c r="M139" s="98">
        <f t="shared" ca="1" si="515"/>
        <v>1.3891436550517304</v>
      </c>
      <c r="N139" s="77">
        <f t="shared" ref="N139:N155" ca="1" si="591">N138-N138*(L138/14)*P138/SUM(N138:R138)-N138*(M138/14)*Q138/SUM(N138:R138)</f>
        <v>6784750.6962819826</v>
      </c>
      <c r="O139" s="77">
        <f t="shared" ref="O139:O155" ca="1" si="592">O138+N138*(L138/14)*P138/SUM(N138:R138)+N138*(M138/14)*Q138/SUM(N138:R138)-O138/4</f>
        <v>1790.8835242150121</v>
      </c>
      <c r="P139" s="77">
        <f t="shared" ref="P139:P155" ca="1" si="593">P138+(O138/4)*P$16-P138/14</f>
        <v>22130.366819471416</v>
      </c>
      <c r="Q139" s="77">
        <f t="shared" ref="Q139:Q155" ca="1" si="594">Q138+(O138/4)*Q$16-Q138/14</f>
        <v>0</v>
      </c>
      <c r="R139" s="77">
        <f t="shared" ref="R139:R155" ca="1" si="595">R138+Q138/14+(P138/14)*(1-S$16)</f>
        <v>61471.314397331022</v>
      </c>
      <c r="S139" s="54">
        <f t="shared" ref="S139:S155" ca="1" si="596">S138+(P138/14)*(S$16)</f>
        <v>620.92236764980805</v>
      </c>
      <c r="T139" s="53">
        <f ca="1">OFFSET('National statistics'!$A$6,MATCH(R0_estimation!$A139,'National statistics'!$A$7:$A$5000,0),MATCH(R0_estimation!T$16 &amp; "_Running14daysNew",'National statistics'!$B$1:$HA$1,0))</f>
        <v>11590</v>
      </c>
      <c r="U139" s="97">
        <f t="shared" ca="1" si="387"/>
        <v>1.1769239022738553</v>
      </c>
      <c r="V139" s="98">
        <f t="shared" ca="1" si="516"/>
        <v>0.50313552847557719</v>
      </c>
      <c r="W139" s="77">
        <f t="shared" ref="W139:W155" ca="1" si="597">W138-W138*(U138/14)*Y138/SUM(W138:AA138)-W138*(V138/14)*Z138/SUM(W138:AA138)</f>
        <v>2782836.2450790447</v>
      </c>
      <c r="X139" s="77">
        <f t="shared" ref="X139:X155" ca="1" si="598">X138+W138*(U138/14)*Y138/SUM(W138:AA138)+W138*(V138/14)*Z138/SUM(W138:AA138)-X138/4</f>
        <v>4156.9162004445116</v>
      </c>
      <c r="Y139" s="77">
        <f t="shared" ref="Y139:Y155" ca="1" si="599">Y138+(X138/4)*Y$16-Y138/14</f>
        <v>11602.504574174094</v>
      </c>
      <c r="Z139" s="77">
        <f t="shared" ref="Z139:Z155" ca="1" si="600">Z138+(X138/4)*Z$16-Z138/14</f>
        <v>0</v>
      </c>
      <c r="AA139" s="77">
        <f t="shared" ref="AA139:AA155" ca="1" si="601">AA138+Z138/14+(Y138/14)*(1-AB$16)</f>
        <v>10309.328859003879</v>
      </c>
      <c r="AB139" s="54">
        <f t="shared" ref="AB139:AB155" ca="1" si="602">AB138+(Y138/14)*(AB$16)</f>
        <v>104.13463493943313</v>
      </c>
      <c r="AC139" s="53">
        <f ca="1">OFFSET('National statistics'!$A$6,MATCH(R0_estimation!$A139,'National statistics'!$A$7:$A$5000,0),MATCH(R0_estimation!AC$16 &amp; "_Running14daysNew",'National statistics'!$B$1:$HA$1,0))</f>
        <v>58606</v>
      </c>
      <c r="AD139" s="97">
        <f t="shared" ca="1" si="388"/>
        <v>0.14295215870982222</v>
      </c>
      <c r="AE139" s="98">
        <f t="shared" ca="1" si="517"/>
        <v>0.57565754152920057</v>
      </c>
      <c r="AF139" s="77">
        <f t="shared" ref="AF139:AF155" ca="1" si="603">AF138-AF138*(AD138/14)*AH138/SUM(AF138:AJ138)-AF138*(AE138/14)*AI138/SUM(AF138:AJ138)</f>
        <v>15435022.719122306</v>
      </c>
      <c r="AG139" s="77">
        <f t="shared" ref="AG139:AG155" ca="1" si="604">AG138+AF138*(AD138/14)*AH138/SUM(AF138:AJ138)+AF138*(AE138/14)*AI138/SUM(AF138:AJ138)-AG138/4</f>
        <v>7971.2170386086782</v>
      </c>
      <c r="AH139" s="77">
        <f t="shared" ref="AH139:AH155" ca="1" si="605">AH138+(AG138/4)*AH$16-AH138/14</f>
        <v>64924.770413650607</v>
      </c>
      <c r="AI139" s="77">
        <f t="shared" ref="AI139:AI155" ca="1" si="606">AI138+(AG138/4)*AI$16-AI138/14</f>
        <v>0</v>
      </c>
      <c r="AJ139" s="77">
        <f t="shared" ref="AJ139:AJ155" ca="1" si="607">AJ138+AI138/14+(AH138/14)*(1-AK$16)</f>
        <v>130202.29032472026</v>
      </c>
      <c r="AK139" s="54">
        <f t="shared" ref="AK139:AK155" ca="1" si="608">AK138+(AH138/14)*(AK$16)</f>
        <v>1315.1746497446491</v>
      </c>
      <c r="AL139" s="53">
        <f ca="1">OFFSET('National statistics'!$A$6,MATCH(R0_estimation!$A139,'National statistics'!$A$7:$A$5000,0),MATCH(R0_estimation!AL$16 &amp; "_Running14daysNew",'National statistics'!$B$1:$HA$1,0))</f>
        <v>38595</v>
      </c>
      <c r="AM139" s="97">
        <f t="shared" ca="1" si="389"/>
        <v>0.92006151916402468</v>
      </c>
      <c r="AN139" s="98">
        <f t="shared" ca="1" si="518"/>
        <v>0.74495013848278369</v>
      </c>
      <c r="AO139" s="77">
        <f t="shared" ref="AO139:AO155" ca="1" si="609">AO138-AO138*(AM138/14)*AQ138/SUM(AO138:AS138)-AO138*(AN138/14)*AR138/SUM(AO138:AS138)</f>
        <v>10907822.295681631</v>
      </c>
      <c r="AP139" s="77">
        <f t="shared" ref="AP139:AP155" ca="1" si="610">AP138+AO138*(AM138/14)*AQ138/SUM(AO138:AS138)+AO138*(AN138/14)*AR138/SUM(AO138:AS138)-AP138/4</f>
        <v>11467.862845889575</v>
      </c>
      <c r="AQ139" s="77">
        <f t="shared" ref="AQ139:AQ155" ca="1" si="611">AQ138+(AP138/4)*AQ$16-AQ138/14</f>
        <v>37911.564249762858</v>
      </c>
      <c r="AR139" s="77">
        <f t="shared" ref="AR139:AR155" ca="1" si="612">AR138+(AP138/4)*AR$16-AR138/14</f>
        <v>0</v>
      </c>
      <c r="AS139" s="77">
        <f t="shared" ref="AS139:AS155" ca="1" si="613">AS138+AR138/14+(AQ138/14)*(1-AT$16)</f>
        <v>42894.402417857156</v>
      </c>
      <c r="AT139" s="54">
        <f t="shared" ref="AT139:AT155" ca="1" si="614">AT138+(AQ138/14)*(AT$16)</f>
        <v>433.27679209956722</v>
      </c>
      <c r="AU139" s="53">
        <f ca="1">OFFSET('National statistics'!$A$6,MATCH(R0_estimation!$A139,'National statistics'!$A$7:$A$5000,0),MATCH(R0_estimation!AU$16 &amp; "_Running14daysNew",'National statistics'!$B$1:$HA$1,0))</f>
        <v>3944</v>
      </c>
      <c r="AV139" s="97">
        <f t="shared" ca="1" si="390"/>
        <v>0.85842762525408822</v>
      </c>
      <c r="AW139" s="98">
        <f t="shared" ca="1" si="519"/>
        <v>0.85754424097138826</v>
      </c>
      <c r="AX139" s="77">
        <f t="shared" ref="AX139:AX155" ca="1" si="615">AX138-AX138*(AV138/14)*AZ138/SUM(AX138:BB138)-AX138*(AW138/14)*BA138/SUM(AX138:BB138)</f>
        <v>5843562.605675444</v>
      </c>
      <c r="AY139" s="77">
        <f t="shared" ref="AY139:AY155" ca="1" si="616">AY138+AX138*(AV138/14)*AZ138/SUM(AX138:BB138)+AX138*(AW138/14)*BA138/SUM(AX138:BB138)-AY138/4</f>
        <v>1187.3153833129572</v>
      </c>
      <c r="AZ139" s="77">
        <f t="shared" ref="AZ139:AZ155" ca="1" si="617">AZ138+(AY138/4)*AZ$16-AZ138/14</f>
        <v>4092.8871042382661</v>
      </c>
      <c r="BA139" s="77">
        <f t="shared" ref="BA139:BA155" ca="1" si="618">BA138+(AY138/4)*BA$16-BA138/14</f>
        <v>0</v>
      </c>
      <c r="BB139" s="77">
        <f t="shared" ref="BB139:BB155" ca="1" si="619">BB138+BA138/14+(AZ138/14)*(1-BC$16)</f>
        <v>4946.0489040133389</v>
      </c>
      <c r="BC139" s="54">
        <f t="shared" ref="BC139:BC155" ca="1" si="620">BC138+(AZ138/14)*(BC$16)</f>
        <v>49.960089939528665</v>
      </c>
      <c r="BD139" s="53">
        <f ca="1">OFFSET('National statistics'!$A$6,MATCH(R0_estimation!$A139,'National statistics'!$A$7:$A$5000,0),MATCH(R0_estimation!BD$16 &amp; "_Running14daysNew",'National statistics'!$B$1:$HA$1,0))</f>
        <v>7087</v>
      </c>
      <c r="BE139" s="97">
        <f t="shared" ca="1" si="391"/>
        <v>1.3624483146705904</v>
      </c>
      <c r="BF139" s="98">
        <f t="shared" ca="1" si="520"/>
        <v>0.72178134408538486</v>
      </c>
      <c r="BG139" s="77">
        <f t="shared" ref="BG139:BG155" ca="1" si="621">BG138-BG138*(BE138/14)*BI138/SUM(BG138:BK138)-BG138*(BF138/14)*BJ138/SUM(BG138:BK138)</f>
        <v>4791987.2046811534</v>
      </c>
      <c r="BH139" s="77">
        <f t="shared" ref="BH139:BH155" ca="1" si="622">BH138+BG138*(BE138/14)*BI138/SUM(BG138:BK138)+BG138*(BF138/14)*BJ138/SUM(BG138:BK138)-BH138/4</f>
        <v>2845.745990092616</v>
      </c>
      <c r="BI139" s="77">
        <f t="shared" ref="BI139:BI155" ca="1" si="623">BI138+(BH138/4)*BI$16-BI138/14</f>
        <v>7355.7662947992376</v>
      </c>
      <c r="BJ139" s="77">
        <f t="shared" ref="BJ139:BJ155" ca="1" si="624">BJ138+(BH138/4)*BJ$16-BJ138/14</f>
        <v>0</v>
      </c>
      <c r="BK139" s="77">
        <f t="shared" ref="BK139:BK155" ca="1" si="625">BK138+BJ138/14+(BI138/14)*(1-BL$16)</f>
        <v>6938.8302399708255</v>
      </c>
      <c r="BL139" s="54">
        <f t="shared" ref="BL139:BL155" ca="1" si="626">BL138+(BI138/14)*(BL$16)</f>
        <v>70.089194343139638</v>
      </c>
      <c r="BM139" s="53">
        <f ca="1">OFFSET('National statistics'!$A$6,MATCH(R0_estimation!$A139,'National statistics'!$A$7:$A$5000,0),MATCH(R0_estimation!BM$16 &amp; "_Running14daysNew",'National statistics'!$B$1:$HA$1,0))</f>
        <v>7079</v>
      </c>
      <c r="BN139" s="97">
        <f t="shared" ca="1" si="392"/>
        <v>0.3064754691900618</v>
      </c>
      <c r="BO139" s="98">
        <f t="shared" ca="1" si="521"/>
        <v>0.99326027081939861</v>
      </c>
      <c r="BP139" s="77">
        <f t="shared" ref="BP139:BP155" ca="1" si="627">BP138-BP138*(BN138/14)*BR138/SUM(BP138:BT138)-BP138*(BO138/14)*BS138/SUM(BP138:BT138)</f>
        <v>4084872.203360023</v>
      </c>
      <c r="BQ139" s="77">
        <f t="shared" ref="BQ139:BQ155" ca="1" si="628">BQ138+BP138*(BN138/14)*BR138/SUM(BP138:BT138)+BP138*(BO138/14)*BS138/SUM(BP138:BT138)-BQ138/4</f>
        <v>1362.4227067507663</v>
      </c>
      <c r="BR139" s="77">
        <f t="shared" ref="BR139:BR155" ca="1" si="629">BR138+(BQ138/4)*BR$16-BR138/14</f>
        <v>7975.5198830572808</v>
      </c>
      <c r="BS139" s="77">
        <f t="shared" ref="BS139:BS155" ca="1" si="630">BS138+(BQ138/4)*BS$16-BS138/14</f>
        <v>0</v>
      </c>
      <c r="BT139" s="77">
        <f t="shared" ref="BT139:BT155" ca="1" si="631">BT138+BS138/14+(BR138/14)*(1-BU$16)</f>
        <v>13290.77357210548</v>
      </c>
      <c r="BU139" s="54">
        <f t="shared" ref="BU139:BU155" ca="1" si="632">BU138+(BR138/14)*(BU$16)</f>
        <v>134.25023810207551</v>
      </c>
      <c r="BV139" s="53">
        <f ca="1">OFFSET('National statistics'!$A$6,MATCH(R0_estimation!$A139,'National statistics'!$A$7:$A$5000,0),MATCH(R0_estimation!BV$16 &amp; "_Running14daysNew",'National statistics'!$B$1:$HA$1,0))</f>
        <v>2353</v>
      </c>
      <c r="BW139" s="97">
        <f t="shared" ca="1" si="393"/>
        <v>1.6202596710853827</v>
      </c>
      <c r="BX139" s="98">
        <f t="shared" ca="1" si="522"/>
        <v>0.68996207341942262</v>
      </c>
      <c r="BY139" s="77">
        <f t="shared" ref="BY139:BY155" ca="1" si="633">BY138-BY138*(BW138/14)*CA138/SUM(BY138:CC138)-BY138*(BX138/14)*CB138/SUM(BY138:CC138)</f>
        <v>1316747.5117348863</v>
      </c>
      <c r="BZ139" s="77">
        <f t="shared" ref="BZ139:BZ155" ca="1" si="634">BZ138+BY138*(BW138/14)*CA138/SUM(BY138:CC138)+BY138*(BX138/14)*CB138/SUM(BY138:CC138)-BZ138/4</f>
        <v>925.13904363846541</v>
      </c>
      <c r="CA139" s="77">
        <f t="shared" ref="CA139:CA155" ca="1" si="635">CA138+(BZ138/4)*CA$16-CA138/14</f>
        <v>2194.4190232733645</v>
      </c>
      <c r="CB139" s="77">
        <f t="shared" ref="CB139:CB155" ca="1" si="636">CB138+(BZ138/4)*CB$16-CB138/14</f>
        <v>0</v>
      </c>
      <c r="CC139" s="77">
        <f t="shared" ref="CC139:CC155" ca="1" si="637">CC138+CB138/14+(CA138/14)*(1-CD$16)</f>
        <v>2343.3589778733622</v>
      </c>
      <c r="CD139" s="54">
        <f t="shared" ref="CD139:CD155" ca="1" si="638">CD138+(CA138/14)*(CD$16)</f>
        <v>23.670292705791542</v>
      </c>
      <c r="CE139" s="53">
        <f ca="1">OFFSET('National statistics'!$A$6,MATCH(R0_estimation!$A139,'National statistics'!$A$7:$A$5000,0),MATCH(R0_estimation!CE$16 &amp; "_Running14daysNew",'National statistics'!$B$1:$HA$1,0))</f>
        <v>13256</v>
      </c>
      <c r="CF139" s="97">
        <f t="shared" ca="1" si="394"/>
        <v>0.56175899989322098</v>
      </c>
      <c r="CG139" s="98">
        <f t="shared" ca="1" si="523"/>
        <v>1.2165621122686727</v>
      </c>
      <c r="CH139" s="77">
        <f t="shared" ref="CH139:CH155" ca="1" si="639">CH138-CH138*(CF138/14)*CJ138/SUM(CH138:CL138)-CH138*(CG138/14)*CK138/SUM(CH138:CL138)</f>
        <v>7204198.931817404</v>
      </c>
      <c r="CI139" s="77">
        <f t="shared" ref="CI139:CI155" ca="1" si="640">CI138+CH138*(CF138/14)*CJ138/SUM(CH138:CL138)+CH138*(CG138/14)*CK138/SUM(CH138:CL138)-CI138/4</f>
        <v>2377.2317908568916</v>
      </c>
      <c r="CJ139" s="77">
        <f t="shared" ref="CJ139:CJ155" ca="1" si="641">CJ138+(CI138/4)*CJ$16-CJ138/14</f>
        <v>12968.982769098391</v>
      </c>
      <c r="CK139" s="77">
        <f t="shared" ref="CK139:CK155" ca="1" si="642">CK138+(CI138/4)*CK$16-CK138/14</f>
        <v>0</v>
      </c>
      <c r="CL139" s="77">
        <f t="shared" ref="CL139:CL155" ca="1" si="643">CL138+CK138/14+(CJ138/14)*(1-CM$16)</f>
        <v>84484.380323910664</v>
      </c>
      <c r="CM139" s="54">
        <f t="shared" ref="CM139:CM155" ca="1" si="644">CM138+(CJ138/14)*(CM$16)</f>
        <v>853.37757902940064</v>
      </c>
      <c r="CO139" s="209"/>
      <c r="CP139" s="210"/>
    </row>
    <row r="140" spans="1:94">
      <c r="A140" s="83">
        <f t="shared" si="584"/>
        <v>44040</v>
      </c>
      <c r="B140" s="53">
        <f ca="1">OFFSET('National statistics'!$A$6,MATCH(R0_estimation!$A140,'National statistics'!$A$7:$A$5000,0),MATCH(R0_estimation!B$16 &amp; "_Running14daysNew",'National statistics'!$B$1:$HA$1,0))</f>
        <v>161526</v>
      </c>
      <c r="C140" s="97">
        <f t="shared" ca="1" si="385"/>
        <v>0.52495785440847798</v>
      </c>
      <c r="D140" s="98">
        <f t="shared" si="194"/>
        <v>1</v>
      </c>
      <c r="E140" s="77">
        <f t="shared" ca="1" si="585"/>
        <v>59142004.561163113</v>
      </c>
      <c r="F140" s="77">
        <f t="shared" ca="1" si="586"/>
        <v>32767.640091640162</v>
      </c>
      <c r="G140" s="77">
        <f t="shared" ca="1" si="587"/>
        <v>167197.32825598968</v>
      </c>
      <c r="H140" s="77">
        <f t="shared" ca="1" si="588"/>
        <v>0</v>
      </c>
      <c r="I140" s="77">
        <f t="shared" ca="1" si="589"/>
        <v>371802.40359946707</v>
      </c>
      <c r="J140" s="54">
        <f t="shared" ca="1" si="590"/>
        <v>3755.5798343380529</v>
      </c>
      <c r="K140" s="53">
        <f ca="1">OFFSET('National statistics'!$A$6,MATCH(R0_estimation!$A140,'National statistics'!$A$7:$A$5000,0),MATCH(R0_estimation!K$16 &amp; "_Running14daysNew",'National statistics'!$B$1:$HA$1,0))</f>
        <v>21108</v>
      </c>
      <c r="L140" s="97">
        <f t="shared" ca="1" si="386"/>
        <v>2.1664074451369558E-2</v>
      </c>
      <c r="M140" s="98">
        <f t="shared" ca="1" si="515"/>
        <v>1.3891436550517304</v>
      </c>
      <c r="N140" s="77">
        <f t="shared" ca="1" si="591"/>
        <v>6784716.876654678</v>
      </c>
      <c r="O140" s="77">
        <f t="shared" ca="1" si="592"/>
        <v>1376.982270465835</v>
      </c>
      <c r="P140" s="77">
        <f t="shared" ca="1" si="593"/>
        <v>20997.347213420067</v>
      </c>
      <c r="Q140" s="77">
        <f t="shared" ca="1" si="594"/>
        <v>0</v>
      </c>
      <c r="R140" s="77">
        <f t="shared" ca="1" si="595"/>
        <v>63036.247479565071</v>
      </c>
      <c r="S140" s="54">
        <f t="shared" ca="1" si="596"/>
        <v>636.72977252085911</v>
      </c>
      <c r="T140" s="53">
        <f ca="1">OFFSET('National statistics'!$A$6,MATCH(R0_estimation!$A140,'National statistics'!$A$7:$A$5000,0),MATCH(R0_estimation!T$16 &amp; "_Running14daysNew",'National statistics'!$B$1:$HA$1,0))</f>
        <v>12161</v>
      </c>
      <c r="U140" s="97">
        <f t="shared" ca="1" si="387"/>
        <v>1.1769239022738553</v>
      </c>
      <c r="V140" s="98">
        <f t="shared" ca="1" si="516"/>
        <v>0.50313552847557719</v>
      </c>
      <c r="W140" s="77">
        <f t="shared" ca="1" si="597"/>
        <v>2781869.9212335497</v>
      </c>
      <c r="X140" s="77">
        <f t="shared" ca="1" si="598"/>
        <v>4084.0109958285152</v>
      </c>
      <c r="Y140" s="77">
        <f t="shared" ca="1" si="599"/>
        <v>11812.983297558501</v>
      </c>
      <c r="Z140" s="77">
        <f t="shared" ca="1" si="600"/>
        <v>0</v>
      </c>
      <c r="AA140" s="77">
        <f t="shared" ca="1" si="601"/>
        <v>11129.791682463332</v>
      </c>
      <c r="AB140" s="54">
        <f t="shared" ca="1" si="602"/>
        <v>112.42213820670034</v>
      </c>
      <c r="AC140" s="53">
        <f ca="1">OFFSET('National statistics'!$A$6,MATCH(R0_estimation!$A140,'National statistics'!$A$7:$A$5000,0),MATCH(R0_estimation!AC$16 &amp; "_Running14daysNew",'National statistics'!$B$1:$HA$1,0))</f>
        <v>57514</v>
      </c>
      <c r="AD140" s="97">
        <f t="shared" ca="1" si="388"/>
        <v>0.14295215870982222</v>
      </c>
      <c r="AE140" s="98">
        <f t="shared" ca="1" si="517"/>
        <v>0.57565754152920057</v>
      </c>
      <c r="AF140" s="77">
        <f t="shared" ca="1" si="603"/>
        <v>15434368.390664531</v>
      </c>
      <c r="AG140" s="77">
        <f t="shared" ca="1" si="604"/>
        <v>6632.741236731199</v>
      </c>
      <c r="AH140" s="77">
        <f t="shared" ca="1" si="605"/>
        <v>62280.091072327734</v>
      </c>
      <c r="AI140" s="77">
        <f t="shared" ca="1" si="606"/>
        <v>0</v>
      </c>
      <c r="AJ140" s="77">
        <f t="shared" ca="1" si="607"/>
        <v>134793.39908968555</v>
      </c>
      <c r="AK140" s="54">
        <f t="shared" ca="1" si="608"/>
        <v>1361.5494857543995</v>
      </c>
      <c r="AL140" s="53">
        <f ca="1">OFFSET('National statistics'!$A$6,MATCH(R0_estimation!$A140,'National statistics'!$A$7:$A$5000,0),MATCH(R0_estimation!AL$16 &amp; "_Running14daysNew",'National statistics'!$B$1:$HA$1,0))</f>
        <v>37514</v>
      </c>
      <c r="AM140" s="97">
        <f t="shared" ca="1" si="389"/>
        <v>0.92006151916402468</v>
      </c>
      <c r="AN140" s="98">
        <f t="shared" ca="1" si="518"/>
        <v>0.74495013848278369</v>
      </c>
      <c r="AO140" s="77">
        <f t="shared" ca="1" si="609"/>
        <v>10905351.697547276</v>
      </c>
      <c r="AP140" s="77">
        <f t="shared" ca="1" si="610"/>
        <v>11071.495268772554</v>
      </c>
      <c r="AQ140" s="77">
        <f t="shared" ca="1" si="611"/>
        <v>38070.561086252193</v>
      </c>
      <c r="AR140" s="77">
        <f t="shared" ca="1" si="612"/>
        <v>0</v>
      </c>
      <c r="AS140" s="77">
        <f t="shared" ca="1" si="613"/>
        <v>45575.291604090387</v>
      </c>
      <c r="AT140" s="54">
        <f t="shared" ca="1" si="614"/>
        <v>460.35648084939783</v>
      </c>
      <c r="AU140" s="53">
        <f ca="1">OFFSET('National statistics'!$A$6,MATCH(R0_estimation!$A140,'National statistics'!$A$7:$A$5000,0),MATCH(R0_estimation!AU$16 &amp; "_Running14daysNew",'National statistics'!$B$1:$HA$1,0))</f>
        <v>4044</v>
      </c>
      <c r="AV140" s="97">
        <f t="shared" ca="1" si="390"/>
        <v>0.85842762525408822</v>
      </c>
      <c r="AW140" s="98">
        <f t="shared" ca="1" si="519"/>
        <v>0.85754424097138826</v>
      </c>
      <c r="AX140" s="77">
        <f t="shared" ca="1" si="615"/>
        <v>5843312.0835643364</v>
      </c>
      <c r="AY140" s="77">
        <f t="shared" ca="1" si="616"/>
        <v>1141.0086485918505</v>
      </c>
      <c r="AZ140" s="77">
        <f t="shared" ca="1" si="617"/>
        <v>4097.3668711923438</v>
      </c>
      <c r="BA140" s="77">
        <f t="shared" ca="1" si="618"/>
        <v>0</v>
      </c>
      <c r="BB140" s="77">
        <f t="shared" ca="1" si="619"/>
        <v>5235.4744920987596</v>
      </c>
      <c r="BC140" s="54">
        <f t="shared" ca="1" si="620"/>
        <v>52.883580728270282</v>
      </c>
      <c r="BD140" s="53">
        <f ca="1">OFFSET('National statistics'!$A$6,MATCH(R0_estimation!$A140,'National statistics'!$A$7:$A$5000,0),MATCH(R0_estimation!BD$16 &amp; "_Running14daysNew",'National statistics'!$B$1:$HA$1,0))</f>
        <v>6976</v>
      </c>
      <c r="BE140" s="97">
        <f t="shared" ca="1" si="391"/>
        <v>1.3624483146705904</v>
      </c>
      <c r="BF140" s="98">
        <f t="shared" ca="1" si="520"/>
        <v>0.72178134408538486</v>
      </c>
      <c r="BG140" s="77">
        <f t="shared" ca="1" si="621"/>
        <v>4791273.9095213069</v>
      </c>
      <c r="BH140" s="77">
        <f t="shared" ca="1" si="622"/>
        <v>2847.6046524159738</v>
      </c>
      <c r="BI140" s="77">
        <f t="shared" ca="1" si="623"/>
        <v>7541.7909141224454</v>
      </c>
      <c r="BJ140" s="77">
        <f t="shared" ca="1" si="624"/>
        <v>0</v>
      </c>
      <c r="BK140" s="77">
        <f t="shared" ca="1" si="625"/>
        <v>7458.9879993887716</v>
      </c>
      <c r="BL140" s="54">
        <f t="shared" ca="1" si="626"/>
        <v>75.34331312513909</v>
      </c>
      <c r="BM140" s="53">
        <f ca="1">OFFSET('National statistics'!$A$6,MATCH(R0_estimation!$A140,'National statistics'!$A$7:$A$5000,0),MATCH(R0_estimation!BM$16 &amp; "_Running14daysNew",'National statistics'!$B$1:$HA$1,0))</f>
        <v>7007</v>
      </c>
      <c r="BN140" s="97">
        <f t="shared" ca="1" si="392"/>
        <v>0.3064754691900618</v>
      </c>
      <c r="BO140" s="98">
        <f t="shared" ca="1" si="521"/>
        <v>0.99326027081939861</v>
      </c>
      <c r="BP140" s="77">
        <f t="shared" ca="1" si="627"/>
        <v>4084698.5722707971</v>
      </c>
      <c r="BQ140" s="77">
        <f t="shared" ca="1" si="628"/>
        <v>1195.4481192890303</v>
      </c>
      <c r="BR140" s="77">
        <f t="shared" ca="1" si="629"/>
        <v>7746.4455680980236</v>
      </c>
      <c r="BS140" s="77">
        <f t="shared" ca="1" si="630"/>
        <v>0</v>
      </c>
      <c r="BT140" s="77">
        <f t="shared" ca="1" si="631"/>
        <v>13854.75676383596</v>
      </c>
      <c r="BU140" s="54">
        <f t="shared" ca="1" si="632"/>
        <v>139.94703801854499</v>
      </c>
      <c r="BV140" s="53">
        <f ca="1">OFFSET('National statistics'!$A$6,MATCH(R0_estimation!$A140,'National statistics'!$A$7:$A$5000,0),MATCH(R0_estimation!BV$16 &amp; "_Running14daysNew",'National statistics'!$B$1:$HA$1,0))</f>
        <v>2418</v>
      </c>
      <c r="BW140" s="97">
        <f t="shared" ca="1" si="393"/>
        <v>1.6202596710853827</v>
      </c>
      <c r="BX140" s="98">
        <f t="shared" ca="1" si="522"/>
        <v>0.68996207341942262</v>
      </c>
      <c r="BY140" s="77">
        <f t="shared" ca="1" si="633"/>
        <v>1316494.5947043197</v>
      </c>
      <c r="BZ140" s="77">
        <f t="shared" ca="1" si="634"/>
        <v>946.77131329554732</v>
      </c>
      <c r="CA140" s="77">
        <f t="shared" ca="1" si="635"/>
        <v>2268.9595682348831</v>
      </c>
      <c r="CB140" s="77">
        <f t="shared" ca="1" si="636"/>
        <v>0</v>
      </c>
      <c r="CC140" s="77">
        <f t="shared" ca="1" si="637"/>
        <v>2498.5357516619788</v>
      </c>
      <c r="CD140" s="54">
        <f t="shared" ca="1" si="638"/>
        <v>25.237734865272518</v>
      </c>
      <c r="CE140" s="53">
        <f ca="1">OFFSET('National statistics'!$A$6,MATCH(R0_estimation!$A140,'National statistics'!$A$7:$A$5000,0),MATCH(R0_estimation!CE$16 &amp; "_Running14daysNew",'National statistics'!$B$1:$HA$1,0))</f>
        <v>12784</v>
      </c>
      <c r="CF140" s="97">
        <f t="shared" ca="1" si="394"/>
        <v>0.56175899989322098</v>
      </c>
      <c r="CG140" s="98">
        <f t="shared" ca="1" si="523"/>
        <v>1.2165621122686727</v>
      </c>
      <c r="CH140" s="77">
        <f t="shared" ca="1" si="639"/>
        <v>7203685.6556576611</v>
      </c>
      <c r="CI140" s="77">
        <f t="shared" ca="1" si="640"/>
        <v>2296.2000028850525</v>
      </c>
      <c r="CJ140" s="77">
        <f t="shared" ca="1" si="641"/>
        <v>12636.934804734159</v>
      </c>
      <c r="CK140" s="77">
        <f t="shared" ca="1" si="642"/>
        <v>0</v>
      </c>
      <c r="CL140" s="77">
        <f t="shared" ca="1" si="643"/>
        <v>85401.472676868332</v>
      </c>
      <c r="CM140" s="54">
        <f t="shared" ca="1" si="644"/>
        <v>862.64113815018516</v>
      </c>
      <c r="CO140" s="209"/>
      <c r="CP140" s="210"/>
    </row>
    <row r="141" spans="1:94">
      <c r="A141" s="83">
        <f t="shared" si="584"/>
        <v>44041</v>
      </c>
      <c r="B141" s="53">
        <f ca="1">OFFSET('National statistics'!$A$6,MATCH(R0_estimation!$A141,'National statistics'!$A$7:$A$5000,0),MATCH(R0_estimation!B$16 &amp; "_Running14daysNew",'National statistics'!$B$1:$HA$1,0))</f>
        <v>160131</v>
      </c>
      <c r="C141" s="97">
        <f t="shared" ca="1" si="385"/>
        <v>0.52495785440847798</v>
      </c>
      <c r="D141" s="98">
        <f t="shared" si="194"/>
        <v>1</v>
      </c>
      <c r="E141" s="77">
        <f t="shared" ca="1" si="585"/>
        <v>59135795.194996059</v>
      </c>
      <c r="F141" s="77">
        <f t="shared" ca="1" si="586"/>
        <v>30785.096235785368</v>
      </c>
      <c r="G141" s="77">
        <f t="shared" ca="1" si="587"/>
        <v>163446.57197490046</v>
      </c>
      <c r="H141" s="77">
        <f t="shared" ca="1" si="588"/>
        <v>0</v>
      </c>
      <c r="I141" s="77">
        <f t="shared" ca="1" si="589"/>
        <v>383625.64324042632</v>
      </c>
      <c r="J141" s="54">
        <f t="shared" ca="1" si="590"/>
        <v>3875.0064973780454</v>
      </c>
      <c r="K141" s="53">
        <f ca="1">OFFSET('National statistics'!$A$6,MATCH(R0_estimation!$A141,'National statistics'!$A$7:$A$5000,0),MATCH(R0_estimation!K$16 &amp; "_Running14daysNew",'National statistics'!$B$1:$HA$1,0))</f>
        <v>20288</v>
      </c>
      <c r="L141" s="97">
        <f t="shared" ca="1" si="386"/>
        <v>2.1664074451369558E-2</v>
      </c>
      <c r="M141" s="98">
        <f t="shared" ca="1" si="515"/>
        <v>1.3891436550517304</v>
      </c>
      <c r="N141" s="77">
        <f t="shared" ca="1" si="591"/>
        <v>6784684.7885940904</v>
      </c>
      <c r="O141" s="77">
        <f t="shared" ca="1" si="592"/>
        <v>1064.8247634371978</v>
      </c>
      <c r="P141" s="77">
        <f t="shared" ca="1" si="593"/>
        <v>19841.782265792233</v>
      </c>
      <c r="Q141" s="77">
        <f t="shared" ca="1" si="594"/>
        <v>0</v>
      </c>
      <c r="R141" s="77">
        <f t="shared" ca="1" si="595"/>
        <v>64521.059889656921</v>
      </c>
      <c r="S141" s="54">
        <f t="shared" ca="1" si="596"/>
        <v>651.72787767330203</v>
      </c>
      <c r="T141" s="53">
        <f ca="1">OFFSET('National statistics'!$A$6,MATCH(R0_estimation!$A141,'National statistics'!$A$7:$A$5000,0),MATCH(R0_estimation!T$16 &amp; "_Running14daysNew",'National statistics'!$B$1:$HA$1,0))</f>
        <v>12646</v>
      </c>
      <c r="U141" s="97">
        <f t="shared" ca="1" si="387"/>
        <v>1.1769239022738553</v>
      </c>
      <c r="V141" s="98">
        <f t="shared" ca="1" si="516"/>
        <v>0.50313552847557719</v>
      </c>
      <c r="W141" s="77">
        <f t="shared" ca="1" si="597"/>
        <v>2780886.4062354751</v>
      </c>
      <c r="X141" s="77">
        <f t="shared" ca="1" si="598"/>
        <v>4046.523244946055</v>
      </c>
      <c r="Y141" s="77">
        <f t="shared" ca="1" si="599"/>
        <v>11990.201525261453</v>
      </c>
      <c r="Z141" s="77">
        <f t="shared" ca="1" si="600"/>
        <v>0</v>
      </c>
      <c r="AA141" s="77">
        <f t="shared" ca="1" si="601"/>
        <v>11965.13835850497</v>
      </c>
      <c r="AB141" s="54">
        <f t="shared" ca="1" si="602"/>
        <v>120.85998341924213</v>
      </c>
      <c r="AC141" s="53">
        <f ca="1">OFFSET('National statistics'!$A$6,MATCH(R0_estimation!$A141,'National statistics'!$A$7:$A$5000,0),MATCH(R0_estimation!AC$16 &amp; "_Running14daysNew",'National statistics'!$B$1:$HA$1,0))</f>
        <v>55655</v>
      </c>
      <c r="AD141" s="97">
        <f t="shared" ca="1" si="388"/>
        <v>0.14295215870982222</v>
      </c>
      <c r="AE141" s="98">
        <f t="shared" ca="1" si="517"/>
        <v>0.57565754152920057</v>
      </c>
      <c r="AF141" s="77">
        <f t="shared" ca="1" si="603"/>
        <v>15433740.740709603</v>
      </c>
      <c r="AG141" s="77">
        <f t="shared" ca="1" si="604"/>
        <v>5602.2058824764053</v>
      </c>
      <c r="AH141" s="77">
        <f t="shared" ca="1" si="605"/>
        <v>59489.69844777284</v>
      </c>
      <c r="AI141" s="77">
        <f t="shared" ca="1" si="606"/>
        <v>0</v>
      </c>
      <c r="AJ141" s="77">
        <f t="shared" ca="1" si="607"/>
        <v>139197.49124408586</v>
      </c>
      <c r="AK141" s="54">
        <f t="shared" ca="1" si="608"/>
        <v>1406.0352650917764</v>
      </c>
      <c r="AL141" s="53">
        <f ca="1">OFFSET('National statistics'!$A$6,MATCH(R0_estimation!$A141,'National statistics'!$A$7:$A$5000,0),MATCH(R0_estimation!AL$16 &amp; "_Running14daysNew",'National statistics'!$B$1:$HA$1,0))</f>
        <v>38301</v>
      </c>
      <c r="AM141" s="97">
        <f t="shared" ca="1" si="389"/>
        <v>0.92006151916402468</v>
      </c>
      <c r="AN141" s="98">
        <f t="shared" ca="1" si="518"/>
        <v>0.74495013848278369</v>
      </c>
      <c r="AO141" s="77">
        <f t="shared" ca="1" si="609"/>
        <v>10902871.293828003</v>
      </c>
      <c r="AP141" s="77">
        <f t="shared" ca="1" si="610"/>
        <v>10784.025170851952</v>
      </c>
      <c r="AQ141" s="77">
        <f t="shared" ca="1" si="611"/>
        <v>38119.109111570178</v>
      </c>
      <c r="AR141" s="77">
        <f t="shared" ca="1" si="612"/>
        <v>0</v>
      </c>
      <c r="AS141" s="77">
        <f t="shared" ca="1" si="613"/>
        <v>48267.424138046794</v>
      </c>
      <c r="AT141" s="54">
        <f t="shared" ca="1" si="614"/>
        <v>487.54973876814938</v>
      </c>
      <c r="AU141" s="53">
        <f ca="1">OFFSET('National statistics'!$A$6,MATCH(R0_estimation!$A141,'National statistics'!$A$7:$A$5000,0),MATCH(R0_estimation!AU$16 &amp; "_Running14daysNew",'National statistics'!$B$1:$HA$1,0))</f>
        <v>4195</v>
      </c>
      <c r="AV141" s="97">
        <f t="shared" ca="1" si="390"/>
        <v>0.85842762525408822</v>
      </c>
      <c r="AW141" s="98">
        <f t="shared" ca="1" si="519"/>
        <v>0.85754424097138826</v>
      </c>
      <c r="AX141" s="77">
        <f t="shared" ca="1" si="615"/>
        <v>5843061.2978772931</v>
      </c>
      <c r="AY141" s="77">
        <f t="shared" ca="1" si="616"/>
        <v>1106.5421734868105</v>
      </c>
      <c r="AZ141" s="77">
        <f t="shared" ca="1" si="617"/>
        <v>4089.9499711122821</v>
      </c>
      <c r="BA141" s="77">
        <f t="shared" ca="1" si="618"/>
        <v>0</v>
      </c>
      <c r="BB141" s="77">
        <f t="shared" ca="1" si="619"/>
        <v>5525.2168637045042</v>
      </c>
      <c r="BC141" s="54">
        <f t="shared" ca="1" si="620"/>
        <v>55.810271350550529</v>
      </c>
      <c r="BD141" s="53">
        <f ca="1">OFFSET('National statistics'!$A$6,MATCH(R0_estimation!$A141,'National statistics'!$A$7:$A$5000,0),MATCH(R0_estimation!BD$16 &amp; "_Running14daysNew",'National statistics'!$B$1:$HA$1,0))</f>
        <v>7391</v>
      </c>
      <c r="BE141" s="97">
        <f t="shared" ca="1" si="391"/>
        <v>1.3624483146705904</v>
      </c>
      <c r="BF141" s="98">
        <f t="shared" ca="1" si="520"/>
        <v>0.72178134408538486</v>
      </c>
      <c r="BG141" s="77">
        <f t="shared" ca="1" si="621"/>
        <v>4790542.6834510844</v>
      </c>
      <c r="BH141" s="77">
        <f t="shared" ca="1" si="622"/>
        <v>2866.9295595346071</v>
      </c>
      <c r="BI141" s="77">
        <f t="shared" ca="1" si="623"/>
        <v>7714.9927262176925</v>
      </c>
      <c r="BJ141" s="77">
        <f t="shared" ca="1" si="624"/>
        <v>0</v>
      </c>
      <c r="BK141" s="77">
        <f t="shared" ca="1" si="625"/>
        <v>7992.3003568874301</v>
      </c>
      <c r="BL141" s="54">
        <f t="shared" ca="1" si="626"/>
        <v>80.730306635226555</v>
      </c>
      <c r="BM141" s="53">
        <f ca="1">OFFSET('National statistics'!$A$6,MATCH(R0_estimation!$A141,'National statistics'!$A$7:$A$5000,0),MATCH(R0_estimation!BM$16 &amp; "_Running14daysNew",'National statistics'!$B$1:$HA$1,0))</f>
        <v>7006</v>
      </c>
      <c r="BN141" s="97">
        <f t="shared" ca="1" si="392"/>
        <v>0.3064754691900618</v>
      </c>
      <c r="BO141" s="98">
        <f t="shared" ca="1" si="521"/>
        <v>0.99326027081939861</v>
      </c>
      <c r="BP141" s="77">
        <f t="shared" ca="1" si="627"/>
        <v>4084529.9351793858</v>
      </c>
      <c r="BQ141" s="77">
        <f t="shared" ca="1" si="628"/>
        <v>1065.223180877882</v>
      </c>
      <c r="BR141" s="77">
        <f t="shared" ca="1" si="629"/>
        <v>7491.9900573418508</v>
      </c>
      <c r="BS141" s="77">
        <f t="shared" ca="1" si="630"/>
        <v>0</v>
      </c>
      <c r="BT141" s="77">
        <f t="shared" ca="1" si="631"/>
        <v>14402.541129008605</v>
      </c>
      <c r="BU141" s="54">
        <f t="shared" ca="1" si="632"/>
        <v>145.48021342432929</v>
      </c>
      <c r="BV141" s="53">
        <f ca="1">OFFSET('National statistics'!$A$6,MATCH(R0_estimation!$A141,'National statistics'!$A$7:$A$5000,0),MATCH(R0_estimation!BV$16 &amp; "_Running14daysNew",'National statistics'!$B$1:$HA$1,0))</f>
        <v>2468</v>
      </c>
      <c r="BW141" s="97">
        <f t="shared" ca="1" si="393"/>
        <v>1.6202596710853827</v>
      </c>
      <c r="BX141" s="98">
        <f t="shared" ca="1" si="522"/>
        <v>0.68996207341942262</v>
      </c>
      <c r="BY141" s="77">
        <f t="shared" ca="1" si="633"/>
        <v>1316233.1364479533</v>
      </c>
      <c r="BZ141" s="77">
        <f t="shared" ca="1" si="634"/>
        <v>971.53674133820289</v>
      </c>
      <c r="CA141" s="77">
        <f t="shared" ca="1" si="635"/>
        <v>2343.5838559705639</v>
      </c>
      <c r="CB141" s="77">
        <f t="shared" ca="1" si="636"/>
        <v>0</v>
      </c>
      <c r="CC141" s="77">
        <f t="shared" ca="1" si="637"/>
        <v>2658.9836068443028</v>
      </c>
      <c r="CD141" s="54">
        <f t="shared" ca="1" si="638"/>
        <v>26.858420271154579</v>
      </c>
      <c r="CE141" s="53">
        <f ca="1">OFFSET('National statistics'!$A$6,MATCH(R0_estimation!$A141,'National statistics'!$A$7:$A$5000,0),MATCH(R0_estimation!CE$16 &amp; "_Running14daysNew",'National statistics'!$B$1:$HA$1,0))</f>
        <v>12181</v>
      </c>
      <c r="CF141" s="97">
        <f t="shared" ca="1" si="394"/>
        <v>0.56175899989322098</v>
      </c>
      <c r="CG141" s="98">
        <f t="shared" ca="1" si="523"/>
        <v>1.2165621122686727</v>
      </c>
      <c r="CH141" s="77">
        <f t="shared" ca="1" si="639"/>
        <v>7203185.5560287954</v>
      </c>
      <c r="CI141" s="77">
        <f t="shared" ca="1" si="640"/>
        <v>2222.24963102939</v>
      </c>
      <c r="CJ141" s="77">
        <f t="shared" ca="1" si="641"/>
        <v>12308.346605117267</v>
      </c>
      <c r="CK141" s="77">
        <f t="shared" ca="1" si="642"/>
        <v>0</v>
      </c>
      <c r="CL141" s="77">
        <f t="shared" ca="1" si="643"/>
        <v>86295.084495203104</v>
      </c>
      <c r="CM141" s="54">
        <f t="shared" ca="1" si="644"/>
        <v>871.66752015356667</v>
      </c>
      <c r="CO141" s="209"/>
      <c r="CP141" s="210"/>
    </row>
    <row r="142" spans="1:94">
      <c r="A142" s="83">
        <f t="shared" si="584"/>
        <v>44042</v>
      </c>
      <c r="B142" s="53">
        <f ca="1">OFFSET('National statistics'!$A$6,MATCH(R0_estimation!$A142,'National statistics'!$A$7:$A$5000,0),MATCH(R0_estimation!B$16 &amp; "_Running14daysNew",'National statistics'!$B$1:$HA$1,0))</f>
        <v>157959</v>
      </c>
      <c r="C142" s="97">
        <f t="shared" ca="1" si="385"/>
        <v>0.52495785440847798</v>
      </c>
      <c r="D142" s="98">
        <f t="shared" ref="D142:D162" si="645">D141</f>
        <v>1</v>
      </c>
      <c r="E142" s="77">
        <f t="shared" ca="1" si="585"/>
        <v>59129725.749394365</v>
      </c>
      <c r="F142" s="77">
        <f t="shared" ca="1" si="586"/>
        <v>29158.267778533787</v>
      </c>
      <c r="G142" s="77">
        <f t="shared" ca="1" si="587"/>
        <v>159468.09089278249</v>
      </c>
      <c r="H142" s="77">
        <f t="shared" ca="1" si="588"/>
        <v>0</v>
      </c>
      <c r="I142" s="77">
        <f t="shared" ca="1" si="589"/>
        <v>395183.65083007998</v>
      </c>
      <c r="J142" s="54">
        <f t="shared" ca="1" si="590"/>
        <v>3991.7540487886886</v>
      </c>
      <c r="K142" s="53">
        <f ca="1">OFFSET('National statistics'!$A$6,MATCH(R0_estimation!$A142,'National statistics'!$A$7:$A$5000,0),MATCH(R0_estimation!K$16 &amp; "_Running14daysNew",'National statistics'!$B$1:$HA$1,0))</f>
        <v>19869</v>
      </c>
      <c r="L142" s="97">
        <f t="shared" ca="1" si="386"/>
        <v>2.1664074451369558E-2</v>
      </c>
      <c r="M142" s="98">
        <f t="shared" ca="1" si="515"/>
        <v>1.3891436550517304</v>
      </c>
      <c r="N142" s="77">
        <f t="shared" ca="1" si="591"/>
        <v>6784654.4665403655</v>
      </c>
      <c r="O142" s="77">
        <f t="shared" ca="1" si="592"/>
        <v>828.94062630235214</v>
      </c>
      <c r="P142" s="77">
        <f t="shared" ca="1" si="593"/>
        <v>18690.71829480923</v>
      </c>
      <c r="Q142" s="77">
        <f t="shared" ca="1" si="594"/>
        <v>0</v>
      </c>
      <c r="R142" s="77">
        <f t="shared" ca="1" si="595"/>
        <v>65924.157349880799</v>
      </c>
      <c r="S142" s="54">
        <f t="shared" ca="1" si="596"/>
        <v>665.90057929172508</v>
      </c>
      <c r="T142" s="53">
        <f ca="1">OFFSET('National statistics'!$A$6,MATCH(R0_estimation!$A142,'National statistics'!$A$7:$A$5000,0),MATCH(R0_estimation!T$16 &amp; "_Running14daysNew",'National statistics'!$B$1:$HA$1,0))</f>
        <v>13086</v>
      </c>
      <c r="U142" s="97">
        <f t="shared" ca="1" si="387"/>
        <v>1.1769239022738553</v>
      </c>
      <c r="V142" s="98">
        <f t="shared" ca="1" si="516"/>
        <v>0.50313552847557719</v>
      </c>
      <c r="W142" s="77">
        <f t="shared" ca="1" si="597"/>
        <v>2779888.4864927977</v>
      </c>
      <c r="X142" s="77">
        <f t="shared" ca="1" si="598"/>
        <v>4032.8121763868562</v>
      </c>
      <c r="Y142" s="77">
        <f t="shared" ca="1" si="599"/>
        <v>12145.389370407862</v>
      </c>
      <c r="Z142" s="77">
        <f t="shared" ca="1" si="600"/>
        <v>0</v>
      </c>
      <c r="AA142" s="77">
        <f t="shared" ca="1" si="601"/>
        <v>12813.016894934173</v>
      </c>
      <c r="AB142" s="54">
        <f t="shared" ca="1" si="602"/>
        <v>129.42441308014315</v>
      </c>
      <c r="AC142" s="53">
        <f ca="1">OFFSET('National statistics'!$A$6,MATCH(R0_estimation!$A142,'National statistics'!$A$7:$A$5000,0),MATCH(R0_estimation!AC$16 &amp; "_Running14daysNew",'National statistics'!$B$1:$HA$1,0))</f>
        <v>53679</v>
      </c>
      <c r="AD142" s="97">
        <f t="shared" ca="1" si="388"/>
        <v>0.14295215870982222</v>
      </c>
      <c r="AE142" s="98">
        <f t="shared" ca="1" si="517"/>
        <v>0.57565754152920057</v>
      </c>
      <c r="AF142" s="77">
        <f t="shared" ca="1" si="603"/>
        <v>15433141.234611999</v>
      </c>
      <c r="AG142" s="77">
        <f t="shared" ca="1" si="604"/>
        <v>4801.1605094612041</v>
      </c>
      <c r="AH142" s="77">
        <f t="shared" ca="1" si="605"/>
        <v>56640.985743551028</v>
      </c>
      <c r="AI142" s="77">
        <f t="shared" ca="1" si="606"/>
        <v>0</v>
      </c>
      <c r="AJ142" s="77">
        <f t="shared" ca="1" si="607"/>
        <v>143404.26277717837</v>
      </c>
      <c r="AK142" s="54">
        <f t="shared" ca="1" si="608"/>
        <v>1448.5279068401856</v>
      </c>
      <c r="AL142" s="53">
        <f ca="1">OFFSET('National statistics'!$A$6,MATCH(R0_estimation!$A142,'National statistics'!$A$7:$A$5000,0),MATCH(R0_estimation!AL$16 &amp; "_Running14daysNew",'National statistics'!$B$1:$HA$1,0))</f>
        <v>38315</v>
      </c>
      <c r="AM142" s="97">
        <f t="shared" ca="1" si="389"/>
        <v>0.92006151916402468</v>
      </c>
      <c r="AN142" s="98">
        <f t="shared" ca="1" si="518"/>
        <v>0.74495013848278369</v>
      </c>
      <c r="AO142" s="77">
        <f t="shared" ca="1" si="609"/>
        <v>10900388.285813661</v>
      </c>
      <c r="AP142" s="77">
        <f t="shared" ca="1" si="610"/>
        <v>10571.026892481355</v>
      </c>
      <c r="AQ142" s="77">
        <f t="shared" ca="1" si="611"/>
        <v>38092.321896313872</v>
      </c>
      <c r="AR142" s="77">
        <f t="shared" ca="1" si="612"/>
        <v>0</v>
      </c>
      <c r="AS142" s="77">
        <f t="shared" ca="1" si="613"/>
        <v>50962.989710936396</v>
      </c>
      <c r="AT142" s="54">
        <f t="shared" ca="1" si="614"/>
        <v>514.77767384784238</v>
      </c>
      <c r="AU142" s="53">
        <f ca="1">OFFSET('National statistics'!$A$6,MATCH(R0_estimation!$A142,'National statistics'!$A$7:$A$5000,0),MATCH(R0_estimation!AU$16 &amp; "_Running14daysNew",'National statistics'!$B$1:$HA$1,0))</f>
        <v>4357</v>
      </c>
      <c r="AV142" s="97">
        <f t="shared" ca="1" si="390"/>
        <v>0.85842762525408822</v>
      </c>
      <c r="AW142" s="98">
        <f t="shared" ca="1" si="519"/>
        <v>0.85754424097138826</v>
      </c>
      <c r="AX142" s="77">
        <f t="shared" ca="1" si="615"/>
        <v>5842810.9767717989</v>
      </c>
      <c r="AY142" s="77">
        <f t="shared" ca="1" si="616"/>
        <v>1080.2277356096049</v>
      </c>
      <c r="AZ142" s="77">
        <f t="shared" ca="1" si="617"/>
        <v>4074.4462308331072</v>
      </c>
      <c r="BA142" s="77">
        <f t="shared" ca="1" si="618"/>
        <v>0</v>
      </c>
      <c r="BB142" s="77">
        <f t="shared" ca="1" si="619"/>
        <v>5814.434754518873</v>
      </c>
      <c r="BC142" s="54">
        <f t="shared" ca="1" si="620"/>
        <v>58.731664187059302</v>
      </c>
      <c r="BD142" s="53">
        <f ca="1">OFFSET('National statistics'!$A$6,MATCH(R0_estimation!$A142,'National statistics'!$A$7:$A$5000,0),MATCH(R0_estimation!BD$16 &amp; "_Running14daysNew",'National statistics'!$B$1:$HA$1,0))</f>
        <v>7708</v>
      </c>
      <c r="BE142" s="97">
        <f t="shared" ca="1" si="391"/>
        <v>1.3624483146705904</v>
      </c>
      <c r="BF142" s="98">
        <f t="shared" ca="1" si="520"/>
        <v>0.72178134408538486</v>
      </c>
      <c r="BG142" s="77">
        <f t="shared" ca="1" si="621"/>
        <v>4789794.7776518036</v>
      </c>
      <c r="BH142" s="77">
        <f t="shared" ca="1" si="622"/>
        <v>2898.1029689322518</v>
      </c>
      <c r="BI142" s="77">
        <f t="shared" ca="1" si="623"/>
        <v>7880.654207085795</v>
      </c>
      <c r="BJ142" s="77">
        <f t="shared" ca="1" si="624"/>
        <v>0</v>
      </c>
      <c r="BK142" s="77">
        <f t="shared" ca="1" si="625"/>
        <v>8537.8605568128241</v>
      </c>
      <c r="BL142" s="54">
        <f t="shared" ca="1" si="626"/>
        <v>86.241015725382056</v>
      </c>
      <c r="BM142" s="53">
        <f ca="1">OFFSET('National statistics'!$A$6,MATCH(R0_estimation!$A142,'National statistics'!$A$7:$A$5000,0),MATCH(R0_estimation!BM$16 &amp; "_Running14daysNew",'National statistics'!$B$1:$HA$1,0))</f>
        <v>6920</v>
      </c>
      <c r="BN142" s="97">
        <f t="shared" ca="1" si="392"/>
        <v>0.3064754691900618</v>
      </c>
      <c r="BO142" s="98">
        <f t="shared" ca="1" si="521"/>
        <v>0.99326027081939861</v>
      </c>
      <c r="BP142" s="77">
        <f t="shared" ca="1" si="627"/>
        <v>4084366.8439987618</v>
      </c>
      <c r="BQ142" s="77">
        <f t="shared" ca="1" si="628"/>
        <v>962.00856628228178</v>
      </c>
      <c r="BR142" s="77">
        <f t="shared" ca="1" si="629"/>
        <v>7223.1537056083316</v>
      </c>
      <c r="BS142" s="77">
        <f t="shared" ca="1" si="630"/>
        <v>0</v>
      </c>
      <c r="BT142" s="77">
        <f t="shared" ca="1" si="631"/>
        <v>14932.331854492064</v>
      </c>
      <c r="BU142" s="54">
        <f t="shared" ca="1" si="632"/>
        <v>150.83163489385919</v>
      </c>
      <c r="BV142" s="53">
        <f ca="1">OFFSET('National statistics'!$A$6,MATCH(R0_estimation!$A142,'National statistics'!$A$7:$A$5000,0),MATCH(R0_estimation!BV$16 &amp; "_Running14daysNew",'National statistics'!$B$1:$HA$1,0))</f>
        <v>2571</v>
      </c>
      <c r="BW142" s="97">
        <f t="shared" ca="1" si="393"/>
        <v>1.6202596710853827</v>
      </c>
      <c r="BX142" s="98">
        <f t="shared" ca="1" si="522"/>
        <v>0.68996207341942262</v>
      </c>
      <c r="BY142" s="77">
        <f t="shared" ca="1" si="633"/>
        <v>1315963.1323390305</v>
      </c>
      <c r="BZ142" s="77">
        <f t="shared" ca="1" si="634"/>
        <v>998.65666492635955</v>
      </c>
      <c r="CA142" s="77">
        <f t="shared" ca="1" si="635"/>
        <v>2419.0691944500745</v>
      </c>
      <c r="CB142" s="77">
        <f t="shared" ca="1" si="636"/>
        <v>0</v>
      </c>
      <c r="CC142" s="77">
        <f t="shared" ca="1" si="637"/>
        <v>2824.7084652307926</v>
      </c>
      <c r="CD142" s="54">
        <f t="shared" ca="1" si="638"/>
        <v>28.53240873970498</v>
      </c>
      <c r="CE142" s="53">
        <f ca="1">OFFSET('National statistics'!$A$6,MATCH(R0_estimation!$A142,'National statistics'!$A$7:$A$5000,0),MATCH(R0_estimation!CE$16 &amp; "_Running14daysNew",'National statistics'!$B$1:$HA$1,0))</f>
        <v>11454</v>
      </c>
      <c r="CF142" s="97">
        <f t="shared" ca="1" si="394"/>
        <v>0.56175899989322098</v>
      </c>
      <c r="CG142" s="98">
        <f t="shared" ca="1" si="523"/>
        <v>1.2165621122686727</v>
      </c>
      <c r="CH142" s="77">
        <f t="shared" ca="1" si="639"/>
        <v>7202698.4933078168</v>
      </c>
      <c r="CI142" s="77">
        <f t="shared" ca="1" si="640"/>
        <v>2153.7499442506337</v>
      </c>
      <c r="CJ142" s="77">
        <f t="shared" ca="1" si="641"/>
        <v>11984.741398223381</v>
      </c>
      <c r="CK142" s="77">
        <f t="shared" ca="1" si="642"/>
        <v>0</v>
      </c>
      <c r="CL142" s="77">
        <f t="shared" ca="1" si="643"/>
        <v>87165.46043370782</v>
      </c>
      <c r="CM142" s="54">
        <f t="shared" ca="1" si="644"/>
        <v>880.45919630007904</v>
      </c>
      <c r="CO142" s="209"/>
      <c r="CP142" s="210"/>
    </row>
    <row r="143" spans="1:94">
      <c r="A143" s="83">
        <f t="shared" si="584"/>
        <v>44043</v>
      </c>
      <c r="B143" s="53">
        <f ca="1">OFFSET('National statistics'!$A$6,MATCH(R0_estimation!$A143,'National statistics'!$A$7:$A$5000,0),MATCH(R0_estimation!B$16 &amp; "_Running14daysNew",'National statistics'!$B$1:$HA$1,0))</f>
        <v>155600</v>
      </c>
      <c r="C143" s="97">
        <f t="shared" ca="1" si="385"/>
        <v>0.52495785440847798</v>
      </c>
      <c r="D143" s="98">
        <f t="shared" si="645"/>
        <v>1</v>
      </c>
      <c r="E143" s="77">
        <f t="shared" ca="1" si="585"/>
        <v>59123804.637412898</v>
      </c>
      <c r="F143" s="77">
        <f t="shared" ca="1" si="586"/>
        <v>27789.812815365021</v>
      </c>
      <c r="G143" s="77">
        <f t="shared" ca="1" si="587"/>
        <v>155367.0799165029</v>
      </c>
      <c r="H143" s="77">
        <f t="shared" ca="1" si="588"/>
        <v>0</v>
      </c>
      <c r="I143" s="77">
        <f t="shared" ca="1" si="589"/>
        <v>406460.32297178387</v>
      </c>
      <c r="J143" s="54">
        <f t="shared" ca="1" si="590"/>
        <v>4105.6598279978189</v>
      </c>
      <c r="K143" s="53">
        <f ca="1">OFFSET('National statistics'!$A$6,MATCH(R0_estimation!$A143,'National statistics'!$A$7:$A$5000,0),MATCH(R0_estimation!K$16 &amp; "_Running14daysNew",'National statistics'!$B$1:$HA$1,0))</f>
        <v>19078</v>
      </c>
      <c r="L143" s="97">
        <f t="shared" ca="1" si="386"/>
        <v>2.1664074451369558E-2</v>
      </c>
      <c r="M143" s="98">
        <f t="shared" ca="1" si="515"/>
        <v>1.3891436550517304</v>
      </c>
      <c r="N143" s="77">
        <f t="shared" ca="1" si="591"/>
        <v>6784625.9036021689</v>
      </c>
      <c r="O143" s="77">
        <f t="shared" ca="1" si="592"/>
        <v>650.26840792324288</v>
      </c>
      <c r="P143" s="77">
        <f t="shared" ca="1" si="593"/>
        <v>17562.90214461273</v>
      </c>
      <c r="Q143" s="77">
        <f t="shared" ca="1" si="594"/>
        <v>0</v>
      </c>
      <c r="R143" s="77">
        <f t="shared" ca="1" si="595"/>
        <v>67245.858143585167</v>
      </c>
      <c r="S143" s="54">
        <f t="shared" ca="1" si="596"/>
        <v>679.25109235944592</v>
      </c>
      <c r="T143" s="53">
        <f ca="1">OFFSET('National statistics'!$A$6,MATCH(R0_estimation!$A143,'National statistics'!$A$7:$A$5000,0),MATCH(R0_estimation!T$16 &amp; "_Running14daysNew",'National statistics'!$B$1:$HA$1,0))</f>
        <v>12972</v>
      </c>
      <c r="U143" s="97">
        <f t="shared" ca="1" si="387"/>
        <v>1.1769239022738553</v>
      </c>
      <c r="V143" s="98">
        <f t="shared" ca="1" si="516"/>
        <v>0.50313552847557719</v>
      </c>
      <c r="W143" s="77">
        <f t="shared" ca="1" si="597"/>
        <v>2778878.0104427668</v>
      </c>
      <c r="X143" s="77">
        <f t="shared" ca="1" si="598"/>
        <v>4035.0851823210264</v>
      </c>
      <c r="Y143" s="77">
        <f t="shared" ca="1" si="599"/>
        <v>12286.064602332586</v>
      </c>
      <c r="Z143" s="77">
        <f t="shared" ca="1" si="600"/>
        <v>0</v>
      </c>
      <c r="AA143" s="77">
        <f t="shared" ca="1" si="601"/>
        <v>13671.869428984444</v>
      </c>
      <c r="AB143" s="54">
        <f t="shared" ca="1" si="602"/>
        <v>138.09969120186307</v>
      </c>
      <c r="AC143" s="53">
        <f ca="1">OFFSET('National statistics'!$A$6,MATCH(R0_estimation!$A143,'National statistics'!$A$7:$A$5000,0),MATCH(R0_estimation!AC$16 &amp; "_Running14daysNew",'National statistics'!$B$1:$HA$1,0))</f>
        <v>51864</v>
      </c>
      <c r="AD143" s="97">
        <f t="shared" ca="1" si="388"/>
        <v>0.14295215870982222</v>
      </c>
      <c r="AE143" s="98">
        <f t="shared" ca="1" si="517"/>
        <v>0.57565754152920057</v>
      </c>
      <c r="AF143" s="77">
        <f t="shared" ca="1" si="603"/>
        <v>15432570.456973633</v>
      </c>
      <c r="AG143" s="77">
        <f t="shared" ca="1" si="604"/>
        <v>4171.6480204624404</v>
      </c>
      <c r="AH143" s="77">
        <f t="shared" ca="1" si="605"/>
        <v>53795.491174948402</v>
      </c>
      <c r="AI143" s="77">
        <f t="shared" ca="1" si="606"/>
        <v>0</v>
      </c>
      <c r="AJ143" s="77">
        <f t="shared" ca="1" si="607"/>
        <v>147409.58962618661</v>
      </c>
      <c r="AK143" s="54">
        <f t="shared" ca="1" si="608"/>
        <v>1488.9857537998648</v>
      </c>
      <c r="AL143" s="53">
        <f ca="1">OFFSET('National statistics'!$A$6,MATCH(R0_estimation!$A143,'National statistics'!$A$7:$A$5000,0),MATCH(R0_estimation!AL$16 &amp; "_Running14daysNew",'National statistics'!$B$1:$HA$1,0))</f>
        <v>38984</v>
      </c>
      <c r="AM143" s="97">
        <f t="shared" ca="1" si="389"/>
        <v>0.92006151916402468</v>
      </c>
      <c r="AN143" s="98">
        <f t="shared" ca="1" si="518"/>
        <v>0.74495013848278369</v>
      </c>
      <c r="AO143" s="77">
        <f t="shared" ca="1" si="609"/>
        <v>10897907.58160858</v>
      </c>
      <c r="AP143" s="77">
        <f t="shared" ca="1" si="610"/>
        <v>10408.974374441275</v>
      </c>
      <c r="AQ143" s="77">
        <f t="shared" ca="1" si="611"/>
        <v>38014.198483983215</v>
      </c>
      <c r="AR143" s="77">
        <f t="shared" ca="1" si="612"/>
        <v>0</v>
      </c>
      <c r="AS143" s="77">
        <f t="shared" ca="1" si="613"/>
        <v>53656.661045032874</v>
      </c>
      <c r="AT143" s="54">
        <f t="shared" ca="1" si="614"/>
        <v>541.98647520235227</v>
      </c>
      <c r="AU143" s="53">
        <f ca="1">OFFSET('National statistics'!$A$6,MATCH(R0_estimation!$A143,'National statistics'!$A$7:$A$5000,0),MATCH(R0_estimation!AU$16 &amp; "_Running14daysNew",'National statistics'!$B$1:$HA$1,0))</f>
        <v>4405</v>
      </c>
      <c r="AV143" s="97">
        <f t="shared" ca="1" si="390"/>
        <v>0.85842762525408822</v>
      </c>
      <c r="AW143" s="98">
        <f t="shared" ca="1" si="519"/>
        <v>0.85754424097138826</v>
      </c>
      <c r="AX143" s="77">
        <f t="shared" ca="1" si="615"/>
        <v>5842561.6151153399</v>
      </c>
      <c r="AY143" s="77">
        <f t="shared" ca="1" si="616"/>
        <v>1059.5324581663388</v>
      </c>
      <c r="AZ143" s="77">
        <f t="shared" ca="1" si="617"/>
        <v>4053.4712911045717</v>
      </c>
      <c r="BA143" s="77">
        <f t="shared" ca="1" si="618"/>
        <v>0</v>
      </c>
      <c r="BB143" s="77">
        <f t="shared" ca="1" si="619"/>
        <v>6102.5563094134995</v>
      </c>
      <c r="BC143" s="54">
        <f t="shared" ca="1" si="620"/>
        <v>61.641982923368666</v>
      </c>
      <c r="BD143" s="53">
        <f ca="1">OFFSET('National statistics'!$A$6,MATCH(R0_estimation!$A143,'National statistics'!$A$7:$A$5000,0),MATCH(R0_estimation!BD$16 &amp; "_Running14daysNew",'National statistics'!$B$1:$HA$1,0))</f>
        <v>8028</v>
      </c>
      <c r="BE143" s="97">
        <f t="shared" ca="1" si="391"/>
        <v>1.3624483146705904</v>
      </c>
      <c r="BF143" s="98">
        <f t="shared" ca="1" si="520"/>
        <v>0.72178134408538486</v>
      </c>
      <c r="BG143" s="77">
        <f t="shared" ca="1" si="621"/>
        <v>4789030.9307152517</v>
      </c>
      <c r="BH143" s="77">
        <f t="shared" ca="1" si="622"/>
        <v>2937.4241632512799</v>
      </c>
      <c r="BI143" s="77">
        <f t="shared" ca="1" si="623"/>
        <v>8042.2760773841574</v>
      </c>
      <c r="BJ143" s="77">
        <f t="shared" ca="1" si="624"/>
        <v>0</v>
      </c>
      <c r="BK143" s="77">
        <f t="shared" ca="1" si="625"/>
        <v>9095.1353900281774</v>
      </c>
      <c r="BL143" s="54">
        <f t="shared" ca="1" si="626"/>
        <v>91.87005444472905</v>
      </c>
      <c r="BM143" s="53">
        <f ca="1">OFFSET('National statistics'!$A$6,MATCH(R0_estimation!$A143,'National statistics'!$A$7:$A$5000,0),MATCH(R0_estimation!BM$16 &amp; "_Running14daysNew",'National statistics'!$B$1:$HA$1,0))</f>
        <v>6603</v>
      </c>
      <c r="BN143" s="97">
        <f t="shared" ca="1" si="392"/>
        <v>0.3064754691900618</v>
      </c>
      <c r="BO143" s="98">
        <f t="shared" ca="1" si="521"/>
        <v>0.99326027081939861</v>
      </c>
      <c r="BP143" s="77">
        <f t="shared" ca="1" si="627"/>
        <v>4084209.6111202165</v>
      </c>
      <c r="BQ143" s="77">
        <f t="shared" ca="1" si="628"/>
        <v>878.73930325690469</v>
      </c>
      <c r="BR143" s="77">
        <f t="shared" ca="1" si="629"/>
        <v>6947.716296778307</v>
      </c>
      <c r="BS143" s="77">
        <f t="shared" ca="1" si="630"/>
        <v>0</v>
      </c>
      <c r="BT143" s="77">
        <f t="shared" ca="1" si="631"/>
        <v>15443.112009388653</v>
      </c>
      <c r="BU143" s="54">
        <f t="shared" ca="1" si="632"/>
        <v>155.99103039786513</v>
      </c>
      <c r="BV143" s="53">
        <f ca="1">OFFSET('National statistics'!$A$6,MATCH(R0_estimation!$A143,'National statistics'!$A$7:$A$5000,0),MATCH(R0_estimation!BV$16 &amp; "_Running14daysNew",'National statistics'!$B$1:$HA$1,0))</f>
        <v>2697</v>
      </c>
      <c r="BW143" s="97">
        <f t="shared" ca="1" si="393"/>
        <v>1.6202596710853827</v>
      </c>
      <c r="BX143" s="98">
        <f t="shared" ca="1" si="522"/>
        <v>0.68996207341942262</v>
      </c>
      <c r="BY143" s="77">
        <f t="shared" ca="1" si="633"/>
        <v>1315684.4883885009</v>
      </c>
      <c r="BZ143" s="77">
        <f t="shared" ca="1" si="634"/>
        <v>1027.6364492244845</v>
      </c>
      <c r="CA143" s="77">
        <f t="shared" ca="1" si="635"/>
        <v>2495.9427039352308</v>
      </c>
      <c r="CB143" s="77">
        <f t="shared" ca="1" si="636"/>
        <v>0</v>
      </c>
      <c r="CC143" s="77">
        <f t="shared" ca="1" si="637"/>
        <v>2995.7712154097621</v>
      </c>
      <c r="CD143" s="54">
        <f t="shared" ca="1" si="638"/>
        <v>30.260315307169318</v>
      </c>
      <c r="CE143" s="53">
        <f ca="1">OFFSET('National statistics'!$A$6,MATCH(R0_estimation!$A143,'National statistics'!$A$7:$A$5000,0),MATCH(R0_estimation!CE$16 &amp; "_Running14daysNew",'National statistics'!$B$1:$HA$1,0))</f>
        <v>10969</v>
      </c>
      <c r="CF143" s="97">
        <f t="shared" ca="1" si="394"/>
        <v>0.56175899989322098</v>
      </c>
      <c r="CG143" s="98">
        <f t="shared" ca="1" si="523"/>
        <v>1.2165621122686727</v>
      </c>
      <c r="CH143" s="77">
        <f t="shared" ca="1" si="639"/>
        <v>7202224.2677060701</v>
      </c>
      <c r="CI143" s="77">
        <f t="shared" ca="1" si="640"/>
        <v>2089.5380599350219</v>
      </c>
      <c r="CJ143" s="77">
        <f t="shared" ca="1" si="641"/>
        <v>11667.125927270083</v>
      </c>
      <c r="CK143" s="77">
        <f t="shared" ca="1" si="642"/>
        <v>0</v>
      </c>
      <c r="CL143" s="77">
        <f t="shared" ca="1" si="643"/>
        <v>88012.952861153623</v>
      </c>
      <c r="CM143" s="54">
        <f t="shared" ca="1" si="644"/>
        <v>889.01972587023863</v>
      </c>
      <c r="CO143" s="209"/>
      <c r="CP143" s="210"/>
    </row>
    <row r="144" spans="1:94">
      <c r="A144" s="83">
        <f t="shared" si="584"/>
        <v>44044</v>
      </c>
      <c r="B144" s="53">
        <f ca="1">OFFSET('National statistics'!$A$6,MATCH(R0_estimation!$A144,'National statistics'!$A$7:$A$5000,0),MATCH(R0_estimation!B$16 &amp; "_Running14daysNew",'National statistics'!$B$1:$HA$1,0))</f>
        <v>152428</v>
      </c>
      <c r="C144" s="97">
        <f t="shared" ca="1" si="385"/>
        <v>0.52495785440847798</v>
      </c>
      <c r="D144" s="98">
        <f t="shared" si="645"/>
        <v>1</v>
      </c>
      <c r="E144" s="77">
        <f t="shared" ca="1" si="585"/>
        <v>59118036.364232317</v>
      </c>
      <c r="F144" s="77">
        <f t="shared" ca="1" si="586"/>
        <v>26610.632792107423</v>
      </c>
      <c r="G144" s="77">
        <f t="shared" ca="1" si="587"/>
        <v>151216.88455487968</v>
      </c>
      <c r="H144" s="77">
        <f t="shared" ca="1" si="588"/>
        <v>0</v>
      </c>
      <c r="I144" s="77">
        <f t="shared" ca="1" si="589"/>
        <v>417446.99505159369</v>
      </c>
      <c r="J144" s="54">
        <f t="shared" ca="1" si="590"/>
        <v>4216.6363136524642</v>
      </c>
      <c r="K144" s="53">
        <f ca="1">OFFSET('National statistics'!$A$6,MATCH(R0_estimation!$A144,'National statistics'!$A$7:$A$5000,0),MATCH(R0_estimation!K$16 &amp; "_Running14daysNew",'National statistics'!$B$1:$HA$1,0))</f>
        <v>17806</v>
      </c>
      <c r="L144" s="97">
        <f t="shared" ca="1" si="386"/>
        <v>2.1664074451369558E-2</v>
      </c>
      <c r="M144" s="98">
        <f t="shared" ca="1" si="515"/>
        <v>1.3891436550517304</v>
      </c>
      <c r="N144" s="77">
        <f t="shared" ca="1" si="591"/>
        <v>6784599.0642403243</v>
      </c>
      <c r="O144" s="77">
        <f t="shared" ca="1" si="592"/>
        <v>514.54066778663082</v>
      </c>
      <c r="P144" s="77">
        <f t="shared" ca="1" si="593"/>
        <v>16470.976236264061</v>
      </c>
      <c r="Q144" s="77">
        <f t="shared" ca="1" si="594"/>
        <v>0</v>
      </c>
      <c r="R144" s="77">
        <f t="shared" ca="1" si="595"/>
        <v>68487.806223811349</v>
      </c>
      <c r="S144" s="54">
        <f t="shared" ca="1" si="596"/>
        <v>691.79602246274078</v>
      </c>
      <c r="T144" s="53">
        <f ca="1">OFFSET('National statistics'!$A$6,MATCH(R0_estimation!$A144,'National statistics'!$A$7:$A$5000,0),MATCH(R0_estimation!T$16 &amp; "_Running14daysNew",'National statistics'!$B$1:$HA$1,0))</f>
        <v>13304</v>
      </c>
      <c r="U144" s="97">
        <f t="shared" ca="1" si="387"/>
        <v>1.1769239022738553</v>
      </c>
      <c r="V144" s="98">
        <f t="shared" ca="1" si="516"/>
        <v>0.50313552847557719</v>
      </c>
      <c r="W144" s="77">
        <f t="shared" ca="1" si="597"/>
        <v>2777856.1988507053</v>
      </c>
      <c r="X144" s="77">
        <f t="shared" ca="1" si="598"/>
        <v>4048.1254788023557</v>
      </c>
      <c r="Y144" s="77">
        <f t="shared" ca="1" si="599"/>
        <v>12417.259854889086</v>
      </c>
      <c r="Z144" s="77">
        <f t="shared" ca="1" si="600"/>
        <v>0</v>
      </c>
      <c r="AA144" s="77">
        <f t="shared" ca="1" si="601"/>
        <v>14540.669711577963</v>
      </c>
      <c r="AB144" s="54">
        <f t="shared" ca="1" si="602"/>
        <v>146.87545163210063</v>
      </c>
      <c r="AC144" s="53">
        <f ca="1">OFFSET('National statistics'!$A$6,MATCH(R0_estimation!$A144,'National statistics'!$A$7:$A$5000,0),MATCH(R0_estimation!AC$16 &amp; "_Running14daysNew",'National statistics'!$B$1:$HA$1,0))</f>
        <v>49515</v>
      </c>
      <c r="AD144" s="97">
        <f t="shared" ca="1" si="388"/>
        <v>0.14295215870982222</v>
      </c>
      <c r="AE144" s="98">
        <f t="shared" ca="1" si="517"/>
        <v>0.57565754152920057</v>
      </c>
      <c r="AF144" s="77">
        <f t="shared" ca="1" si="603"/>
        <v>15432028.372353444</v>
      </c>
      <c r="AG144" s="77">
        <f t="shared" ca="1" si="604"/>
        <v>3670.820635535119</v>
      </c>
      <c r="AH144" s="77">
        <f t="shared" ca="1" si="605"/>
        <v>50995.868096139129</v>
      </c>
      <c r="AI144" s="77">
        <f t="shared" ca="1" si="606"/>
        <v>0</v>
      </c>
      <c r="AJ144" s="77">
        <f t="shared" ca="1" si="607"/>
        <v>151213.69935927226</v>
      </c>
      <c r="AK144" s="54">
        <f t="shared" ca="1" si="608"/>
        <v>1527.4111046391138</v>
      </c>
      <c r="AL144" s="53">
        <f ca="1">OFFSET('National statistics'!$A$6,MATCH(R0_estimation!$A144,'National statistics'!$A$7:$A$5000,0),MATCH(R0_estimation!AL$16 &amp; "_Running14daysNew",'National statistics'!$B$1:$HA$1,0))</f>
        <v>39521</v>
      </c>
      <c r="AM144" s="97">
        <f t="shared" ca="1" si="389"/>
        <v>0.92006151916402468</v>
      </c>
      <c r="AN144" s="98">
        <f t="shared" ca="1" si="518"/>
        <v>0.74495013848278369</v>
      </c>
      <c r="AO144" s="77">
        <f t="shared" ca="1" si="609"/>
        <v>10895432.52234854</v>
      </c>
      <c r="AP144" s="77">
        <f t="shared" ca="1" si="610"/>
        <v>10281.790040871592</v>
      </c>
      <c r="AQ144" s="77">
        <f t="shared" ca="1" si="611"/>
        <v>37901.142185880446</v>
      </c>
      <c r="AR144" s="77">
        <f t="shared" ca="1" si="612"/>
        <v>0</v>
      </c>
      <c r="AS144" s="77">
        <f t="shared" ca="1" si="613"/>
        <v>56344.807937828831</v>
      </c>
      <c r="AT144" s="54">
        <f t="shared" ca="1" si="614"/>
        <v>569.13947411948311</v>
      </c>
      <c r="AU144" s="53">
        <f ca="1">OFFSET('National statistics'!$A$6,MATCH(R0_estimation!$A144,'National statistics'!$A$7:$A$5000,0),MATCH(R0_estimation!AU$16 &amp; "_Running14daysNew",'National statistics'!$B$1:$HA$1,0))</f>
        <v>4389</v>
      </c>
      <c r="AV144" s="97">
        <f t="shared" ca="1" si="390"/>
        <v>0.85842762525408822</v>
      </c>
      <c r="AW144" s="98">
        <f t="shared" ca="1" si="519"/>
        <v>0.85754424097138826</v>
      </c>
      <c r="AX144" s="77">
        <f t="shared" ca="1" si="615"/>
        <v>5842313.5476179803</v>
      </c>
      <c r="AY144" s="77">
        <f t="shared" ca="1" si="616"/>
        <v>1042.716840984426</v>
      </c>
      <c r="AZ144" s="77">
        <f t="shared" ca="1" si="617"/>
        <v>4028.8207419958294</v>
      </c>
      <c r="BA144" s="77">
        <f t="shared" ca="1" si="618"/>
        <v>0</v>
      </c>
      <c r="BB144" s="77">
        <f t="shared" ca="1" si="619"/>
        <v>6389.1946364273226</v>
      </c>
      <c r="BC144" s="54">
        <f t="shared" ca="1" si="620"/>
        <v>64.537319559871932</v>
      </c>
      <c r="BD144" s="53">
        <f ca="1">OFFSET('National statistics'!$A$6,MATCH(R0_estimation!$A144,'National statistics'!$A$7:$A$5000,0),MATCH(R0_estimation!BD$16 &amp; "_Running14daysNew",'National statistics'!$B$1:$HA$1,0))</f>
        <v>8037</v>
      </c>
      <c r="BE144" s="97">
        <f t="shared" ca="1" si="391"/>
        <v>1.3624483146705904</v>
      </c>
      <c r="BF144" s="98">
        <f t="shared" ca="1" si="520"/>
        <v>0.72178134408538486</v>
      </c>
      <c r="BG144" s="77">
        <f t="shared" ca="1" si="621"/>
        <v>4788251.5416805465</v>
      </c>
      <c r="BH144" s="77">
        <f t="shared" ca="1" si="622"/>
        <v>2982.4571571439869</v>
      </c>
      <c r="BI144" s="77">
        <f t="shared" ca="1" si="623"/>
        <v>8202.1838269552518</v>
      </c>
      <c r="BJ144" s="77">
        <f t="shared" ca="1" si="624"/>
        <v>0</v>
      </c>
      <c r="BK144" s="77">
        <f t="shared" ca="1" si="625"/>
        <v>9663.8391983574857</v>
      </c>
      <c r="BL144" s="54">
        <f t="shared" ca="1" si="626"/>
        <v>97.614537357146304</v>
      </c>
      <c r="BM144" s="53">
        <f ca="1">OFFSET('National statistics'!$A$6,MATCH(R0_estimation!$A144,'National statistics'!$A$7:$A$5000,0),MATCH(R0_estimation!BM$16 &amp; "_Running14daysNew",'National statistics'!$B$1:$HA$1,0))</f>
        <v>6314</v>
      </c>
      <c r="BN144" s="97">
        <f t="shared" ca="1" si="392"/>
        <v>0.3064754691900618</v>
      </c>
      <c r="BO144" s="98">
        <f t="shared" ca="1" si="521"/>
        <v>0.99326027081939861</v>
      </c>
      <c r="BP144" s="77">
        <f t="shared" ca="1" si="627"/>
        <v>4084058.3795674057</v>
      </c>
      <c r="BQ144" s="77">
        <f t="shared" ca="1" si="628"/>
        <v>810.28603025376822</v>
      </c>
      <c r="BR144" s="77">
        <f t="shared" ca="1" si="629"/>
        <v>6671.1356728226547</v>
      </c>
      <c r="BS144" s="77">
        <f t="shared" ca="1" si="630"/>
        <v>0</v>
      </c>
      <c r="BT144" s="77">
        <f t="shared" ca="1" si="631"/>
        <v>15934.414804660833</v>
      </c>
      <c r="BU144" s="54">
        <f t="shared" ca="1" si="632"/>
        <v>160.95368489556392</v>
      </c>
      <c r="BV144" s="53">
        <f ca="1">OFFSET('National statistics'!$A$6,MATCH(R0_estimation!$A144,'National statistics'!$A$7:$A$5000,0),MATCH(R0_estimation!BV$16 &amp; "_Running14daysNew",'National statistics'!$B$1:$HA$1,0))</f>
        <v>2764</v>
      </c>
      <c r="BW144" s="97">
        <f t="shared" ca="1" si="393"/>
        <v>1.6202596710853827</v>
      </c>
      <c r="BX144" s="98">
        <f t="shared" ca="1" si="522"/>
        <v>0.68996207341942262</v>
      </c>
      <c r="BY144" s="77">
        <f t="shared" ca="1" si="633"/>
        <v>1315397.0501524245</v>
      </c>
      <c r="BZ144" s="77">
        <f t="shared" ca="1" si="634"/>
        <v>1058.1655729947124</v>
      </c>
      <c r="CA144" s="77">
        <f t="shared" ca="1" si="635"/>
        <v>2574.5701945316928</v>
      </c>
      <c r="CB144" s="77">
        <f t="shared" ca="1" si="636"/>
        <v>0</v>
      </c>
      <c r="CC144" s="77">
        <f t="shared" ca="1" si="637"/>
        <v>3172.2700209023251</v>
      </c>
      <c r="CD144" s="54">
        <f t="shared" ca="1" si="638"/>
        <v>32.04313152426591</v>
      </c>
      <c r="CE144" s="53">
        <f ca="1">OFFSET('National statistics'!$A$6,MATCH(R0_estimation!$A144,'National statistics'!$A$7:$A$5000,0),MATCH(R0_estimation!CE$16 &amp; "_Running14daysNew",'National statistics'!$B$1:$HA$1,0))</f>
        <v>10778</v>
      </c>
      <c r="CF144" s="97">
        <f t="shared" ca="1" si="394"/>
        <v>0.56175899989322098</v>
      </c>
      <c r="CG144" s="98">
        <f t="shared" ca="1" si="523"/>
        <v>1.2165621122686727</v>
      </c>
      <c r="CH144" s="77">
        <f t="shared" ca="1" si="639"/>
        <v>7201762.6397216879</v>
      </c>
      <c r="CI144" s="77">
        <f t="shared" ca="1" si="640"/>
        <v>2028.7815293331071</v>
      </c>
      <c r="CJ144" s="77">
        <f t="shared" ca="1" si="641"/>
        <v>11356.144304591689</v>
      </c>
      <c r="CK144" s="77">
        <f t="shared" ca="1" si="642"/>
        <v>0</v>
      </c>
      <c r="CL144" s="77">
        <f t="shared" ca="1" si="643"/>
        <v>88837.985337439153</v>
      </c>
      <c r="CM144" s="54">
        <f t="shared" ca="1" si="644"/>
        <v>897.35338724686017</v>
      </c>
      <c r="CO144" s="209"/>
      <c r="CP144" s="210"/>
    </row>
    <row r="145" spans="1:94">
      <c r="A145" s="83">
        <f t="shared" si="584"/>
        <v>44045</v>
      </c>
      <c r="B145" s="53">
        <f ca="1">OFFSET('National statistics'!$A$6,MATCH(R0_estimation!$A145,'National statistics'!$A$7:$A$5000,0),MATCH(R0_estimation!B$16 &amp; "_Running14daysNew",'National statistics'!$B$1:$HA$1,0))</f>
        <v>147174</v>
      </c>
      <c r="C145" s="97">
        <f t="shared" ca="1" si="385"/>
        <v>0.52495785440847798</v>
      </c>
      <c r="D145" s="98">
        <f t="shared" si="645"/>
        <v>1</v>
      </c>
      <c r="E145" s="77">
        <f t="shared" ca="1" si="585"/>
        <v>59112422.711578056</v>
      </c>
      <c r="F145" s="77">
        <f t="shared" ca="1" si="586"/>
        <v>25571.627248341567</v>
      </c>
      <c r="G145" s="77">
        <f t="shared" ca="1" si="587"/>
        <v>147068.33671327226</v>
      </c>
      <c r="H145" s="77">
        <f t="shared" ca="1" si="588"/>
        <v>0</v>
      </c>
      <c r="I145" s="77">
        <f t="shared" ca="1" si="589"/>
        <v>428140.18903083162</v>
      </c>
      <c r="J145" s="54">
        <f t="shared" ca="1" si="590"/>
        <v>4324.6483740488065</v>
      </c>
      <c r="K145" s="53">
        <f ca="1">OFFSET('National statistics'!$A$6,MATCH(R0_estimation!$A145,'National statistics'!$A$7:$A$5000,0),MATCH(R0_estimation!K$16 &amp; "_Running14daysNew",'National statistics'!$B$1:$HA$1,0))</f>
        <v>16229</v>
      </c>
      <c r="L145" s="97">
        <f t="shared" ca="1" si="386"/>
        <v>2.1664074451369558E-2</v>
      </c>
      <c r="M145" s="98">
        <f t="shared" ca="1" si="515"/>
        <v>1.3891436550517304</v>
      </c>
      <c r="N145" s="77">
        <f t="shared" ca="1" si="591"/>
        <v>6784573.8935967749</v>
      </c>
      <c r="O145" s="77">
        <f t="shared" ca="1" si="592"/>
        <v>411.07614438912492</v>
      </c>
      <c r="P145" s="77">
        <f t="shared" ca="1" si="593"/>
        <v>15423.113100620429</v>
      </c>
      <c r="Q145" s="77">
        <f t="shared" ca="1" si="594"/>
        <v>0</v>
      </c>
      <c r="R145" s="77">
        <f t="shared" ca="1" si="595"/>
        <v>69652.539543375737</v>
      </c>
      <c r="S145" s="54">
        <f t="shared" ca="1" si="596"/>
        <v>703.56100548864367</v>
      </c>
      <c r="T145" s="53">
        <f ca="1">OFFSET('National statistics'!$A$6,MATCH(R0_estimation!$A145,'National statistics'!$A$7:$A$5000,0),MATCH(R0_estimation!T$16 &amp; "_Running14daysNew",'National statistics'!$B$1:$HA$1,0))</f>
        <v>13106</v>
      </c>
      <c r="U145" s="97">
        <f t="shared" ca="1" si="387"/>
        <v>1.1769239022738553</v>
      </c>
      <c r="V145" s="98">
        <f t="shared" ca="1" si="516"/>
        <v>0.50313552847557719</v>
      </c>
      <c r="W145" s="77">
        <f t="shared" ca="1" si="597"/>
        <v>2776823.8524809242</v>
      </c>
      <c r="X145" s="77">
        <f t="shared" ca="1" si="598"/>
        <v>4068.4404788827928</v>
      </c>
      <c r="Y145" s="77">
        <f t="shared" ca="1" si="599"/>
        <v>12542.344092097597</v>
      </c>
      <c r="Z145" s="77">
        <f t="shared" ca="1" si="600"/>
        <v>0</v>
      </c>
      <c r="AA145" s="77">
        <f t="shared" ca="1" si="601"/>
        <v>15418.74737274512</v>
      </c>
      <c r="AB145" s="54">
        <f t="shared" ca="1" si="602"/>
        <v>155.7449229570214</v>
      </c>
      <c r="AC145" s="53">
        <f ca="1">OFFSET('National statistics'!$A$6,MATCH(R0_estimation!$A145,'National statistics'!$A$7:$A$5000,0),MATCH(R0_estimation!AC$16 &amp; "_Running14daysNew",'National statistics'!$B$1:$HA$1,0))</f>
        <v>46915</v>
      </c>
      <c r="AD145" s="97">
        <f t="shared" ca="1" si="388"/>
        <v>0.14295215870982222</v>
      </c>
      <c r="AE145" s="98">
        <f t="shared" ca="1" si="517"/>
        <v>0.57565754152920057</v>
      </c>
      <c r="AF145" s="77">
        <f t="shared" ca="1" si="603"/>
        <v>15431514.515669869</v>
      </c>
      <c r="AG145" s="77">
        <f t="shared" ca="1" si="604"/>
        <v>3266.9721602258282</v>
      </c>
      <c r="AH145" s="77">
        <f t="shared" ca="1" si="605"/>
        <v>48271.011248155824</v>
      </c>
      <c r="AI145" s="77">
        <f t="shared" ca="1" si="606"/>
        <v>0</v>
      </c>
      <c r="AJ145" s="77">
        <f t="shared" ca="1" si="607"/>
        <v>154819.83574607066</v>
      </c>
      <c r="AK145" s="54">
        <f t="shared" ca="1" si="608"/>
        <v>1563.8367247077845</v>
      </c>
      <c r="AL145" s="53">
        <f ca="1">OFFSET('National statistics'!$A$6,MATCH(R0_estimation!$A145,'National statistics'!$A$7:$A$5000,0),MATCH(R0_estimation!AL$16 &amp; "_Running14daysNew",'National statistics'!$B$1:$HA$1,0))</f>
        <v>39085</v>
      </c>
      <c r="AM145" s="97">
        <f t="shared" ca="1" si="389"/>
        <v>0.92006151916402468</v>
      </c>
      <c r="AN145" s="98">
        <f t="shared" ca="1" si="518"/>
        <v>0.74495013848278369</v>
      </c>
      <c r="AO145" s="77">
        <f t="shared" ca="1" si="609"/>
        <v>10892965.378406584</v>
      </c>
      <c r="AP145" s="77">
        <f t="shared" ca="1" si="610"/>
        <v>10178.486472608965</v>
      </c>
      <c r="AQ145" s="77">
        <f t="shared" ca="1" si="611"/>
        <v>37764.365254249744</v>
      </c>
      <c r="AR145" s="77">
        <f t="shared" ca="1" si="612"/>
        <v>0</v>
      </c>
      <c r="AS145" s="77">
        <f t="shared" ca="1" si="613"/>
        <v>59024.960135258945</v>
      </c>
      <c r="AT145" s="54">
        <f t="shared" ca="1" si="614"/>
        <v>596.21171853796909</v>
      </c>
      <c r="AU145" s="53">
        <f ca="1">OFFSET('National statistics'!$A$6,MATCH(R0_estimation!$A145,'National statistics'!$A$7:$A$5000,0),MATCH(R0_estimation!AU$16 &amp; "_Running14daysNew",'National statistics'!$B$1:$HA$1,0))</f>
        <v>4116</v>
      </c>
      <c r="AV145" s="97">
        <f t="shared" ca="1" si="390"/>
        <v>0.85842762525408822</v>
      </c>
      <c r="AW145" s="98">
        <f t="shared" ca="1" si="519"/>
        <v>0.85754424097138826</v>
      </c>
      <c r="AX145" s="77">
        <f t="shared" ca="1" si="615"/>
        <v>5842066.9990507727</v>
      </c>
      <c r="AY145" s="77">
        <f t="shared" ca="1" si="616"/>
        <v>1028.5861979462957</v>
      </c>
      <c r="AZ145" s="77">
        <f t="shared" ca="1" si="617"/>
        <v>4001.7270420993764</v>
      </c>
      <c r="BA145" s="77">
        <f t="shared" ca="1" si="618"/>
        <v>0</v>
      </c>
      <c r="BB145" s="77">
        <f t="shared" ca="1" si="619"/>
        <v>6674.0898174684562</v>
      </c>
      <c r="BC145" s="54">
        <f t="shared" ca="1" si="620"/>
        <v>67.415048661297519</v>
      </c>
      <c r="BD145" s="53">
        <f ca="1">OFFSET('National statistics'!$A$6,MATCH(R0_estimation!$A145,'National statistics'!$A$7:$A$5000,0),MATCH(R0_estimation!BD$16 &amp; "_Running14daysNew",'National statistics'!$B$1:$HA$1,0))</f>
        <v>7991</v>
      </c>
      <c r="BE145" s="97">
        <f t="shared" ca="1" si="391"/>
        <v>1.3624483146705904</v>
      </c>
      <c r="BF145" s="98">
        <f t="shared" ca="1" si="520"/>
        <v>0.72178134408538486</v>
      </c>
      <c r="BG145" s="77">
        <f t="shared" ca="1" si="621"/>
        <v>4787456.7841601083</v>
      </c>
      <c r="BH145" s="77">
        <f t="shared" ca="1" si="622"/>
        <v>3031.6003882960094</v>
      </c>
      <c r="BI145" s="77">
        <f t="shared" ca="1" si="623"/>
        <v>8361.9278428873022</v>
      </c>
      <c r="BJ145" s="77">
        <f t="shared" ca="1" si="624"/>
        <v>0</v>
      </c>
      <c r="BK145" s="77">
        <f t="shared" ca="1" si="625"/>
        <v>10243.850768977893</v>
      </c>
      <c r="BL145" s="54">
        <f t="shared" ca="1" si="626"/>
        <v>103.47324009068576</v>
      </c>
      <c r="BM145" s="53">
        <f ca="1">OFFSET('National statistics'!$A$6,MATCH(R0_estimation!$A145,'National statistics'!$A$7:$A$5000,0),MATCH(R0_estimation!BM$16 &amp; "_Running14daysNew",'National statistics'!$B$1:$HA$1,0))</f>
        <v>5955</v>
      </c>
      <c r="BN145" s="97">
        <f t="shared" ca="1" si="392"/>
        <v>0.3064754691900618</v>
      </c>
      <c r="BO145" s="98">
        <f t="shared" ca="1" si="521"/>
        <v>0.99326027081939861</v>
      </c>
      <c r="BP145" s="77">
        <f t="shared" ca="1" si="627"/>
        <v>4083913.1735708998</v>
      </c>
      <c r="BQ145" s="77">
        <f t="shared" ca="1" si="628"/>
        <v>752.92051919602977</v>
      </c>
      <c r="BR145" s="77">
        <f t="shared" ca="1" si="629"/>
        <v>6397.1974894701925</v>
      </c>
      <c r="BS145" s="77">
        <f t="shared" ca="1" si="630"/>
        <v>0</v>
      </c>
      <c r="BT145" s="77">
        <f t="shared" ca="1" si="631"/>
        <v>16406.15939866758</v>
      </c>
      <c r="BU145" s="54">
        <f t="shared" ca="1" si="632"/>
        <v>165.71878180472297</v>
      </c>
      <c r="BV145" s="53">
        <f ca="1">OFFSET('National statistics'!$A$6,MATCH(R0_estimation!$A145,'National statistics'!$A$7:$A$5000,0),MATCH(R0_estimation!BV$16 &amp; "_Running14daysNew",'National statistics'!$B$1:$HA$1,0))</f>
        <v>2865</v>
      </c>
      <c r="BW145" s="97">
        <f t="shared" ca="1" si="393"/>
        <v>1.6202596710853827</v>
      </c>
      <c r="BX145" s="98">
        <f t="shared" ca="1" si="522"/>
        <v>0.68996207341942262</v>
      </c>
      <c r="BY145" s="77">
        <f t="shared" ca="1" si="633"/>
        <v>1315100.6213773885</v>
      </c>
      <c r="BZ145" s="77">
        <f t="shared" ca="1" si="634"/>
        <v>1090.0529547819688</v>
      </c>
      <c r="CA145" s="77">
        <f t="shared" ca="1" si="635"/>
        <v>2655.213716742393</v>
      </c>
      <c r="CB145" s="77">
        <f t="shared" ca="1" si="636"/>
        <v>0</v>
      </c>
      <c r="CC145" s="77">
        <f t="shared" ca="1" si="637"/>
        <v>3354.3289132299233</v>
      </c>
      <c r="CD145" s="54">
        <f t="shared" ca="1" si="638"/>
        <v>33.882110234645694</v>
      </c>
      <c r="CE145" s="53">
        <f ca="1">OFFSET('National statistics'!$A$6,MATCH(R0_estimation!$A145,'National statistics'!$A$7:$A$5000,0),MATCH(R0_estimation!CE$16 &amp; "_Running14daysNew",'National statistics'!$B$1:$HA$1,0))</f>
        <v>10912</v>
      </c>
      <c r="CF145" s="97">
        <f t="shared" ca="1" si="394"/>
        <v>0.56175899989322098</v>
      </c>
      <c r="CG145" s="98">
        <f t="shared" ca="1" si="523"/>
        <v>1.2165621122686727</v>
      </c>
      <c r="CH145" s="77">
        <f t="shared" ca="1" si="639"/>
        <v>7201313.3444957538</v>
      </c>
      <c r="CI145" s="77">
        <f t="shared" ca="1" si="640"/>
        <v>1970.8813729336855</v>
      </c>
      <c r="CJ145" s="77">
        <f t="shared" ca="1" si="641"/>
        <v>11052.186522311275</v>
      </c>
      <c r="CK145" s="77">
        <f t="shared" ca="1" si="642"/>
        <v>0</v>
      </c>
      <c r="CL145" s="77">
        <f t="shared" ca="1" si="643"/>
        <v>89641.026970406703</v>
      </c>
      <c r="CM145" s="54">
        <f t="shared" ca="1" si="644"/>
        <v>905.46491889299705</v>
      </c>
      <c r="CO145" s="209"/>
      <c r="CP145" s="210"/>
    </row>
    <row r="146" spans="1:94">
      <c r="A146" s="83">
        <f t="shared" si="584"/>
        <v>44046</v>
      </c>
      <c r="B146" s="53">
        <f ca="1">OFFSET('National statistics'!$A$6,MATCH(R0_estimation!$A146,'National statistics'!$A$7:$A$5000,0),MATCH(R0_estimation!B$16 &amp; "_Running14daysNew",'National statistics'!$B$1:$HA$1,0))</f>
        <v>143418</v>
      </c>
      <c r="C146" s="97">
        <f t="shared" ca="1" si="385"/>
        <v>0.52495785440847798</v>
      </c>
      <c r="D146" s="98">
        <f t="shared" si="645"/>
        <v>1</v>
      </c>
      <c r="E146" s="77">
        <f t="shared" ca="1" si="585"/>
        <v>59106963.574795403</v>
      </c>
      <c r="F146" s="77">
        <f t="shared" ca="1" si="586"/>
        <v>24637.857218913512</v>
      </c>
      <c r="G146" s="77">
        <f t="shared" ca="1" si="587"/>
        <v>142956.36233155249</v>
      </c>
      <c r="H146" s="77">
        <f t="shared" ca="1" si="588"/>
        <v>0</v>
      </c>
      <c r="I146" s="77">
        <f t="shared" ca="1" si="589"/>
        <v>438540.02141269873</v>
      </c>
      <c r="J146" s="54">
        <f t="shared" ca="1" si="590"/>
        <v>4429.6971859868581</v>
      </c>
      <c r="K146" s="53">
        <f ca="1">OFFSET('National statistics'!$A$6,MATCH(R0_estimation!$A146,'National statistics'!$A$7:$A$5000,0),MATCH(R0_estimation!K$16 &amp; "_Running14daysNew",'National statistics'!$B$1:$HA$1,0))</f>
        <v>14358</v>
      </c>
      <c r="L146" s="97">
        <f t="shared" ca="1" si="386"/>
        <v>2.1664074451369558E-2</v>
      </c>
      <c r="M146" s="98">
        <f t="shared" ca="1" si="515"/>
        <v>1.3891436550517304</v>
      </c>
      <c r="N146" s="77">
        <f t="shared" ca="1" si="591"/>
        <v>6784550.324325515</v>
      </c>
      <c r="O146" s="77">
        <f t="shared" ca="1" si="592"/>
        <v>331.87637955220248</v>
      </c>
      <c r="P146" s="77">
        <f t="shared" ca="1" si="593"/>
        <v>14424.231200959108</v>
      </c>
      <c r="Q146" s="77">
        <f t="shared" ca="1" si="594"/>
        <v>0</v>
      </c>
      <c r="R146" s="77">
        <f t="shared" ca="1" si="595"/>
        <v>70743.173969776748</v>
      </c>
      <c r="S146" s="54">
        <f t="shared" ca="1" si="596"/>
        <v>714.57751484622975</v>
      </c>
      <c r="T146" s="53">
        <f ca="1">OFFSET('National statistics'!$A$6,MATCH(R0_estimation!$A146,'National statistics'!$A$7:$A$5000,0),MATCH(R0_estimation!T$16 &amp; "_Running14daysNew",'National statistics'!$B$1:$HA$1,0))</f>
        <v>12978</v>
      </c>
      <c r="U146" s="97">
        <f t="shared" ca="1" si="387"/>
        <v>1.1769239022738553</v>
      </c>
      <c r="V146" s="98">
        <f t="shared" ca="1" si="516"/>
        <v>0.50313552847557719</v>
      </c>
      <c r="W146" s="77">
        <f t="shared" ca="1" si="597"/>
        <v>2775781.4910841146</v>
      </c>
      <c r="X146" s="77">
        <f t="shared" ca="1" si="598"/>
        <v>4093.6917559718322</v>
      </c>
      <c r="Y146" s="77">
        <f t="shared" ca="1" si="599"/>
        <v>12663.572490954182</v>
      </c>
      <c r="Z146" s="77">
        <f t="shared" ca="1" si="600"/>
        <v>0</v>
      </c>
      <c r="AA146" s="77">
        <f t="shared" ca="1" si="601"/>
        <v>16305.670276400593</v>
      </c>
      <c r="AB146" s="54">
        <f t="shared" ca="1" si="602"/>
        <v>164.70374016566254</v>
      </c>
      <c r="AC146" s="53">
        <f ca="1">OFFSET('National statistics'!$A$6,MATCH(R0_estimation!$A146,'National statistics'!$A$7:$A$5000,0),MATCH(R0_estimation!AC$16 &amp; "_Running14daysNew",'National statistics'!$B$1:$HA$1,0))</f>
        <v>45067</v>
      </c>
      <c r="AD146" s="97">
        <f t="shared" ca="1" si="388"/>
        <v>0.14295215870982222</v>
      </c>
      <c r="AE146" s="98">
        <f t="shared" ca="1" si="517"/>
        <v>0.57565754152920057</v>
      </c>
      <c r="AF146" s="77">
        <f t="shared" ca="1" si="603"/>
        <v>15431028.130899567</v>
      </c>
      <c r="AG146" s="77">
        <f t="shared" ca="1" si="604"/>
        <v>2936.6138904712443</v>
      </c>
      <c r="AH146" s="77">
        <f t="shared" ca="1" si="605"/>
        <v>45639.824913344004</v>
      </c>
      <c r="AI146" s="77">
        <f t="shared" ca="1" si="606"/>
        <v>0</v>
      </c>
      <c r="AJ146" s="77">
        <f t="shared" ca="1" si="607"/>
        <v>158233.28582719027</v>
      </c>
      <c r="AK146" s="54">
        <f t="shared" ca="1" si="608"/>
        <v>1598.3160184564672</v>
      </c>
      <c r="AL146" s="53">
        <f ca="1">OFFSET('National statistics'!$A$6,MATCH(R0_estimation!$A146,'National statistics'!$A$7:$A$5000,0),MATCH(R0_estimation!AL$16 &amp; "_Running14daysNew",'National statistics'!$B$1:$HA$1,0))</f>
        <v>38747</v>
      </c>
      <c r="AM146" s="97">
        <f t="shared" ca="1" si="389"/>
        <v>0.92006151916402468</v>
      </c>
      <c r="AN146" s="98">
        <f t="shared" ca="1" si="518"/>
        <v>0.74495013848278369</v>
      </c>
      <c r="AO146" s="77">
        <f t="shared" ca="1" si="609"/>
        <v>10890507.688438753</v>
      </c>
      <c r="AP146" s="77">
        <f t="shared" ca="1" si="610"/>
        <v>10091.554822288383</v>
      </c>
      <c r="AQ146" s="77">
        <f t="shared" ca="1" si="611"/>
        <v>37611.532211384147</v>
      </c>
      <c r="AR146" s="77">
        <f t="shared" ca="1" si="612"/>
        <v>0</v>
      </c>
      <c r="AS146" s="77">
        <f t="shared" ca="1" si="613"/>
        <v>61695.440249666608</v>
      </c>
      <c r="AT146" s="54">
        <f t="shared" ca="1" si="614"/>
        <v>623.18626514814753</v>
      </c>
      <c r="AU146" s="53">
        <f ca="1">OFFSET('National statistics'!$A$6,MATCH(R0_estimation!$A146,'National statistics'!$A$7:$A$5000,0),MATCH(R0_estimation!AU$16 &amp; "_Running14daysNew",'National statistics'!$B$1:$HA$1,0))</f>
        <v>4048</v>
      </c>
      <c r="AV146" s="97">
        <f t="shared" ca="1" si="390"/>
        <v>0.85842762525408822</v>
      </c>
      <c r="AW146" s="98">
        <f t="shared" ca="1" si="519"/>
        <v>0.85754424097138826</v>
      </c>
      <c r="AX146" s="77">
        <f t="shared" ca="1" si="615"/>
        <v>5841822.1187294805</v>
      </c>
      <c r="AY146" s="77">
        <f t="shared" ca="1" si="616"/>
        <v>1016.3199697519884</v>
      </c>
      <c r="AZ146" s="77">
        <f t="shared" ca="1" si="617"/>
        <v>3973.0359457217096</v>
      </c>
      <c r="BA146" s="77">
        <f t="shared" ca="1" si="618"/>
        <v>0</v>
      </c>
      <c r="BB146" s="77">
        <f t="shared" ca="1" si="619"/>
        <v>6957.0690868740548</v>
      </c>
      <c r="BC146" s="54">
        <f t="shared" ca="1" si="620"/>
        <v>70.27342511993993</v>
      </c>
      <c r="BD146" s="53">
        <f ca="1">OFFSET('National statistics'!$A$6,MATCH(R0_estimation!$A146,'National statistics'!$A$7:$A$5000,0),MATCH(R0_estimation!BD$16 &amp; "_Running14daysNew",'National statistics'!$B$1:$HA$1,0))</f>
        <v>8153</v>
      </c>
      <c r="BE146" s="97">
        <f t="shared" ca="1" si="391"/>
        <v>1.3624483146705904</v>
      </c>
      <c r="BF146" s="98">
        <f t="shared" ca="1" si="520"/>
        <v>0.72178134408538486</v>
      </c>
      <c r="BG146" s="77">
        <f t="shared" ca="1" si="621"/>
        <v>4786646.6816051695</v>
      </c>
      <c r="BH146" s="77">
        <f t="shared" ca="1" si="622"/>
        <v>3083.8028461606582</v>
      </c>
      <c r="BI146" s="77">
        <f t="shared" ca="1" si="623"/>
        <v>8522.5473797550676</v>
      </c>
      <c r="BJ146" s="77">
        <f t="shared" ca="1" si="624"/>
        <v>0</v>
      </c>
      <c r="BK146" s="77">
        <f t="shared" ca="1" si="625"/>
        <v>10835.158523582066</v>
      </c>
      <c r="BL146" s="54">
        <f t="shared" ca="1" si="626"/>
        <v>109.44604569274813</v>
      </c>
      <c r="BM146" s="53">
        <f ca="1">OFFSET('National statistics'!$A$6,MATCH(R0_estimation!$A146,'National statistics'!$A$7:$A$5000,0),MATCH(R0_estimation!BM$16 &amp; "_Running14daysNew",'National statistics'!$B$1:$HA$1,0))</f>
        <v>5812</v>
      </c>
      <c r="BN146" s="97">
        <f t="shared" ca="1" si="392"/>
        <v>0.3064754691900618</v>
      </c>
      <c r="BO146" s="98">
        <f t="shared" ca="1" si="521"/>
        <v>0.99326027081939861</v>
      </c>
      <c r="BP146" s="77">
        <f t="shared" ca="1" si="627"/>
        <v>4083773.9349865532</v>
      </c>
      <c r="BQ146" s="77">
        <f t="shared" ca="1" si="628"/>
        <v>703.92897374345876</v>
      </c>
      <c r="BR146" s="77">
        <f t="shared" ca="1" si="629"/>
        <v>6128.4849414499004</v>
      </c>
      <c r="BS146" s="77">
        <f t="shared" ca="1" si="630"/>
        <v>0</v>
      </c>
      <c r="BT146" s="77">
        <f t="shared" ca="1" si="631"/>
        <v>16858.532649708686</v>
      </c>
      <c r="BU146" s="54">
        <f t="shared" ca="1" si="632"/>
        <v>170.28820858291596</v>
      </c>
      <c r="BV146" s="53">
        <f ca="1">OFFSET('National statistics'!$A$6,MATCH(R0_estimation!$A146,'National statistics'!$A$7:$A$5000,0),MATCH(R0_estimation!BV$16 &amp; "_Running14daysNew",'National statistics'!$B$1:$HA$1,0))</f>
        <v>2951</v>
      </c>
      <c r="BW146" s="97">
        <f t="shared" ca="1" si="393"/>
        <v>1.6202596710853827</v>
      </c>
      <c r="BX146" s="98">
        <f t="shared" ca="1" si="522"/>
        <v>0.68996207341942262</v>
      </c>
      <c r="BY146" s="77">
        <f t="shared" ca="1" si="633"/>
        <v>1314794.976002346</v>
      </c>
      <c r="BZ146" s="77">
        <f t="shared" ca="1" si="634"/>
        <v>1123.1850911290105</v>
      </c>
      <c r="CA146" s="77">
        <f t="shared" ca="1" si="635"/>
        <v>2738.0688328134288</v>
      </c>
      <c r="CB146" s="77">
        <f t="shared" ca="1" si="636"/>
        <v>0</v>
      </c>
      <c r="CC146" s="77">
        <f t="shared" ca="1" si="637"/>
        <v>3542.0904546281354</v>
      </c>
      <c r="CD146" s="54">
        <f t="shared" ca="1" si="638"/>
        <v>35.778691460890258</v>
      </c>
      <c r="CE146" s="53">
        <f ca="1">OFFSET('National statistics'!$A$6,MATCH(R0_estimation!$A146,'National statistics'!$A$7:$A$5000,0),MATCH(R0_estimation!CE$16 &amp; "_Running14daysNew",'National statistics'!$B$1:$HA$1,0))</f>
        <v>11304</v>
      </c>
      <c r="CF146" s="97">
        <f t="shared" ca="1" si="394"/>
        <v>0.56175899989322098</v>
      </c>
      <c r="CG146" s="98">
        <f t="shared" ca="1" si="523"/>
        <v>1.2165621122686727</v>
      </c>
      <c r="CH146" s="77">
        <f t="shared" ca="1" si="639"/>
        <v>7200876.1018694015</v>
      </c>
      <c r="CI146" s="77">
        <f t="shared" ca="1" si="640"/>
        <v>1915.4036560525433</v>
      </c>
      <c r="CJ146" s="77">
        <f t="shared" ca="1" si="641"/>
        <v>10755.46497109389</v>
      </c>
      <c r="CK146" s="77">
        <f t="shared" ca="1" si="642"/>
        <v>0</v>
      </c>
      <c r="CL146" s="77">
        <f t="shared" ca="1" si="643"/>
        <v>90422.574445913007</v>
      </c>
      <c r="CM146" s="54">
        <f t="shared" ca="1" si="644"/>
        <v>913.35933783750511</v>
      </c>
      <c r="CO146" s="209"/>
      <c r="CP146" s="210"/>
    </row>
    <row r="147" spans="1:94">
      <c r="A147" s="83">
        <f t="shared" si="584"/>
        <v>44047</v>
      </c>
      <c r="B147" s="53">
        <f ca="1">OFFSET('National statistics'!$A$6,MATCH(R0_estimation!$A147,'National statistics'!$A$7:$A$5000,0),MATCH(R0_estimation!B$16 &amp; "_Running14daysNew",'National statistics'!$B$1:$HA$1,0))</f>
        <v>139516</v>
      </c>
      <c r="C147" s="97">
        <f t="shared" ref="C147:C162" ca="1" si="646">IF(ISERROR(OFFSET($O$4,MATCH(B$16,$N$5:$N$14,0),MATCH(TEXT($A147,"dd-mmm-yy") &amp; "_R0",$P$2:$AP$2,0))),C146,OFFSET($O$4,MATCH(B$16,$N$5:$N$14,0),MATCH(TEXT($A147,"dd-mmm-yy") &amp; "_R0",$P$2:$AP$2,0)))</f>
        <v>0.52495785440847798</v>
      </c>
      <c r="D147" s="98">
        <f t="shared" si="645"/>
        <v>1</v>
      </c>
      <c r="E147" s="77">
        <f t="shared" ca="1" si="585"/>
        <v>59101657.554117195</v>
      </c>
      <c r="F147" s="77">
        <f t="shared" ca="1" si="586"/>
        <v>23784.413592395682</v>
      </c>
      <c r="G147" s="77">
        <f t="shared" ca="1" si="587"/>
        <v>138904.65789831284</v>
      </c>
      <c r="H147" s="77">
        <f t="shared" ca="1" si="588"/>
        <v>0</v>
      </c>
      <c r="I147" s="77">
        <f t="shared" ca="1" si="589"/>
        <v>448649.07846328709</v>
      </c>
      <c r="J147" s="54">
        <f t="shared" ca="1" si="590"/>
        <v>4531.8088733665381</v>
      </c>
      <c r="K147" s="53">
        <f ca="1">OFFSET('National statistics'!$A$6,MATCH(R0_estimation!$A147,'National statistics'!$A$7:$A$5000,0),MATCH(R0_estimation!K$16 &amp; "_Running14daysNew",'National statistics'!$B$1:$HA$1,0))</f>
        <v>13085</v>
      </c>
      <c r="L147" s="97">
        <f t="shared" ref="L147:L162" ca="1" si="647">IF(ISERROR(OFFSET($O$4,MATCH(K$16,$N$5:$N$14,0),MATCH(TEXT($A147,"dd-mmm-yy") &amp; "_R0",$P$2:$AP$2,0))),L146,OFFSET($O$4,MATCH(K$16,$N$5:$N$14,0),MATCH(TEXT($A147,"dd-mmm-yy") &amp; "_R0",$P$2:$AP$2,0)))</f>
        <v>2.1664074451369558E-2</v>
      </c>
      <c r="M147" s="98">
        <f t="shared" ca="1" si="515"/>
        <v>1.3891436550517304</v>
      </c>
      <c r="N147" s="77">
        <f t="shared" ca="1" si="591"/>
        <v>6784528.2815654185</v>
      </c>
      <c r="O147" s="77">
        <f t="shared" ca="1" si="592"/>
        <v>270.95004476079333</v>
      </c>
      <c r="P147" s="77">
        <f t="shared" ca="1" si="593"/>
        <v>13476.898067207223</v>
      </c>
      <c r="Q147" s="77">
        <f t="shared" ca="1" si="594"/>
        <v>0</v>
      </c>
      <c r="R147" s="77">
        <f t="shared" ca="1" si="595"/>
        <v>71763.17317613028</v>
      </c>
      <c r="S147" s="54">
        <f t="shared" ca="1" si="596"/>
        <v>724.88053713262912</v>
      </c>
      <c r="T147" s="53">
        <f ca="1">OFFSET('National statistics'!$A$6,MATCH(R0_estimation!$A147,'National statistics'!$A$7:$A$5000,0),MATCH(R0_estimation!T$16 &amp; "_Running14daysNew",'National statistics'!$B$1:$HA$1,0))</f>
        <v>12981</v>
      </c>
      <c r="U147" s="97">
        <f t="shared" ref="U147:U162" ca="1" si="648">IF(ISERROR(OFFSET($O$4,MATCH(T$16,$N$5:$N$14,0),MATCH(TEXT($A147,"dd-mmm-yy") &amp; "_R0",$P$2:$AP$2,0))),U146,OFFSET($O$4,MATCH(T$16,$N$5:$N$14,0),MATCH(TEXT($A147,"dd-mmm-yy") &amp; "_R0",$P$2:$AP$2,0)))</f>
        <v>1.1769239022738553</v>
      </c>
      <c r="V147" s="98">
        <f t="shared" ca="1" si="516"/>
        <v>0.50313552847557719</v>
      </c>
      <c r="W147" s="77">
        <f t="shared" ca="1" si="597"/>
        <v>2774729.4464193429</v>
      </c>
      <c r="X147" s="77">
        <f t="shared" ca="1" si="598"/>
        <v>4122.3134817505879</v>
      </c>
      <c r="Y147" s="77">
        <f t="shared" ca="1" si="599"/>
        <v>12782.454537736128</v>
      </c>
      <c r="Z147" s="77">
        <f t="shared" ca="1" si="600"/>
        <v>0</v>
      </c>
      <c r="AA147" s="77">
        <f t="shared" ca="1" si="601"/>
        <v>17201.165759689495</v>
      </c>
      <c r="AB147" s="54">
        <f t="shared" ca="1" si="602"/>
        <v>173.74914908777268</v>
      </c>
      <c r="AC147" s="53">
        <f ca="1">OFFSET('National statistics'!$A$6,MATCH(R0_estimation!$A147,'National statistics'!$A$7:$A$5000,0),MATCH(R0_estimation!AC$16 &amp; "_Running14daysNew",'National statistics'!$B$1:$HA$1,0))</f>
        <v>43655</v>
      </c>
      <c r="AD147" s="97">
        <f t="shared" ref="AD147:AD162" ca="1" si="649">IF(ISERROR(OFFSET($O$4,MATCH(AC$16,$N$5:$N$14,0),MATCH(TEXT($A147,"dd-mmm-yy") &amp; "_R0",$P$2:$AP$2,0))),AD146,OFFSET($O$4,MATCH(AC$16,$N$5:$N$14,0),MATCH(TEXT($A147,"dd-mmm-yy") &amp; "_R0",$P$2:$AP$2,0)))</f>
        <v>0.14295215870982222</v>
      </c>
      <c r="AE147" s="98">
        <f t="shared" ca="1" si="517"/>
        <v>0.57565754152920057</v>
      </c>
      <c r="AF147" s="77">
        <f t="shared" ca="1" si="603"/>
        <v>15430568.271773916</v>
      </c>
      <c r="AG147" s="77">
        <f t="shared" ca="1" si="604"/>
        <v>2662.3195435042712</v>
      </c>
      <c r="AH147" s="77">
        <f t="shared" ca="1" si="605"/>
        <v>43113.990892151531</v>
      </c>
      <c r="AI147" s="77">
        <f t="shared" ca="1" si="606"/>
        <v>0</v>
      </c>
      <c r="AJ147" s="77">
        <f t="shared" ca="1" si="607"/>
        <v>161460.67344606246</v>
      </c>
      <c r="AK147" s="54">
        <f t="shared" ca="1" si="608"/>
        <v>1630.91589339457</v>
      </c>
      <c r="AL147" s="53">
        <f ca="1">OFFSET('National statistics'!$A$6,MATCH(R0_estimation!$A147,'National statistics'!$A$7:$A$5000,0),MATCH(R0_estimation!AL$16 &amp; "_Running14daysNew",'National statistics'!$B$1:$HA$1,0))</f>
        <v>38301</v>
      </c>
      <c r="AM147" s="97">
        <f t="shared" ref="AM147:AM162" ca="1" si="650">IF(ISERROR(OFFSET($O$4,MATCH(AL$16,$N$5:$N$14,0),MATCH(TEXT($A147,"dd-mmm-yy") &amp; "_R0",$P$2:$AP$2,0))),AM146,OFFSET($O$4,MATCH(AL$16,$N$5:$N$14,0),MATCH(TEXT($A147,"dd-mmm-yy") &amp; "_R0",$P$2:$AP$2,0)))</f>
        <v>0.92006151916402468</v>
      </c>
      <c r="AN147" s="98">
        <f t="shared" ca="1" si="518"/>
        <v>0.74495013848278369</v>
      </c>
      <c r="AO147" s="77">
        <f t="shared" ca="1" si="609"/>
        <v>10888060.491048045</v>
      </c>
      <c r="AP147" s="77">
        <f t="shared" ca="1" si="610"/>
        <v>10015.863507423141</v>
      </c>
      <c r="AQ147" s="77">
        <f t="shared" ca="1" si="611"/>
        <v>37447.882901857374</v>
      </c>
      <c r="AR147" s="77">
        <f t="shared" ca="1" si="612"/>
        <v>0</v>
      </c>
      <c r="AS147" s="77">
        <f t="shared" ca="1" si="613"/>
        <v>64355.112884614486</v>
      </c>
      <c r="AT147" s="54">
        <f t="shared" ca="1" si="614"/>
        <v>650.05164529913623</v>
      </c>
      <c r="AU147" s="53">
        <f ca="1">OFFSET('National statistics'!$A$6,MATCH(R0_estimation!$A147,'National statistics'!$A$7:$A$5000,0),MATCH(R0_estimation!AU$16 &amp; "_Running14daysNew",'National statistics'!$B$1:$HA$1,0))</f>
        <v>4034</v>
      </c>
      <c r="AV147" s="97">
        <f t="shared" ref="AV147:AV162" ca="1" si="651">IF(ISERROR(OFFSET($O$4,MATCH(AU$16,$N$5:$N$14,0),MATCH(TEXT($A147,"dd-mmm-yy") &amp; "_R0",$P$2:$AP$2,0))),AV146,OFFSET($O$4,MATCH(AU$16,$N$5:$N$14,0),MATCH(TEXT($A147,"dd-mmm-yy") &amp; "_R0",$P$2:$AP$2,0)))</f>
        <v>0.85842762525408822</v>
      </c>
      <c r="AW147" s="98">
        <f t="shared" ca="1" si="519"/>
        <v>0.85754424097138826</v>
      </c>
      <c r="AX147" s="77">
        <f t="shared" ca="1" si="615"/>
        <v>5841579.0041936412</v>
      </c>
      <c r="AY147" s="77">
        <f t="shared" ca="1" si="616"/>
        <v>1005.3545131535293</v>
      </c>
      <c r="AZ147" s="77">
        <f t="shared" ca="1" si="617"/>
        <v>3943.3276563224413</v>
      </c>
      <c r="BA147" s="77">
        <f t="shared" ca="1" si="618"/>
        <v>0</v>
      </c>
      <c r="BB147" s="77">
        <f t="shared" ca="1" si="619"/>
        <v>7238.0194858929472</v>
      </c>
      <c r="BC147" s="54">
        <f t="shared" ca="1" si="620"/>
        <v>73.111307938312578</v>
      </c>
      <c r="BD147" s="53">
        <f ca="1">OFFSET('National statistics'!$A$6,MATCH(R0_estimation!$A147,'National statistics'!$A$7:$A$5000,0),MATCH(R0_estimation!BD$16 &amp; "_Running14daysNew",'National statistics'!$B$1:$HA$1,0))</f>
        <v>8052</v>
      </c>
      <c r="BE147" s="97">
        <f t="shared" ref="BE147:BE162" ca="1" si="652">IF(ISERROR(OFFSET($O$4,MATCH(BD$16,$N$5:$N$14,0),MATCH(TEXT($A147,"dd-mmm-yy") &amp; "_R0",$P$2:$AP$2,0))),BE146,OFFSET($O$4,MATCH(BD$16,$N$5:$N$14,0),MATCH(TEXT($A147,"dd-mmm-yy") &amp; "_R0",$P$2:$AP$2,0)))</f>
        <v>1.3624483146705904</v>
      </c>
      <c r="BF147" s="98">
        <f t="shared" ca="1" si="520"/>
        <v>0.72178134408538486</v>
      </c>
      <c r="BG147" s="77">
        <f t="shared" ca="1" si="621"/>
        <v>4785821.1569371261</v>
      </c>
      <c r="BH147" s="77">
        <f t="shared" ca="1" si="622"/>
        <v>3138.3768026635262</v>
      </c>
      <c r="BI147" s="77">
        <f t="shared" ca="1" si="623"/>
        <v>8684.7447070270136</v>
      </c>
      <c r="BJ147" s="77">
        <f t="shared" ca="1" si="624"/>
        <v>0</v>
      </c>
      <c r="BK147" s="77">
        <f t="shared" ca="1" si="625"/>
        <v>11437.824374007603</v>
      </c>
      <c r="BL147" s="54">
        <f t="shared" ca="1" si="626"/>
        <v>115.53357953543032</v>
      </c>
      <c r="BM147" s="53">
        <f ca="1">OFFSET('National statistics'!$A$6,MATCH(R0_estimation!$A147,'National statistics'!$A$7:$A$5000,0),MATCH(R0_estimation!BM$16 &amp; "_Running14daysNew",'National statistics'!$B$1:$HA$1,0))</f>
        <v>5636</v>
      </c>
      <c r="BN147" s="97">
        <f t="shared" ref="BN147:BN162" ca="1" si="653">IF(ISERROR(OFFSET($O$4,MATCH(BM$16,$N$5:$N$14,0),MATCH(TEXT($A147,"dd-mmm-yy") &amp; "_R0",$P$2:$AP$2,0))),BN146,OFFSET($O$4,MATCH(BM$16,$N$5:$N$14,0),MATCH(TEXT($A147,"dd-mmm-yy") &amp; "_R0",$P$2:$AP$2,0)))</f>
        <v>0.3064754691900618</v>
      </c>
      <c r="BO147" s="98">
        <f t="shared" ca="1" si="521"/>
        <v>0.99326027081939861</v>
      </c>
      <c r="BP147" s="77">
        <f t="shared" ca="1" si="627"/>
        <v>4083640.5494806948</v>
      </c>
      <c r="BQ147" s="77">
        <f t="shared" ca="1" si="628"/>
        <v>661.33223616571024</v>
      </c>
      <c r="BR147" s="77">
        <f t="shared" ca="1" si="629"/>
        <v>5866.7182604964864</v>
      </c>
      <c r="BS147" s="77">
        <f t="shared" ca="1" si="630"/>
        <v>0</v>
      </c>
      <c r="BT147" s="77">
        <f t="shared" ca="1" si="631"/>
        <v>17291.904084854072</v>
      </c>
      <c r="BU147" s="54">
        <f t="shared" ca="1" si="632"/>
        <v>174.66569782680875</v>
      </c>
      <c r="BV147" s="53">
        <f ca="1">OFFSET('National statistics'!$A$6,MATCH(R0_estimation!$A147,'National statistics'!$A$7:$A$5000,0),MATCH(R0_estimation!BV$16 &amp; "_Running14daysNew",'National statistics'!$B$1:$HA$1,0))</f>
        <v>2840</v>
      </c>
      <c r="BW147" s="97">
        <f t="shared" ref="BW147:BW162" ca="1" si="654">IF(ISERROR(OFFSET($O$4,MATCH(BV$16,$N$5:$N$14,0),MATCH(TEXT($A147,"dd-mmm-yy") &amp; "_R0",$P$2:$AP$2,0))),BW146,OFFSET($O$4,MATCH(BV$16,$N$5:$N$14,0),MATCH(TEXT($A147,"dd-mmm-yy") &amp; "_R0",$P$2:$AP$2,0)))</f>
        <v>1.6202596710853827</v>
      </c>
      <c r="BX147" s="98">
        <f t="shared" ca="1" si="522"/>
        <v>0.68996207341942262</v>
      </c>
      <c r="BY147" s="77">
        <f t="shared" ca="1" si="633"/>
        <v>1314479.8658590333</v>
      </c>
      <c r="BZ147" s="77">
        <f t="shared" ca="1" si="634"/>
        <v>1157.4989616594696</v>
      </c>
      <c r="CA147" s="77">
        <f t="shared" ca="1" si="635"/>
        <v>2823.2887603947224</v>
      </c>
      <c r="CB147" s="77">
        <f t="shared" ca="1" si="636"/>
        <v>0</v>
      </c>
      <c r="CC147" s="77">
        <f t="shared" ca="1" si="637"/>
        <v>3735.7110363770848</v>
      </c>
      <c r="CD147" s="54">
        <f t="shared" ca="1" si="638"/>
        <v>37.734454912899849</v>
      </c>
      <c r="CE147" s="53">
        <f ca="1">OFFSET('National statistics'!$A$6,MATCH(R0_estimation!$A147,'National statistics'!$A$7:$A$5000,0),MATCH(R0_estimation!CE$16 &amp; "_Running14daysNew",'National statistics'!$B$1:$HA$1,0))</f>
        <v>10932</v>
      </c>
      <c r="CF147" s="97">
        <f t="shared" ref="CF147:CF162" ca="1" si="655">IF(ISERROR(OFFSET($O$4,MATCH(CE$16,$N$5:$N$14,0),MATCH(TEXT($A147,"dd-mmm-yy") &amp; "_R0",$P$2:$AP$2,0))),CF146,OFFSET($O$4,MATCH(CE$16,$N$5:$N$14,0),MATCH(TEXT($A147,"dd-mmm-yy") &amp; "_R0",$P$2:$AP$2,0)))</f>
        <v>0.56175899989322098</v>
      </c>
      <c r="CG147" s="98">
        <f t="shared" ca="1" si="523"/>
        <v>1.2165621122686727</v>
      </c>
      <c r="CH147" s="77">
        <f t="shared" ca="1" si="639"/>
        <v>7200450.623409762</v>
      </c>
      <c r="CI147" s="77">
        <f t="shared" ca="1" si="640"/>
        <v>1862.0312016784806</v>
      </c>
      <c r="CJ147" s="77">
        <f t="shared" ca="1" si="641"/>
        <v>10466.068387171748</v>
      </c>
      <c r="CK147" s="77">
        <f t="shared" ca="1" si="642"/>
        <v>0</v>
      </c>
      <c r="CL147" s="77">
        <f t="shared" ca="1" si="643"/>
        <v>91183.139468868932</v>
      </c>
      <c r="CM147" s="54">
        <f t="shared" ca="1" si="644"/>
        <v>921.04181281685794</v>
      </c>
      <c r="CO147" s="209"/>
      <c r="CP147" s="210"/>
    </row>
    <row r="148" spans="1:94">
      <c r="A148" s="83">
        <f t="shared" si="584"/>
        <v>44048</v>
      </c>
      <c r="B148" s="53">
        <f ca="1">OFFSET('National statistics'!$A$6,MATCH(R0_estimation!$A148,'National statistics'!$A$7:$A$5000,0),MATCH(R0_estimation!B$16 &amp; "_Running14daysNew",'National statistics'!$B$1:$HA$1,0))</f>
        <v>134929</v>
      </c>
      <c r="C148" s="97">
        <f t="shared" ca="1" si="646"/>
        <v>0.14033481105650308</v>
      </c>
      <c r="D148" s="98">
        <f t="shared" si="645"/>
        <v>1</v>
      </c>
      <c r="E148" s="77">
        <f t="shared" ca="1" si="585"/>
        <v>59096502.371988885</v>
      </c>
      <c r="F148" s="77">
        <f t="shared" ca="1" si="586"/>
        <v>22993.492322604045</v>
      </c>
      <c r="G148" s="77">
        <f t="shared" ca="1" si="587"/>
        <v>134929.00001796085</v>
      </c>
      <c r="H148" s="77">
        <f t="shared" ca="1" si="588"/>
        <v>0</v>
      </c>
      <c r="I148" s="77">
        <f t="shared" ca="1" si="589"/>
        <v>458471.62212895352</v>
      </c>
      <c r="J148" s="54">
        <f t="shared" ca="1" si="590"/>
        <v>4631.0264861510477</v>
      </c>
      <c r="K148" s="53">
        <f ca="1">OFFSET('National statistics'!$A$6,MATCH(R0_estimation!$A148,'National statistics'!$A$7:$A$5000,0),MATCH(R0_estimation!K$16 &amp; "_Running14daysNew",'National statistics'!$B$1:$HA$1,0))</f>
        <v>12582</v>
      </c>
      <c r="L148" s="97">
        <f t="shared" ca="1" si="647"/>
        <v>-0.14233324113941079</v>
      </c>
      <c r="M148" s="98">
        <f t="shared" ca="1" si="515"/>
        <v>1.3891436550517304</v>
      </c>
      <c r="N148" s="77">
        <f t="shared" ca="1" si="591"/>
        <v>6784507.686532855</v>
      </c>
      <c r="O148" s="77">
        <f t="shared" ca="1" si="592"/>
        <v>223.80756613439399</v>
      </c>
      <c r="P148" s="77">
        <f t="shared" ca="1" si="593"/>
        <v>12582.000002168334</v>
      </c>
      <c r="Q148" s="77">
        <f t="shared" ca="1" si="594"/>
        <v>0</v>
      </c>
      <c r="R148" s="77">
        <f t="shared" ca="1" si="595"/>
        <v>72716.182396597083</v>
      </c>
      <c r="S148" s="54">
        <f t="shared" ca="1" si="596"/>
        <v>734.50689289492004</v>
      </c>
      <c r="T148" s="53">
        <f ca="1">OFFSET('National statistics'!$A$6,MATCH(R0_estimation!$A148,'National statistics'!$A$7:$A$5000,0),MATCH(R0_estimation!T$16 &amp; "_Running14daysNew",'National statistics'!$B$1:$HA$1,0))</f>
        <v>12900</v>
      </c>
      <c r="U148" s="97">
        <f t="shared" ca="1" si="648"/>
        <v>0.24361083801578898</v>
      </c>
      <c r="V148" s="98">
        <f t="shared" ca="1" si="516"/>
        <v>0.50313552847557719</v>
      </c>
      <c r="W148" s="77">
        <f t="shared" ca="1" si="597"/>
        <v>2773667.9245145633</v>
      </c>
      <c r="X148" s="77">
        <f t="shared" ca="1" si="598"/>
        <v>4153.257016092437</v>
      </c>
      <c r="Y148" s="77">
        <f t="shared" ca="1" si="599"/>
        <v>12900.000441192622</v>
      </c>
      <c r="Z148" s="77">
        <f t="shared" ca="1" si="600"/>
        <v>0</v>
      </c>
      <c r="AA148" s="77">
        <f t="shared" ca="1" si="601"/>
        <v>18105.067902000836</v>
      </c>
      <c r="AB148" s="54">
        <f t="shared" ca="1" si="602"/>
        <v>182.87947375758421</v>
      </c>
      <c r="AC148" s="53">
        <f ca="1">OFFSET('National statistics'!$A$6,MATCH(R0_estimation!$A148,'National statistics'!$A$7:$A$5000,0),MATCH(R0_estimation!AC$16 &amp; "_Running14daysNew",'National statistics'!$B$1:$HA$1,0))</f>
        <v>40700</v>
      </c>
      <c r="AD148" s="97">
        <f t="shared" ca="1" si="649"/>
        <v>7.8723256669998659E-2</v>
      </c>
      <c r="AE148" s="98">
        <f t="shared" ca="1" si="517"/>
        <v>0.57565754152920057</v>
      </c>
      <c r="AF148" s="77">
        <f t="shared" ca="1" si="603"/>
        <v>15430133.874563171</v>
      </c>
      <c r="AG148" s="77">
        <f t="shared" ca="1" si="604"/>
        <v>2431.1368683729593</v>
      </c>
      <c r="AH148" s="77">
        <f t="shared" ca="1" si="605"/>
        <v>40700.000000016778</v>
      </c>
      <c r="AI148" s="77">
        <f t="shared" ca="1" si="606"/>
        <v>0</v>
      </c>
      <c r="AJ148" s="77">
        <f t="shared" ca="1" si="607"/>
        <v>164509.44851629317</v>
      </c>
      <c r="AK148" s="54">
        <f t="shared" ca="1" si="608"/>
        <v>1661.7116011746782</v>
      </c>
      <c r="AL148" s="53">
        <f ca="1">OFFSET('National statistics'!$A$6,MATCH(R0_estimation!$A148,'National statistics'!$A$7:$A$5000,0),MATCH(R0_estimation!AL$16 &amp; "_Running14daysNew",'National statistics'!$B$1:$HA$1,0))</f>
        <v>37277</v>
      </c>
      <c r="AM148" s="97">
        <f t="shared" ca="1" si="650"/>
        <v>0.10057482572509002</v>
      </c>
      <c r="AN148" s="98">
        <f t="shared" ca="1" si="518"/>
        <v>0.74495013848278369</v>
      </c>
      <c r="AO148" s="77">
        <f t="shared" ca="1" si="609"/>
        <v>10885624.483078515</v>
      </c>
      <c r="AP148" s="77">
        <f t="shared" ca="1" si="610"/>
        <v>9947.9056000975979</v>
      </c>
      <c r="AQ148" s="77">
        <f t="shared" ca="1" si="611"/>
        <v>37277.000000009059</v>
      </c>
      <c r="AR148" s="77">
        <f t="shared" ca="1" si="612"/>
        <v>0</v>
      </c>
      <c r="AS148" s="77">
        <f t="shared" ca="1" si="613"/>
        <v>67003.213175531549</v>
      </c>
      <c r="AT148" s="54">
        <f t="shared" ca="1" si="614"/>
        <v>676.8001330861772</v>
      </c>
      <c r="AU148" s="53">
        <f ca="1">OFFSET('National statistics'!$A$6,MATCH(R0_estimation!$A148,'National statistics'!$A$7:$A$5000,0),MATCH(R0_estimation!AU$16 &amp; "_Running14daysNew",'National statistics'!$B$1:$HA$1,0))</f>
        <v>3913</v>
      </c>
      <c r="AV148" s="97">
        <f t="shared" ca="1" si="651"/>
        <v>0.27204729164491237</v>
      </c>
      <c r="AW148" s="98">
        <f t="shared" ca="1" si="519"/>
        <v>0.85754424097138826</v>
      </c>
      <c r="AX148" s="77">
        <f t="shared" ca="1" si="615"/>
        <v>5841337.7174663059</v>
      </c>
      <c r="AY148" s="77">
        <f t="shared" ca="1" si="616"/>
        <v>995.30261220054331</v>
      </c>
      <c r="AZ148" s="77">
        <f t="shared" ca="1" si="617"/>
        <v>3913.0000234449353</v>
      </c>
      <c r="BA148" s="77">
        <f t="shared" ca="1" si="618"/>
        <v>0</v>
      </c>
      <c r="BB148" s="77">
        <f t="shared" ca="1" si="619"/>
        <v>7516.8690844471766</v>
      </c>
      <c r="BC148" s="54">
        <f t="shared" ca="1" si="620"/>
        <v>75.927970549971462</v>
      </c>
      <c r="BD148" s="53">
        <f ca="1">OFFSET('National statistics'!$A$6,MATCH(R0_estimation!$A148,'National statistics'!$A$7:$A$5000,0),MATCH(R0_estimation!BD$16 &amp; "_Running14daysNew",'National statistics'!$B$1:$HA$1,0))</f>
        <v>8849</v>
      </c>
      <c r="BE148" s="97">
        <f t="shared" ca="1" si="652"/>
        <v>7.3776335914324878E-2</v>
      </c>
      <c r="BF148" s="98">
        <f t="shared" ca="1" si="520"/>
        <v>0.72178134408538486</v>
      </c>
      <c r="BG148" s="77">
        <f t="shared" ca="1" si="621"/>
        <v>4784980.0652694069</v>
      </c>
      <c r="BH148" s="77">
        <f t="shared" ca="1" si="622"/>
        <v>3194.8742697171515</v>
      </c>
      <c r="BI148" s="77">
        <f t="shared" ca="1" si="623"/>
        <v>8849.0000000481068</v>
      </c>
      <c r="BJ148" s="77">
        <f t="shared" ca="1" si="624"/>
        <v>0</v>
      </c>
      <c r="BK148" s="77">
        <f t="shared" ca="1" si="625"/>
        <v>12051.959892575942</v>
      </c>
      <c r="BL148" s="54">
        <f t="shared" ca="1" si="626"/>
        <v>121.73696861187818</v>
      </c>
      <c r="BM148" s="53">
        <f ca="1">OFFSET('National statistics'!$A$6,MATCH(R0_estimation!$A148,'National statistics'!$A$7:$A$5000,0),MATCH(R0_estimation!BM$16 &amp; "_Running14daysNew",'National statistics'!$B$1:$HA$1,0))</f>
        <v>5613</v>
      </c>
      <c r="BN148" s="97">
        <f t="shared" ca="1" si="653"/>
        <v>0.30187606914172788</v>
      </c>
      <c r="BO148" s="98">
        <f t="shared" ca="1" si="521"/>
        <v>0.99326027081939861</v>
      </c>
      <c r="BP148" s="77">
        <f t="shared" ca="1" si="627"/>
        <v>4083512.8653197768</v>
      </c>
      <c r="BQ148" s="77">
        <f t="shared" ca="1" si="628"/>
        <v>623.683338042061</v>
      </c>
      <c r="BR148" s="77">
        <f t="shared" ca="1" si="629"/>
        <v>5613.0000152167368</v>
      </c>
      <c r="BS148" s="77">
        <f t="shared" ca="1" si="630"/>
        <v>0</v>
      </c>
      <c r="BT148" s="77">
        <f t="shared" ca="1" si="631"/>
        <v>17706.764876132038</v>
      </c>
      <c r="BU148" s="54">
        <f t="shared" ca="1" si="632"/>
        <v>178.85621087002053</v>
      </c>
      <c r="BV148" s="53">
        <f ca="1">OFFSET('National statistics'!$A$6,MATCH(R0_estimation!$A148,'National statistics'!$A$7:$A$5000,0),MATCH(R0_estimation!BV$16 &amp; "_Running14daysNew",'National statistics'!$B$1:$HA$1,0))</f>
        <v>2911</v>
      </c>
      <c r="BW148" s="97">
        <f t="shared" ca="1" si="654"/>
        <v>0.73469279903613482</v>
      </c>
      <c r="BX148" s="98">
        <f t="shared" ca="1" si="522"/>
        <v>0.68996207341942262</v>
      </c>
      <c r="BY148" s="77">
        <f t="shared" ca="1" si="633"/>
        <v>1314155.0255870235</v>
      </c>
      <c r="BZ148" s="77">
        <f t="shared" ca="1" si="634"/>
        <v>1192.9644932544841</v>
      </c>
      <c r="CA148" s="77">
        <f t="shared" ca="1" si="635"/>
        <v>2911.0000179242525</v>
      </c>
      <c r="CB148" s="77">
        <f t="shared" ca="1" si="636"/>
        <v>0</v>
      </c>
      <c r="CC148" s="77">
        <f t="shared" ca="1" si="637"/>
        <v>3935.3578844335689</v>
      </c>
      <c r="CD148" s="54">
        <f t="shared" ca="1" si="638"/>
        <v>39.751089741753219</v>
      </c>
      <c r="CE148" s="53">
        <f ca="1">OFFSET('National statistics'!$A$6,MATCH(R0_estimation!$A148,'National statistics'!$A$7:$A$5000,0),MATCH(R0_estimation!CE$16 &amp; "_Running14daysNew",'National statistics'!$B$1:$HA$1,0))</f>
        <v>10184</v>
      </c>
      <c r="CF148" s="97">
        <f t="shared" ca="1" si="655"/>
        <v>0.17553049825157571</v>
      </c>
      <c r="CG148" s="98">
        <f t="shared" ca="1" si="523"/>
        <v>1.2165621122686727</v>
      </c>
      <c r="CH148" s="77">
        <f t="shared" ca="1" si="639"/>
        <v>7200036.6172992233</v>
      </c>
      <c r="CI148" s="77">
        <f t="shared" ca="1" si="640"/>
        <v>1810.5295117978103</v>
      </c>
      <c r="CJ148" s="77">
        <f t="shared" ca="1" si="641"/>
        <v>10183.999874221958</v>
      </c>
      <c r="CK148" s="77">
        <f t="shared" ca="1" si="642"/>
        <v>0</v>
      </c>
      <c r="CL148" s="77">
        <f t="shared" ca="1" si="643"/>
        <v>91923.240019104647</v>
      </c>
      <c r="CM148" s="54">
        <f t="shared" ca="1" si="644"/>
        <v>928.5175759505521</v>
      </c>
      <c r="CO148" s="209"/>
      <c r="CP148" s="210"/>
    </row>
    <row r="149" spans="1:94">
      <c r="A149" s="83">
        <f t="shared" si="584"/>
        <v>44049</v>
      </c>
      <c r="B149" s="53">
        <f ca="1">OFFSET('National statistics'!$A$6,MATCH(R0_estimation!$A149,'National statistics'!$A$7:$A$5000,0),MATCH(R0_estimation!B$16 &amp; "_Running14daysNew",'National statistics'!$B$1:$HA$1,0))</f>
        <v>130132</v>
      </c>
      <c r="C149" s="97">
        <f t="shared" ca="1" si="646"/>
        <v>0.14033481105650308</v>
      </c>
      <c r="D149" s="98">
        <f t="shared" si="645"/>
        <v>1</v>
      </c>
      <c r="E149" s="77">
        <f t="shared" ca="1" si="585"/>
        <v>59095163.816681869</v>
      </c>
      <c r="F149" s="77">
        <f t="shared" ca="1" si="586"/>
        <v>18583.674548971776</v>
      </c>
      <c r="G149" s="77">
        <f t="shared" ca="1" si="587"/>
        <v>131039.58738304322</v>
      </c>
      <c r="H149" s="77">
        <f t="shared" ca="1" si="588"/>
        <v>0</v>
      </c>
      <c r="I149" s="77">
        <f t="shared" ca="1" si="589"/>
        <v>468013.02998736646</v>
      </c>
      <c r="J149" s="54">
        <f t="shared" ca="1" si="590"/>
        <v>4727.4043433067336</v>
      </c>
      <c r="K149" s="53">
        <f ca="1">OFFSET('National statistics'!$A$6,MATCH(R0_estimation!$A149,'National statistics'!$A$7:$A$5000,0),MATCH(R0_estimation!K$16 &amp; "_Running14daysNew",'National statistics'!$B$1:$HA$1,0))</f>
        <v>11569</v>
      </c>
      <c r="L149" s="97">
        <f t="shared" ca="1" si="647"/>
        <v>-0.14233324113941079</v>
      </c>
      <c r="M149" s="98">
        <f t="shared" ca="1" si="515"/>
        <v>1.3891436550517304</v>
      </c>
      <c r="N149" s="77">
        <f t="shared" ca="1" si="591"/>
        <v>6784634.0110683544</v>
      </c>
      <c r="O149" s="77">
        <f t="shared" ca="1" si="592"/>
        <v>41.53113910139885</v>
      </c>
      <c r="P149" s="77">
        <f t="shared" ca="1" si="593"/>
        <v>11739.237607832767</v>
      </c>
      <c r="Q149" s="77">
        <f t="shared" ca="1" si="594"/>
        <v>0</v>
      </c>
      <c r="R149" s="77">
        <f t="shared" ca="1" si="595"/>
        <v>73605.909539607557</v>
      </c>
      <c r="S149" s="54">
        <f t="shared" ca="1" si="596"/>
        <v>743.49403575361168</v>
      </c>
      <c r="T149" s="53">
        <f ca="1">OFFSET('National statistics'!$A$6,MATCH(R0_estimation!$A149,'National statistics'!$A$7:$A$5000,0),MATCH(R0_estimation!T$16 &amp; "_Running14daysNew",'National statistics'!$B$1:$HA$1,0))</f>
        <v>12680</v>
      </c>
      <c r="U149" s="97">
        <f t="shared" ca="1" si="648"/>
        <v>0.24361083801578898</v>
      </c>
      <c r="V149" s="98">
        <f t="shared" ca="1" si="516"/>
        <v>0.50313552847557719</v>
      </c>
      <c r="W149" s="77">
        <f t="shared" ca="1" si="597"/>
        <v>2773446.2642310997</v>
      </c>
      <c r="X149" s="77">
        <f t="shared" ca="1" si="598"/>
        <v>3336.6030455328537</v>
      </c>
      <c r="Y149" s="77">
        <f t="shared" ca="1" si="599"/>
        <v>13016.886092273402</v>
      </c>
      <c r="Z149" s="77">
        <f t="shared" ca="1" si="600"/>
        <v>0</v>
      </c>
      <c r="AA149" s="77">
        <f t="shared" ca="1" si="601"/>
        <v>19017.282218913744</v>
      </c>
      <c r="AB149" s="54">
        <f t="shared" ca="1" si="602"/>
        <v>192.09375978700751</v>
      </c>
      <c r="AC149" s="53">
        <f ca="1">OFFSET('National statistics'!$A$6,MATCH(R0_estimation!$A149,'National statistics'!$A$7:$A$5000,0),MATCH(R0_estimation!AC$16 &amp; "_Running14daysNew",'National statistics'!$B$1:$HA$1,0))</f>
        <v>38777</v>
      </c>
      <c r="AD149" s="97">
        <f t="shared" ca="1" si="649"/>
        <v>7.8723256669998659E-2</v>
      </c>
      <c r="AE149" s="98">
        <f t="shared" ca="1" si="517"/>
        <v>0.57565754152920057</v>
      </c>
      <c r="AF149" s="77">
        <f t="shared" ca="1" si="603"/>
        <v>15429908.053642089</v>
      </c>
      <c r="AG149" s="77">
        <f t="shared" ca="1" si="604"/>
        <v>2049.1735723616157</v>
      </c>
      <c r="AH149" s="77">
        <f t="shared" ca="1" si="605"/>
        <v>38400.641359965965</v>
      </c>
      <c r="AI149" s="77">
        <f t="shared" ca="1" si="606"/>
        <v>0</v>
      </c>
      <c r="AJ149" s="77">
        <f t="shared" ca="1" si="607"/>
        <v>167387.51994486578</v>
      </c>
      <c r="AK149" s="54">
        <f t="shared" ca="1" si="608"/>
        <v>1690.7830297461187</v>
      </c>
      <c r="AL149" s="53">
        <f ca="1">OFFSET('National statistics'!$A$6,MATCH(R0_estimation!$A149,'National statistics'!$A$7:$A$5000,0),MATCH(R0_estimation!AL$16 &amp; "_Running14daysNew",'National statistics'!$B$1:$HA$1,0))</f>
        <v>36709</v>
      </c>
      <c r="AM149" s="97">
        <f t="shared" ca="1" si="650"/>
        <v>0.10057482572509002</v>
      </c>
      <c r="AN149" s="98">
        <f t="shared" ca="1" si="518"/>
        <v>0.74495013848278369</v>
      </c>
      <c r="AO149" s="77">
        <f t="shared" ca="1" si="609"/>
        <v>10885359.469156358</v>
      </c>
      <c r="AP149" s="77">
        <f t="shared" ca="1" si="610"/>
        <v>7725.9431222308576</v>
      </c>
      <c r="AQ149" s="77">
        <f t="shared" ca="1" si="611"/>
        <v>37101.333542889952</v>
      </c>
      <c r="AR149" s="77">
        <f t="shared" ca="1" si="612"/>
        <v>0</v>
      </c>
      <c r="AS149" s="77">
        <f t="shared" ca="1" si="613"/>
        <v>69639.229604103617</v>
      </c>
      <c r="AT149" s="54">
        <f t="shared" ca="1" si="614"/>
        <v>703.42656165761218</v>
      </c>
      <c r="AU149" s="53">
        <f ca="1">OFFSET('National statistics'!$A$6,MATCH(R0_estimation!$A149,'National statistics'!$A$7:$A$5000,0),MATCH(R0_estimation!AU$16 &amp; "_Running14daysNew",'National statistics'!$B$1:$HA$1,0))</f>
        <v>3805</v>
      </c>
      <c r="AV149" s="97">
        <f t="shared" ca="1" si="651"/>
        <v>0.27204729164491237</v>
      </c>
      <c r="AW149" s="98">
        <f t="shared" ca="1" si="519"/>
        <v>0.85754424097138826</v>
      </c>
      <c r="AX149" s="77">
        <f t="shared" ca="1" si="615"/>
        <v>5841261.8416441055</v>
      </c>
      <c r="AY149" s="77">
        <f t="shared" ca="1" si="616"/>
        <v>822.35278135059912</v>
      </c>
      <c r="AZ149" s="77">
        <f t="shared" ca="1" si="617"/>
        <v>3882.3256748204331</v>
      </c>
      <c r="BA149" s="77">
        <f t="shared" ca="1" si="618"/>
        <v>0</v>
      </c>
      <c r="BB149" s="77">
        <f t="shared" ca="1" si="619"/>
        <v>7793.5740861050681</v>
      </c>
      <c r="BC149" s="54">
        <f t="shared" ca="1" si="620"/>
        <v>78.722970566717848</v>
      </c>
      <c r="BD149" s="53">
        <f ca="1">OFFSET('National statistics'!$A$6,MATCH(R0_estimation!$A149,'National statistics'!$A$7:$A$5000,0),MATCH(R0_estimation!BD$16 &amp; "_Running14daysNew",'National statistics'!$B$1:$HA$1,0))</f>
        <v>8816</v>
      </c>
      <c r="BE149" s="97">
        <f t="shared" ca="1" si="652"/>
        <v>7.3776335914324878E-2</v>
      </c>
      <c r="BF149" s="98">
        <f t="shared" ca="1" si="520"/>
        <v>0.72178134408538486</v>
      </c>
      <c r="BG149" s="77">
        <f t="shared" ca="1" si="621"/>
        <v>4784933.667004182</v>
      </c>
      <c r="BH149" s="77">
        <f t="shared" ca="1" si="622"/>
        <v>2442.5539675129626</v>
      </c>
      <c r="BI149" s="77">
        <f t="shared" ca="1" si="623"/>
        <v>9015.6471389025301</v>
      </c>
      <c r="BJ149" s="77">
        <f t="shared" ca="1" si="624"/>
        <v>0</v>
      </c>
      <c r="BK149" s="77">
        <f t="shared" ca="1" si="625"/>
        <v>12677.710606865057</v>
      </c>
      <c r="BL149" s="54">
        <f t="shared" ca="1" si="626"/>
        <v>128.05768289762682</v>
      </c>
      <c r="BM149" s="53">
        <f ca="1">OFFSET('National statistics'!$A$6,MATCH(R0_estimation!$A149,'National statistics'!$A$7:$A$5000,0),MATCH(R0_estimation!BM$16 &amp; "_Running14daysNew",'National statistics'!$B$1:$HA$1,0))</f>
        <v>5143</v>
      </c>
      <c r="BN149" s="97">
        <f t="shared" ca="1" si="653"/>
        <v>0.30187606914172788</v>
      </c>
      <c r="BO149" s="98">
        <f t="shared" ca="1" si="521"/>
        <v>0.99326027081939861</v>
      </c>
      <c r="BP149" s="77">
        <f t="shared" ca="1" si="627"/>
        <v>4083392.540098473</v>
      </c>
      <c r="BQ149" s="77">
        <f t="shared" ca="1" si="628"/>
        <v>588.08772483519624</v>
      </c>
      <c r="BR149" s="77">
        <f t="shared" ca="1" si="629"/>
        <v>5367.9922772117707</v>
      </c>
      <c r="BS149" s="77">
        <f t="shared" ca="1" si="630"/>
        <v>0</v>
      </c>
      <c r="BT149" s="77">
        <f t="shared" ca="1" si="631"/>
        <v>18103.684162922364</v>
      </c>
      <c r="BU149" s="54">
        <f t="shared" ca="1" si="632"/>
        <v>182.86549659517536</v>
      </c>
      <c r="BV149" s="53">
        <f ca="1">OFFSET('National statistics'!$A$6,MATCH(R0_estimation!$A149,'National statistics'!$A$7:$A$5000,0),MATCH(R0_estimation!BV$16 &amp; "_Running14daysNew",'National statistics'!$B$1:$HA$1,0))</f>
        <v>2962</v>
      </c>
      <c r="BW149" s="97">
        <f t="shared" ca="1" si="654"/>
        <v>0.73469279903613482</v>
      </c>
      <c r="BX149" s="98">
        <f t="shared" ca="1" si="522"/>
        <v>0.68996207341942262</v>
      </c>
      <c r="BY149" s="77">
        <f t="shared" ca="1" si="633"/>
        <v>1314003.190808773</v>
      </c>
      <c r="BZ149" s="77">
        <f t="shared" ca="1" si="634"/>
        <v>1046.5581481912141</v>
      </c>
      <c r="CA149" s="77">
        <f t="shared" ca="1" si="635"/>
        <v>3001.3125685289983</v>
      </c>
      <c r="CB149" s="77">
        <f t="shared" ca="1" si="636"/>
        <v>0</v>
      </c>
      <c r="CC149" s="77">
        <f t="shared" ca="1" si="637"/>
        <v>4141.2071714153553</v>
      </c>
      <c r="CD149" s="54">
        <f t="shared" ca="1" si="638"/>
        <v>41.830375468841972</v>
      </c>
      <c r="CE149" s="53">
        <f ca="1">OFFSET('National statistics'!$A$6,MATCH(R0_estimation!$A149,'National statistics'!$A$7:$A$5000,0),MATCH(R0_estimation!CE$16 &amp; "_Running14daysNew",'National statistics'!$B$1:$HA$1,0))</f>
        <v>9671</v>
      </c>
      <c r="CF149" s="97">
        <f t="shared" ca="1" si="655"/>
        <v>0.17553049825157571</v>
      </c>
      <c r="CG149" s="98">
        <f t="shared" ca="1" si="523"/>
        <v>1.2165621122686727</v>
      </c>
      <c r="CH149" s="77">
        <f t="shared" ca="1" si="639"/>
        <v>7199910.7480655862</v>
      </c>
      <c r="CI149" s="77">
        <f t="shared" ca="1" si="640"/>
        <v>1483.7663674851381</v>
      </c>
      <c r="CJ149" s="77">
        <f t="shared" ca="1" si="641"/>
        <v>9909.2036897269845</v>
      </c>
      <c r="CK149" s="77">
        <f t="shared" ca="1" si="642"/>
        <v>0</v>
      </c>
      <c r="CL149" s="77">
        <f t="shared" ca="1" si="643"/>
        <v>92643.394295924634</v>
      </c>
      <c r="CM149" s="54">
        <f t="shared" ca="1" si="644"/>
        <v>935.79186157499635</v>
      </c>
      <c r="CO149" s="209"/>
      <c r="CP149" s="210"/>
    </row>
    <row r="150" spans="1:94">
      <c r="A150" s="83">
        <f t="shared" si="584"/>
        <v>44050</v>
      </c>
      <c r="B150" s="53">
        <f ca="1">OFFSET('National statistics'!$A$6,MATCH(R0_estimation!$A150,'National statistics'!$A$7:$A$5000,0),MATCH(R0_estimation!B$16 &amp; "_Running14daysNew",'National statistics'!$B$1:$HA$1,0))</f>
        <v>123480</v>
      </c>
      <c r="C150" s="97">
        <f t="shared" ca="1" si="646"/>
        <v>0.14033481105650308</v>
      </c>
      <c r="D150" s="98">
        <f t="shared" si="645"/>
        <v>1</v>
      </c>
      <c r="E150" s="77">
        <f t="shared" ca="1" si="585"/>
        <v>59093863.8734136</v>
      </c>
      <c r="F150" s="77">
        <f t="shared" ca="1" si="586"/>
        <v>15237.699179999778</v>
      </c>
      <c r="G150" s="77">
        <f t="shared" ca="1" si="587"/>
        <v>126325.53549292595</v>
      </c>
      <c r="H150" s="77">
        <f t="shared" ca="1" si="588"/>
        <v>0</v>
      </c>
      <c r="I150" s="77">
        <f t="shared" ca="1" si="589"/>
        <v>477279.4008094531</v>
      </c>
      <c r="J150" s="54">
        <f t="shared" ca="1" si="590"/>
        <v>4821.0040485803356</v>
      </c>
      <c r="K150" s="53">
        <f ca="1">OFFSET('National statistics'!$A$6,MATCH(R0_estimation!$A150,'National statistics'!$A$7:$A$5000,0),MATCH(R0_estimation!K$16 &amp; "_Running14daysNew",'National statistics'!$B$1:$HA$1,0))</f>
        <v>10277</v>
      </c>
      <c r="L150" s="97">
        <f t="shared" ca="1" si="647"/>
        <v>-0.14233324113941079</v>
      </c>
      <c r="M150" s="98">
        <f t="shared" ca="1" si="515"/>
        <v>1.3891436550517304</v>
      </c>
      <c r="N150" s="77">
        <f t="shared" ca="1" si="591"/>
        <v>6784751.8765340671</v>
      </c>
      <c r="O150" s="77">
        <f t="shared" ca="1" si="592"/>
        <v>-86.717111387146787</v>
      </c>
      <c r="P150" s="77">
        <f t="shared" ca="1" si="593"/>
        <v>10911.103420620062</v>
      </c>
      <c r="Q150" s="77">
        <f t="shared" ca="1" si="594"/>
        <v>0</v>
      </c>
      <c r="R150" s="77">
        <f t="shared" ca="1" si="595"/>
        <v>74436.041341875738</v>
      </c>
      <c r="S150" s="54">
        <f t="shared" ca="1" si="596"/>
        <v>751.87920547349222</v>
      </c>
      <c r="T150" s="53">
        <f ca="1">OFFSET('National statistics'!$A$6,MATCH(R0_estimation!$A150,'National statistics'!$A$7:$A$5000,0),MATCH(R0_estimation!T$16 &amp; "_Running14daysNew",'National statistics'!$B$1:$HA$1,0))</f>
        <v>12335</v>
      </c>
      <c r="U150" s="97">
        <f t="shared" ca="1" si="648"/>
        <v>0.24361083801578898</v>
      </c>
      <c r="V150" s="98">
        <f t="shared" ca="1" si="516"/>
        <v>0.50313552847557719</v>
      </c>
      <c r="W150" s="77">
        <f t="shared" ca="1" si="597"/>
        <v>2773222.6126463497</v>
      </c>
      <c r="X150" s="77">
        <f t="shared" ca="1" si="598"/>
        <v>2726.1038688995786</v>
      </c>
      <c r="Y150" s="77">
        <f t="shared" ca="1" si="599"/>
        <v>12921.259275637087</v>
      </c>
      <c r="Z150" s="77">
        <f t="shared" ca="1" si="600"/>
        <v>0</v>
      </c>
      <c r="AA150" s="77">
        <f t="shared" ca="1" si="601"/>
        <v>19937.762021153078</v>
      </c>
      <c r="AB150" s="54">
        <f t="shared" ca="1" si="602"/>
        <v>201.39153556720279</v>
      </c>
      <c r="AC150" s="53">
        <f ca="1">OFFSET('National statistics'!$A$6,MATCH(R0_estimation!$A150,'National statistics'!$A$7:$A$5000,0),MATCH(R0_estimation!AC$16 &amp; "_Running14daysNew",'National statistics'!$B$1:$HA$1,0))</f>
        <v>36139</v>
      </c>
      <c r="AD150" s="97">
        <f t="shared" ca="1" si="649"/>
        <v>7.8723256669998659E-2</v>
      </c>
      <c r="AE150" s="98">
        <f t="shared" ca="1" si="517"/>
        <v>0.57565754152920057</v>
      </c>
      <c r="AF150" s="77">
        <f t="shared" ca="1" si="603"/>
        <v>15429694.993263403</v>
      </c>
      <c r="AG150" s="77">
        <f t="shared" ca="1" si="604"/>
        <v>1749.9405579575757</v>
      </c>
      <c r="AH150" s="77">
        <f t="shared" ca="1" si="605"/>
        <v>36170.031798773081</v>
      </c>
      <c r="AI150" s="77">
        <f t="shared" ca="1" si="606"/>
        <v>0</v>
      </c>
      <c r="AJ150" s="77">
        <f t="shared" ca="1" si="607"/>
        <v>170102.99386960623</v>
      </c>
      <c r="AK150" s="54">
        <f t="shared" ca="1" si="608"/>
        <v>1718.2120592889514</v>
      </c>
      <c r="AL150" s="53">
        <f ca="1">OFFSET('National statistics'!$A$6,MATCH(R0_estimation!$A150,'National statistics'!$A$7:$A$5000,0),MATCH(R0_estimation!AL$16 &amp; "_Running14daysNew",'National statistics'!$B$1:$HA$1,0))</f>
        <v>35682</v>
      </c>
      <c r="AM150" s="97">
        <f t="shared" ca="1" si="650"/>
        <v>0.10057482572509002</v>
      </c>
      <c r="AN150" s="98">
        <f t="shared" ca="1" si="518"/>
        <v>0.74495013848278369</v>
      </c>
      <c r="AO150" s="77">
        <f t="shared" ca="1" si="609"/>
        <v>10885095.709885299</v>
      </c>
      <c r="AP150" s="77">
        <f t="shared" ca="1" si="610"/>
        <v>6058.216612731585</v>
      </c>
      <c r="AQ150" s="77">
        <f t="shared" ca="1" si="611"/>
        <v>36382.724070384094</v>
      </c>
      <c r="AR150" s="77">
        <f t="shared" ca="1" si="612"/>
        <v>0</v>
      </c>
      <c r="AS150" s="77">
        <f t="shared" ca="1" si="613"/>
        <v>72262.823904636549</v>
      </c>
      <c r="AT150" s="54">
        <f t="shared" ca="1" si="614"/>
        <v>729.92751418824787</v>
      </c>
      <c r="AU150" s="53">
        <f ca="1">OFFSET('National statistics'!$A$6,MATCH(R0_estimation!$A150,'National statistics'!$A$7:$A$5000,0),MATCH(R0_estimation!AU$16 &amp; "_Running14daysNew",'National statistics'!$B$1:$HA$1,0))</f>
        <v>3744</v>
      </c>
      <c r="AV150" s="97">
        <f t="shared" ca="1" si="651"/>
        <v>0.27204729164491237</v>
      </c>
      <c r="AW150" s="98">
        <f t="shared" ca="1" si="519"/>
        <v>0.85754424097138826</v>
      </c>
      <c r="AX150" s="77">
        <f t="shared" ca="1" si="615"/>
        <v>5841186.5615610117</v>
      </c>
      <c r="AY150" s="77">
        <f t="shared" ca="1" si="616"/>
        <v>692.04466910631118</v>
      </c>
      <c r="AZ150" s="77">
        <f t="shared" ca="1" si="617"/>
        <v>3810.6048933851948</v>
      </c>
      <c r="BA150" s="77">
        <f t="shared" ca="1" si="618"/>
        <v>0</v>
      </c>
      <c r="BB150" s="77">
        <f t="shared" ca="1" si="619"/>
        <v>8068.1099731102277</v>
      </c>
      <c r="BC150" s="54">
        <f t="shared" ca="1" si="620"/>
        <v>81.496060334446724</v>
      </c>
      <c r="BD150" s="53">
        <f ca="1">OFFSET('National statistics'!$A$6,MATCH(R0_estimation!$A150,'National statistics'!$A$7:$A$5000,0),MATCH(R0_estimation!BD$16 &amp; "_Running14daysNew",'National statistics'!$B$1:$HA$1,0))</f>
        <v>8510</v>
      </c>
      <c r="BE150" s="97">
        <f t="shared" ca="1" si="652"/>
        <v>7.3776335914324878E-2</v>
      </c>
      <c r="BF150" s="98">
        <f t="shared" ca="1" si="520"/>
        <v>0.72178134408538486</v>
      </c>
      <c r="BG150" s="77">
        <f t="shared" ca="1" si="621"/>
        <v>4784886.395348548</v>
      </c>
      <c r="BH150" s="77">
        <f t="shared" ca="1" si="622"/>
        <v>1879.1871312691956</v>
      </c>
      <c r="BI150" s="77">
        <f t="shared" ca="1" si="623"/>
        <v>8982.3108351448755</v>
      </c>
      <c r="BJ150" s="77">
        <f t="shared" ca="1" si="624"/>
        <v>0</v>
      </c>
      <c r="BK150" s="77">
        <f t="shared" ca="1" si="625"/>
        <v>13315.245654544593</v>
      </c>
      <c r="BL150" s="54">
        <f t="shared" ca="1" si="626"/>
        <v>134.49743085398578</v>
      </c>
      <c r="BM150" s="53">
        <f ca="1">OFFSET('National statistics'!$A$6,MATCH(R0_estimation!$A150,'National statistics'!$A$7:$A$5000,0),MATCH(R0_estimation!BM$16 &amp; "_Running14daysNew",'National statistics'!$B$1:$HA$1,0))</f>
        <v>4767</v>
      </c>
      <c r="BN150" s="97">
        <f t="shared" ca="1" si="653"/>
        <v>0.30187606914172788</v>
      </c>
      <c r="BO150" s="98">
        <f t="shared" ca="1" si="521"/>
        <v>0.99326027081939861</v>
      </c>
      <c r="BP150" s="77">
        <f t="shared" ca="1" si="627"/>
        <v>4083277.4703576732</v>
      </c>
      <c r="BQ150" s="77">
        <f t="shared" ca="1" si="628"/>
        <v>556.13553442622435</v>
      </c>
      <c r="BR150" s="77">
        <f t="shared" ca="1" si="629"/>
        <v>5131.586188619729</v>
      </c>
      <c r="BS150" s="77">
        <f t="shared" ca="1" si="630"/>
        <v>0</v>
      </c>
      <c r="BT150" s="77">
        <f t="shared" ca="1" si="631"/>
        <v>18483.277902525195</v>
      </c>
      <c r="BU150" s="54">
        <f t="shared" ca="1" si="632"/>
        <v>186.69977679318376</v>
      </c>
      <c r="BV150" s="53">
        <f ca="1">OFFSET('National statistics'!$A$6,MATCH(R0_estimation!$A150,'National statistics'!$A$7:$A$5000,0),MATCH(R0_estimation!BV$16 &amp; "_Running14daysNew",'National statistics'!$B$1:$HA$1,0))</f>
        <v>3010</v>
      </c>
      <c r="BW150" s="97">
        <f t="shared" ca="1" si="654"/>
        <v>0.73469279903613482</v>
      </c>
      <c r="BX150" s="98">
        <f t="shared" ca="1" si="522"/>
        <v>0.68996207341942262</v>
      </c>
      <c r="BY150" s="77">
        <f t="shared" ca="1" si="633"/>
        <v>1313846.6632611975</v>
      </c>
      <c r="BZ150" s="77">
        <f t="shared" ca="1" si="634"/>
        <v>941.4461587190101</v>
      </c>
      <c r="CA150" s="77">
        <f t="shared" ca="1" si="635"/>
        <v>3048.5726363961589</v>
      </c>
      <c r="CB150" s="77">
        <f t="shared" ca="1" si="636"/>
        <v>0</v>
      </c>
      <c r="CC150" s="77">
        <f t="shared" ca="1" si="637"/>
        <v>4353.4428459041919</v>
      </c>
      <c r="CD150" s="54">
        <f t="shared" ca="1" si="638"/>
        <v>43.974170160648399</v>
      </c>
      <c r="CE150" s="53">
        <f ca="1">OFFSET('National statistics'!$A$6,MATCH(R0_estimation!$A150,'National statistics'!$A$7:$A$5000,0),MATCH(R0_estimation!CE$16 &amp; "_Running14daysNew",'National statistics'!$B$1:$HA$1,0))</f>
        <v>9016</v>
      </c>
      <c r="CF150" s="97">
        <f t="shared" ca="1" si="655"/>
        <v>0.17553049825157571</v>
      </c>
      <c r="CG150" s="98">
        <f t="shared" ca="1" si="523"/>
        <v>1.2165621122686727</v>
      </c>
      <c r="CH150" s="77">
        <f t="shared" ca="1" si="639"/>
        <v>7199788.2771968115</v>
      </c>
      <c r="CI150" s="77">
        <f t="shared" ca="1" si="640"/>
        <v>1235.295644388767</v>
      </c>
      <c r="CJ150" s="77">
        <f t="shared" ca="1" si="641"/>
        <v>9572.3450180463406</v>
      </c>
      <c r="CK150" s="77">
        <f t="shared" ca="1" si="642"/>
        <v>0</v>
      </c>
      <c r="CL150" s="77">
        <f t="shared" ca="1" si="643"/>
        <v>93344.116556841036</v>
      </c>
      <c r="CM150" s="54">
        <f t="shared" ca="1" si="644"/>
        <v>942.86986421051563</v>
      </c>
      <c r="CO150" s="209"/>
      <c r="CP150" s="210"/>
    </row>
    <row r="151" spans="1:94">
      <c r="A151" s="83">
        <f t="shared" si="584"/>
        <v>44051</v>
      </c>
      <c r="B151" s="53">
        <f ca="1">OFFSET('National statistics'!$A$6,MATCH(R0_estimation!$A151,'National statistics'!$A$7:$A$5000,0),MATCH(R0_estimation!B$16 &amp; "_Running14daysNew",'National statistics'!$B$1:$HA$1,0))</f>
        <v>118988</v>
      </c>
      <c r="C151" s="97">
        <f t="shared" ca="1" si="646"/>
        <v>0.14033481105650308</v>
      </c>
      <c r="D151" s="98">
        <f t="shared" si="645"/>
        <v>1</v>
      </c>
      <c r="E151" s="77">
        <f t="shared" ca="1" si="585"/>
        <v>59092610.720241934</v>
      </c>
      <c r="F151" s="77">
        <f t="shared" ca="1" si="586"/>
        <v>12681.427556666331</v>
      </c>
      <c r="G151" s="77">
        <f t="shared" ca="1" si="587"/>
        <v>121111.70775271689</v>
      </c>
      <c r="H151" s="77">
        <f t="shared" ca="1" si="588"/>
        <v>0</v>
      </c>
      <c r="I151" s="77">
        <f t="shared" ca="1" si="589"/>
        <v>486212.42081931001</v>
      </c>
      <c r="J151" s="54">
        <f t="shared" ca="1" si="590"/>
        <v>4911.2365739324259</v>
      </c>
      <c r="K151" s="53">
        <f ca="1">OFFSET('National statistics'!$A$6,MATCH(R0_estimation!$A151,'National statistics'!$A$7:$A$5000,0),MATCH(R0_estimation!K$16 &amp; "_Running14daysNew",'National statistics'!$B$1:$HA$1,0))</f>
        <v>9302</v>
      </c>
      <c r="L151" s="97">
        <f t="shared" ca="1" si="647"/>
        <v>-0.14233324113941079</v>
      </c>
      <c r="M151" s="98">
        <f t="shared" ca="1" si="515"/>
        <v>1.3891436550517304</v>
      </c>
      <c r="N151" s="77">
        <f t="shared" ca="1" si="591"/>
        <v>6784861.4293210916</v>
      </c>
      <c r="O151" s="77">
        <f t="shared" ca="1" si="592"/>
        <v>-174.59062056444168</v>
      </c>
      <c r="P151" s="77">
        <f t="shared" ca="1" si="593"/>
        <v>10110.059612728986</v>
      </c>
      <c r="Q151" s="77">
        <f t="shared" ca="1" si="594"/>
        <v>0</v>
      </c>
      <c r="R151" s="77">
        <f t="shared" ca="1" si="595"/>
        <v>75207.612226619589</v>
      </c>
      <c r="S151" s="54">
        <f t="shared" ca="1" si="596"/>
        <v>759.67285077393512</v>
      </c>
      <c r="T151" s="53">
        <f ca="1">OFFSET('National statistics'!$A$6,MATCH(R0_estimation!$A151,'National statistics'!$A$7:$A$5000,0),MATCH(R0_estimation!T$16 &amp; "_Running14daysNew",'National statistics'!$B$1:$HA$1,0))</f>
        <v>12230</v>
      </c>
      <c r="U151" s="97">
        <f t="shared" ca="1" si="648"/>
        <v>0.24361083801578898</v>
      </c>
      <c r="V151" s="98">
        <f t="shared" ca="1" si="516"/>
        <v>0.50313552847557719</v>
      </c>
      <c r="W151" s="77">
        <f t="shared" ca="1" si="597"/>
        <v>2773000.6212561242</v>
      </c>
      <c r="X151" s="77">
        <f t="shared" ca="1" si="598"/>
        <v>2266.5692919003041</v>
      </c>
      <c r="Y151" s="77">
        <f t="shared" ca="1" si="599"/>
        <v>12679.838151745045</v>
      </c>
      <c r="Z151" s="77">
        <f t="shared" ca="1" si="600"/>
        <v>0</v>
      </c>
      <c r="AA151" s="77">
        <f t="shared" ca="1" si="601"/>
        <v>20851.479641358845</v>
      </c>
      <c r="AB151" s="54">
        <f t="shared" ca="1" si="602"/>
        <v>210.62100647837215</v>
      </c>
      <c r="AC151" s="53">
        <f ca="1">OFFSET('National statistics'!$A$6,MATCH(R0_estimation!$A151,'National statistics'!$A$7:$A$5000,0),MATCH(R0_estimation!AC$16 &amp; "_Running14daysNew",'National statistics'!$B$1:$HA$1,0))</f>
        <v>34178</v>
      </c>
      <c r="AD151" s="97">
        <f t="shared" ca="1" si="649"/>
        <v>7.8723256669998659E-2</v>
      </c>
      <c r="AE151" s="98">
        <f t="shared" ca="1" si="517"/>
        <v>0.57565754152920057</v>
      </c>
      <c r="AF151" s="77">
        <f t="shared" ca="1" si="603"/>
        <v>15429494.311516844</v>
      </c>
      <c r="AG151" s="77">
        <f t="shared" ca="1" si="604"/>
        <v>1513.1371650279953</v>
      </c>
      <c r="AH151" s="77">
        <f t="shared" ca="1" si="605"/>
        <v>34023.943238350112</v>
      </c>
      <c r="AI151" s="77">
        <f t="shared" ca="1" si="606"/>
        <v>0</v>
      </c>
      <c r="AJ151" s="77">
        <f t="shared" ca="1" si="607"/>
        <v>172660.73183251946</v>
      </c>
      <c r="AK151" s="54">
        <f t="shared" ca="1" si="608"/>
        <v>1744.047796288075</v>
      </c>
      <c r="AL151" s="53">
        <f ca="1">OFFSET('National statistics'!$A$6,MATCH(R0_estimation!$A151,'National statistics'!$A$7:$A$5000,0),MATCH(R0_estimation!AL$16 &amp; "_Running14daysNew",'National statistics'!$B$1:$HA$1,0))</f>
        <v>35116</v>
      </c>
      <c r="AM151" s="97">
        <f t="shared" ca="1" si="650"/>
        <v>0.10057482572509002</v>
      </c>
      <c r="AN151" s="98">
        <f t="shared" ca="1" si="518"/>
        <v>0.74495013848278369</v>
      </c>
      <c r="AO151" s="77">
        <f t="shared" ca="1" si="609"/>
        <v>10884837.064967219</v>
      </c>
      <c r="AP151" s="77">
        <f t="shared" ca="1" si="610"/>
        <v>4802.3073776288566</v>
      </c>
      <c r="AQ151" s="77">
        <f t="shared" ca="1" si="611"/>
        <v>35298.512218539552</v>
      </c>
      <c r="AR151" s="77">
        <f t="shared" ca="1" si="612"/>
        <v>0</v>
      </c>
      <c r="AS151" s="77">
        <f t="shared" ca="1" si="613"/>
        <v>74835.602249613716</v>
      </c>
      <c r="AT151" s="54">
        <f t="shared" ca="1" si="614"/>
        <v>755.91517423852224</v>
      </c>
      <c r="AU151" s="53">
        <f ca="1">OFFSET('National statistics'!$A$6,MATCH(R0_estimation!$A151,'National statistics'!$A$7:$A$5000,0),MATCH(R0_estimation!AU$16 &amp; "_Running14daysNew",'National statistics'!$B$1:$HA$1,0))</f>
        <v>3613</v>
      </c>
      <c r="AV151" s="97">
        <f t="shared" ca="1" si="651"/>
        <v>0.27204729164491237</v>
      </c>
      <c r="AW151" s="98">
        <f t="shared" ca="1" si="519"/>
        <v>0.85754424097138826</v>
      </c>
      <c r="AX151" s="77">
        <f t="shared" ca="1" si="615"/>
        <v>5841112.6730941627</v>
      </c>
      <c r="AY151" s="77">
        <f t="shared" ca="1" si="616"/>
        <v>592.92196867858445</v>
      </c>
      <c r="AZ151" s="77">
        <f t="shared" ca="1" si="617"/>
        <v>3711.4299968485448</v>
      </c>
      <c r="BA151" s="77">
        <f t="shared" ca="1" si="618"/>
        <v>0</v>
      </c>
      <c r="BB151" s="77">
        <f t="shared" ca="1" si="619"/>
        <v>8337.5741762853231</v>
      </c>
      <c r="BC151" s="54">
        <f t="shared" ca="1" si="620"/>
        <v>84.217920972579009</v>
      </c>
      <c r="BD151" s="53">
        <f ca="1">OFFSET('National statistics'!$A$6,MATCH(R0_estimation!$A151,'National statistics'!$A$7:$A$5000,0),MATCH(R0_estimation!BD$16 &amp; "_Running14daysNew",'National statistics'!$B$1:$HA$1,0))</f>
        <v>8317</v>
      </c>
      <c r="BE151" s="97">
        <f t="shared" ca="1" si="652"/>
        <v>7.3776335914324878E-2</v>
      </c>
      <c r="BF151" s="98">
        <f t="shared" ca="1" si="520"/>
        <v>0.72178134408538486</v>
      </c>
      <c r="BG151" s="77">
        <f t="shared" ca="1" si="621"/>
        <v>4784839.2988870498</v>
      </c>
      <c r="BH151" s="77">
        <f t="shared" ca="1" si="622"/>
        <v>1456.4868099500468</v>
      </c>
      <c r="BI151" s="77">
        <f t="shared" ca="1" si="623"/>
        <v>8810.5139868803981</v>
      </c>
      <c r="BJ151" s="77">
        <f t="shared" ca="1" si="624"/>
        <v>0</v>
      </c>
      <c r="BK151" s="77">
        <f t="shared" ca="1" si="625"/>
        <v>13950.423349315552</v>
      </c>
      <c r="BL151" s="54">
        <f t="shared" ca="1" si="626"/>
        <v>140.91336716480353</v>
      </c>
      <c r="BM151" s="53">
        <f ca="1">OFFSET('National statistics'!$A$6,MATCH(R0_estimation!$A151,'National statistics'!$A$7:$A$5000,0),MATCH(R0_estimation!BM$16 &amp; "_Running14daysNew",'National statistics'!$B$1:$HA$1,0))</f>
        <v>4700</v>
      </c>
      <c r="BN151" s="97">
        <f t="shared" ca="1" si="653"/>
        <v>0.30187606914172788</v>
      </c>
      <c r="BO151" s="98">
        <f t="shared" ca="1" si="521"/>
        <v>0.99326027081939861</v>
      </c>
      <c r="BP151" s="77">
        <f t="shared" ca="1" si="627"/>
        <v>4083167.471279182</v>
      </c>
      <c r="BQ151" s="77">
        <f t="shared" ca="1" si="628"/>
        <v>527.1007293109468</v>
      </c>
      <c r="BR151" s="77">
        <f t="shared" ca="1" si="629"/>
        <v>4904.0782016105895</v>
      </c>
      <c r="BS151" s="77">
        <f t="shared" ca="1" si="630"/>
        <v>0</v>
      </c>
      <c r="BT151" s="77">
        <f t="shared" ca="1" si="631"/>
        <v>18846.154354434733</v>
      </c>
      <c r="BU151" s="54">
        <f t="shared" ca="1" si="632"/>
        <v>190.3651954993407</v>
      </c>
      <c r="BV151" s="53">
        <f ca="1">OFFSET('National statistics'!$A$6,MATCH(R0_estimation!$A151,'National statistics'!$A$7:$A$5000,0),MATCH(R0_estimation!BV$16 &amp; "_Running14daysNew",'National statistics'!$B$1:$HA$1,0))</f>
        <v>2977</v>
      </c>
      <c r="BW151" s="97">
        <f t="shared" ca="1" si="654"/>
        <v>0.73469279903613482</v>
      </c>
      <c r="BX151" s="98">
        <f t="shared" ca="1" si="522"/>
        <v>0.68996207341942262</v>
      </c>
      <c r="BY151" s="77">
        <f t="shared" ca="1" si="633"/>
        <v>1313687.6896396612</v>
      </c>
      <c r="BZ151" s="77">
        <f t="shared" ca="1" si="634"/>
        <v>865.05824057546124</v>
      </c>
      <c r="CA151" s="77">
        <f t="shared" ca="1" si="635"/>
        <v>3066.1789877619003</v>
      </c>
      <c r="CB151" s="77">
        <f t="shared" ca="1" si="636"/>
        <v>0</v>
      </c>
      <c r="CC151" s="77">
        <f t="shared" ca="1" si="637"/>
        <v>4569.0204823350632</v>
      </c>
      <c r="CD151" s="54">
        <f t="shared" ca="1" si="638"/>
        <v>46.15172204378851</v>
      </c>
      <c r="CE151" s="53">
        <f ca="1">OFFSET('National statistics'!$A$6,MATCH(R0_estimation!$A151,'National statistics'!$A$7:$A$5000,0),MATCH(R0_estimation!CE$16 &amp; "_Running14daysNew",'National statistics'!$B$1:$HA$1,0))</f>
        <v>8555</v>
      </c>
      <c r="CF151" s="97">
        <f t="shared" ca="1" si="655"/>
        <v>0.17553049825157571</v>
      </c>
      <c r="CG151" s="98">
        <f t="shared" ca="1" si="523"/>
        <v>1.2165621122686727</v>
      </c>
      <c r="CH151" s="77">
        <f t="shared" ca="1" si="639"/>
        <v>7199669.9715648079</v>
      </c>
      <c r="CI151" s="77">
        <f t="shared" ca="1" si="640"/>
        <v>1044.7773652954811</v>
      </c>
      <c r="CJ151" s="77">
        <f t="shared" ca="1" si="641"/>
        <v>9197.4299992830802</v>
      </c>
      <c r="CK151" s="77">
        <f t="shared" ca="1" si="642"/>
        <v>0</v>
      </c>
      <c r="CL151" s="77">
        <f t="shared" ca="1" si="643"/>
        <v>94021.018097402877</v>
      </c>
      <c r="CM151" s="54">
        <f t="shared" ca="1" si="644"/>
        <v>949.70725350912016</v>
      </c>
      <c r="CO151" s="209"/>
      <c r="CP151" s="210"/>
    </row>
    <row r="152" spans="1:94">
      <c r="A152" s="83">
        <f t="shared" si="584"/>
        <v>44052</v>
      </c>
      <c r="B152" s="53">
        <f ca="1">OFFSET('National statistics'!$A$6,MATCH(R0_estimation!$A152,'National statistics'!$A$7:$A$5000,0),MATCH(R0_estimation!B$16 &amp; "_Running14daysNew",'National statistics'!$B$1:$HA$1,0))</f>
        <v>114434</v>
      </c>
      <c r="C152" s="97">
        <f t="shared" ca="1" si="646"/>
        <v>0.14033481105650308</v>
      </c>
      <c r="D152" s="98">
        <f t="shared" si="645"/>
        <v>1</v>
      </c>
      <c r="E152" s="77">
        <f t="shared" ca="1" si="585"/>
        <v>59091409.312063023</v>
      </c>
      <c r="F152" s="77">
        <f t="shared" ca="1" si="586"/>
        <v>10712.478846407928</v>
      </c>
      <c r="G152" s="77">
        <f t="shared" ca="1" si="587"/>
        <v>115631.22837383226</v>
      </c>
      <c r="H152" s="77">
        <f t="shared" ca="1" si="588"/>
        <v>0</v>
      </c>
      <c r="I152" s="77">
        <f t="shared" ca="1" si="589"/>
        <v>494776.74872468068</v>
      </c>
      <c r="J152" s="54">
        <f t="shared" ca="1" si="590"/>
        <v>4997.7449366129376</v>
      </c>
      <c r="K152" s="53">
        <f ca="1">OFFSET('National statistics'!$A$6,MATCH(R0_estimation!$A152,'National statistics'!$A$7:$A$5000,0),MATCH(R0_estimation!K$16 &amp; "_Running14daysNew",'National statistics'!$B$1:$HA$1,0))</f>
        <v>8816</v>
      </c>
      <c r="L152" s="97">
        <f t="shared" ca="1" si="647"/>
        <v>-0.14233324113941079</v>
      </c>
      <c r="M152" s="98">
        <f t="shared" ca="1" si="515"/>
        <v>1.3891436550517304</v>
      </c>
      <c r="N152" s="77">
        <f t="shared" ca="1" si="591"/>
        <v>6784962.9409927763</v>
      </c>
      <c r="O152" s="77">
        <f t="shared" ca="1" si="592"/>
        <v>-232.45463710782087</v>
      </c>
      <c r="P152" s="77">
        <f t="shared" ca="1" si="593"/>
        <v>9344.2648423929477</v>
      </c>
      <c r="Q152" s="77">
        <f t="shared" ca="1" si="594"/>
        <v>0</v>
      </c>
      <c r="R152" s="77">
        <f t="shared" ca="1" si="595"/>
        <v>75922.537870662563</v>
      </c>
      <c r="S152" s="54">
        <f t="shared" ca="1" si="596"/>
        <v>766.89432192588436</v>
      </c>
      <c r="T152" s="53">
        <f ca="1">OFFSET('National statistics'!$A$6,MATCH(R0_estimation!$A152,'National statistics'!$A$7:$A$5000,0),MATCH(R0_estimation!T$16 &amp; "_Running14daysNew",'National statistics'!$B$1:$HA$1,0))</f>
        <v>11897</v>
      </c>
      <c r="U152" s="97">
        <f t="shared" ca="1" si="648"/>
        <v>0.24361083801578898</v>
      </c>
      <c r="V152" s="98">
        <f t="shared" ca="1" si="516"/>
        <v>0.50313552847557719</v>
      </c>
      <c r="W152" s="77">
        <f t="shared" ca="1" si="597"/>
        <v>2772782.794280686</v>
      </c>
      <c r="X152" s="77">
        <f t="shared" ca="1" si="598"/>
        <v>1917.7539443634457</v>
      </c>
      <c r="Y152" s="77">
        <f t="shared" ca="1" si="599"/>
        <v>12340.777749595476</v>
      </c>
      <c r="Z152" s="77">
        <f t="shared" ca="1" si="600"/>
        <v>0</v>
      </c>
      <c r="AA152" s="77">
        <f t="shared" ca="1" si="601"/>
        <v>21748.125339232243</v>
      </c>
      <c r="AB152" s="54">
        <f t="shared" ca="1" si="602"/>
        <v>219.67803372961862</v>
      </c>
      <c r="AC152" s="53">
        <f ca="1">OFFSET('National statistics'!$A$6,MATCH(R0_estimation!$A152,'National statistics'!$A$7:$A$5000,0),MATCH(R0_estimation!AC$16 &amp; "_Running14daysNew",'National statistics'!$B$1:$HA$1,0))</f>
        <v>32613</v>
      </c>
      <c r="AD152" s="97">
        <f t="shared" ca="1" si="649"/>
        <v>7.8723256669998659E-2</v>
      </c>
      <c r="AE152" s="98">
        <f t="shared" ca="1" si="517"/>
        <v>0.57565754152920057</v>
      </c>
      <c r="AF152" s="77">
        <f t="shared" ca="1" si="603"/>
        <v>15429305.539030647</v>
      </c>
      <c r="AG152" s="77">
        <f t="shared" ca="1" si="604"/>
        <v>1323.6253599671229</v>
      </c>
      <c r="AH152" s="77">
        <f t="shared" ca="1" si="605"/>
        <v>31971.945869724957</v>
      </c>
      <c r="AI152" s="77">
        <f t="shared" ca="1" si="606"/>
        <v>0</v>
      </c>
      <c r="AJ152" s="77">
        <f t="shared" ca="1" si="607"/>
        <v>175066.71067580278</v>
      </c>
      <c r="AK152" s="54">
        <f t="shared" ca="1" si="608"/>
        <v>1768.3506128868964</v>
      </c>
      <c r="AL152" s="53">
        <f ca="1">OFFSET('National statistics'!$A$6,MATCH(R0_estimation!$A152,'National statistics'!$A$7:$A$5000,0),MATCH(R0_estimation!AL$16 &amp; "_Running14daysNew",'National statistics'!$B$1:$HA$1,0))</f>
        <v>34007</v>
      </c>
      <c r="AM152" s="97">
        <f t="shared" ca="1" si="650"/>
        <v>0.10057482572509002</v>
      </c>
      <c r="AN152" s="98">
        <f t="shared" ca="1" si="518"/>
        <v>0.74495013848278369</v>
      </c>
      <c r="AO152" s="77">
        <f t="shared" ca="1" si="609"/>
        <v>10884586.133084921</v>
      </c>
      <c r="AP152" s="77">
        <f t="shared" ca="1" si="610"/>
        <v>3852.6624155187496</v>
      </c>
      <c r="AQ152" s="77">
        <f t="shared" ca="1" si="611"/>
        <v>33977.766761622515</v>
      </c>
      <c r="AR152" s="77">
        <f t="shared" ca="1" si="612"/>
        <v>0</v>
      </c>
      <c r="AS152" s="77">
        <f t="shared" ca="1" si="613"/>
        <v>77331.711327924728</v>
      </c>
      <c r="AT152" s="54">
        <f t="shared" ca="1" si="614"/>
        <v>781.1283972517648</v>
      </c>
      <c r="AU152" s="53">
        <f ca="1">OFFSET('National statistics'!$A$6,MATCH(R0_estimation!$A152,'National statistics'!$A$7:$A$5000,0),MATCH(R0_estimation!AU$16 &amp; "_Running14daysNew",'National statistics'!$B$1:$HA$1,0))</f>
        <v>3470</v>
      </c>
      <c r="AV152" s="97">
        <f t="shared" ca="1" si="651"/>
        <v>0.27204729164491237</v>
      </c>
      <c r="AW152" s="98">
        <f t="shared" ca="1" si="519"/>
        <v>0.85754424097138826</v>
      </c>
      <c r="AX152" s="77">
        <f t="shared" ca="1" si="615"/>
        <v>5841040.7085272362</v>
      </c>
      <c r="AY152" s="77">
        <f t="shared" ca="1" si="616"/>
        <v>516.65604343533096</v>
      </c>
      <c r="AZ152" s="77">
        <f t="shared" ca="1" si="617"/>
        <v>3594.5583463861517</v>
      </c>
      <c r="BA152" s="77">
        <f t="shared" ca="1" si="618"/>
        <v>0</v>
      </c>
      <c r="BB152" s="77">
        <f t="shared" ca="1" si="619"/>
        <v>8600.0252974910418</v>
      </c>
      <c r="BC152" s="54">
        <f t="shared" ca="1" si="620"/>
        <v>86.868942398899392</v>
      </c>
      <c r="BD152" s="53">
        <f ca="1">OFFSET('National statistics'!$A$6,MATCH(R0_estimation!$A152,'National statistics'!$A$7:$A$5000,0),MATCH(R0_estimation!BD$16 &amp; "_Running14daysNew",'National statistics'!$B$1:$HA$1,0))</f>
        <v>8231</v>
      </c>
      <c r="BE152" s="97">
        <f t="shared" ca="1" si="652"/>
        <v>7.3776335914324878E-2</v>
      </c>
      <c r="BF152" s="98">
        <f t="shared" ca="1" si="520"/>
        <v>0.72178134408538486</v>
      </c>
      <c r="BG152" s="77">
        <f t="shared" ca="1" si="621"/>
        <v>4784793.1035916777</v>
      </c>
      <c r="BH152" s="77">
        <f t="shared" ca="1" si="622"/>
        <v>1138.560402834933</v>
      </c>
      <c r="BI152" s="77">
        <f t="shared" ca="1" si="623"/>
        <v>8545.3132617335959</v>
      </c>
      <c r="BJ152" s="77">
        <f t="shared" ca="1" si="624"/>
        <v>0</v>
      </c>
      <c r="BK152" s="77">
        <f t="shared" ca="1" si="625"/>
        <v>14573.452552673523</v>
      </c>
      <c r="BL152" s="54">
        <f t="shared" ca="1" si="626"/>
        <v>147.20659144114668</v>
      </c>
      <c r="BM152" s="53">
        <f ca="1">OFFSET('National statistics'!$A$6,MATCH(R0_estimation!$A152,'National statistics'!$A$7:$A$5000,0),MATCH(R0_estimation!BM$16 &amp; "_Running14daysNew",'National statistics'!$B$1:$HA$1,0))</f>
        <v>4499</v>
      </c>
      <c r="BN152" s="97">
        <f t="shared" ca="1" si="653"/>
        <v>0.30187606914172788</v>
      </c>
      <c r="BO152" s="98">
        <f t="shared" ca="1" si="521"/>
        <v>0.99326027081939861</v>
      </c>
      <c r="BP152" s="77">
        <f t="shared" ca="1" si="627"/>
        <v>4083062.3517289031</v>
      </c>
      <c r="BQ152" s="77">
        <f t="shared" ca="1" si="628"/>
        <v>500.4450972620084</v>
      </c>
      <c r="BR152" s="77">
        <f t="shared" ca="1" si="629"/>
        <v>4685.5620838232844</v>
      </c>
      <c r="BS152" s="77">
        <f t="shared" ca="1" si="630"/>
        <v>0</v>
      </c>
      <c r="BT152" s="77">
        <f t="shared" ca="1" si="631"/>
        <v>19192.942741548624</v>
      </c>
      <c r="BU152" s="54">
        <f t="shared" ca="1" si="632"/>
        <v>193.86810850049113</v>
      </c>
      <c r="BV152" s="53">
        <f ca="1">OFFSET('National statistics'!$A$6,MATCH(R0_estimation!$A152,'National statistics'!$A$7:$A$5000,0),MATCH(R0_estimation!BV$16 &amp; "_Running14daysNew",'National statistics'!$B$1:$HA$1,0))</f>
        <v>3021</v>
      </c>
      <c r="BW152" s="97">
        <f t="shared" ca="1" si="654"/>
        <v>0.73469279903613482</v>
      </c>
      <c r="BX152" s="98">
        <f t="shared" ca="1" si="522"/>
        <v>0.68996207341942262</v>
      </c>
      <c r="BY152" s="77">
        <f t="shared" ca="1" si="633"/>
        <v>1313527.8169848078</v>
      </c>
      <c r="BZ152" s="77">
        <f t="shared" ca="1" si="634"/>
        <v>808.66633528500574</v>
      </c>
      <c r="CA152" s="77">
        <f t="shared" ca="1" si="635"/>
        <v>3063.4307630656299</v>
      </c>
      <c r="CB152" s="77">
        <f t="shared" ca="1" si="636"/>
        <v>0</v>
      </c>
      <c r="CC152" s="77">
        <f t="shared" ca="1" si="637"/>
        <v>4785.8431393267974</v>
      </c>
      <c r="CD152" s="54">
        <f t="shared" ca="1" si="638"/>
        <v>48.34184989218987</v>
      </c>
      <c r="CE152" s="53">
        <f ca="1">OFFSET('National statistics'!$A$6,MATCH(R0_estimation!$A152,'National statistics'!$A$7:$A$5000,0),MATCH(R0_estimation!CE$16 &amp; "_Running14daysNew",'National statistics'!$B$1:$HA$1,0))</f>
        <v>7880</v>
      </c>
      <c r="CF152" s="97">
        <f t="shared" ca="1" si="655"/>
        <v>0.17553049825157571</v>
      </c>
      <c r="CG152" s="98">
        <f t="shared" ca="1" si="523"/>
        <v>1.2165621122686727</v>
      </c>
      <c r="CH152" s="77">
        <f t="shared" ca="1" si="639"/>
        <v>7199556.3013088964</v>
      </c>
      <c r="CI152" s="77">
        <f t="shared" ca="1" si="640"/>
        <v>897.25327988286949</v>
      </c>
      <c r="CJ152" s="77">
        <f t="shared" ca="1" si="641"/>
        <v>8801.6650549438727</v>
      </c>
      <c r="CK152" s="77">
        <f t="shared" ca="1" si="642"/>
        <v>0</v>
      </c>
      <c r="CL152" s="77">
        <f t="shared" ca="1" si="643"/>
        <v>94671.407790209327</v>
      </c>
      <c r="CM152" s="54">
        <f t="shared" ca="1" si="644"/>
        <v>956.27684636575088</v>
      </c>
      <c r="CO152" s="209"/>
      <c r="CP152" s="210"/>
    </row>
    <row r="153" spans="1:94">
      <c r="A153" s="83">
        <f t="shared" si="584"/>
        <v>44053</v>
      </c>
      <c r="B153" s="53">
        <f ca="1">OFFSET('National statistics'!$A$6,MATCH(R0_estimation!$A153,'National statistics'!$A$7:$A$5000,0),MATCH(R0_estimation!B$16 &amp; "_Running14daysNew",'National statistics'!$B$1:$HA$1,0))</f>
        <v>111069</v>
      </c>
      <c r="C153" s="97">
        <f t="shared" ca="1" si="646"/>
        <v>0.14033481105650308</v>
      </c>
      <c r="D153" s="98">
        <f t="shared" si="645"/>
        <v>1</v>
      </c>
      <c r="E153" s="77">
        <f t="shared" ca="1" si="585"/>
        <v>59090262.290994957</v>
      </c>
      <c r="F153" s="77">
        <f t="shared" ca="1" si="586"/>
        <v>9181.3802028719547</v>
      </c>
      <c r="G153" s="77">
        <f t="shared" ca="1" si="587"/>
        <v>110049.9746301605</v>
      </c>
      <c r="H153" s="77">
        <f t="shared" ca="1" si="588"/>
        <v>0</v>
      </c>
      <c r="I153" s="77">
        <f t="shared" ca="1" si="589"/>
        <v>502953.52844540169</v>
      </c>
      <c r="J153" s="54">
        <f t="shared" ca="1" si="590"/>
        <v>5080.3386711656749</v>
      </c>
      <c r="K153" s="53">
        <f ca="1">OFFSET('National statistics'!$A$6,MATCH(R0_estimation!$A153,'National statistics'!$A$7:$A$5000,0),MATCH(R0_estimation!K$16 &amp; "_Running14daysNew",'National statistics'!$B$1:$HA$1,0))</f>
        <v>8347</v>
      </c>
      <c r="L153" s="97">
        <f t="shared" ca="1" si="647"/>
        <v>-0.14233324113941079</v>
      </c>
      <c r="M153" s="98">
        <f t="shared" ca="1" si="515"/>
        <v>1.3891436550517304</v>
      </c>
      <c r="N153" s="77">
        <f t="shared" ca="1" si="591"/>
        <v>6785056.7650818517</v>
      </c>
      <c r="O153" s="77">
        <f t="shared" ca="1" si="592"/>
        <v>-268.16506690650624</v>
      </c>
      <c r="P153" s="77">
        <f t="shared" ca="1" si="593"/>
        <v>8618.7036943736402</v>
      </c>
      <c r="Q153" s="77">
        <f t="shared" ca="1" si="594"/>
        <v>0</v>
      </c>
      <c r="R153" s="77">
        <f t="shared" ca="1" si="595"/>
        <v>76583.310884517487</v>
      </c>
      <c r="S153" s="54">
        <f t="shared" ca="1" si="596"/>
        <v>773.56879681330793</v>
      </c>
      <c r="T153" s="53">
        <f ca="1">OFFSET('National statistics'!$A$6,MATCH(R0_estimation!$A153,'National statistics'!$A$7:$A$5000,0),MATCH(R0_estimation!T$16 &amp; "_Running14daysNew",'National statistics'!$B$1:$HA$1,0))</f>
        <v>11687</v>
      </c>
      <c r="U153" s="97">
        <f t="shared" ca="1" si="648"/>
        <v>0.24361083801578898</v>
      </c>
      <c r="V153" s="98">
        <f t="shared" ca="1" si="516"/>
        <v>0.50313552847557719</v>
      </c>
      <c r="W153" s="77">
        <f t="shared" ca="1" si="597"/>
        <v>2772570.8079946721</v>
      </c>
      <c r="X153" s="77">
        <f t="shared" ca="1" si="598"/>
        <v>1650.301744286495</v>
      </c>
      <c r="Y153" s="77">
        <f t="shared" ca="1" si="599"/>
        <v>11938.732110715231</v>
      </c>
      <c r="Z153" s="77">
        <f t="shared" ca="1" si="600"/>
        <v>0</v>
      </c>
      <c r="AA153" s="77">
        <f t="shared" ca="1" si="601"/>
        <v>22620.794622953639</v>
      </c>
      <c r="AB153" s="54">
        <f t="shared" ca="1" si="602"/>
        <v>228.49287497932968</v>
      </c>
      <c r="AC153" s="53">
        <f ca="1">OFFSET('National statistics'!$A$6,MATCH(R0_estimation!$A153,'National statistics'!$A$7:$A$5000,0),MATCH(R0_estimation!AC$16 &amp; "_Running14daysNew",'National statistics'!$B$1:$HA$1,0))</f>
        <v>31242</v>
      </c>
      <c r="AD153" s="97">
        <f t="shared" ca="1" si="649"/>
        <v>7.8723256669998659E-2</v>
      </c>
      <c r="AE153" s="98">
        <f t="shared" ca="1" si="517"/>
        <v>0.57565754152920057</v>
      </c>
      <c r="AF153" s="77">
        <f t="shared" ca="1" si="603"/>
        <v>15429128.153381746</v>
      </c>
      <c r="AG153" s="77">
        <f t="shared" ca="1" si="604"/>
        <v>1170.1046688759427</v>
      </c>
      <c r="AH153" s="77">
        <f t="shared" ca="1" si="605"/>
        <v>30019.141790450667</v>
      </c>
      <c r="AI153" s="77">
        <f t="shared" ca="1" si="606"/>
        <v>0</v>
      </c>
      <c r="AJ153" s="77">
        <f t="shared" ca="1" si="607"/>
        <v>177327.58399087618</v>
      </c>
      <c r="AK153" s="54">
        <f t="shared" ca="1" si="608"/>
        <v>1791.1877170795572</v>
      </c>
      <c r="AL153" s="53">
        <f ca="1">OFFSET('National statistics'!$A$6,MATCH(R0_estimation!$A153,'National statistics'!$A$7:$A$5000,0),MATCH(R0_estimation!AL$16 &amp; "_Running14daysNew",'National statistics'!$B$1:$HA$1,0))</f>
        <v>33404</v>
      </c>
      <c r="AM153" s="97">
        <f t="shared" ca="1" si="650"/>
        <v>0.10057482572509002</v>
      </c>
      <c r="AN153" s="98">
        <f t="shared" ca="1" si="518"/>
        <v>0.74495013848278369</v>
      </c>
      <c r="AO153" s="77">
        <f t="shared" ca="1" si="609"/>
        <v>10884344.595200703</v>
      </c>
      <c r="AP153" s="77">
        <f t="shared" ca="1" si="610"/>
        <v>3131.034695856828</v>
      </c>
      <c r="AQ153" s="77">
        <f t="shared" ca="1" si="611"/>
        <v>32513.949025386308</v>
      </c>
      <c r="AR153" s="77">
        <f t="shared" ca="1" si="612"/>
        <v>0</v>
      </c>
      <c r="AS153" s="77">
        <f t="shared" ca="1" si="613"/>
        <v>79734.42483463946</v>
      </c>
      <c r="AT153" s="54">
        <f t="shared" ca="1" si="614"/>
        <v>805.39823065292376</v>
      </c>
      <c r="AU153" s="53">
        <f ca="1">OFFSET('National statistics'!$A$6,MATCH(R0_estimation!$A153,'National statistics'!$A$7:$A$5000,0),MATCH(R0_estimation!AU$16 &amp; "_Running14daysNew",'National statistics'!$B$1:$HA$1,0))</f>
        <v>3451</v>
      </c>
      <c r="AV153" s="97">
        <f t="shared" ca="1" si="651"/>
        <v>0.27204729164491237</v>
      </c>
      <c r="AW153" s="98">
        <f t="shared" ca="1" si="519"/>
        <v>0.85754424097138826</v>
      </c>
      <c r="AX153" s="77">
        <f t="shared" ca="1" si="615"/>
        <v>5840971.0109268455</v>
      </c>
      <c r="AY153" s="77">
        <f t="shared" ca="1" si="616"/>
        <v>457.18963296737547</v>
      </c>
      <c r="AZ153" s="77">
        <f t="shared" ca="1" si="617"/>
        <v>3466.9681896459733</v>
      </c>
      <c r="BA153" s="77">
        <f t="shared" ca="1" si="618"/>
        <v>0</v>
      </c>
      <c r="BB153" s="77">
        <f t="shared" ca="1" si="619"/>
        <v>8854.2119234140628</v>
      </c>
      <c r="BC153" s="54">
        <f t="shared" ca="1" si="620"/>
        <v>89.436484074889506</v>
      </c>
      <c r="BD153" s="53">
        <f ca="1">OFFSET('National statistics'!$A$6,MATCH(R0_estimation!$A153,'National statistics'!$A$7:$A$5000,0),MATCH(R0_estimation!BD$16 &amp; "_Running14daysNew",'National statistics'!$B$1:$HA$1,0))</f>
        <v>8069</v>
      </c>
      <c r="BE153" s="97">
        <f t="shared" ca="1" si="652"/>
        <v>7.3776335914324878E-2</v>
      </c>
      <c r="BF153" s="98">
        <f t="shared" ca="1" si="520"/>
        <v>0.72178134408538486</v>
      </c>
      <c r="BG153" s="77">
        <f t="shared" ca="1" si="621"/>
        <v>4784748.2991709383</v>
      </c>
      <c r="BH153" s="77">
        <f t="shared" ca="1" si="622"/>
        <v>898.72472286600384</v>
      </c>
      <c r="BI153" s="77">
        <f t="shared" ca="1" si="623"/>
        <v>8219.5738437470718</v>
      </c>
      <c r="BJ153" s="77">
        <f t="shared" ca="1" si="624"/>
        <v>0</v>
      </c>
      <c r="BK153" s="77">
        <f t="shared" ca="1" si="625"/>
        <v>15177.728276181828</v>
      </c>
      <c r="BL153" s="54">
        <f t="shared" ca="1" si="626"/>
        <v>153.31038662809925</v>
      </c>
      <c r="BM153" s="53">
        <f ca="1">OFFSET('National statistics'!$A$6,MATCH(R0_estimation!$A153,'National statistics'!$A$7:$A$5000,0),MATCH(R0_estimation!BM$16 &amp; "_Running14daysNew",'National statistics'!$B$1:$HA$1,0))</f>
        <v>4329</v>
      </c>
      <c r="BN153" s="97">
        <f t="shared" ca="1" si="653"/>
        <v>0.30187606914172788</v>
      </c>
      <c r="BO153" s="98">
        <f t="shared" ca="1" si="521"/>
        <v>0.99326027081939861</v>
      </c>
      <c r="BP153" s="77">
        <f t="shared" ca="1" si="627"/>
        <v>4082961.9185998845</v>
      </c>
      <c r="BQ153" s="77">
        <f t="shared" ca="1" si="628"/>
        <v>475.76695196494302</v>
      </c>
      <c r="BR153" s="77">
        <f t="shared" ca="1" si="629"/>
        <v>4475.9903521514088</v>
      </c>
      <c r="BS153" s="77">
        <f t="shared" ca="1" si="630"/>
        <v>0</v>
      </c>
      <c r="BT153" s="77">
        <f t="shared" ca="1" si="631"/>
        <v>19524.278917476127</v>
      </c>
      <c r="BU153" s="54">
        <f t="shared" ca="1" si="632"/>
        <v>197.21493856036491</v>
      </c>
      <c r="BV153" s="53">
        <f ca="1">OFFSET('National statistics'!$A$6,MATCH(R0_estimation!$A153,'National statistics'!$A$7:$A$5000,0),MATCH(R0_estimation!BV$16 &amp; "_Running14daysNew",'National statistics'!$B$1:$HA$1,0))</f>
        <v>2927</v>
      </c>
      <c r="BW153" s="97">
        <f t="shared" ca="1" si="654"/>
        <v>0.73469279903613482</v>
      </c>
      <c r="BX153" s="98">
        <f t="shared" ca="1" si="522"/>
        <v>0.68996207341942262</v>
      </c>
      <c r="BY153" s="77">
        <f t="shared" ca="1" si="633"/>
        <v>1313368.1067983876</v>
      </c>
      <c r="BZ153" s="77">
        <f t="shared" ca="1" si="634"/>
        <v>766.20993788393753</v>
      </c>
      <c r="CA153" s="77">
        <f t="shared" ca="1" si="635"/>
        <v>3046.7808638107649</v>
      </c>
      <c r="CB153" s="77">
        <f t="shared" ca="1" si="636"/>
        <v>0</v>
      </c>
      <c r="CC153" s="77">
        <f t="shared" ca="1" si="637"/>
        <v>5002.4714575721528</v>
      </c>
      <c r="CD153" s="54">
        <f t="shared" ca="1" si="638"/>
        <v>50.530014722951037</v>
      </c>
      <c r="CE153" s="53">
        <f ca="1">OFFSET('National statistics'!$A$6,MATCH(R0_estimation!$A153,'National statistics'!$A$7:$A$5000,0),MATCH(R0_estimation!CE$16 &amp; "_Running14daysNew",'National statistics'!$B$1:$HA$1,0))</f>
        <v>7613</v>
      </c>
      <c r="CF153" s="97">
        <f t="shared" ca="1" si="655"/>
        <v>0.17553049825157571</v>
      </c>
      <c r="CG153" s="98">
        <f t="shared" ca="1" si="523"/>
        <v>1.2165621122686727</v>
      </c>
      <c r="CH153" s="77">
        <f t="shared" ca="1" si="639"/>
        <v>7199447.5238978975</v>
      </c>
      <c r="CI153" s="77">
        <f t="shared" ca="1" si="640"/>
        <v>781.71737091142381</v>
      </c>
      <c r="CJ153" s="77">
        <f t="shared" ca="1" si="641"/>
        <v>8397.2880138471701</v>
      </c>
      <c r="CK153" s="77">
        <f t="shared" ca="1" si="642"/>
        <v>0</v>
      </c>
      <c r="CL153" s="77">
        <f t="shared" ca="1" si="643"/>
        <v>95293.811247666075</v>
      </c>
      <c r="CM153" s="54">
        <f t="shared" ca="1" si="644"/>
        <v>962.56374997642513</v>
      </c>
      <c r="CO153" s="209"/>
      <c r="CP153" s="210"/>
    </row>
    <row r="154" spans="1:94">
      <c r="A154" s="83">
        <f t="shared" si="584"/>
        <v>44054</v>
      </c>
      <c r="B154" s="53">
        <f ca="1">OFFSET('National statistics'!$A$6,MATCH(R0_estimation!$A154,'National statistics'!$A$7:$A$5000,0),MATCH(R0_estimation!B$16 &amp; "_Running14daysNew",'National statistics'!$B$1:$HA$1,0))</f>
        <v>106348</v>
      </c>
      <c r="C154" s="97">
        <f t="shared" ca="1" si="646"/>
        <v>0.14033481105650308</v>
      </c>
      <c r="D154" s="98">
        <f t="shared" si="645"/>
        <v>1</v>
      </c>
      <c r="E154" s="77">
        <f t="shared" ca="1" si="585"/>
        <v>59089170.653678864</v>
      </c>
      <c r="F154" s="77">
        <f t="shared" ca="1" si="586"/>
        <v>7977.6724682474496</v>
      </c>
      <c r="G154" s="77">
        <f t="shared" ca="1" si="587"/>
        <v>104484.6072072956</v>
      </c>
      <c r="H154" s="77">
        <f t="shared" ca="1" si="588"/>
        <v>0</v>
      </c>
      <c r="I154" s="77">
        <f t="shared" ca="1" si="589"/>
        <v>510735.63379424874</v>
      </c>
      <c r="J154" s="54">
        <f t="shared" ca="1" si="590"/>
        <v>5158.9457959015035</v>
      </c>
      <c r="K154" s="53">
        <f ca="1">OFFSET('National statistics'!$A$6,MATCH(R0_estimation!$A154,'National statistics'!$A$7:$A$5000,0),MATCH(R0_estimation!K$16 &amp; "_Running14daysNew",'National statistics'!$B$1:$HA$1,0))</f>
        <v>7648</v>
      </c>
      <c r="L154" s="97">
        <f t="shared" ca="1" si="647"/>
        <v>-0.14233324113941079</v>
      </c>
      <c r="M154" s="98">
        <f t="shared" ca="1" si="515"/>
        <v>1.3891436550517304</v>
      </c>
      <c r="N154" s="77">
        <f t="shared" ca="1" si="591"/>
        <v>6785143.3052221956</v>
      </c>
      <c r="O154" s="77">
        <f t="shared" ca="1" si="592"/>
        <v>-287.66394052386431</v>
      </c>
      <c r="P154" s="77">
        <f t="shared" ca="1" si="593"/>
        <v>7936.0407351917538</v>
      </c>
      <c r="Q154" s="77">
        <f t="shared" ca="1" si="594"/>
        <v>0</v>
      </c>
      <c r="R154" s="77">
        <f t="shared" ca="1" si="595"/>
        <v>77192.776360048199</v>
      </c>
      <c r="S154" s="54">
        <f t="shared" ca="1" si="596"/>
        <v>779.72501373786054</v>
      </c>
      <c r="T154" s="53">
        <f ca="1">OFFSET('National statistics'!$A$6,MATCH(R0_estimation!$A154,'National statistics'!$A$7:$A$5000,0),MATCH(R0_estimation!T$16 &amp; "_Running14daysNew",'National statistics'!$B$1:$HA$1,0))</f>
        <v>11075</v>
      </c>
      <c r="U154" s="97">
        <f t="shared" ca="1" si="648"/>
        <v>0.24361083801578898</v>
      </c>
      <c r="V154" s="98">
        <f t="shared" ca="1" si="516"/>
        <v>0.50313552847557719</v>
      </c>
      <c r="W154" s="77">
        <f t="shared" ca="1" si="597"/>
        <v>2772365.7429668847</v>
      </c>
      <c r="X154" s="77">
        <f t="shared" ca="1" si="598"/>
        <v>1442.7913360024106</v>
      </c>
      <c r="Y154" s="77">
        <f t="shared" ca="1" si="599"/>
        <v>11498.540967450053</v>
      </c>
      <c r="Z154" s="77">
        <f t="shared" ca="1" si="600"/>
        <v>0</v>
      </c>
      <c r="AA154" s="77">
        <f t="shared" ca="1" si="601"/>
        <v>23465.033536497074</v>
      </c>
      <c r="AB154" s="54">
        <f t="shared" ca="1" si="602"/>
        <v>237.0205407726977</v>
      </c>
      <c r="AC154" s="53">
        <f ca="1">OFFSET('National statistics'!$A$6,MATCH(R0_estimation!$A154,'National statistics'!$A$7:$A$5000,0),MATCH(R0_estimation!AC$16 &amp; "_Running14daysNew",'National statistics'!$B$1:$HA$1,0))</f>
        <v>29509</v>
      </c>
      <c r="AD154" s="97">
        <f t="shared" ca="1" si="649"/>
        <v>7.8723256669998659E-2</v>
      </c>
      <c r="AE154" s="98">
        <f t="shared" ca="1" si="517"/>
        <v>0.57565754152920057</v>
      </c>
      <c r="AF154" s="77">
        <f t="shared" ca="1" si="603"/>
        <v>15428961.603884736</v>
      </c>
      <c r="AG154" s="77">
        <f t="shared" ca="1" si="604"/>
        <v>1044.1279986665136</v>
      </c>
      <c r="AH154" s="77">
        <f t="shared" ca="1" si="605"/>
        <v>28167.443544066031</v>
      </c>
      <c r="AI154" s="77">
        <f t="shared" ca="1" si="606"/>
        <v>0</v>
      </c>
      <c r="AJ154" s="77">
        <f t="shared" ca="1" si="607"/>
        <v>179450.36616034378</v>
      </c>
      <c r="AK154" s="54">
        <f t="shared" ca="1" si="608"/>
        <v>1812.6299612155933</v>
      </c>
      <c r="AL154" s="53">
        <f ca="1">OFFSET('National statistics'!$A$6,MATCH(R0_estimation!$A154,'National statistics'!$A$7:$A$5000,0),MATCH(R0_estimation!AL$16 &amp; "_Running14daysNew",'National statistics'!$B$1:$HA$1,0))</f>
        <v>32393</v>
      </c>
      <c r="AM154" s="97">
        <f t="shared" ca="1" si="650"/>
        <v>0.10057482572509002</v>
      </c>
      <c r="AN154" s="98">
        <f t="shared" ca="1" si="518"/>
        <v>0.74495013848278369</v>
      </c>
      <c r="AO154" s="77">
        <f t="shared" ca="1" si="609"/>
        <v>10884113.467782434</v>
      </c>
      <c r="AP154" s="77">
        <f t="shared" ca="1" si="610"/>
        <v>2579.4034401614217</v>
      </c>
      <c r="AQ154" s="77">
        <f t="shared" ca="1" si="611"/>
        <v>30974.282768965782</v>
      </c>
      <c r="AR154" s="77">
        <f t="shared" ca="1" si="612"/>
        <v>0</v>
      </c>
      <c r="AS154" s="77">
        <f t="shared" ca="1" si="613"/>
        <v>82033.625515720341</v>
      </c>
      <c r="AT154" s="54">
        <f t="shared" ca="1" si="614"/>
        <v>828.62247995677114</v>
      </c>
      <c r="AU154" s="53">
        <f ca="1">OFFSET('National statistics'!$A$6,MATCH(R0_estimation!$A154,'National statistics'!$A$7:$A$5000,0),MATCH(R0_estimation!AU$16 &amp; "_Running14daysNew",'National statistics'!$B$1:$HA$1,0))</f>
        <v>3305</v>
      </c>
      <c r="AV154" s="97">
        <f t="shared" ca="1" si="651"/>
        <v>0.27204729164491237</v>
      </c>
      <c r="AW154" s="98">
        <f t="shared" ca="1" si="519"/>
        <v>0.85754424097138826</v>
      </c>
      <c r="AX154" s="77">
        <f t="shared" ca="1" si="615"/>
        <v>5840903.788040801</v>
      </c>
      <c r="AY154" s="77">
        <f t="shared" ca="1" si="616"/>
        <v>410.11511076992633</v>
      </c>
      <c r="AZ154" s="77">
        <f t="shared" ca="1" si="617"/>
        <v>3333.6250129131049</v>
      </c>
      <c r="BA154" s="77">
        <f t="shared" ca="1" si="618"/>
        <v>0</v>
      </c>
      <c r="BB154" s="77">
        <f t="shared" ca="1" si="619"/>
        <v>9099.3761025390286</v>
      </c>
      <c r="BC154" s="54">
        <f t="shared" ca="1" si="620"/>
        <v>91.91288992463663</v>
      </c>
      <c r="BD154" s="53">
        <f ca="1">OFFSET('National statistics'!$A$6,MATCH(R0_estimation!$A154,'National statistics'!$A$7:$A$5000,0),MATCH(R0_estimation!BD$16 &amp; "_Running14daysNew",'National statistics'!$B$1:$HA$1,0))</f>
        <v>7981</v>
      </c>
      <c r="BE154" s="97">
        <f t="shared" ca="1" si="652"/>
        <v>7.3776335914324878E-2</v>
      </c>
      <c r="BF154" s="98">
        <f t="shared" ca="1" si="520"/>
        <v>0.72178134408538486</v>
      </c>
      <c r="BG154" s="77">
        <f t="shared" ca="1" si="621"/>
        <v>4784705.2030020263</v>
      </c>
      <c r="BH154" s="77">
        <f t="shared" ca="1" si="622"/>
        <v>717.13971106176245</v>
      </c>
      <c r="BI154" s="77">
        <f t="shared" ca="1" si="623"/>
        <v>7857.1426070530679</v>
      </c>
      <c r="BJ154" s="77">
        <f t="shared" ca="1" si="624"/>
        <v>0</v>
      </c>
      <c r="BK154" s="77">
        <f t="shared" ca="1" si="625"/>
        <v>15758.969569418228</v>
      </c>
      <c r="BL154" s="54">
        <f t="shared" ca="1" si="626"/>
        <v>159.18151080220431</v>
      </c>
      <c r="BM154" s="53">
        <f ca="1">OFFSET('National statistics'!$A$6,MATCH(R0_estimation!$A154,'National statistics'!$A$7:$A$5000,0),MATCH(R0_estimation!BM$16 &amp; "_Running14daysNew",'National statistics'!$B$1:$HA$1,0))</f>
        <v>4240</v>
      </c>
      <c r="BN154" s="97">
        <f t="shared" ca="1" si="653"/>
        <v>0.30187606914172788</v>
      </c>
      <c r="BO154" s="98">
        <f t="shared" ca="1" si="521"/>
        <v>0.99326027081939861</v>
      </c>
      <c r="BP154" s="77">
        <f t="shared" ca="1" si="627"/>
        <v>4082865.9798379471</v>
      </c>
      <c r="BQ154" s="77">
        <f t="shared" ca="1" si="628"/>
        <v>452.76397591108741</v>
      </c>
      <c r="BR154" s="77">
        <f t="shared" ca="1" si="629"/>
        <v>4275.2184935604009</v>
      </c>
      <c r="BS154" s="77">
        <f t="shared" ca="1" si="630"/>
        <v>0</v>
      </c>
      <c r="BT154" s="77">
        <f t="shared" ca="1" si="631"/>
        <v>19840.795378092549</v>
      </c>
      <c r="BU154" s="54">
        <f t="shared" ca="1" si="632"/>
        <v>200.41207452618735</v>
      </c>
      <c r="BV154" s="53">
        <f ca="1">OFFSET('National statistics'!$A$6,MATCH(R0_estimation!$A154,'National statistics'!$A$7:$A$5000,0),MATCH(R0_estimation!BV$16 &amp; "_Running14daysNew",'National statistics'!$B$1:$HA$1,0))</f>
        <v>2864</v>
      </c>
      <c r="BW154" s="97">
        <f t="shared" ca="1" si="654"/>
        <v>0.73469279903613482</v>
      </c>
      <c r="BX154" s="98">
        <f t="shared" ca="1" si="522"/>
        <v>0.68996207341942262</v>
      </c>
      <c r="BY154" s="77">
        <f t="shared" ca="1" si="633"/>
        <v>1313209.2836953809</v>
      </c>
      <c r="BZ154" s="77">
        <f t="shared" ca="1" si="634"/>
        <v>733.48055641967994</v>
      </c>
      <c r="CA154" s="77">
        <f t="shared" ca="1" si="635"/>
        <v>3020.7061437238376</v>
      </c>
      <c r="CB154" s="77">
        <f t="shared" ca="1" si="636"/>
        <v>0</v>
      </c>
      <c r="CC154" s="77">
        <f t="shared" ca="1" si="637"/>
        <v>5217.9223900844854</v>
      </c>
      <c r="CD154" s="54">
        <f t="shared" ca="1" si="638"/>
        <v>52.706286768530155</v>
      </c>
      <c r="CE154" s="53">
        <f ca="1">OFFSET('National statistics'!$A$6,MATCH(R0_estimation!$A154,'National statistics'!$A$7:$A$5000,0),MATCH(R0_estimation!CE$16 &amp; "_Running14daysNew",'National statistics'!$B$1:$HA$1,0))</f>
        <v>7333</v>
      </c>
      <c r="CF154" s="97">
        <f t="shared" ca="1" si="655"/>
        <v>0.17553049825157571</v>
      </c>
      <c r="CG154" s="98">
        <f t="shared" ca="1" si="523"/>
        <v>1.2165621122686727</v>
      </c>
      <c r="CH154" s="77">
        <f t="shared" ca="1" si="639"/>
        <v>7199343.7455526544</v>
      </c>
      <c r="CI154" s="77">
        <f t="shared" ca="1" si="640"/>
        <v>690.06637342705972</v>
      </c>
      <c r="CJ154" s="77">
        <f t="shared" ca="1" si="641"/>
        <v>7992.9110698716559</v>
      </c>
      <c r="CK154" s="77">
        <f t="shared" ca="1" si="642"/>
        <v>0</v>
      </c>
      <c r="CL154" s="77">
        <f t="shared" ca="1" si="643"/>
        <v>95887.619471502418</v>
      </c>
      <c r="CM154" s="54">
        <f t="shared" ca="1" si="644"/>
        <v>968.56181284345882</v>
      </c>
      <c r="CO154" s="209"/>
      <c r="CP154" s="210"/>
    </row>
    <row r="155" spans="1:94">
      <c r="A155" s="83">
        <f t="shared" si="584"/>
        <v>44055</v>
      </c>
      <c r="B155" s="53">
        <f ca="1">OFFSET('National statistics'!$A$6,MATCH(R0_estimation!$A155,'National statistics'!$A$7:$A$5000,0),MATCH(R0_estimation!B$16 &amp; "_Running14daysNew",'National statistics'!$B$1:$HA$1,0))</f>
        <v>97796</v>
      </c>
      <c r="C155" s="97">
        <f t="shared" ca="1" si="646"/>
        <v>0.14033481105650308</v>
      </c>
      <c r="D155" s="98">
        <f t="shared" si="645"/>
        <v>1</v>
      </c>
      <c r="E155" s="77">
        <f t="shared" ca="1" si="585"/>
        <v>59088134.239635356</v>
      </c>
      <c r="F155" s="77">
        <f t="shared" ca="1" si="586"/>
        <v>7019.6683946928088</v>
      </c>
      <c r="G155" s="77">
        <f t="shared" ca="1" si="587"/>
        <v>99015.839095264921</v>
      </c>
      <c r="H155" s="77">
        <f t="shared" ca="1" si="588"/>
        <v>0</v>
      </c>
      <c r="I155" s="77">
        <f t="shared" ca="1" si="589"/>
        <v>518124.18816105038</v>
      </c>
      <c r="J155" s="54">
        <f t="shared" ca="1" si="590"/>
        <v>5233.5776581924292</v>
      </c>
      <c r="K155" s="53">
        <f ca="1">OFFSET('National statistics'!$A$6,MATCH(R0_estimation!$A155,'National statistics'!$A$7:$A$5000,0),MATCH(R0_estimation!K$16 &amp; "_Running14daysNew",'National statistics'!$B$1:$HA$1,0))</f>
        <v>6907</v>
      </c>
      <c r="L155" s="97">
        <f t="shared" ca="1" si="647"/>
        <v>-0.14233324113941079</v>
      </c>
      <c r="M155" s="98">
        <f t="shared" ca="1" si="515"/>
        <v>1.3891436550517304</v>
      </c>
      <c r="N155" s="77">
        <f t="shared" ca="1" si="591"/>
        <v>6785222.9918523915</v>
      </c>
      <c r="O155" s="77">
        <f t="shared" ca="1" si="592"/>
        <v>-295.43458558918286</v>
      </c>
      <c r="P155" s="77">
        <f t="shared" ca="1" si="593"/>
        <v>7297.2646975470907</v>
      </c>
      <c r="Q155" s="77">
        <f t="shared" ca="1" si="594"/>
        <v>0</v>
      </c>
      <c r="R155" s="77">
        <f t="shared" ca="1" si="595"/>
        <v>77753.967812036761</v>
      </c>
      <c r="S155" s="54">
        <f t="shared" ca="1" si="596"/>
        <v>785.39361426299752</v>
      </c>
      <c r="T155" s="53">
        <f ca="1">OFFSET('National statistics'!$A$6,MATCH(R0_estimation!$A155,'National statistics'!$A$7:$A$5000,0),MATCH(R0_estimation!T$16 &amp; "_Running14daysNew",'National statistics'!$B$1:$HA$1,0))</f>
        <v>10371</v>
      </c>
      <c r="U155" s="97">
        <f t="shared" ca="1" si="648"/>
        <v>0.24361083801578898</v>
      </c>
      <c r="V155" s="98">
        <f t="shared" ca="1" si="516"/>
        <v>0.50313552847557719</v>
      </c>
      <c r="W155" s="77">
        <f t="shared" ca="1" si="597"/>
        <v>2772168.2528682025</v>
      </c>
      <c r="X155" s="77">
        <f t="shared" ca="1" si="598"/>
        <v>1279.58360068397</v>
      </c>
      <c r="Y155" s="77">
        <f t="shared" ca="1" si="599"/>
        <v>11037.914446632794</v>
      </c>
      <c r="Z155" s="77">
        <f t="shared" ca="1" si="600"/>
        <v>0</v>
      </c>
      <c r="AA155" s="77">
        <f t="shared" ca="1" si="601"/>
        <v>24278.144647766756</v>
      </c>
      <c r="AB155" s="54">
        <f t="shared" ca="1" si="602"/>
        <v>245.23378432087631</v>
      </c>
      <c r="AC155" s="53">
        <f ca="1">OFFSET('National statistics'!$A$6,MATCH(R0_estimation!$A155,'National statistics'!$A$7:$A$5000,0),MATCH(R0_estimation!AC$16 &amp; "_Running14daysNew",'National statistics'!$B$1:$HA$1,0))</f>
        <v>26316</v>
      </c>
      <c r="AD155" s="97">
        <f t="shared" ca="1" si="649"/>
        <v>7.8723256669998659E-2</v>
      </c>
      <c r="AE155" s="98">
        <f t="shared" ca="1" si="517"/>
        <v>0.57565754152920057</v>
      </c>
      <c r="AF155" s="77">
        <f t="shared" ca="1" si="603"/>
        <v>15428805.329285691</v>
      </c>
      <c r="AG155" s="77">
        <f t="shared" ca="1" si="604"/>
        <v>939.37059804600005</v>
      </c>
      <c r="AH155" s="77">
        <f t="shared" ca="1" si="605"/>
        <v>26416.515290585088</v>
      </c>
      <c r="AI155" s="77">
        <f t="shared" ca="1" si="606"/>
        <v>0</v>
      </c>
      <c r="AJ155" s="77">
        <f t="shared" ca="1" si="607"/>
        <v>181442.20681095988</v>
      </c>
      <c r="AK155" s="54">
        <f t="shared" ca="1" si="608"/>
        <v>1832.749563747069</v>
      </c>
      <c r="AL155" s="53">
        <f ca="1">OFFSET('National statistics'!$A$6,MATCH(R0_estimation!$A155,'National statistics'!$A$7:$A$5000,0),MATCH(R0_estimation!AL$16 &amp; "_Running14daysNew",'National statistics'!$B$1:$HA$1,0))</f>
        <v>30259</v>
      </c>
      <c r="AM155" s="97">
        <f t="shared" ca="1" si="650"/>
        <v>0.10057482572509002</v>
      </c>
      <c r="AN155" s="98">
        <f t="shared" ca="1" si="518"/>
        <v>0.74495013848278369</v>
      </c>
      <c r="AO155" s="77">
        <f t="shared" ca="1" si="609"/>
        <v>10883893.289387679</v>
      </c>
      <c r="AP155" s="77">
        <f t="shared" ca="1" si="610"/>
        <v>2154.7309748765447</v>
      </c>
      <c r="AQ155" s="77">
        <f t="shared" ca="1" si="611"/>
        <v>29406.684859794295</v>
      </c>
      <c r="AR155" s="77">
        <f t="shared" ca="1" si="612"/>
        <v>0</v>
      </c>
      <c r="AS155" s="77">
        <f t="shared" ca="1" si="613"/>
        <v>84223.949797240071</v>
      </c>
      <c r="AT155" s="54">
        <f t="shared" ca="1" si="614"/>
        <v>850.74696764888961</v>
      </c>
      <c r="AU155" s="53">
        <f ca="1">OFFSET('National statistics'!$A$6,MATCH(R0_estimation!$A155,'National statistics'!$A$7:$A$5000,0),MATCH(R0_estimation!AU$16 &amp; "_Running14daysNew",'National statistics'!$B$1:$HA$1,0))</f>
        <v>3035</v>
      </c>
      <c r="AV155" s="97">
        <f t="shared" ca="1" si="651"/>
        <v>0.27204729164491237</v>
      </c>
      <c r="AW155" s="98">
        <f t="shared" ca="1" si="519"/>
        <v>0.85754424097138826</v>
      </c>
      <c r="AX155" s="77">
        <f t="shared" ca="1" si="615"/>
        <v>5840839.1513329297</v>
      </c>
      <c r="AY155" s="77">
        <f t="shared" ca="1" si="616"/>
        <v>372.22304094855588</v>
      </c>
      <c r="AZ155" s="77">
        <f t="shared" ca="1" si="617"/>
        <v>3198.0377182546504</v>
      </c>
      <c r="BA155" s="77">
        <f t="shared" ca="1" si="618"/>
        <v>0</v>
      </c>
      <c r="BB155" s="77">
        <f t="shared" ca="1" si="619"/>
        <v>9335.1110141664558</v>
      </c>
      <c r="BC155" s="54">
        <f t="shared" ca="1" si="620"/>
        <v>94.294050648145998</v>
      </c>
      <c r="BD155" s="53">
        <f ca="1">OFFSET('National statistics'!$A$6,MATCH(R0_estimation!$A155,'National statistics'!$A$7:$A$5000,0),MATCH(R0_estimation!BD$16 &amp; "_Running14daysNew",'National statistics'!$B$1:$HA$1,0))</f>
        <v>7313</v>
      </c>
      <c r="BE155" s="97">
        <f t="shared" ca="1" si="652"/>
        <v>7.3776335914324878E-2</v>
      </c>
      <c r="BF155" s="98">
        <f t="shared" ca="1" si="520"/>
        <v>0.72178134408538486</v>
      </c>
      <c r="BG155" s="77">
        <f t="shared" ca="1" si="621"/>
        <v>4784664.007422437</v>
      </c>
      <c r="BH155" s="77">
        <f t="shared" ca="1" si="622"/>
        <v>579.05036288593374</v>
      </c>
      <c r="BI155" s="77">
        <f t="shared" ca="1" si="623"/>
        <v>7475.2030628861467</v>
      </c>
      <c r="BJ155" s="77">
        <f t="shared" ca="1" si="624"/>
        <v>0</v>
      </c>
      <c r="BK155" s="77">
        <f t="shared" ca="1" si="625"/>
        <v>16314.581796631266</v>
      </c>
      <c r="BL155" s="54">
        <f t="shared" ca="1" si="626"/>
        <v>164.79375552152794</v>
      </c>
      <c r="BM155" s="53">
        <f ca="1">OFFSET('National statistics'!$A$6,MATCH(R0_estimation!$A155,'National statistics'!$A$7:$A$5000,0),MATCH(R0_estimation!BM$16 &amp; "_Running14daysNew",'National statistics'!$B$1:$HA$1,0))</f>
        <v>3974</v>
      </c>
      <c r="BN155" s="97">
        <f t="shared" ca="1" si="653"/>
        <v>0.30187606914172788</v>
      </c>
      <c r="BO155" s="98">
        <f t="shared" ca="1" si="521"/>
        <v>0.99326027081939861</v>
      </c>
      <c r="BP155" s="77">
        <f t="shared" ca="1" si="627"/>
        <v>4082774.346519147</v>
      </c>
      <c r="BQ155" s="77">
        <f t="shared" ca="1" si="628"/>
        <v>431.20630073323287</v>
      </c>
      <c r="BR155" s="77">
        <f t="shared" ca="1" si="629"/>
        <v>4083.036737998144</v>
      </c>
      <c r="BS155" s="77">
        <f t="shared" ca="1" si="630"/>
        <v>0</v>
      </c>
      <c r="BT155" s="77">
        <f t="shared" ca="1" si="631"/>
        <v>20143.114400137176</v>
      </c>
      <c r="BU155" s="54">
        <f t="shared" ca="1" si="632"/>
        <v>203.46580202158765</v>
      </c>
      <c r="BV155" s="53">
        <f ca="1">OFFSET('National statistics'!$A$6,MATCH(R0_estimation!$A155,'National statistics'!$A$7:$A$5000,0),MATCH(R0_estimation!BV$16 &amp; "_Running14daysNew",'National statistics'!$B$1:$HA$1,0))</f>
        <v>2822</v>
      </c>
      <c r="BW155" s="97">
        <f t="shared" ca="1" si="654"/>
        <v>0.73469279903613482</v>
      </c>
      <c r="BX155" s="98">
        <f t="shared" ca="1" si="522"/>
        <v>0.68996207341942262</v>
      </c>
      <c r="BY155" s="77">
        <f t="shared" ca="1" si="633"/>
        <v>1313051.8386024055</v>
      </c>
      <c r="BZ155" s="77">
        <f t="shared" ca="1" si="634"/>
        <v>707.55551029009166</v>
      </c>
      <c r="CA155" s="77">
        <f t="shared" ca="1" si="635"/>
        <v>2988.3115582770547</v>
      </c>
      <c r="CB155" s="77">
        <f t="shared" ca="1" si="636"/>
        <v>0</v>
      </c>
      <c r="CC155" s="77">
        <f t="shared" ca="1" si="637"/>
        <v>5431.529467390671</v>
      </c>
      <c r="CD155" s="54">
        <f t="shared" ca="1" si="638"/>
        <v>54.863934014047182</v>
      </c>
      <c r="CE155" s="53">
        <f ca="1">OFFSET('National statistics'!$A$6,MATCH(R0_estimation!$A155,'National statistics'!$A$7:$A$5000,0),MATCH(R0_estimation!CE$16 &amp; "_Running14daysNew",'National statistics'!$B$1:$HA$1,0))</f>
        <v>6799</v>
      </c>
      <c r="CF155" s="97">
        <f t="shared" ca="1" si="655"/>
        <v>0.17553049825157571</v>
      </c>
      <c r="CG155" s="98">
        <f t="shared" ca="1" si="523"/>
        <v>1.2165621122686727</v>
      </c>
      <c r="CH155" s="77">
        <f t="shared" ca="1" si="639"/>
        <v>7199244.9660648722</v>
      </c>
      <c r="CI155" s="77">
        <f t="shared" ca="1" si="640"/>
        <v>616.32926785265704</v>
      </c>
      <c r="CJ155" s="77">
        <f t="shared" ca="1" si="641"/>
        <v>7594.5054439518744</v>
      </c>
      <c r="CK155" s="77">
        <f t="shared" ca="1" si="642"/>
        <v>0</v>
      </c>
      <c r="CL155" s="77">
        <f t="shared" ca="1" si="643"/>
        <v>96452.832468586203</v>
      </c>
      <c r="CM155" s="54">
        <f t="shared" ca="1" si="644"/>
        <v>974.27103503622425</v>
      </c>
      <c r="CO155" s="209"/>
      <c r="CP155" s="210"/>
    </row>
    <row r="156" spans="1:94">
      <c r="A156" s="83">
        <f t="shared" ref="A156:A162" si="656">A155+1</f>
        <v>44056</v>
      </c>
      <c r="B156" s="53">
        <f ca="1">OFFSET('National statistics'!$A$6,MATCH(R0_estimation!$A156,'National statistics'!$A$7:$A$5000,0),MATCH(R0_estimation!B$16 &amp; "_Running14daysNew",'National statistics'!$B$1:$HA$1,0))</f>
        <v>90696</v>
      </c>
      <c r="C156" s="97">
        <f t="shared" ca="1" si="646"/>
        <v>0.14033481105650308</v>
      </c>
      <c r="D156" s="98">
        <f t="shared" si="645"/>
        <v>1</v>
      </c>
      <c r="E156" s="77">
        <f t="shared" ref="E156:E162" ca="1" si="657">E155-E155*(C155/14)*G155*G$16/SUM(E155:I155)-E155*(D155/14)*H$16*H155/SUM(E155:I155)</f>
        <v>59087152.087936565</v>
      </c>
      <c r="F156" s="77">
        <f t="shared" ref="F156:F162" ca="1" si="658">F155+E155*(C155/14)*G155*G$16/SUM(E155:I155)+E155*(D155/14)*H$16*H155/SUM(E155:I155)-F155/4</f>
        <v>6246.9029948071538</v>
      </c>
      <c r="G156" s="77">
        <f t="shared" ref="G156:G162" ca="1" si="659">G155+G$16*F155/4-G155/14</f>
        <v>93698.196258562064</v>
      </c>
      <c r="H156" s="77">
        <f t="shared" ref="H156:H162" ca="1" si="660">H155+H$16*F155/4-H155/14</f>
        <v>0</v>
      </c>
      <c r="I156" s="77">
        <f t="shared" ref="I156:I162" ca="1" si="661">I155+H155/14+(G155/14)*(1-J$16)</f>
        <v>525126.0224970727</v>
      </c>
      <c r="J156" s="54">
        <f t="shared" ref="J156:J162" ca="1" si="662">J155+(G155/14)*(J$16)</f>
        <v>5304.3032575461903</v>
      </c>
      <c r="K156" s="53">
        <f ca="1">OFFSET('National statistics'!$A$6,MATCH(R0_estimation!$A156,'National statistics'!$A$7:$A$5000,0),MATCH(R0_estimation!K$16 &amp; "_Running14daysNew",'National statistics'!$B$1:$HA$1,0))</f>
        <v>5947</v>
      </c>
      <c r="L156" s="97">
        <f t="shared" ca="1" si="647"/>
        <v>-0.14233324113941079</v>
      </c>
      <c r="M156" s="98">
        <f t="shared" ca="1" si="515"/>
        <v>1.3891436550517304</v>
      </c>
      <c r="N156" s="77">
        <f t="shared" ref="N156:N162" ca="1" si="663">N155-N155*(L155/14)*P155/SUM(N155:R155)-N155*(M155/14)*Q155/SUM(N155:R155)</f>
        <v>6785296.2653853595</v>
      </c>
      <c r="O156" s="77">
        <f t="shared" ref="O156:O162" ca="1" si="664">O155+N155*(L155/14)*P155/SUM(N155:R155)+N155*(M155/14)*Q155/SUM(N155:R155)-O155/4</f>
        <v>-294.84947215969368</v>
      </c>
      <c r="P156" s="77">
        <f t="shared" ref="P156:P162" ca="1" si="665">P155+(O155/4)*P$16-P155/14</f>
        <v>6702.1728584678594</v>
      </c>
      <c r="Q156" s="77">
        <f t="shared" ref="Q156:Q162" ca="1" si="666">Q155+(O155/4)*Q$16-Q155/14</f>
        <v>0</v>
      </c>
      <c r="R156" s="77">
        <f t="shared" ref="R156:R162" ca="1" si="667">R155+Q155/14+(P155/14)*(1-S$16)</f>
        <v>78269.988672791878</v>
      </c>
      <c r="S156" s="54">
        <f t="shared" ref="S156:S162" ca="1" si="668">S155+(P155/14)*(S$16)</f>
        <v>790.6059461898169</v>
      </c>
      <c r="T156" s="53">
        <f ca="1">OFFSET('National statistics'!$A$6,MATCH(R0_estimation!$A156,'National statistics'!$A$7:$A$5000,0),MATCH(R0_estimation!T$16 &amp; "_Running14daysNew",'National statistics'!$B$1:$HA$1,0))</f>
        <v>9651</v>
      </c>
      <c r="U156" s="97">
        <f t="shared" ca="1" si="648"/>
        <v>0.24361083801578898</v>
      </c>
      <c r="V156" s="98">
        <f t="shared" ca="1" si="516"/>
        <v>0.50313552847557719</v>
      </c>
      <c r="W156" s="77">
        <f t="shared" ref="W156:W162" ca="1" si="669">W155-W155*(U155/14)*Y155/SUM(W155:AA155)-W155*(V155/14)*Z155/SUM(W155:AA155)</f>
        <v>2771978.687086843</v>
      </c>
      <c r="X156" s="77">
        <f t="shared" ref="X156:X162" ca="1" si="670">X155+W155*(U155/14)*Y155/SUM(W155:AA155)+W155*(V155/14)*Z155/SUM(W155:AA155)-X155/4</f>
        <v>1149.2534818724009</v>
      </c>
      <c r="Y156" s="77">
        <f t="shared" ref="Y156:Y162" ca="1" si="671">Y155+(X155/4)*Y$16-Y155/14</f>
        <v>10569.387886330016</v>
      </c>
      <c r="Z156" s="77">
        <f t="shared" ref="Z156:Z162" ca="1" si="672">Z155+(X155/4)*Z$16-Z155/14</f>
        <v>0</v>
      </c>
      <c r="AA156" s="77">
        <f t="shared" ref="AA156:AA162" ca="1" si="673">AA155+Z155/14+(Y155/14)*(1-AB$16)</f>
        <v>25058.682883635789</v>
      </c>
      <c r="AB156" s="54">
        <f t="shared" ref="AB156:AB162" ca="1" si="674">AB155+(Y155/14)*(AB$16)</f>
        <v>253.11800892561402</v>
      </c>
      <c r="AC156" s="53">
        <f ca="1">OFFSET('National statistics'!$A$6,MATCH(R0_estimation!$A156,'National statistics'!$A$7:$A$5000,0),MATCH(R0_estimation!AC$16 &amp; "_Running14daysNew",'National statistics'!$B$1:$HA$1,0))</f>
        <v>24246</v>
      </c>
      <c r="AD156" s="97">
        <f t="shared" ca="1" si="649"/>
        <v>7.8723256669998659E-2</v>
      </c>
      <c r="AE156" s="98">
        <f t="shared" ca="1" si="517"/>
        <v>0.57565754152920057</v>
      </c>
      <c r="AF156" s="77">
        <f t="shared" ref="AF156:AF162" ca="1" si="675">AF155-AF155*(AD155/14)*AH155/SUM(AF155:AJ155)-AF155*(AE155/14)*AI155/SUM(AF155:AJ155)</f>
        <v>15428658.770233331</v>
      </c>
      <c r="AG156" s="77">
        <f t="shared" ref="AG156:AG162" ca="1" si="676">AG155+AF155*(AD155/14)*AH155/SUM(AF155:AJ155)+AF155*(AE155/14)*AI155/SUM(AF155:AJ155)-AG155/4</f>
        <v>851.08700089426407</v>
      </c>
      <c r="AH156" s="77">
        <f t="shared" ref="AH156:AH162" ca="1" si="677">AH155+(AG155/4)*AH$16-AH155/14</f>
        <v>24764.463990769083</v>
      </c>
      <c r="AI156" s="77">
        <f t="shared" ref="AI156:AI162" ca="1" si="678">AI155+(AG155/4)*AI$16-AI155/14</f>
        <v>0</v>
      </c>
      <c r="AJ156" s="77">
        <f t="shared" ref="AJ156:AJ162" ca="1" si="679">AJ155+AI155/14+(AH155/14)*(1-AK$16)</f>
        <v>183310.23182079411</v>
      </c>
      <c r="AK156" s="54">
        <f t="shared" ref="AK156:AK162" ca="1" si="680">AK155+(AH155/14)*(AK$16)</f>
        <v>1851.6185032403441</v>
      </c>
      <c r="AL156" s="53">
        <f ca="1">OFFSET('National statistics'!$A$6,MATCH(R0_estimation!$A156,'National statistics'!$A$7:$A$5000,0),MATCH(R0_estimation!AL$16 &amp; "_Running14daysNew",'National statistics'!$B$1:$HA$1,0))</f>
        <v>28314</v>
      </c>
      <c r="AM156" s="97">
        <f t="shared" ca="1" si="650"/>
        <v>0.10057482572509002</v>
      </c>
      <c r="AN156" s="98">
        <f t="shared" ca="1" si="518"/>
        <v>0.74495013848278369</v>
      </c>
      <c r="AO156" s="77">
        <f t="shared" ref="AO156:AO162" ca="1" si="681">AO155-AO155*(AM155/14)*AQ155/SUM(AO155:AS155)-AO155*(AN155/14)*AR155/SUM(AO155:AS155)</f>
        <v>10883684.25795475</v>
      </c>
      <c r="AP156" s="77">
        <f t="shared" ref="AP156:AP162" ca="1" si="682">AP155+AO155*(AM155/14)*AQ155/SUM(AO155:AS155)+AO155*(AN155/14)*AR155/SUM(AO155:AS155)-AP155/4</f>
        <v>1825.0796640853475</v>
      </c>
      <c r="AQ156" s="77">
        <f t="shared" ref="AQ156:AQ162" ca="1" si="683">AQ155+(AP155/4)*AQ$16-AQ155/14</f>
        <v>27844.890113528123</v>
      </c>
      <c r="AR156" s="77">
        <f t="shared" ref="AR156:AR162" ca="1" si="684">AR155+(AP155/4)*AR$16-AR155/14</f>
        <v>0</v>
      </c>
      <c r="AS156" s="77">
        <f t="shared" ref="AS156:AS162" ca="1" si="685">AS155+AR155/14+(AQ155/14)*(1-AT$16)</f>
        <v>86303.422512325531</v>
      </c>
      <c r="AT156" s="54">
        <f t="shared" ref="AT156:AT162" ca="1" si="686">AT155+(AQ155/14)*(AT$16)</f>
        <v>871.75174254874264</v>
      </c>
      <c r="AU156" s="53">
        <f ca="1">OFFSET('National statistics'!$A$6,MATCH(R0_estimation!$A156,'National statistics'!$A$7:$A$5000,0),MATCH(R0_estimation!AU$16 &amp; "_Running14daysNew",'National statistics'!$B$1:$HA$1,0))</f>
        <v>2779</v>
      </c>
      <c r="AV156" s="97">
        <f t="shared" ca="1" si="651"/>
        <v>0.27204729164491237</v>
      </c>
      <c r="AW156" s="98">
        <f t="shared" ca="1" si="519"/>
        <v>0.85754424097138826</v>
      </c>
      <c r="AX156" s="77">
        <f t="shared" ref="AX156:AX162" ca="1" si="687">AX155-AX155*(AV155/14)*AZ155/SUM(AX155:BB155)-AX155*(AW155/14)*BA155/SUM(AX155:BB155)</f>
        <v>5840777.144230891</v>
      </c>
      <c r="AY156" s="77">
        <f t="shared" ref="AY156:AY162" ca="1" si="688">AY155+AX155*(AV155/14)*AZ155/SUM(AX155:BB155)+AX155*(AW155/14)*BA155/SUM(AX155:BB155)-AY155/4</f>
        <v>341.17438275024369</v>
      </c>
      <c r="AZ156" s="77">
        <f t="shared" ref="AZ156:AZ162" ca="1" si="689">AZ155+(AY155/4)*AZ$16-AZ155/14</f>
        <v>3062.6622129021716</v>
      </c>
      <c r="BA156" s="77">
        <f t="shared" ref="BA156:BA162" ca="1" si="690">BA155+(AY155/4)*BA$16-BA155/14</f>
        <v>0</v>
      </c>
      <c r="BB156" s="77">
        <f t="shared" ref="BB156:BB162" ca="1" si="691">BB155+BA155/14+(AZ155/14)*(1-BC$16)</f>
        <v>9561.2579671001768</v>
      </c>
      <c r="BC156" s="54">
        <f t="shared" ref="BC156:BC162" ca="1" si="692">BC155+(AZ155/14)*(BC$16)</f>
        <v>96.578363304042171</v>
      </c>
      <c r="BD156" s="53">
        <f ca="1">OFFSET('National statistics'!$A$6,MATCH(R0_estimation!$A156,'National statistics'!$A$7:$A$5000,0),MATCH(R0_estimation!BD$16 &amp; "_Running14daysNew",'National statistics'!$B$1:$HA$1,0))</f>
        <v>6831</v>
      </c>
      <c r="BE156" s="97">
        <f t="shared" ca="1" si="652"/>
        <v>7.3776335914324878E-2</v>
      </c>
      <c r="BF156" s="98">
        <f t="shared" ca="1" si="520"/>
        <v>0.72178134408538486</v>
      </c>
      <c r="BG156" s="77">
        <f t="shared" ref="BG156:BG162" ca="1" si="693">BG155-BG155*(BE155/14)*BI155/SUM(BG155:BK155)-BG155*(BF155/14)*BJ155/SUM(BG155:BK155)</f>
        <v>4784624.8146718228</v>
      </c>
      <c r="BH156" s="77">
        <f t="shared" ref="BH156:BH162" ca="1" si="694">BH155+BG155*(BE155/14)*BI155/SUM(BG155:BK155)+BG155*(BF155/14)*BJ155/SUM(BG155:BK155)-BH155/4</f>
        <v>473.48052277875399</v>
      </c>
      <c r="BI156" s="77">
        <f t="shared" ref="BI156:BI162" ca="1" si="695">BI155+(BH155/4)*BI$16-BI155/14</f>
        <v>7086.0225776871912</v>
      </c>
      <c r="BJ156" s="77">
        <f t="shared" ref="BJ156:BJ162" ca="1" si="696">BJ155+(BH155/4)*BJ$16-BJ155/14</f>
        <v>0</v>
      </c>
      <c r="BK156" s="77">
        <f t="shared" ref="BK156:BK162" ca="1" si="697">BK155+BJ155/14+(BI155/14)*(1-BL$16)</f>
        <v>16843.185441792502</v>
      </c>
      <c r="BL156" s="54">
        <f t="shared" ref="BL156:BL162" ca="1" si="698">BL155+(BI155/14)*(BL$16)</f>
        <v>170.13318628073233</v>
      </c>
      <c r="BM156" s="53">
        <f ca="1">OFFSET('National statistics'!$A$6,MATCH(R0_estimation!$A156,'National statistics'!$A$7:$A$5000,0),MATCH(R0_estimation!BM$16 &amp; "_Running14daysNew",'National statistics'!$B$1:$HA$1,0))</f>
        <v>3672</v>
      </c>
      <c r="BN156" s="97">
        <f t="shared" ca="1" si="653"/>
        <v>0.30187606914172788</v>
      </c>
      <c r="BO156" s="98">
        <f t="shared" ca="1" si="521"/>
        <v>0.99326027081939861</v>
      </c>
      <c r="BP156" s="77">
        <f t="shared" ref="BP156:BP162" ca="1" si="699">BP155-BP155*(BN155/14)*BR155/SUM(BP155:BT155)-BP155*(BO155/14)*BS155/SUM(BP155:BT155)</f>
        <v>4082686.8342460813</v>
      </c>
      <c r="BQ156" s="77">
        <f t="shared" ref="BQ156:BQ162" ca="1" si="700">BQ155+BP155*(BN155/14)*BR155/SUM(BP155:BT155)+BP155*(BO155/14)*BS155/SUM(BP155:BT155)-BQ155/4</f>
        <v>410.91699861550541</v>
      </c>
      <c r="BR156" s="77">
        <f t="shared" ref="BR156:BR162" ca="1" si="701">BR155+(BQ155/4)*BR$16-BR155/14</f>
        <v>3899.1928318958708</v>
      </c>
      <c r="BS156" s="77">
        <f t="shared" ref="BS156:BS162" ca="1" si="702">BS155+(BQ155/4)*BS$16-BS155/14</f>
        <v>0</v>
      </c>
      <c r="BT156" s="77">
        <f t="shared" ref="BT156:BT162" ca="1" si="703">BT155+BS155/14+(BR155/14)*(1-BU$16)</f>
        <v>20431.843426609903</v>
      </c>
      <c r="BU156" s="54">
        <f t="shared" ref="BU156:BU162" ca="1" si="704">BU155+(BR155/14)*(BU$16)</f>
        <v>206.38225683444347</v>
      </c>
      <c r="BV156" s="53">
        <f ca="1">OFFSET('National statistics'!$A$6,MATCH(R0_estimation!$A156,'National statistics'!$A$7:$A$5000,0),MATCH(R0_estimation!BV$16 &amp; "_Running14daysNew",'National statistics'!$B$1:$HA$1,0))</f>
        <v>2720</v>
      </c>
      <c r="BW156" s="97">
        <f t="shared" ca="1" si="654"/>
        <v>0.73469279903613482</v>
      </c>
      <c r="BX156" s="98">
        <f t="shared" ca="1" si="522"/>
        <v>0.68996207341942262</v>
      </c>
      <c r="BY156" s="77">
        <f t="shared" ref="BY156:BY162" ca="1" si="705">BY155-BY155*(BW155/14)*CA155/SUM(BY155:CC155)-BY155*(BX155/14)*CB155/SUM(BY155:CC155)</f>
        <v>1312896.1003984164</v>
      </c>
      <c r="BZ156" s="77">
        <f t="shared" ref="BZ156:BZ162" ca="1" si="706">BZ155+BY155*(BW155/14)*CA155/SUM(BY155:CC155)+BY155*(BX155/14)*CB155/SUM(BY155:CC155)-BZ155/4</f>
        <v>686.40483670669948</v>
      </c>
      <c r="CA156" s="77">
        <f t="shared" ref="CA156:CA162" ca="1" si="707">CA155+(BZ155/4)*CA$16-CA155/14</f>
        <v>2951.7496102583596</v>
      </c>
      <c r="CB156" s="77">
        <f t="shared" ref="CB156:CB162" ca="1" si="708">CB155+(BZ155/4)*CB$16-CB155/14</f>
        <v>0</v>
      </c>
      <c r="CC156" s="77">
        <f t="shared" ref="CC156:CC162" ca="1" si="709">CC155+CB155/14+(CA155/14)*(1-CD$16)</f>
        <v>5642.845784725977</v>
      </c>
      <c r="CD156" s="54">
        <f t="shared" ref="CD156:CD162" ca="1" si="710">CD155+(CA155/14)*(CD$16)</f>
        <v>56.998442269959362</v>
      </c>
      <c r="CE156" s="53">
        <f ca="1">OFFSET('National statistics'!$A$6,MATCH(R0_estimation!$A156,'National statistics'!$A$7:$A$5000,0),MATCH(R0_estimation!CE$16 &amp; "_Running14daysNew",'National statistics'!$B$1:$HA$1,0))</f>
        <v>6536</v>
      </c>
      <c r="CF156" s="97">
        <f t="shared" ca="1" si="655"/>
        <v>0.17553049825157571</v>
      </c>
      <c r="CG156" s="98">
        <f t="shared" ca="1" si="523"/>
        <v>1.2165621122686727</v>
      </c>
      <c r="CH156" s="77">
        <f t="shared" ref="CH156:CH162" ca="1" si="711">CH155-CH155*(CF155/14)*CJ155/SUM(CH155:CL155)-CH155*(CG155/14)*CK155/SUM(CH155:CL155)</f>
        <v>7199151.1114423722</v>
      </c>
      <c r="CI156" s="77">
        <f t="shared" ref="CI156:CI162" ca="1" si="712">CI155+CH155*(CF155/14)*CJ155/SUM(CH155:CL155)+CH155*(CG155/14)*CK155/SUM(CH155:CL155)-CI155/4</f>
        <v>556.10157338981026</v>
      </c>
      <c r="CJ156" s="77">
        <f t="shared" ref="CJ156:CJ162" ca="1" si="713">CJ155+(CI155/4)*CJ$16-CJ155/14</f>
        <v>7206.1230863470473</v>
      </c>
      <c r="CK156" s="77">
        <f t="shared" ref="CK156:CK162" ca="1" si="714">CK155+(CI155/4)*CK$16-CK155/14</f>
        <v>0</v>
      </c>
      <c r="CL156" s="77">
        <f t="shared" ref="CL156:CL162" ca="1" si="715">CL155+CK155/14+(CJ155/14)*(1-CM$16)</f>
        <v>96989.872496408512</v>
      </c>
      <c r="CM156" s="54">
        <f t="shared" ref="CM156:CM162" ca="1" si="716">CM155+(CJ155/14)*(CM$16)</f>
        <v>979.69568178190411</v>
      </c>
      <c r="CO156" s="209"/>
      <c r="CP156" s="210"/>
    </row>
    <row r="157" spans="1:94">
      <c r="A157" s="83">
        <f t="shared" si="656"/>
        <v>44057</v>
      </c>
      <c r="B157" s="53">
        <f ca="1">OFFSET('National statistics'!$A$6,MATCH(R0_estimation!$A157,'National statistics'!$A$7:$A$5000,0),MATCH(R0_estimation!B$16 &amp; "_Running14daysNew",'National statistics'!$B$1:$HA$1,0))</f>
        <v>85957</v>
      </c>
      <c r="C157" s="97">
        <f t="shared" ca="1" si="646"/>
        <v>0.14033481105650308</v>
      </c>
      <c r="D157" s="98">
        <f t="shared" si="645"/>
        <v>1</v>
      </c>
      <c r="E157" s="77">
        <f t="shared" ca="1" si="657"/>
        <v>59086222.697014555</v>
      </c>
      <c r="F157" s="77">
        <f t="shared" ca="1" si="658"/>
        <v>5614.5681681122096</v>
      </c>
      <c r="G157" s="77">
        <f t="shared" ca="1" si="659"/>
        <v>88567.193703080848</v>
      </c>
      <c r="H157" s="77">
        <f t="shared" ca="1" si="660"/>
        <v>0</v>
      </c>
      <c r="I157" s="77">
        <f t="shared" ca="1" si="661"/>
        <v>531751.82351821382</v>
      </c>
      <c r="J157" s="54">
        <f t="shared" ca="1" si="662"/>
        <v>5371.2305405880206</v>
      </c>
      <c r="K157" s="53">
        <f ca="1">OFFSET('National statistics'!$A$6,MATCH(R0_estimation!$A157,'National statistics'!$A$7:$A$5000,0),MATCH(R0_estimation!K$16 &amp; "_Running14daysNew",'National statistics'!$B$1:$HA$1,0))</f>
        <v>5434</v>
      </c>
      <c r="L157" s="97">
        <f t="shared" ca="1" si="647"/>
        <v>-0.14233324113941079</v>
      </c>
      <c r="M157" s="98">
        <f t="shared" ca="1" si="515"/>
        <v>1.3891436550517304</v>
      </c>
      <c r="N157" s="77">
        <f t="shared" ca="1" si="663"/>
        <v>6785363.5642404994</v>
      </c>
      <c r="O157" s="77">
        <f t="shared" ca="1" si="664"/>
        <v>-288.43595925956805</v>
      </c>
      <c r="P157" s="77">
        <f t="shared" ca="1" si="665"/>
        <v>6149.7338576802313</v>
      </c>
      <c r="Q157" s="77">
        <f t="shared" ca="1" si="666"/>
        <v>0</v>
      </c>
      <c r="R157" s="77">
        <f t="shared" ca="1" si="667"/>
        <v>78743.9280392121</v>
      </c>
      <c r="S157" s="54">
        <f t="shared" ca="1" si="668"/>
        <v>795.39321251729393</v>
      </c>
      <c r="T157" s="53">
        <f ca="1">OFFSET('National statistics'!$A$6,MATCH(R0_estimation!$A157,'National statistics'!$A$7:$A$5000,0),MATCH(R0_estimation!T$16 &amp; "_Running14daysNew",'National statistics'!$B$1:$HA$1,0))</f>
        <v>9575</v>
      </c>
      <c r="U157" s="97">
        <f t="shared" ca="1" si="648"/>
        <v>0.24361083801578898</v>
      </c>
      <c r="V157" s="98">
        <f t="shared" ca="1" si="516"/>
        <v>0.50313552847557719</v>
      </c>
      <c r="W157" s="77">
        <f t="shared" ca="1" si="669"/>
        <v>2771797.1797108566</v>
      </c>
      <c r="X157" s="77">
        <f t="shared" ca="1" si="670"/>
        <v>1043.4474873907327</v>
      </c>
      <c r="Y157" s="77">
        <f t="shared" ca="1" si="671"/>
        <v>10101.744979203115</v>
      </c>
      <c r="Z157" s="77">
        <f t="shared" ca="1" si="672"/>
        <v>0</v>
      </c>
      <c r="AA157" s="77">
        <f t="shared" ca="1" si="673"/>
        <v>25806.089598454841</v>
      </c>
      <c r="AB157" s="54">
        <f t="shared" ca="1" si="674"/>
        <v>260.66757170156404</v>
      </c>
      <c r="AC157" s="53">
        <f ca="1">OFFSET('National statistics'!$A$6,MATCH(R0_estimation!$A157,'National statistics'!$A$7:$A$5000,0),MATCH(R0_estimation!AC$16 &amp; "_Running14daysNew",'National statistics'!$B$1:$HA$1,0))</f>
        <v>22259</v>
      </c>
      <c r="AD157" s="97">
        <f t="shared" ca="1" si="649"/>
        <v>7.8723256669998659E-2</v>
      </c>
      <c r="AE157" s="98">
        <f t="shared" ca="1" si="517"/>
        <v>0.57565754152920057</v>
      </c>
      <c r="AF157" s="77">
        <f t="shared" ca="1" si="675"/>
        <v>15428521.377915012</v>
      </c>
      <c r="AG157" s="77">
        <f t="shared" ca="1" si="676"/>
        <v>775.70756898996365</v>
      </c>
      <c r="AH157" s="77">
        <f t="shared" ca="1" si="677"/>
        <v>23208.345455937713</v>
      </c>
      <c r="AI157" s="77">
        <f t="shared" ca="1" si="678"/>
        <v>0</v>
      </c>
      <c r="AJ157" s="77">
        <f t="shared" ca="1" si="679"/>
        <v>185061.43320299851</v>
      </c>
      <c r="AK157" s="54">
        <f t="shared" ca="1" si="680"/>
        <v>1869.3074060908934</v>
      </c>
      <c r="AL157" s="53">
        <f ca="1">OFFSET('National statistics'!$A$6,MATCH(R0_estimation!$A157,'National statistics'!$A$7:$A$5000,0),MATCH(R0_estimation!AL$16 &amp; "_Running14daysNew",'National statistics'!$B$1:$HA$1,0))</f>
        <v>27038</v>
      </c>
      <c r="AM157" s="97">
        <f t="shared" ca="1" si="650"/>
        <v>0.10057482572509002</v>
      </c>
      <c r="AN157" s="98">
        <f t="shared" ca="1" si="518"/>
        <v>0.74495013848278369</v>
      </c>
      <c r="AO157" s="77">
        <f t="shared" ca="1" si="681"/>
        <v>10883486.331645235</v>
      </c>
      <c r="AP157" s="77">
        <f t="shared" ca="1" si="682"/>
        <v>1566.7360575787443</v>
      </c>
      <c r="AQ157" s="77">
        <f t="shared" ca="1" si="683"/>
        <v>26312.239307154596</v>
      </c>
      <c r="AR157" s="77">
        <f t="shared" ca="1" si="684"/>
        <v>0</v>
      </c>
      <c r="AS157" s="77">
        <f t="shared" ca="1" si="685"/>
        <v>88272.454027496453</v>
      </c>
      <c r="AT157" s="54">
        <f t="shared" ca="1" si="686"/>
        <v>891.64094977269133</v>
      </c>
      <c r="AU157" s="53">
        <f ca="1">OFFSET('National statistics'!$A$6,MATCH(R0_estimation!$A157,'National statistics'!$A$7:$A$5000,0),MATCH(R0_estimation!AU$16 &amp; "_Running14daysNew",'National statistics'!$B$1:$HA$1,0))</f>
        <v>2649</v>
      </c>
      <c r="AV157" s="97">
        <f t="shared" ca="1" si="651"/>
        <v>0.27204729164491237</v>
      </c>
      <c r="AW157" s="98">
        <f t="shared" ca="1" si="519"/>
        <v>0.85754424097138826</v>
      </c>
      <c r="AX157" s="77">
        <f t="shared" ca="1" si="687"/>
        <v>5840717.7625465244</v>
      </c>
      <c r="AY157" s="77">
        <f t="shared" ca="1" si="688"/>
        <v>315.26247142915554</v>
      </c>
      <c r="AZ157" s="77">
        <f t="shared" ca="1" si="689"/>
        <v>2929.1942219538632</v>
      </c>
      <c r="BA157" s="77">
        <f t="shared" ca="1" si="690"/>
        <v>0</v>
      </c>
      <c r="BB157" s="77">
        <f t="shared" ca="1" si="691"/>
        <v>9777.831937869687</v>
      </c>
      <c r="BC157" s="54">
        <f t="shared" ca="1" si="692"/>
        <v>98.765979170400868</v>
      </c>
      <c r="BD157" s="53">
        <f ca="1">OFFSET('National statistics'!$A$6,MATCH(R0_estimation!$A157,'National statistics'!$A$7:$A$5000,0),MATCH(R0_estimation!BD$16 &amp; "_Running14daysNew",'National statistics'!$B$1:$HA$1,0))</f>
        <v>6453</v>
      </c>
      <c r="BE157" s="97">
        <f t="shared" ca="1" si="652"/>
        <v>7.3776335914324878E-2</v>
      </c>
      <c r="BF157" s="98">
        <f t="shared" ca="1" si="520"/>
        <v>0.72178134408538486</v>
      </c>
      <c r="BG157" s="77">
        <f t="shared" ca="1" si="693"/>
        <v>4784587.6626711553</v>
      </c>
      <c r="BH157" s="77">
        <f t="shared" ca="1" si="694"/>
        <v>392.26239275157951</v>
      </c>
      <c r="BI157" s="77">
        <f t="shared" ca="1" si="695"/>
        <v>6698.2482385470803</v>
      </c>
      <c r="BJ157" s="77">
        <f t="shared" ca="1" si="696"/>
        <v>0</v>
      </c>
      <c r="BK157" s="77">
        <f t="shared" ca="1" si="697"/>
        <v>17344.268466928952</v>
      </c>
      <c r="BL157" s="54">
        <f t="shared" ca="1" si="698"/>
        <v>175.19463097908033</v>
      </c>
      <c r="BM157" s="53">
        <f ca="1">OFFSET('National statistics'!$A$6,MATCH(R0_estimation!$A157,'National statistics'!$A$7:$A$5000,0),MATCH(R0_estimation!BM$16 &amp; "_Running14daysNew",'National statistics'!$B$1:$HA$1,0))</f>
        <v>3491</v>
      </c>
      <c r="BN157" s="97">
        <f t="shared" ca="1" si="653"/>
        <v>0.30187606914172788</v>
      </c>
      <c r="BO157" s="98">
        <f t="shared" ca="1" si="521"/>
        <v>0.99326027081939861</v>
      </c>
      <c r="BP157" s="77">
        <f t="shared" ca="1" si="699"/>
        <v>4082603.2640560539</v>
      </c>
      <c r="BQ157" s="77">
        <f t="shared" ca="1" si="700"/>
        <v>391.75793898880903</v>
      </c>
      <c r="BR157" s="77">
        <f t="shared" ca="1" si="701"/>
        <v>3723.4083078428989</v>
      </c>
      <c r="BS157" s="77">
        <f t="shared" ca="1" si="702"/>
        <v>0</v>
      </c>
      <c r="BT157" s="77">
        <f t="shared" ca="1" si="703"/>
        <v>20707.572062579682</v>
      </c>
      <c r="BU157" s="54">
        <f t="shared" ca="1" si="704"/>
        <v>209.16739457151195</v>
      </c>
      <c r="BV157" s="53">
        <f ca="1">OFFSET('National statistics'!$A$6,MATCH(R0_estimation!$A157,'National statistics'!$A$7:$A$5000,0),MATCH(R0_estimation!BV$16 &amp; "_Running14daysNew",'National statistics'!$B$1:$HA$1,0))</f>
        <v>2702</v>
      </c>
      <c r="BW157" s="97">
        <f t="shared" ca="1" si="654"/>
        <v>0.73469279903613482</v>
      </c>
      <c r="BX157" s="98">
        <f t="shared" ca="1" si="522"/>
        <v>0.68996207341942262</v>
      </c>
      <c r="BY157" s="77">
        <f t="shared" ca="1" si="705"/>
        <v>1312742.2856465145</v>
      </c>
      <c r="BZ157" s="77">
        <f t="shared" ca="1" si="706"/>
        <v>668.61837943189528</v>
      </c>
      <c r="CA157" s="77">
        <f t="shared" ca="1" si="707"/>
        <v>2912.5115615594373</v>
      </c>
      <c r="CB157" s="77">
        <f t="shared" ca="1" si="708"/>
        <v>0</v>
      </c>
      <c r="CC157" s="77">
        <f t="shared" ca="1" si="709"/>
        <v>5851.5766500228183</v>
      </c>
      <c r="CD157" s="54">
        <f t="shared" ca="1" si="710"/>
        <v>59.10683484871533</v>
      </c>
      <c r="CE157" s="53">
        <f ca="1">OFFSET('National statistics'!$A$6,MATCH(R0_estimation!$A157,'National statistics'!$A$7:$A$5000,0),MATCH(R0_estimation!CE$16 &amp; "_Running14daysNew",'National statistics'!$B$1:$HA$1,0))</f>
        <v>6356</v>
      </c>
      <c r="CF157" s="97">
        <f t="shared" ca="1" si="655"/>
        <v>0.17553049825157571</v>
      </c>
      <c r="CG157" s="98">
        <f t="shared" ca="1" si="523"/>
        <v>1.2165621122686727</v>
      </c>
      <c r="CH157" s="77">
        <f t="shared" ca="1" si="711"/>
        <v>7199062.0576320682</v>
      </c>
      <c r="CI157" s="77">
        <f t="shared" ca="1" si="712"/>
        <v>506.12999034653308</v>
      </c>
      <c r="CJ157" s="77">
        <f t="shared" ca="1" si="713"/>
        <v>6830.4254020982817</v>
      </c>
      <c r="CK157" s="77">
        <f t="shared" ca="1" si="714"/>
        <v>0</v>
      </c>
      <c r="CL157" s="77">
        <f t="shared" ca="1" si="715"/>
        <v>97499.448343228767</v>
      </c>
      <c r="CM157" s="54">
        <f t="shared" ca="1" si="716"/>
        <v>984.84291255786627</v>
      </c>
      <c r="CO157" s="209"/>
      <c r="CP157" s="210"/>
    </row>
    <row r="158" spans="1:94">
      <c r="A158" s="83">
        <f t="shared" si="656"/>
        <v>44058</v>
      </c>
      <c r="B158" s="53">
        <f ca="1">OFFSET('National statistics'!$A$6,MATCH(R0_estimation!$A158,'National statistics'!$A$7:$A$5000,0),MATCH(R0_estimation!B$16 &amp; "_Running14daysNew",'National statistics'!$B$1:$HA$1,0))</f>
        <v>80363</v>
      </c>
      <c r="C158" s="97">
        <f t="shared" ca="1" si="646"/>
        <v>0.14033481105650308</v>
      </c>
      <c r="D158" s="98">
        <f t="shared" si="645"/>
        <v>1</v>
      </c>
      <c r="E158" s="77">
        <f t="shared" ca="1" si="657"/>
        <v>59085344.213258862</v>
      </c>
      <c r="F158" s="77">
        <f t="shared" ca="1" si="658"/>
        <v>5089.409881778467</v>
      </c>
      <c r="G158" s="77">
        <f t="shared" ca="1" si="659"/>
        <v>83644.607623460266</v>
      </c>
      <c r="H158" s="77">
        <f t="shared" ca="1" si="660"/>
        <v>0</v>
      </c>
      <c r="I158" s="77">
        <f t="shared" ca="1" si="661"/>
        <v>538014.78935864591</v>
      </c>
      <c r="J158" s="54">
        <f t="shared" ca="1" si="662"/>
        <v>5434.492821804507</v>
      </c>
      <c r="K158" s="53">
        <f ca="1">OFFSET('National statistics'!$A$6,MATCH(R0_estimation!$A158,'National statistics'!$A$7:$A$5000,0),MATCH(R0_estimation!K$16 &amp; "_Running14daysNew",'National statistics'!$B$1:$HA$1,0))</f>
        <v>4889</v>
      </c>
      <c r="L158" s="97">
        <f t="shared" ca="1" si="647"/>
        <v>-0.14233324113941079</v>
      </c>
      <c r="M158" s="98">
        <f t="shared" ca="1" si="515"/>
        <v>1.3891436550517304</v>
      </c>
      <c r="N158" s="77">
        <f t="shared" ca="1" si="663"/>
        <v>6785425.3165184669</v>
      </c>
      <c r="O158" s="77">
        <f t="shared" ca="1" si="664"/>
        <v>-278.07924741225213</v>
      </c>
      <c r="P158" s="77">
        <f t="shared" ca="1" si="665"/>
        <v>5638.3581637453226</v>
      </c>
      <c r="Q158" s="77">
        <f t="shared" ca="1" si="666"/>
        <v>0</v>
      </c>
      <c r="R158" s="77">
        <f t="shared" ca="1" si="667"/>
        <v>79178.802076290915</v>
      </c>
      <c r="S158" s="54">
        <f t="shared" ca="1" si="668"/>
        <v>799.78587955849412</v>
      </c>
      <c r="T158" s="53">
        <f ca="1">OFFSET('National statistics'!$A$6,MATCH(R0_estimation!$A158,'National statistics'!$A$7:$A$5000,0),MATCH(R0_estimation!T$16 &amp; "_Running14daysNew",'National statistics'!$B$1:$HA$1,0))</f>
        <v>9157</v>
      </c>
      <c r="U158" s="97">
        <f t="shared" ca="1" si="648"/>
        <v>0.24361083801578898</v>
      </c>
      <c r="V158" s="98">
        <f t="shared" ca="1" si="516"/>
        <v>0.50313552847557719</v>
      </c>
      <c r="W158" s="77">
        <f t="shared" ca="1" si="669"/>
        <v>2771623.714027443</v>
      </c>
      <c r="X158" s="77">
        <f t="shared" ca="1" si="670"/>
        <v>956.0512989569188</v>
      </c>
      <c r="Y158" s="77">
        <f t="shared" ca="1" si="671"/>
        <v>9641.0536382505743</v>
      </c>
      <c r="Z158" s="77">
        <f t="shared" ca="1" si="672"/>
        <v>0</v>
      </c>
      <c r="AA158" s="77">
        <f t="shared" ca="1" si="673"/>
        <v>26520.42727912706</v>
      </c>
      <c r="AB158" s="54">
        <f t="shared" ca="1" si="674"/>
        <v>267.88310382956627</v>
      </c>
      <c r="AC158" s="53">
        <f ca="1">OFFSET('National statistics'!$A$6,MATCH(R0_estimation!$A158,'National statistics'!$A$7:$A$5000,0),MATCH(R0_estimation!AC$16 &amp; "_Running14daysNew",'National statistics'!$B$1:$HA$1,0))</f>
        <v>20552</v>
      </c>
      <c r="AD158" s="97">
        <f t="shared" ca="1" si="649"/>
        <v>7.8723256669998659E-2</v>
      </c>
      <c r="AE158" s="98">
        <f t="shared" ca="1" si="517"/>
        <v>0.57565754152920057</v>
      </c>
      <c r="AF158" s="77">
        <f t="shared" ca="1" si="675"/>
        <v>15428392.61988497</v>
      </c>
      <c r="AG158" s="77">
        <f t="shared" ca="1" si="676"/>
        <v>710.53870678505155</v>
      </c>
      <c r="AH158" s="77">
        <f t="shared" ca="1" si="677"/>
        <v>21744.533387046795</v>
      </c>
      <c r="AI158" s="77">
        <f t="shared" ca="1" si="678"/>
        <v>0</v>
      </c>
      <c r="AJ158" s="77">
        <f t="shared" ca="1" si="679"/>
        <v>186702.59477452553</v>
      </c>
      <c r="AK158" s="54">
        <f t="shared" ca="1" si="680"/>
        <v>1885.8847957022774</v>
      </c>
      <c r="AL158" s="53">
        <f ca="1">OFFSET('National statistics'!$A$6,MATCH(R0_estimation!$A158,'National statistics'!$A$7:$A$5000,0),MATCH(R0_estimation!AL$16 &amp; "_Running14daysNew",'National statistics'!$B$1:$HA$1,0))</f>
        <v>25012</v>
      </c>
      <c r="AM158" s="97">
        <f t="shared" ca="1" si="650"/>
        <v>0.10057482572509002</v>
      </c>
      <c r="AN158" s="98">
        <f t="shared" ca="1" si="518"/>
        <v>0.74495013848278369</v>
      </c>
      <c r="AO158" s="77">
        <f t="shared" ca="1" si="681"/>
        <v>10883299.302746648</v>
      </c>
      <c r="AP158" s="77">
        <f t="shared" ca="1" si="682"/>
        <v>1362.0809417709138</v>
      </c>
      <c r="AQ158" s="77">
        <f t="shared" ca="1" si="683"/>
        <v>24824.477656752526</v>
      </c>
      <c r="AR158" s="77">
        <f t="shared" ca="1" si="684"/>
        <v>0</v>
      </c>
      <c r="AS158" s="77">
        <f t="shared" ca="1" si="685"/>
        <v>90133.105235645242</v>
      </c>
      <c r="AT158" s="54">
        <f t="shared" ca="1" si="686"/>
        <v>910.43540642065886</v>
      </c>
      <c r="AU158" s="53">
        <f ca="1">OFFSET('National statistics'!$A$6,MATCH(R0_estimation!$A158,'National statistics'!$A$7:$A$5000,0),MATCH(R0_estimation!AU$16 &amp; "_Running14daysNew",'National statistics'!$B$1:$HA$1,0))</f>
        <v>2566</v>
      </c>
      <c r="AV158" s="97">
        <f t="shared" ca="1" si="651"/>
        <v>0.27204729164491237</v>
      </c>
      <c r="AW158" s="98">
        <f t="shared" ca="1" si="519"/>
        <v>0.85754424097138826</v>
      </c>
      <c r="AX158" s="77">
        <f t="shared" ca="1" si="687"/>
        <v>5840660.9692173097</v>
      </c>
      <c r="AY158" s="77">
        <f t="shared" ca="1" si="688"/>
        <v>293.24018278660196</v>
      </c>
      <c r="AZ158" s="77">
        <f t="shared" ca="1" si="689"/>
        <v>2798.7816811001621</v>
      </c>
      <c r="BA158" s="77">
        <f t="shared" ca="1" si="690"/>
        <v>0</v>
      </c>
      <c r="BB158" s="77">
        <f t="shared" ca="1" si="691"/>
        <v>9984.967814993568</v>
      </c>
      <c r="BC158" s="54">
        <f t="shared" ca="1" si="692"/>
        <v>100.85826075751078</v>
      </c>
      <c r="BD158" s="53">
        <f ca="1">OFFSET('National statistics'!$A$6,MATCH(R0_estimation!$A158,'National statistics'!$A$7:$A$5000,0),MATCH(R0_estimation!BD$16 &amp; "_Running14daysNew",'National statistics'!$B$1:$HA$1,0))</f>
        <v>6234</v>
      </c>
      <c r="BE158" s="97">
        <f t="shared" ca="1" si="652"/>
        <v>7.3776335914324878E-2</v>
      </c>
      <c r="BF158" s="98">
        <f t="shared" ca="1" si="520"/>
        <v>0.72178134408538486</v>
      </c>
      <c r="BG158" s="77">
        <f t="shared" ca="1" si="693"/>
        <v>4784552.5440062201</v>
      </c>
      <c r="BH158" s="77">
        <f t="shared" ca="1" si="694"/>
        <v>329.31545949885236</v>
      </c>
      <c r="BI158" s="77">
        <f t="shared" ca="1" si="695"/>
        <v>6317.8675339816118</v>
      </c>
      <c r="BJ158" s="77">
        <f t="shared" ca="1" si="696"/>
        <v>0</v>
      </c>
      <c r="BK158" s="77">
        <f t="shared" ca="1" si="697"/>
        <v>17817.93030665478</v>
      </c>
      <c r="BL158" s="54">
        <f t="shared" ca="1" si="698"/>
        <v>179.97909400661396</v>
      </c>
      <c r="BM158" s="53">
        <f ca="1">OFFSET('National statistics'!$A$6,MATCH(R0_estimation!$A158,'National statistics'!$A$7:$A$5000,0),MATCH(R0_estimation!BM$16 &amp; "_Running14daysNew",'National statistics'!$B$1:$HA$1,0))</f>
        <v>3379</v>
      </c>
      <c r="BN158" s="97">
        <f t="shared" ca="1" si="653"/>
        <v>0.30187606914172788</v>
      </c>
      <c r="BO158" s="98">
        <f t="shared" ca="1" si="521"/>
        <v>0.99326027081939861</v>
      </c>
      <c r="BP158" s="77">
        <f t="shared" ca="1" si="699"/>
        <v>4082523.4629805861</v>
      </c>
      <c r="BQ158" s="77">
        <f t="shared" ca="1" si="700"/>
        <v>373.61952970929696</v>
      </c>
      <c r="BR158" s="77">
        <f t="shared" ca="1" si="701"/>
        <v>3555.3900563156085</v>
      </c>
      <c r="BS158" s="77">
        <f t="shared" ca="1" si="702"/>
        <v>0</v>
      </c>
      <c r="BT158" s="77">
        <f t="shared" ca="1" si="703"/>
        <v>20970.87022149143</v>
      </c>
      <c r="BU158" s="54">
        <f t="shared" ca="1" si="704"/>
        <v>211.82697193425687</v>
      </c>
      <c r="BV158" s="53">
        <f ca="1">OFFSET('National statistics'!$A$6,MATCH(R0_estimation!$A158,'National statistics'!$A$7:$A$5000,0),MATCH(R0_estimation!BV$16 &amp; "_Running14daysNew",'National statistics'!$B$1:$HA$1,0))</f>
        <v>2774</v>
      </c>
      <c r="BW158" s="97">
        <f t="shared" ca="1" si="654"/>
        <v>0.73469279903613482</v>
      </c>
      <c r="BX158" s="98">
        <f t="shared" ca="1" si="522"/>
        <v>0.68996207341942262</v>
      </c>
      <c r="BY158" s="77">
        <f t="shared" ca="1" si="705"/>
        <v>1312590.5331160077</v>
      </c>
      <c r="BZ158" s="77">
        <f t="shared" ca="1" si="706"/>
        <v>653.21631508084079</v>
      </c>
      <c r="CA158" s="77">
        <f t="shared" ca="1" si="707"/>
        <v>2871.6296163060224</v>
      </c>
      <c r="CB158" s="77">
        <f t="shared" ca="1" si="708"/>
        <v>0</v>
      </c>
      <c r="CC158" s="77">
        <f t="shared" ca="1" si="709"/>
        <v>6057.5328247330926</v>
      </c>
      <c r="CD158" s="54">
        <f t="shared" ca="1" si="710"/>
        <v>61.187200249829218</v>
      </c>
      <c r="CE158" s="53">
        <f ca="1">OFFSET('National statistics'!$A$6,MATCH(R0_estimation!$A158,'National statistics'!$A$7:$A$5000,0),MATCH(R0_estimation!CE$16 &amp; "_Running14daysNew",'National statistics'!$B$1:$HA$1,0))</f>
        <v>5800</v>
      </c>
      <c r="CF158" s="97">
        <f t="shared" ca="1" si="655"/>
        <v>0.17553049825157571</v>
      </c>
      <c r="CG158" s="98">
        <f t="shared" ca="1" si="523"/>
        <v>1.2165621122686727</v>
      </c>
      <c r="CH158" s="77">
        <f t="shared" ca="1" si="711"/>
        <v>7198977.6477066427</v>
      </c>
      <c r="CI158" s="77">
        <f t="shared" ca="1" si="712"/>
        <v>464.00741818505645</v>
      </c>
      <c r="CJ158" s="77">
        <f t="shared" ca="1" si="713"/>
        <v>6469.0703709636091</v>
      </c>
      <c r="CK158" s="77">
        <f t="shared" ca="1" si="714"/>
        <v>0</v>
      </c>
      <c r="CL158" s="77">
        <f t="shared" ca="1" si="715"/>
        <v>97982.456996662862</v>
      </c>
      <c r="CM158" s="54">
        <f t="shared" ca="1" si="716"/>
        <v>989.72178784507935</v>
      </c>
      <c r="CO158" s="209"/>
      <c r="CP158" s="210"/>
    </row>
    <row r="159" spans="1:94">
      <c r="A159" s="83">
        <f t="shared" si="656"/>
        <v>44059</v>
      </c>
      <c r="B159" s="53">
        <f ca="1">OFFSET('National statistics'!$A$6,MATCH(R0_estimation!$A159,'National statistics'!$A$7:$A$5000,0),MATCH(R0_estimation!B$16 &amp; "_Running14daysNew",'National statistics'!$B$1:$HA$1,0))</f>
        <v>75860</v>
      </c>
      <c r="C159" s="97">
        <f t="shared" ca="1" si="646"/>
        <v>0.14033481105650308</v>
      </c>
      <c r="D159" s="98">
        <f t="shared" si="645"/>
        <v>1</v>
      </c>
      <c r="E159" s="77">
        <f t="shared" ca="1" si="657"/>
        <v>59084514.567299336</v>
      </c>
      <c r="F159" s="77">
        <f t="shared" ca="1" si="658"/>
        <v>4646.7033708603485</v>
      </c>
      <c r="G159" s="77">
        <f t="shared" ca="1" si="659"/>
        <v>78942.345263657728</v>
      </c>
      <c r="H159" s="77">
        <f t="shared" ca="1" si="660"/>
        <v>0</v>
      </c>
      <c r="I159" s="77">
        <f t="shared" ca="1" si="661"/>
        <v>543929.65804059058</v>
      </c>
      <c r="J159" s="54">
        <f t="shared" ca="1" si="662"/>
        <v>5494.2389701069787</v>
      </c>
      <c r="K159" s="53">
        <f ca="1">OFFSET('National statistics'!$A$6,MATCH(R0_estimation!$A159,'National statistics'!$A$7:$A$5000,0),MATCH(R0_estimation!K$16 &amp; "_Running14daysNew",'National statistics'!$B$1:$HA$1,0))</f>
        <v>4596</v>
      </c>
      <c r="L159" s="97">
        <f t="shared" ca="1" si="647"/>
        <v>-0.14233324113941079</v>
      </c>
      <c r="M159" s="98">
        <f t="shared" ca="1" si="515"/>
        <v>1.3891436550517304</v>
      </c>
      <c r="N159" s="77">
        <f t="shared" ca="1" si="663"/>
        <v>6785481.9343916997</v>
      </c>
      <c r="O159" s="77">
        <f t="shared" ca="1" si="664"/>
        <v>-265.17730879208</v>
      </c>
      <c r="P159" s="77">
        <f t="shared" ca="1" si="665"/>
        <v>5166.098483053308</v>
      </c>
      <c r="Q159" s="77">
        <f t="shared" ca="1" si="666"/>
        <v>0</v>
      </c>
      <c r="R159" s="77">
        <f t="shared" ca="1" si="667"/>
        <v>79577.514546441482</v>
      </c>
      <c r="S159" s="54">
        <f t="shared" ca="1" si="668"/>
        <v>803.81327824688367</v>
      </c>
      <c r="T159" s="53">
        <f ca="1">OFFSET('National statistics'!$A$6,MATCH(R0_estimation!$A159,'National statistics'!$A$7:$A$5000,0),MATCH(R0_estimation!T$16 &amp; "_Running14daysNew",'National statistics'!$B$1:$HA$1,0))</f>
        <v>8771</v>
      </c>
      <c r="U159" s="97">
        <f t="shared" ca="1" si="648"/>
        <v>0.24361083801578898</v>
      </c>
      <c r="V159" s="98">
        <f t="shared" ca="1" si="516"/>
        <v>0.50313552847557719</v>
      </c>
      <c r="W159" s="77">
        <f t="shared" ca="1" si="669"/>
        <v>2771458.1692037135</v>
      </c>
      <c r="X159" s="77">
        <f t="shared" ca="1" si="670"/>
        <v>882.58329794699148</v>
      </c>
      <c r="Y159" s="77">
        <f t="shared" ca="1" si="671"/>
        <v>9191.4197745433339</v>
      </c>
      <c r="Z159" s="77">
        <f t="shared" ca="1" si="672"/>
        <v>0</v>
      </c>
      <c r="AA159" s="77">
        <f t="shared" ca="1" si="673"/>
        <v>27202.187500689066</v>
      </c>
      <c r="AB159" s="54">
        <f t="shared" ca="1" si="674"/>
        <v>274.76957071403098</v>
      </c>
      <c r="AC159" s="53">
        <f ca="1">OFFSET('National statistics'!$A$6,MATCH(R0_estimation!$A159,'National statistics'!$A$7:$A$5000,0),MATCH(R0_estimation!AC$16 &amp; "_Running14daysNew",'National statistics'!$B$1:$HA$1,0))</f>
        <v>19103</v>
      </c>
      <c r="AD159" s="97">
        <f t="shared" ca="1" si="649"/>
        <v>7.8723256669998659E-2</v>
      </c>
      <c r="AE159" s="98">
        <f t="shared" ca="1" si="517"/>
        <v>0.57565754152920057</v>
      </c>
      <c r="AF159" s="77">
        <f t="shared" ca="1" si="675"/>
        <v>15428271.983845189</v>
      </c>
      <c r="AG159" s="77">
        <f t="shared" ca="1" si="676"/>
        <v>653.5400698698669</v>
      </c>
      <c r="AH159" s="77">
        <f t="shared" ca="1" si="677"/>
        <v>20368.98710752543</v>
      </c>
      <c r="AI159" s="77">
        <f t="shared" ca="1" si="678"/>
        <v>0</v>
      </c>
      <c r="AJ159" s="77">
        <f t="shared" ca="1" si="679"/>
        <v>188240.24392118098</v>
      </c>
      <c r="AK159" s="54">
        <f t="shared" ca="1" si="680"/>
        <v>1901.4166052644537</v>
      </c>
      <c r="AL159" s="53">
        <f ca="1">OFFSET('National statistics'!$A$6,MATCH(R0_estimation!$A159,'National statistics'!$A$7:$A$5000,0),MATCH(R0_estimation!AL$16 &amp; "_Running14daysNew",'National statistics'!$B$1:$HA$1,0))</f>
        <v>23083</v>
      </c>
      <c r="AM159" s="97">
        <f t="shared" ca="1" si="650"/>
        <v>0.10057482572509002</v>
      </c>
      <c r="AN159" s="98">
        <f t="shared" ca="1" si="518"/>
        <v>0.74495013848278369</v>
      </c>
      <c r="AO159" s="77">
        <f t="shared" ca="1" si="681"/>
        <v>10883122.851673581</v>
      </c>
      <c r="AP159" s="77">
        <f t="shared" ca="1" si="682"/>
        <v>1198.0117793952832</v>
      </c>
      <c r="AQ159" s="77">
        <f t="shared" ca="1" si="683"/>
        <v>23391.820916712932</v>
      </c>
      <c r="AR159" s="77">
        <f t="shared" ca="1" si="684"/>
        <v>0</v>
      </c>
      <c r="AS159" s="77">
        <f t="shared" ca="1" si="685"/>
        <v>91888.550441372747</v>
      </c>
      <c r="AT159" s="54">
        <f t="shared" ca="1" si="686"/>
        <v>928.16717617548215</v>
      </c>
      <c r="AU159" s="53">
        <f ca="1">OFFSET('National statistics'!$A$6,MATCH(R0_estimation!$A159,'National statistics'!$A$7:$A$5000,0),MATCH(R0_estimation!AU$16 &amp; "_Running14daysNew",'National statistics'!$B$1:$HA$1,0))</f>
        <v>2529</v>
      </c>
      <c r="AV159" s="97">
        <f t="shared" ca="1" si="651"/>
        <v>0.27204729164491237</v>
      </c>
      <c r="AW159" s="98">
        <f t="shared" ca="1" si="519"/>
        <v>0.85754424097138826</v>
      </c>
      <c r="AX159" s="77">
        <f t="shared" ca="1" si="687"/>
        <v>5840606.7049287092</v>
      </c>
      <c r="AY159" s="77">
        <f t="shared" ca="1" si="688"/>
        <v>274.19442569038165</v>
      </c>
      <c r="AZ159" s="77">
        <f t="shared" ca="1" si="689"/>
        <v>2672.1787495753724</v>
      </c>
      <c r="BA159" s="77">
        <f t="shared" ca="1" si="690"/>
        <v>0</v>
      </c>
      <c r="BB159" s="77">
        <f t="shared" ca="1" si="691"/>
        <v>10182.881662442795</v>
      </c>
      <c r="BC159" s="54">
        <f t="shared" ca="1" si="692"/>
        <v>102.85739052972518</v>
      </c>
      <c r="BD159" s="53">
        <f ca="1">OFFSET('National statistics'!$A$6,MATCH(R0_estimation!$A159,'National statistics'!$A$7:$A$5000,0),MATCH(R0_estimation!BD$16 &amp; "_Running14daysNew",'National statistics'!$B$1:$HA$1,0))</f>
        <v>6169</v>
      </c>
      <c r="BE159" s="97">
        <f t="shared" ca="1" si="652"/>
        <v>7.3776335914324878E-2</v>
      </c>
      <c r="BF159" s="98">
        <f t="shared" ca="1" si="520"/>
        <v>0.72178134408538486</v>
      </c>
      <c r="BG159" s="77">
        <f t="shared" ca="1" si="693"/>
        <v>4784519.4198732655</v>
      </c>
      <c r="BH159" s="77">
        <f t="shared" ca="1" si="694"/>
        <v>280.11072757893749</v>
      </c>
      <c r="BI159" s="77">
        <f t="shared" ca="1" si="695"/>
        <v>5948.9201464290672</v>
      </c>
      <c r="BJ159" s="77">
        <f t="shared" ca="1" si="696"/>
        <v>0</v>
      </c>
      <c r="BK159" s="77">
        <f t="shared" ca="1" si="697"/>
        <v>18264.693796557767</v>
      </c>
      <c r="BL159" s="54">
        <f t="shared" ca="1" si="698"/>
        <v>184.49185653088654</v>
      </c>
      <c r="BM159" s="53">
        <f ca="1">OFFSET('National statistics'!$A$6,MATCH(R0_estimation!$A159,'National statistics'!$A$7:$A$5000,0),MATCH(R0_estimation!BM$16 &amp; "_Running14daysNew",'National statistics'!$B$1:$HA$1,0))</f>
        <v>3289</v>
      </c>
      <c r="BN159" s="97">
        <f t="shared" ca="1" si="653"/>
        <v>0.30187606914172788</v>
      </c>
      <c r="BO159" s="98">
        <f t="shared" ca="1" si="521"/>
        <v>0.99326027081939861</v>
      </c>
      <c r="BP159" s="77">
        <f t="shared" ca="1" si="699"/>
        <v>4082447.2643570104</v>
      </c>
      <c r="BQ159" s="77">
        <f t="shared" ca="1" si="700"/>
        <v>356.41327085749896</v>
      </c>
      <c r="BR159" s="77">
        <f t="shared" ca="1" si="701"/>
        <v>3394.8385061489607</v>
      </c>
      <c r="BS159" s="77">
        <f t="shared" ca="1" si="702"/>
        <v>0</v>
      </c>
      <c r="BT159" s="77">
        <f t="shared" ca="1" si="703"/>
        <v>21222.287089759462</v>
      </c>
      <c r="BU159" s="54">
        <f t="shared" ca="1" si="704"/>
        <v>214.3665362601966</v>
      </c>
      <c r="BV159" s="53">
        <f ca="1">OFFSET('National statistics'!$A$6,MATCH(R0_estimation!$A159,'National statistics'!$A$7:$A$5000,0),MATCH(R0_estimation!BV$16 &amp; "_Running14daysNew",'National statistics'!$B$1:$HA$1,0))</f>
        <v>2709</v>
      </c>
      <c r="BW159" s="97">
        <f t="shared" ca="1" si="654"/>
        <v>0.73469279903613482</v>
      </c>
      <c r="BX159" s="98">
        <f t="shared" ca="1" si="522"/>
        <v>0.68996207341942262</v>
      </c>
      <c r="BY159" s="77">
        <f t="shared" ca="1" si="705"/>
        <v>1312440.9277456373</v>
      </c>
      <c r="BZ159" s="77">
        <f t="shared" ca="1" si="706"/>
        <v>639.51760668098791</v>
      </c>
      <c r="CA159" s="77">
        <f t="shared" ca="1" si="707"/>
        <v>2829.8172939115166</v>
      </c>
      <c r="CB159" s="77">
        <f t="shared" ca="1" si="708"/>
        <v>0</v>
      </c>
      <c r="CC159" s="77">
        <f t="shared" ca="1" si="709"/>
        <v>6260.5980618861613</v>
      </c>
      <c r="CD159" s="54">
        <f t="shared" ca="1" si="710"/>
        <v>63.238364261476377</v>
      </c>
      <c r="CE159" s="53">
        <f ca="1">OFFSET('National statistics'!$A$6,MATCH(R0_estimation!$A159,'National statistics'!$A$7:$A$5000,0),MATCH(R0_estimation!CE$16 &amp; "_Running14daysNew",'National statistics'!$B$1:$HA$1,0))</f>
        <v>5611</v>
      </c>
      <c r="CF159" s="97">
        <f t="shared" ca="1" si="655"/>
        <v>0.17553049825157571</v>
      </c>
      <c r="CG159" s="98">
        <f t="shared" ca="1" si="523"/>
        <v>1.2165621122686727</v>
      </c>
      <c r="CH159" s="77">
        <f t="shared" ca="1" si="711"/>
        <v>7198897.7042656951</v>
      </c>
      <c r="CI159" s="77">
        <f t="shared" ca="1" si="712"/>
        <v>427.94900458691461</v>
      </c>
      <c r="CJ159" s="77">
        <f t="shared" ca="1" si="713"/>
        <v>6122.9957704410444</v>
      </c>
      <c r="CK159" s="77">
        <f t="shared" ca="1" si="714"/>
        <v>0</v>
      </c>
      <c r="CL159" s="77">
        <f t="shared" ca="1" si="715"/>
        <v>98439.912687181</v>
      </c>
      <c r="CM159" s="54">
        <f t="shared" ca="1" si="716"/>
        <v>994.3425523957676</v>
      </c>
      <c r="CO159" s="209"/>
      <c r="CP159" s="210"/>
    </row>
    <row r="160" spans="1:94">
      <c r="A160" s="83">
        <f t="shared" si="656"/>
        <v>44060</v>
      </c>
      <c r="B160" s="53">
        <f ca="1">OFFSET('National statistics'!$A$6,MATCH(R0_estimation!$A160,'National statistics'!$A$7:$A$5000,0),MATCH(R0_estimation!B$16 &amp; "_Running14daysNew",'National statistics'!$B$1:$HA$1,0))</f>
        <v>73024</v>
      </c>
      <c r="C160" s="97">
        <f t="shared" ca="1" si="646"/>
        <v>0.14033481105650308</v>
      </c>
      <c r="D160" s="98">
        <f t="shared" si="645"/>
        <v>1</v>
      </c>
      <c r="E160" s="77">
        <f t="shared" ca="1" si="657"/>
        <v>59083731.571891271</v>
      </c>
      <c r="F160" s="77">
        <f t="shared" ca="1" si="658"/>
        <v>4268.0229362089267</v>
      </c>
      <c r="G160" s="77">
        <f t="shared" ca="1" si="659"/>
        <v>74465.282158968694</v>
      </c>
      <c r="H160" s="77">
        <f t="shared" ca="1" si="660"/>
        <v>0</v>
      </c>
      <c r="I160" s="77">
        <f t="shared" ca="1" si="661"/>
        <v>549512.0095985207</v>
      </c>
      <c r="J160" s="54">
        <f t="shared" ca="1" si="662"/>
        <v>5550.6263595810196</v>
      </c>
      <c r="K160" s="53">
        <f ca="1">OFFSET('National statistics'!$A$6,MATCH(R0_estimation!$A160,'National statistics'!$A$7:$A$5000,0),MATCH(R0_estimation!K$16 &amp; "_Running14daysNew",'National statistics'!$B$1:$HA$1,0))</f>
        <v>4418</v>
      </c>
      <c r="L160" s="97">
        <f t="shared" ca="1" si="647"/>
        <v>-0.14233324113941079</v>
      </c>
      <c r="M160" s="98">
        <f t="shared" ca="1" si="515"/>
        <v>1.3891436550517304</v>
      </c>
      <c r="N160" s="77">
        <f t="shared" ca="1" si="663"/>
        <v>6785533.810507508</v>
      </c>
      <c r="O160" s="77">
        <f t="shared" ca="1" si="664"/>
        <v>-250.75909740235002</v>
      </c>
      <c r="P160" s="77">
        <f t="shared" ca="1" si="665"/>
        <v>4730.7971213514802</v>
      </c>
      <c r="Q160" s="77">
        <f t="shared" ca="1" si="666"/>
        <v>0</v>
      </c>
      <c r="R160" s="77">
        <f t="shared" ca="1" si="667"/>
        <v>79942.831510600256</v>
      </c>
      <c r="S160" s="54">
        <f t="shared" ca="1" si="668"/>
        <v>807.50334859192174</v>
      </c>
      <c r="T160" s="53">
        <f ca="1">OFFSET('National statistics'!$A$6,MATCH(R0_estimation!$A160,'National statistics'!$A$7:$A$5000,0),MATCH(R0_estimation!T$16 &amp; "_Running14daysNew",'National statistics'!$B$1:$HA$1,0))</f>
        <v>8599</v>
      </c>
      <c r="U160" s="97">
        <f t="shared" ca="1" si="648"/>
        <v>0.24361083801578898</v>
      </c>
      <c r="V160" s="98">
        <f t="shared" ca="1" si="516"/>
        <v>0.50313552847557719</v>
      </c>
      <c r="W160" s="77">
        <f t="shared" ca="1" si="669"/>
        <v>2771300.354003056</v>
      </c>
      <c r="X160" s="77">
        <f t="shared" ca="1" si="670"/>
        <v>819.75267411798677</v>
      </c>
      <c r="Y160" s="77">
        <f t="shared" ca="1" si="671"/>
        <v>8755.5356151341293</v>
      </c>
      <c r="Z160" s="77">
        <f t="shared" ca="1" si="672"/>
        <v>0</v>
      </c>
      <c r="AA160" s="77">
        <f t="shared" ca="1" si="673"/>
        <v>27852.152184746057</v>
      </c>
      <c r="AB160" s="54">
        <f t="shared" ca="1" si="674"/>
        <v>281.33487055299048</v>
      </c>
      <c r="AC160" s="53">
        <f ca="1">OFFSET('National statistics'!$A$6,MATCH(R0_estimation!$A160,'National statistics'!$A$7:$A$5000,0),MATCH(R0_estimation!AC$16 &amp; "_Running14daysNew",'National statistics'!$B$1:$HA$1,0))</f>
        <v>18291</v>
      </c>
      <c r="AD160" s="97">
        <f t="shared" ca="1" si="649"/>
        <v>7.8723256669998659E-2</v>
      </c>
      <c r="AE160" s="98">
        <f t="shared" ca="1" si="517"/>
        <v>0.57565754152920057</v>
      </c>
      <c r="AF160" s="77">
        <f t="shared" ca="1" si="675"/>
        <v>15428158.979941057</v>
      </c>
      <c r="AG160" s="77">
        <f t="shared" ca="1" si="676"/>
        <v>603.15895653436098</v>
      </c>
      <c r="AH160" s="77">
        <f t="shared" ca="1" si="677"/>
        <v>19077.444474455366</v>
      </c>
      <c r="AI160" s="77">
        <f t="shared" ca="1" si="678"/>
        <v>0</v>
      </c>
      <c r="AJ160" s="77">
        <f t="shared" ca="1" si="679"/>
        <v>189680.62229521314</v>
      </c>
      <c r="AK160" s="54">
        <f t="shared" ca="1" si="680"/>
        <v>1915.9658817698289</v>
      </c>
      <c r="AL160" s="53">
        <f ca="1">OFFSET('National statistics'!$A$6,MATCH(R0_estimation!$A160,'National statistics'!$A$7:$A$5000,0),MATCH(R0_estimation!AL$16 &amp; "_Running14daysNew",'National statistics'!$B$1:$HA$1,0))</f>
        <v>21676</v>
      </c>
      <c r="AM160" s="97">
        <f t="shared" ca="1" si="650"/>
        <v>0.10057482572509002</v>
      </c>
      <c r="AN160" s="98">
        <f t="shared" ca="1" si="518"/>
        <v>0.74495013848278369</v>
      </c>
      <c r="AO160" s="77">
        <f t="shared" ca="1" si="681"/>
        <v>10882956.586276459</v>
      </c>
      <c r="AP160" s="77">
        <f t="shared" ca="1" si="682"/>
        <v>1064.7742316681888</v>
      </c>
      <c r="AQ160" s="77">
        <f t="shared" ca="1" si="683"/>
        <v>22020.479510367972</v>
      </c>
      <c r="AR160" s="77">
        <f t="shared" ca="1" si="684"/>
        <v>0</v>
      </c>
      <c r="AS160" s="77">
        <f t="shared" ca="1" si="685"/>
        <v>93542.686349054595</v>
      </c>
      <c r="AT160" s="54">
        <f t="shared" ca="1" si="686"/>
        <v>944.87561968742</v>
      </c>
      <c r="AU160" s="53">
        <f ca="1">OFFSET('National statistics'!$A$6,MATCH(R0_estimation!$A160,'National statistics'!$A$7:$A$5000,0),MATCH(R0_estimation!AU$16 &amp; "_Running14daysNew",'National statistics'!$B$1:$HA$1,0))</f>
        <v>2553</v>
      </c>
      <c r="AV160" s="97">
        <f t="shared" ca="1" si="651"/>
        <v>0.27204729164491237</v>
      </c>
      <c r="AW160" s="98">
        <f t="shared" ca="1" si="519"/>
        <v>0.85754424097138826</v>
      </c>
      <c r="AX160" s="77">
        <f t="shared" ca="1" si="687"/>
        <v>5840554.8957496798</v>
      </c>
      <c r="AY160" s="77">
        <f t="shared" ca="1" si="688"/>
        <v>257.45499829716493</v>
      </c>
      <c r="AZ160" s="77">
        <f t="shared" ca="1" si="689"/>
        <v>2549.8574453140122</v>
      </c>
      <c r="BA160" s="77">
        <f t="shared" ca="1" si="690"/>
        <v>0</v>
      </c>
      <c r="BB160" s="77">
        <f t="shared" ca="1" si="691"/>
        <v>10371.842874019911</v>
      </c>
      <c r="BC160" s="54">
        <f t="shared" ca="1" si="692"/>
        <v>104.76608963656473</v>
      </c>
      <c r="BD160" s="53">
        <f ca="1">OFFSET('National statistics'!$A$6,MATCH(R0_estimation!$A160,'National statistics'!$A$7:$A$5000,0),MATCH(R0_estimation!BD$16 &amp; "_Running14daysNew",'National statistics'!$B$1:$HA$1,0))</f>
        <v>6079</v>
      </c>
      <c r="BE160" s="97">
        <f t="shared" ca="1" si="652"/>
        <v>7.3776335914324878E-2</v>
      </c>
      <c r="BF160" s="98">
        <f t="shared" ca="1" si="520"/>
        <v>0.72178134408538486</v>
      </c>
      <c r="BG160" s="77">
        <f t="shared" ca="1" si="693"/>
        <v>4784488.2302920511</v>
      </c>
      <c r="BH160" s="77">
        <f t="shared" ca="1" si="694"/>
        <v>241.27262689904558</v>
      </c>
      <c r="BI160" s="77">
        <f t="shared" ca="1" si="695"/>
        <v>5594.0249607217247</v>
      </c>
      <c r="BJ160" s="77">
        <f t="shared" ca="1" si="696"/>
        <v>0</v>
      </c>
      <c r="BK160" s="77">
        <f t="shared" ca="1" si="697"/>
        <v>18685.367435483822</v>
      </c>
      <c r="BL160" s="54">
        <f t="shared" ca="1" si="698"/>
        <v>188.74108520690729</v>
      </c>
      <c r="BM160" s="53">
        <f ca="1">OFFSET('National statistics'!$A$6,MATCH(R0_estimation!$A160,'National statistics'!$A$7:$A$5000,0),MATCH(R0_estimation!BM$16 &amp; "_Running14daysNew",'National statistics'!$B$1:$HA$1,0))</f>
        <v>3156</v>
      </c>
      <c r="BN160" s="97">
        <f t="shared" ca="1" si="653"/>
        <v>0.30187606914172788</v>
      </c>
      <c r="BO160" s="98">
        <f t="shared" ca="1" si="521"/>
        <v>0.99326027081939861</v>
      </c>
      <c r="BP160" s="77">
        <f t="shared" ca="1" si="699"/>
        <v>4082374.5079648634</v>
      </c>
      <c r="BQ160" s="77">
        <f t="shared" ca="1" si="700"/>
        <v>340.06634529010609</v>
      </c>
      <c r="BR160" s="77">
        <f t="shared" ca="1" si="701"/>
        <v>3241.4533591384097</v>
      </c>
      <c r="BS160" s="77">
        <f t="shared" ca="1" si="702"/>
        <v>0</v>
      </c>
      <c r="BT160" s="77">
        <f t="shared" ca="1" si="703"/>
        <v>21462.350669837138</v>
      </c>
      <c r="BU160" s="54">
        <f t="shared" ca="1" si="704"/>
        <v>216.79142090744585</v>
      </c>
      <c r="BV160" s="53">
        <f ca="1">OFFSET('National statistics'!$A$6,MATCH(R0_estimation!$A160,'National statistics'!$A$7:$A$5000,0),MATCH(R0_estimation!BV$16 &amp; "_Running14daysNew",'National statistics'!$B$1:$HA$1,0))</f>
        <v>2719</v>
      </c>
      <c r="BW160" s="97">
        <f t="shared" ca="1" si="654"/>
        <v>0.73469279903613482</v>
      </c>
      <c r="BX160" s="98">
        <f t="shared" ca="1" si="522"/>
        <v>0.68996207341942262</v>
      </c>
      <c r="BY160" s="77">
        <f t="shared" ca="1" si="705"/>
        <v>1312293.5172767779</v>
      </c>
      <c r="BZ160" s="77">
        <f t="shared" ca="1" si="706"/>
        <v>627.04867387020954</v>
      </c>
      <c r="CA160" s="77">
        <f t="shared" ca="1" si="707"/>
        <v>2787.5668888737978</v>
      </c>
      <c r="CB160" s="77">
        <f t="shared" ca="1" si="708"/>
        <v>0</v>
      </c>
      <c r="CC160" s="77">
        <f t="shared" ca="1" si="709"/>
        <v>6460.706570527047</v>
      </c>
      <c r="CD160" s="54">
        <f t="shared" ca="1" si="710"/>
        <v>65.259662328556033</v>
      </c>
      <c r="CE160" s="53">
        <f ca="1">OFFSET('National statistics'!$A$6,MATCH(R0_estimation!$A160,'National statistics'!$A$7:$A$5000,0),MATCH(R0_estimation!CE$16 &amp; "_Running14daysNew",'National statistics'!$B$1:$HA$1,0))</f>
        <v>5533</v>
      </c>
      <c r="CF160" s="97">
        <f t="shared" ca="1" si="655"/>
        <v>0.17553049825157571</v>
      </c>
      <c r="CG160" s="98">
        <f t="shared" ca="1" si="523"/>
        <v>1.2165621122686727</v>
      </c>
      <c r="CH160" s="77">
        <f t="shared" ca="1" si="711"/>
        <v>7198822.0383358691</v>
      </c>
      <c r="CI160" s="77">
        <f t="shared" ca="1" si="712"/>
        <v>396.62768326637286</v>
      </c>
      <c r="CJ160" s="77">
        <f t="shared" ca="1" si="713"/>
        <v>5792.626180841984</v>
      </c>
      <c r="CK160" s="77">
        <f t="shared" ca="1" si="714"/>
        <v>0</v>
      </c>
      <c r="CL160" s="77">
        <f t="shared" ca="1" si="715"/>
        <v>98872.89595951933</v>
      </c>
      <c r="CM160" s="54">
        <f t="shared" ca="1" si="716"/>
        <v>998.71612080322552</v>
      </c>
      <c r="CO160" s="209"/>
      <c r="CP160" s="210"/>
    </row>
    <row r="161" spans="1:94">
      <c r="A161" s="83">
        <f t="shared" si="656"/>
        <v>44061</v>
      </c>
      <c r="B161" s="53">
        <f ca="1">OFFSET('National statistics'!$A$6,MATCH(R0_estimation!$A161,'National statistics'!$A$7:$A$5000,0),MATCH(R0_estimation!B$16 &amp; "_Running14daysNew",'National statistics'!$B$1:$HA$1,0))</f>
        <v>70826</v>
      </c>
      <c r="C161" s="97">
        <f t="shared" ca="1" si="646"/>
        <v>0.14033481105650308</v>
      </c>
      <c r="D161" s="98">
        <f t="shared" si="645"/>
        <v>1</v>
      </c>
      <c r="E161" s="77">
        <f t="shared" ca="1" si="657"/>
        <v>59082992.991650507</v>
      </c>
      <c r="F161" s="77">
        <f t="shared" ca="1" si="658"/>
        <v>3939.5974429229618</v>
      </c>
      <c r="G161" s="77">
        <f t="shared" ca="1" si="659"/>
        <v>70213.339167380298</v>
      </c>
      <c r="H161" s="77">
        <f t="shared" ca="1" si="660"/>
        <v>0</v>
      </c>
      <c r="I161" s="77">
        <f t="shared" ca="1" si="661"/>
        <v>554777.7688369049</v>
      </c>
      <c r="J161" s="54">
        <f t="shared" ca="1" si="662"/>
        <v>5603.8158468374259</v>
      </c>
      <c r="K161" s="53">
        <f ca="1">OFFSET('National statistics'!$A$6,MATCH(R0_estimation!$A161,'National statistics'!$A$7:$A$5000,0),MATCH(R0_estimation!K$16 &amp; "_Running14daysNew",'National statistics'!$B$1:$HA$1,0))</f>
        <v>4300</v>
      </c>
      <c r="L161" s="97">
        <f t="shared" ca="1" si="647"/>
        <v>-0.14233324113941079</v>
      </c>
      <c r="M161" s="98">
        <f t="shared" ca="1" si="515"/>
        <v>1.3891436550517304</v>
      </c>
      <c r="N161" s="77">
        <f t="shared" ca="1" si="663"/>
        <v>6785581.3158712173</v>
      </c>
      <c r="O161" s="77">
        <f t="shared" ca="1" si="664"/>
        <v>-235.57468676090414</v>
      </c>
      <c r="P161" s="77">
        <f t="shared" ca="1" si="665"/>
        <v>4330.1932669043581</v>
      </c>
      <c r="Q161" s="77">
        <f t="shared" ca="1" si="666"/>
        <v>0</v>
      </c>
      <c r="R161" s="77">
        <f t="shared" ca="1" si="667"/>
        <v>80277.366449895824</v>
      </c>
      <c r="S161" s="54">
        <f t="shared" ca="1" si="668"/>
        <v>810.88248939288712</v>
      </c>
      <c r="T161" s="53">
        <f ca="1">OFFSET('National statistics'!$A$6,MATCH(R0_estimation!$A161,'National statistics'!$A$7:$A$5000,0),MATCH(R0_estimation!T$16 &amp; "_Running14daysNew",'National statistics'!$B$1:$HA$1,0))</f>
        <v>8260</v>
      </c>
      <c r="U161" s="97">
        <f t="shared" ca="1" si="648"/>
        <v>0.24361083801578898</v>
      </c>
      <c r="V161" s="98">
        <f t="shared" ca="1" si="516"/>
        <v>0.50313552847557719</v>
      </c>
      <c r="W161" s="77">
        <f t="shared" ca="1" si="669"/>
        <v>2771150.0310723134</v>
      </c>
      <c r="X161" s="77">
        <f t="shared" ca="1" si="670"/>
        <v>765.13743633111528</v>
      </c>
      <c r="Y161" s="77">
        <f t="shared" ca="1" si="671"/>
        <v>8335.0783825826184</v>
      </c>
      <c r="Z161" s="77">
        <f t="shared" ca="1" si="672"/>
        <v>0</v>
      </c>
      <c r="AA161" s="77">
        <f t="shared" ca="1" si="673"/>
        <v>28471.293631816257</v>
      </c>
      <c r="AB161" s="54">
        <f t="shared" ca="1" si="674"/>
        <v>287.58882456380059</v>
      </c>
      <c r="AC161" s="53">
        <f ca="1">OFFSET('National statistics'!$A$6,MATCH(R0_estimation!$A161,'National statistics'!$A$7:$A$5000,0),MATCH(R0_estimation!AC$16 &amp; "_Running14daysNew",'National statistics'!$B$1:$HA$1,0))</f>
        <v>17859</v>
      </c>
      <c r="AD161" s="97">
        <f t="shared" ca="1" si="649"/>
        <v>7.8723256669998659E-2</v>
      </c>
      <c r="AE161" s="98">
        <f t="shared" ca="1" si="517"/>
        <v>0.57565754152920057</v>
      </c>
      <c r="AF161" s="77">
        <f t="shared" ca="1" si="675"/>
        <v>15428053.141986985</v>
      </c>
      <c r="AG161" s="77">
        <f t="shared" ca="1" si="676"/>
        <v>558.20717147270796</v>
      </c>
      <c r="AH161" s="77">
        <f t="shared" ca="1" si="677"/>
        <v>17865.559608270716</v>
      </c>
      <c r="AI161" s="77">
        <f t="shared" ca="1" si="678"/>
        <v>0</v>
      </c>
      <c r="AJ161" s="77">
        <f t="shared" ca="1" si="679"/>
        <v>191029.6701544782</v>
      </c>
      <c r="AK161" s="54">
        <f t="shared" ca="1" si="680"/>
        <v>1929.5926278230113</v>
      </c>
      <c r="AL161" s="53">
        <f ca="1">OFFSET('National statistics'!$A$6,MATCH(R0_estimation!$A161,'National statistics'!$A$7:$A$5000,0),MATCH(R0_estimation!AL$16 &amp; "_Running14daysNew",'National statistics'!$B$1:$HA$1,0))</f>
        <v>20579</v>
      </c>
      <c r="AM161" s="97">
        <f t="shared" ca="1" si="650"/>
        <v>0.10057482572509002</v>
      </c>
      <c r="AN161" s="98">
        <f t="shared" ca="1" si="518"/>
        <v>0.74495013848278369</v>
      </c>
      <c r="AO161" s="77">
        <f t="shared" ca="1" si="681"/>
        <v>10882800.070312573</v>
      </c>
      <c r="AP161" s="77">
        <f t="shared" ca="1" si="682"/>
        <v>955.09663763715639</v>
      </c>
      <c r="AQ161" s="77">
        <f t="shared" ca="1" si="683"/>
        <v>20713.781674687307</v>
      </c>
      <c r="AR161" s="77">
        <f t="shared" ca="1" si="684"/>
        <v>0</v>
      </c>
      <c r="AS161" s="77">
        <f t="shared" ca="1" si="685"/>
        <v>95099.848828716335</v>
      </c>
      <c r="AT161" s="54">
        <f t="shared" ca="1" si="686"/>
        <v>960.60453362339717</v>
      </c>
      <c r="AU161" s="53">
        <f ca="1">OFFSET('National statistics'!$A$6,MATCH(R0_estimation!$A161,'National statistics'!$A$7:$A$5000,0),MATCH(R0_estimation!AU$16 &amp; "_Running14daysNew",'National statistics'!$B$1:$HA$1,0))</f>
        <v>2424</v>
      </c>
      <c r="AV161" s="97">
        <f t="shared" ca="1" si="651"/>
        <v>0.27204729164491237</v>
      </c>
      <c r="AW161" s="98">
        <f t="shared" ca="1" si="519"/>
        <v>0.85754424097138826</v>
      </c>
      <c r="AX161" s="77">
        <f t="shared" ca="1" si="687"/>
        <v>5840505.4586032573</v>
      </c>
      <c r="AY161" s="77">
        <f t="shared" ca="1" si="688"/>
        <v>242.52839514552667</v>
      </c>
      <c r="AZ161" s="77">
        <f t="shared" ca="1" si="689"/>
        <v>2432.088520223017</v>
      </c>
      <c r="BA161" s="77">
        <f t="shared" ca="1" si="690"/>
        <v>0</v>
      </c>
      <c r="BB161" s="77">
        <f t="shared" ca="1" si="691"/>
        <v>10552.154221938545</v>
      </c>
      <c r="BC161" s="54">
        <f t="shared" ca="1" si="692"/>
        <v>106.5874163832176</v>
      </c>
      <c r="BD161" s="53">
        <f ca="1">OFFSET('National statistics'!$A$6,MATCH(R0_estimation!$A161,'National statistics'!$A$7:$A$5000,0),MATCH(R0_estimation!BD$16 &amp; "_Running14daysNew",'National statistics'!$B$1:$HA$1,0))</f>
        <v>6001</v>
      </c>
      <c r="BE161" s="97">
        <f t="shared" ca="1" si="652"/>
        <v>7.3776335914324878E-2</v>
      </c>
      <c r="BF161" s="98">
        <f t="shared" ca="1" si="520"/>
        <v>0.72178134408538486</v>
      </c>
      <c r="BG161" s="77">
        <f t="shared" ca="1" si="693"/>
        <v>4784458.9015553519</v>
      </c>
      <c r="BH161" s="77">
        <f t="shared" ca="1" si="694"/>
        <v>210.28320687300564</v>
      </c>
      <c r="BI161" s="77">
        <f t="shared" ca="1" si="695"/>
        <v>5254.7699059663628</v>
      </c>
      <c r="BJ161" s="77">
        <f t="shared" ca="1" si="696"/>
        <v>0</v>
      </c>
      <c r="BK161" s="77">
        <f t="shared" ca="1" si="697"/>
        <v>19080.944914849144</v>
      </c>
      <c r="BL161" s="54">
        <f t="shared" ca="1" si="698"/>
        <v>192.73681732170851</v>
      </c>
      <c r="BM161" s="53">
        <f ca="1">OFFSET('National statistics'!$A$6,MATCH(R0_estimation!$A161,'National statistics'!$A$7:$A$5000,0),MATCH(R0_estimation!BM$16 &amp; "_Running14daysNew",'National statistics'!$B$1:$HA$1,0))</f>
        <v>3175</v>
      </c>
      <c r="BN161" s="97">
        <f t="shared" ca="1" si="653"/>
        <v>0.30187606914172788</v>
      </c>
      <c r="BO161" s="98">
        <f t="shared" ca="1" si="521"/>
        <v>0.99326027081939861</v>
      </c>
      <c r="BP161" s="77">
        <f t="shared" ca="1" si="699"/>
        <v>4082305.0400395105</v>
      </c>
      <c r="BQ161" s="77">
        <f t="shared" ca="1" si="700"/>
        <v>324.51768432061567</v>
      </c>
      <c r="BR161" s="77">
        <f t="shared" ca="1" si="701"/>
        <v>3094.9375626653355</v>
      </c>
      <c r="BS161" s="77">
        <f t="shared" ca="1" si="702"/>
        <v>0</v>
      </c>
      <c r="BT161" s="77">
        <f t="shared" ca="1" si="703"/>
        <v>21691.567728804785</v>
      </c>
      <c r="BU161" s="54">
        <f t="shared" ca="1" si="704"/>
        <v>219.10674473540186</v>
      </c>
      <c r="BV161" s="53">
        <f ca="1">OFFSET('National statistics'!$A$6,MATCH(R0_estimation!$A161,'National statistics'!$A$7:$A$5000,0),MATCH(R0_estimation!BV$16 &amp; "_Running14daysNew",'National statistics'!$B$1:$HA$1,0))</f>
        <v>2750</v>
      </c>
      <c r="BW161" s="97">
        <f t="shared" ca="1" si="654"/>
        <v>0.73469279903613482</v>
      </c>
      <c r="BX161" s="98">
        <f t="shared" ca="1" si="522"/>
        <v>0.68996207341942262</v>
      </c>
      <c r="BY161" s="77">
        <f t="shared" ca="1" si="705"/>
        <v>1312148.3237980898</v>
      </c>
      <c r="BZ161" s="77">
        <f t="shared" ca="1" si="706"/>
        <v>615.47998409083107</v>
      </c>
      <c r="CA161" s="77">
        <f t="shared" ca="1" si="707"/>
        <v>2745.2171367075075</v>
      </c>
      <c r="CB161" s="77">
        <f t="shared" ca="1" si="708"/>
        <v>0</v>
      </c>
      <c r="CC161" s="77">
        <f t="shared" ca="1" si="709"/>
        <v>6657.8273719545514</v>
      </c>
      <c r="CD161" s="54">
        <f t="shared" ca="1" si="710"/>
        <v>67.250781534894458</v>
      </c>
      <c r="CE161" s="53">
        <f ca="1">OFFSET('National statistics'!$A$6,MATCH(R0_estimation!$A161,'National statistics'!$A$7:$A$5000,0),MATCH(R0_estimation!CE$16 &amp; "_Running14daysNew",'National statistics'!$B$1:$HA$1,0))</f>
        <v>5478</v>
      </c>
      <c r="CF161" s="97">
        <f t="shared" ca="1" si="655"/>
        <v>0.17553049825157571</v>
      </c>
      <c r="CG161" s="98">
        <f t="shared" ca="1" si="523"/>
        <v>1.2165621122686727</v>
      </c>
      <c r="CH161" s="77">
        <f t="shared" ca="1" si="711"/>
        <v>7198750.4557122514</v>
      </c>
      <c r="CI161" s="77">
        <f t="shared" ca="1" si="712"/>
        <v>369.05338606735927</v>
      </c>
      <c r="CJ161" s="77">
        <f t="shared" ca="1" si="713"/>
        <v>5478.024088741292</v>
      </c>
      <c r="CK161" s="77">
        <f t="shared" ca="1" si="714"/>
        <v>0</v>
      </c>
      <c r="CL161" s="77">
        <f t="shared" ca="1" si="715"/>
        <v>99282.517382307444</v>
      </c>
      <c r="CM161" s="54">
        <f t="shared" ca="1" si="716"/>
        <v>1002.8537109323984</v>
      </c>
      <c r="CO161" s="209"/>
      <c r="CP161" s="210"/>
    </row>
    <row r="162" spans="1:94">
      <c r="A162" s="83">
        <f t="shared" si="656"/>
        <v>44062</v>
      </c>
      <c r="B162" s="53">
        <f ca="1">OFFSET('National statistics'!$A$6,MATCH(R0_estimation!$A162,'National statistics'!$A$7:$A$5000,0),MATCH(R0_estimation!B$16 &amp; "_Running14daysNew",'National statistics'!$B$1:$HA$1,0))</f>
        <v>66183</v>
      </c>
      <c r="C162" s="97">
        <f t="shared" ca="1" si="646"/>
        <v>0.14033481105650308</v>
      </c>
      <c r="D162" s="98">
        <f t="shared" si="645"/>
        <v>1</v>
      </c>
      <c r="E162" s="77">
        <f t="shared" ca="1" si="657"/>
        <v>59082296.592182457</v>
      </c>
      <c r="F162" s="77">
        <f t="shared" ca="1" si="658"/>
        <v>3651.0975502395022</v>
      </c>
      <c r="G162" s="77">
        <f t="shared" ca="1" si="659"/>
        <v>66183.000016155303</v>
      </c>
      <c r="H162" s="77">
        <f t="shared" ca="1" si="660"/>
        <v>0</v>
      </c>
      <c r="I162" s="77">
        <f t="shared" ca="1" si="661"/>
        <v>559742.85496374103</v>
      </c>
      <c r="J162" s="54">
        <f t="shared" ca="1" si="662"/>
        <v>5653.9682319569829</v>
      </c>
      <c r="K162" s="53">
        <f ca="1">OFFSET('National statistics'!$A$6,MATCH(R0_estimation!$A162,'National statistics'!$A$7:$A$5000,0),MATCH(R0_estimation!K$16 &amp; "_Running14daysNew",'National statistics'!$B$1:$HA$1,0))</f>
        <v>3962</v>
      </c>
      <c r="L162" s="97">
        <f t="shared" ca="1" si="647"/>
        <v>-0.14233324113941079</v>
      </c>
      <c r="M162" s="98">
        <f t="shared" ca="1" si="515"/>
        <v>1.3891436550517304</v>
      </c>
      <c r="N162" s="77">
        <f t="shared" ca="1" si="663"/>
        <v>6785624.7988069961</v>
      </c>
      <c r="O162" s="77">
        <f t="shared" ca="1" si="664"/>
        <v>-220.16395084951398</v>
      </c>
      <c r="P162" s="77">
        <f t="shared" ca="1" si="665"/>
        <v>3962.0000761495348</v>
      </c>
      <c r="Q162" s="77">
        <f t="shared" ca="1" si="666"/>
        <v>0</v>
      </c>
      <c r="R162" s="77">
        <f t="shared" ca="1" si="667"/>
        <v>80583.572973769769</v>
      </c>
      <c r="S162" s="54">
        <f t="shared" ca="1" si="668"/>
        <v>813.9754845835331</v>
      </c>
      <c r="T162" s="53">
        <f ca="1">OFFSET('National statistics'!$A$6,MATCH(R0_estimation!$A162,'National statistics'!$A$7:$A$5000,0),MATCH(R0_estimation!T$16 &amp; "_Running14daysNew",'National statistics'!$B$1:$HA$1,0))</f>
        <v>7931</v>
      </c>
      <c r="U162" s="97">
        <f t="shared" ca="1" si="648"/>
        <v>0.24361083801578898</v>
      </c>
      <c r="V162" s="98">
        <f t="shared" ca="1" si="516"/>
        <v>0.50313552847557719</v>
      </c>
      <c r="W162" s="77">
        <f t="shared" ca="1" si="669"/>
        <v>2771006.9343742263</v>
      </c>
      <c r="X162" s="77">
        <f t="shared" ca="1" si="670"/>
        <v>716.94977533541999</v>
      </c>
      <c r="Y162" s="77">
        <f t="shared" ca="1" si="671"/>
        <v>7931.0000000523542</v>
      </c>
      <c r="Z162" s="77">
        <f t="shared" ca="1" si="672"/>
        <v>0</v>
      </c>
      <c r="AA162" s="77">
        <f t="shared" ca="1" si="673"/>
        <v>29060.702746013172</v>
      </c>
      <c r="AB162" s="54">
        <f t="shared" ca="1" si="674"/>
        <v>293.542451979931</v>
      </c>
      <c r="AC162" s="53">
        <f ca="1">OFFSET('National statistics'!$A$6,MATCH(R0_estimation!$A162,'National statistics'!$A$7:$A$5000,0),MATCH(R0_estimation!AC$16 &amp; "_Running14daysNew",'National statistics'!$B$1:$HA$1,0))</f>
        <v>16729</v>
      </c>
      <c r="AD162" s="97">
        <f t="shared" ca="1" si="649"/>
        <v>7.8723256669998659E-2</v>
      </c>
      <c r="AE162" s="98">
        <f t="shared" ca="1" si="517"/>
        <v>0.57565754152920057</v>
      </c>
      <c r="AF162" s="77">
        <f t="shared" ca="1" si="675"/>
        <v>15427954.027928172</v>
      </c>
      <c r="AG162" s="77">
        <f t="shared" ca="1" si="676"/>
        <v>517.76943741734203</v>
      </c>
      <c r="AH162" s="77">
        <f t="shared" ca="1" si="677"/>
        <v>16729.000000548127</v>
      </c>
      <c r="AI162" s="77">
        <f t="shared" ca="1" si="678"/>
        <v>0</v>
      </c>
      <c r="AJ162" s="77">
        <f t="shared" ca="1" si="679"/>
        <v>192293.02044106307</v>
      </c>
      <c r="AK162" s="54">
        <f t="shared" ca="1" si="680"/>
        <v>1942.3537418289191</v>
      </c>
      <c r="AL162" s="53">
        <f ca="1">OFFSET('National statistics'!$A$6,MATCH(R0_estimation!$A162,'National statistics'!$A$7:$A$5000,0),MATCH(R0_estimation!AL$16 &amp; "_Running14daysNew",'National statistics'!$B$1:$HA$1,0))</f>
        <v>19473</v>
      </c>
      <c r="AM162" s="97">
        <f t="shared" ca="1" si="650"/>
        <v>0.10057482572509002</v>
      </c>
      <c r="AN162" s="98">
        <f t="shared" ca="1" si="518"/>
        <v>0.74495013848278369</v>
      </c>
      <c r="AO162" s="77">
        <f t="shared" ca="1" si="681"/>
        <v>10882652.843931206</v>
      </c>
      <c r="AP162" s="77">
        <f t="shared" ca="1" si="682"/>
        <v>863.54885959465514</v>
      </c>
      <c r="AQ162" s="77">
        <f t="shared" ca="1" si="683"/>
        <v>19473.000000190357</v>
      </c>
      <c r="AR162" s="77">
        <f t="shared" ca="1" si="684"/>
        <v>0</v>
      </c>
      <c r="AS162" s="77">
        <f t="shared" ca="1" si="685"/>
        <v>96564.609104283503</v>
      </c>
      <c r="AT162" s="54">
        <f t="shared" ca="1" si="686"/>
        <v>975.40009196245956</v>
      </c>
      <c r="AU162" s="53">
        <f ca="1">OFFSET('National statistics'!$A$6,MATCH(R0_estimation!$A162,'National statistics'!$A$7:$A$5000,0),MATCH(R0_estimation!AU$16 &amp; "_Running14daysNew",'National statistics'!$B$1:$HA$1,0))</f>
        <v>2319</v>
      </c>
      <c r="AV162" s="97">
        <f t="shared" ca="1" si="651"/>
        <v>0.27204729164491237</v>
      </c>
      <c r="AW162" s="98">
        <f t="shared" ca="1" si="519"/>
        <v>0.85754424097138826</v>
      </c>
      <c r="AX162" s="77">
        <f t="shared" ca="1" si="687"/>
        <v>5840458.3051687824</v>
      </c>
      <c r="AY162" s="77">
        <f t="shared" ca="1" si="688"/>
        <v>229.04973083407475</v>
      </c>
      <c r="AZ162" s="77">
        <f t="shared" ca="1" si="689"/>
        <v>2319.0000104220398</v>
      </c>
      <c r="BA162" s="77">
        <f t="shared" ca="1" si="690"/>
        <v>0</v>
      </c>
      <c r="BB162" s="77">
        <f t="shared" ca="1" si="691"/>
        <v>10724.137624440029</v>
      </c>
      <c r="BC162" s="54">
        <f t="shared" ca="1" si="692"/>
        <v>108.32462246909118</v>
      </c>
      <c r="BD162" s="53">
        <f ca="1">OFFSET('National statistics'!$A$6,MATCH(R0_estimation!$A162,'National statistics'!$A$7:$A$5000,0),MATCH(R0_estimation!BD$16 &amp; "_Running14daysNew",'National statistics'!$B$1:$HA$1,0))</f>
        <v>4932</v>
      </c>
      <c r="BE162" s="97">
        <f t="shared" ca="1" si="652"/>
        <v>7.3776335914324878E-2</v>
      </c>
      <c r="BF162" s="98">
        <f t="shared" ca="1" si="520"/>
        <v>0.72178134408538486</v>
      </c>
      <c r="BG162" s="77">
        <f t="shared" ca="1" si="693"/>
        <v>4784431.35163425</v>
      </c>
      <c r="BH162" s="77">
        <f t="shared" ca="1" si="694"/>
        <v>185.262326257068</v>
      </c>
      <c r="BI162" s="77">
        <f t="shared" ca="1" si="695"/>
        <v>4932.0000001155886</v>
      </c>
      <c r="BJ162" s="77">
        <f t="shared" ca="1" si="696"/>
        <v>0</v>
      </c>
      <c r="BK162" s="77">
        <f t="shared" ca="1" si="697"/>
        <v>19452.532215342479</v>
      </c>
      <c r="BL162" s="54">
        <f t="shared" ca="1" si="698"/>
        <v>196.49022439739878</v>
      </c>
      <c r="BM162" s="53">
        <f ca="1">OFFSET('National statistics'!$A$6,MATCH(R0_estimation!$A162,'National statistics'!$A$7:$A$5000,0),MATCH(R0_estimation!BM$16 &amp; "_Running14daysNew",'National statistics'!$B$1:$HA$1,0))</f>
        <v>2955</v>
      </c>
      <c r="BN162" s="97">
        <f t="shared" ca="1" si="653"/>
        <v>0.30187606914172788</v>
      </c>
      <c r="BO162" s="98">
        <f t="shared" ca="1" si="521"/>
        <v>0.99326027081939861</v>
      </c>
      <c r="BP162" s="77">
        <f t="shared" ca="1" si="699"/>
        <v>4082238.7132007726</v>
      </c>
      <c r="BQ162" s="77">
        <f t="shared" ca="1" si="700"/>
        <v>309.71510197830571</v>
      </c>
      <c r="BR162" s="77">
        <f t="shared" ca="1" si="701"/>
        <v>2955.0000149836796</v>
      </c>
      <c r="BS162" s="77">
        <f t="shared" ca="1" si="702"/>
        <v>0</v>
      </c>
      <c r="BT162" s="77">
        <f t="shared" ca="1" si="703"/>
        <v>21910.424027878977</v>
      </c>
      <c r="BU162" s="54">
        <f t="shared" ca="1" si="704"/>
        <v>221.31741442301995</v>
      </c>
      <c r="BV162" s="53">
        <f ca="1">OFFSET('National statistics'!$A$6,MATCH(R0_estimation!$A162,'National statistics'!$A$7:$A$5000,0),MATCH(R0_estimation!BV$16 &amp; "_Running14daysNew",'National statistics'!$B$1:$HA$1,0))</f>
        <v>2703</v>
      </c>
      <c r="BW162" s="97">
        <f t="shared" ca="1" si="654"/>
        <v>0.73469279903613482</v>
      </c>
      <c r="BX162" s="98">
        <f t="shared" ca="1" si="522"/>
        <v>0.68996207341942262</v>
      </c>
      <c r="BY162" s="77">
        <f t="shared" ca="1" si="705"/>
        <v>1312005.3517576791</v>
      </c>
      <c r="BZ162" s="77">
        <f t="shared" ca="1" si="706"/>
        <v>604.58202847866141</v>
      </c>
      <c r="CA162" s="77">
        <f t="shared" ca="1" si="707"/>
        <v>2703.0001943939646</v>
      </c>
      <c r="CB162" s="77">
        <f t="shared" ca="1" si="708"/>
        <v>0</v>
      </c>
      <c r="CC162" s="77">
        <f t="shared" ca="1" si="709"/>
        <v>6851.9534409074395</v>
      </c>
      <c r="CD162" s="54">
        <f t="shared" ca="1" si="710"/>
        <v>69.211650918256964</v>
      </c>
      <c r="CE162" s="53">
        <f ca="1">OFFSET('National statistics'!$A$6,MATCH(R0_estimation!$A162,'National statistics'!$A$7:$A$5000,0),MATCH(R0_estimation!CE$16 &amp; "_Running14daysNew",'National statistics'!$B$1:$HA$1,0))</f>
        <v>5179</v>
      </c>
      <c r="CF162" s="97">
        <f t="shared" ca="1" si="655"/>
        <v>0.17553049825157571</v>
      </c>
      <c r="CG162" s="98">
        <f t="shared" ca="1" si="523"/>
        <v>1.2165621122686727</v>
      </c>
      <c r="CH162" s="77">
        <f t="shared" ca="1" si="711"/>
        <v>7198682.7614321122</v>
      </c>
      <c r="CI162" s="77">
        <f t="shared" ca="1" si="712"/>
        <v>344.48431969007225</v>
      </c>
      <c r="CJ162" s="77">
        <f t="shared" ca="1" si="713"/>
        <v>5179.00000034804</v>
      </c>
      <c r="CK162" s="77">
        <f t="shared" ca="1" si="714"/>
        <v>0</v>
      </c>
      <c r="CL162" s="77">
        <f t="shared" ca="1" si="715"/>
        <v>99669.891942868431</v>
      </c>
      <c r="CM162" s="54">
        <f t="shared" ca="1" si="716"/>
        <v>1006.7665852814993</v>
      </c>
      <c r="CO162" s="209"/>
      <c r="CP162" s="2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S">
                <anchor moveWithCells="1" sizeWithCells="1">
                  <from>
                    <xdr:col>42</xdr:col>
                    <xdr:colOff>50800</xdr:colOff>
                    <xdr:row>0</xdr:row>
                    <xdr:rowOff>152400</xdr:rowOff>
                  </from>
                  <to>
                    <xdr:col>42</xdr:col>
                    <xdr:colOff>508000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6"/>
  <dimension ref="A1:S814"/>
  <sheetViews>
    <sheetView topLeftCell="E1" workbookViewId="0">
      <selection activeCell="K31" sqref="K31"/>
    </sheetView>
  </sheetViews>
  <sheetFormatPr baseColWidth="10" defaultColWidth="8.83203125" defaultRowHeight="15"/>
  <cols>
    <col min="1" max="1" width="6.5" style="90" bestFit="1" customWidth="1"/>
    <col min="2" max="2" width="52.33203125" style="90" bestFit="1" customWidth="1"/>
    <col min="3" max="3" width="13.1640625" style="90" bestFit="1" customWidth="1"/>
    <col min="4" max="4" width="12.6640625" style="90" bestFit="1" customWidth="1"/>
    <col min="5" max="6" width="26.83203125" style="90" bestFit="1" customWidth="1"/>
    <col min="7" max="7" width="26.6640625" style="90" bestFit="1" customWidth="1"/>
    <col min="8" max="8" width="9.5" style="90" bestFit="1" customWidth="1"/>
    <col min="9" max="9" width="3.83203125" style="90" bestFit="1" customWidth="1"/>
    <col min="13" max="13" width="13.5" bestFit="1" customWidth="1"/>
    <col min="14" max="14" width="15.6640625" bestFit="1" customWidth="1"/>
    <col min="15" max="15" width="8.33203125" bestFit="1" customWidth="1"/>
    <col min="16" max="16" width="22.5" bestFit="1" customWidth="1"/>
    <col min="17" max="17" width="24" bestFit="1" customWidth="1"/>
    <col min="18" max="18" width="15.83203125" bestFit="1" customWidth="1"/>
    <col min="19" max="19" width="10.6640625" bestFit="1" customWidth="1"/>
    <col min="20" max="20" width="24" bestFit="1" customWidth="1"/>
    <col min="21" max="21" width="9.83203125" bestFit="1" customWidth="1"/>
    <col min="22" max="22" width="15.83203125" bestFit="1" customWidth="1"/>
    <col min="23" max="23" width="13.1640625" bestFit="1" customWidth="1"/>
    <col min="24" max="24" width="5.6640625" bestFit="1" customWidth="1"/>
    <col min="25" max="25" width="23.5" bestFit="1" customWidth="1"/>
    <col min="26" max="26" width="27.83203125" bestFit="1" customWidth="1"/>
    <col min="27" max="27" width="20.6640625" bestFit="1" customWidth="1"/>
    <col min="28" max="28" width="10.1640625" bestFit="1" customWidth="1"/>
    <col min="29" max="29" width="10.6640625" bestFit="1" customWidth="1"/>
  </cols>
  <sheetData>
    <row r="1" spans="1:19">
      <c r="A1" s="74" t="s">
        <v>1507</v>
      </c>
      <c r="B1" s="74" t="s">
        <v>1508</v>
      </c>
      <c r="C1" s="74" t="s">
        <v>1509</v>
      </c>
      <c r="D1" s="74" t="s">
        <v>1510</v>
      </c>
      <c r="E1" s="74" t="s">
        <v>1511</v>
      </c>
      <c r="F1" s="74" t="s">
        <v>1512</v>
      </c>
      <c r="G1" s="74" t="s">
        <v>1513</v>
      </c>
      <c r="H1" s="74" t="s">
        <v>1514</v>
      </c>
      <c r="I1" s="74" t="s">
        <v>1503</v>
      </c>
    </row>
    <row r="2" spans="1:19">
      <c r="A2" s="74" t="s">
        <v>1515</v>
      </c>
      <c r="B2" s="74" t="s">
        <v>1516</v>
      </c>
      <c r="C2" s="74" t="s">
        <v>111</v>
      </c>
      <c r="D2" s="74" t="s">
        <v>1517</v>
      </c>
      <c r="E2" s="74" t="s">
        <v>109</v>
      </c>
      <c r="F2" s="74" t="s">
        <v>109</v>
      </c>
      <c r="G2" s="74" t="s">
        <v>1518</v>
      </c>
      <c r="H2" s="74">
        <v>139</v>
      </c>
      <c r="I2" s="74">
        <v>27</v>
      </c>
    </row>
    <row r="3" spans="1:19">
      <c r="A3" s="74" t="s">
        <v>1515</v>
      </c>
      <c r="B3" s="74" t="s">
        <v>1519</v>
      </c>
      <c r="C3" s="74" t="s">
        <v>111</v>
      </c>
      <c r="D3" s="74" t="s">
        <v>1517</v>
      </c>
      <c r="E3" s="74" t="s">
        <v>109</v>
      </c>
      <c r="F3" s="74" t="s">
        <v>109</v>
      </c>
      <c r="G3" s="74" t="s">
        <v>1520</v>
      </c>
      <c r="H3" s="74">
        <v>60</v>
      </c>
      <c r="I3" s="74">
        <v>0</v>
      </c>
      <c r="M3" s="103" t="s">
        <v>2428</v>
      </c>
      <c r="N3" s="103" t="s">
        <v>667</v>
      </c>
    </row>
    <row r="4" spans="1:19">
      <c r="A4" s="74" t="s">
        <v>1515</v>
      </c>
      <c r="B4" s="74" t="s">
        <v>1617</v>
      </c>
      <c r="C4" s="74" t="s">
        <v>111</v>
      </c>
      <c r="D4" s="74" t="s">
        <v>1517</v>
      </c>
      <c r="E4" s="74" t="s">
        <v>110</v>
      </c>
      <c r="F4" s="74" t="s">
        <v>110</v>
      </c>
      <c r="G4" s="74" t="s">
        <v>1518</v>
      </c>
      <c r="H4" s="74">
        <v>200</v>
      </c>
      <c r="I4" s="74">
        <v>14</v>
      </c>
      <c r="M4" s="103" t="s">
        <v>668</v>
      </c>
      <c r="N4" s="101" t="s">
        <v>1571</v>
      </c>
      <c r="O4" s="101" t="s">
        <v>1518</v>
      </c>
      <c r="P4" s="101" t="s">
        <v>1578</v>
      </c>
      <c r="Q4" s="101" t="s">
        <v>1583</v>
      </c>
      <c r="R4" s="101" t="s">
        <v>1575</v>
      </c>
      <c r="S4" s="101" t="s">
        <v>669</v>
      </c>
    </row>
    <row r="5" spans="1:19">
      <c r="A5" s="74" t="s">
        <v>1515</v>
      </c>
      <c r="B5" s="74" t="s">
        <v>1618</v>
      </c>
      <c r="C5" s="74" t="s">
        <v>111</v>
      </c>
      <c r="D5" s="74" t="s">
        <v>1517</v>
      </c>
      <c r="E5" s="74" t="s">
        <v>17</v>
      </c>
      <c r="F5" s="74" t="s">
        <v>17</v>
      </c>
      <c r="G5" s="74" t="s">
        <v>1518</v>
      </c>
      <c r="H5" s="74">
        <v>163</v>
      </c>
      <c r="I5" s="74">
        <v>6</v>
      </c>
      <c r="M5" s="104" t="s">
        <v>105</v>
      </c>
      <c r="N5" s="105">
        <v>65</v>
      </c>
      <c r="O5" s="105">
        <v>16</v>
      </c>
      <c r="P5" s="105">
        <v>1</v>
      </c>
      <c r="Q5" s="105">
        <v>3</v>
      </c>
      <c r="R5" s="105">
        <v>5</v>
      </c>
      <c r="S5" s="105">
        <v>90</v>
      </c>
    </row>
    <row r="6" spans="1:19">
      <c r="A6" s="74" t="s">
        <v>1515</v>
      </c>
      <c r="B6" s="74" t="s">
        <v>1521</v>
      </c>
      <c r="C6" s="74" t="s">
        <v>111</v>
      </c>
      <c r="D6" s="74" t="s">
        <v>1517</v>
      </c>
      <c r="E6" s="74" t="s">
        <v>109</v>
      </c>
      <c r="F6" s="74" t="s">
        <v>109</v>
      </c>
      <c r="G6" s="74" t="s">
        <v>1522</v>
      </c>
      <c r="H6" s="74">
        <v>30</v>
      </c>
      <c r="I6" s="74">
        <v>0</v>
      </c>
      <c r="M6" s="104" t="s">
        <v>107</v>
      </c>
      <c r="N6" s="105">
        <v>26</v>
      </c>
      <c r="O6" s="105">
        <v>15</v>
      </c>
      <c r="P6" s="105">
        <v>1</v>
      </c>
      <c r="Q6" s="105">
        <v>1</v>
      </c>
      <c r="R6" s="105">
        <v>4</v>
      </c>
      <c r="S6" s="105">
        <v>47</v>
      </c>
    </row>
    <row r="7" spans="1:19">
      <c r="A7" s="74" t="s">
        <v>1515</v>
      </c>
      <c r="B7" s="74" t="s">
        <v>1523</v>
      </c>
      <c r="C7" s="74" t="s">
        <v>111</v>
      </c>
      <c r="D7" s="74" t="s">
        <v>1517</v>
      </c>
      <c r="E7" s="74" t="s">
        <v>109</v>
      </c>
      <c r="F7" s="74" t="s">
        <v>109</v>
      </c>
      <c r="G7" s="74" t="s">
        <v>1522</v>
      </c>
      <c r="H7" s="74">
        <v>21</v>
      </c>
      <c r="I7" s="74">
        <v>0</v>
      </c>
      <c r="M7" s="104" t="s">
        <v>111</v>
      </c>
      <c r="N7" s="105">
        <v>12</v>
      </c>
      <c r="O7" s="105">
        <v>82</v>
      </c>
      <c r="P7" s="105">
        <v>4</v>
      </c>
      <c r="Q7" s="105">
        <v>3</v>
      </c>
      <c r="R7" s="105">
        <v>9</v>
      </c>
      <c r="S7" s="105">
        <v>110</v>
      </c>
    </row>
    <row r="8" spans="1:19">
      <c r="A8" s="74" t="s">
        <v>1515</v>
      </c>
      <c r="B8" s="74" t="s">
        <v>1524</v>
      </c>
      <c r="C8" s="74" t="s">
        <v>111</v>
      </c>
      <c r="D8" s="74" t="s">
        <v>1517</v>
      </c>
      <c r="E8" s="74" t="s">
        <v>109</v>
      </c>
      <c r="F8" s="74" t="s">
        <v>109</v>
      </c>
      <c r="G8" s="74" t="s">
        <v>1518</v>
      </c>
      <c r="H8" s="74">
        <v>125</v>
      </c>
      <c r="I8" s="74">
        <v>11</v>
      </c>
      <c r="M8" s="104" t="s">
        <v>1589</v>
      </c>
      <c r="N8" s="105">
        <v>39</v>
      </c>
      <c r="O8" s="105">
        <v>42</v>
      </c>
      <c r="P8" s="105">
        <v>1</v>
      </c>
      <c r="Q8" s="105">
        <v>3</v>
      </c>
      <c r="R8" s="105">
        <v>13</v>
      </c>
      <c r="S8" s="105">
        <v>98</v>
      </c>
    </row>
    <row r="9" spans="1:19">
      <c r="A9" s="74" t="s">
        <v>1515</v>
      </c>
      <c r="B9" s="74" t="s">
        <v>1619</v>
      </c>
      <c r="C9" s="74" t="s">
        <v>111</v>
      </c>
      <c r="D9" s="74" t="s">
        <v>1517</v>
      </c>
      <c r="E9" s="74" t="s">
        <v>110</v>
      </c>
      <c r="F9" s="74" t="s">
        <v>110</v>
      </c>
      <c r="G9" s="74" t="s">
        <v>1529</v>
      </c>
      <c r="H9" s="74">
        <v>15</v>
      </c>
      <c r="I9" s="74">
        <v>0</v>
      </c>
      <c r="M9" s="104" t="s">
        <v>114</v>
      </c>
      <c r="N9" s="105">
        <v>30</v>
      </c>
      <c r="O9" s="105">
        <v>9</v>
      </c>
      <c r="P9" s="105"/>
      <c r="Q9" s="105">
        <v>2</v>
      </c>
      <c r="R9" s="105">
        <v>5</v>
      </c>
      <c r="S9" s="105">
        <v>46</v>
      </c>
    </row>
    <row r="10" spans="1:19">
      <c r="A10" s="74" t="s">
        <v>1515</v>
      </c>
      <c r="B10" s="74" t="s">
        <v>1620</v>
      </c>
      <c r="C10" s="74" t="s">
        <v>111</v>
      </c>
      <c r="D10" s="74" t="s">
        <v>1517</v>
      </c>
      <c r="E10" s="74" t="s">
        <v>108</v>
      </c>
      <c r="F10" s="74" t="s">
        <v>108</v>
      </c>
      <c r="G10" s="74" t="s">
        <v>1526</v>
      </c>
      <c r="H10" s="74">
        <v>10</v>
      </c>
      <c r="I10" s="74">
        <v>0</v>
      </c>
      <c r="M10" s="104" t="s">
        <v>115</v>
      </c>
      <c r="N10" s="105">
        <v>22</v>
      </c>
      <c r="O10" s="105">
        <v>14</v>
      </c>
      <c r="P10" s="105"/>
      <c r="Q10" s="105">
        <v>2</v>
      </c>
      <c r="R10" s="105">
        <v>3</v>
      </c>
      <c r="S10" s="105">
        <v>41</v>
      </c>
    </row>
    <row r="11" spans="1:19">
      <c r="A11" s="74" t="s">
        <v>1515</v>
      </c>
      <c r="B11" s="74" t="s">
        <v>1621</v>
      </c>
      <c r="C11" s="74" t="s">
        <v>111</v>
      </c>
      <c r="D11" s="74" t="s">
        <v>1517</v>
      </c>
      <c r="E11" s="74" t="s">
        <v>108</v>
      </c>
      <c r="F11" s="74" t="s">
        <v>108</v>
      </c>
      <c r="G11" s="74" t="s">
        <v>1529</v>
      </c>
      <c r="H11" s="74">
        <v>11</v>
      </c>
      <c r="I11" s="74">
        <v>0</v>
      </c>
      <c r="M11" s="104" t="s">
        <v>116</v>
      </c>
      <c r="N11" s="105">
        <v>13</v>
      </c>
      <c r="O11" s="105">
        <v>11</v>
      </c>
      <c r="P11" s="105"/>
      <c r="Q11" s="105">
        <v>2</v>
      </c>
      <c r="R11" s="105">
        <v>3</v>
      </c>
      <c r="S11" s="105">
        <v>29</v>
      </c>
    </row>
    <row r="12" spans="1:19">
      <c r="A12" s="74" t="s">
        <v>1515</v>
      </c>
      <c r="B12" s="74" t="s">
        <v>1525</v>
      </c>
      <c r="C12" s="74" t="s">
        <v>111</v>
      </c>
      <c r="D12" s="74" t="s">
        <v>1517</v>
      </c>
      <c r="E12" s="74" t="s">
        <v>109</v>
      </c>
      <c r="F12" s="74" t="s">
        <v>109</v>
      </c>
      <c r="G12" s="74" t="s">
        <v>1526</v>
      </c>
      <c r="H12" s="74">
        <v>60</v>
      </c>
      <c r="I12" s="74">
        <v>1</v>
      </c>
      <c r="M12" s="104" t="s">
        <v>117</v>
      </c>
      <c r="N12" s="105">
        <v>11</v>
      </c>
      <c r="O12" s="105">
        <v>7</v>
      </c>
      <c r="P12" s="105"/>
      <c r="Q12" s="105">
        <v>1</v>
      </c>
      <c r="R12" s="105">
        <v>1</v>
      </c>
      <c r="S12" s="105">
        <v>20</v>
      </c>
    </row>
    <row r="13" spans="1:19">
      <c r="A13" s="74" t="s">
        <v>1515</v>
      </c>
      <c r="B13" s="74" t="s">
        <v>1622</v>
      </c>
      <c r="C13" s="74" t="s">
        <v>111</v>
      </c>
      <c r="D13" s="74" t="s">
        <v>1517</v>
      </c>
      <c r="E13" s="74" t="s">
        <v>108</v>
      </c>
      <c r="F13" s="74" t="s">
        <v>108</v>
      </c>
      <c r="G13" s="74" t="s">
        <v>1526</v>
      </c>
      <c r="H13" s="74">
        <v>2</v>
      </c>
      <c r="I13" s="74">
        <v>0</v>
      </c>
      <c r="M13" s="104" t="s">
        <v>119</v>
      </c>
      <c r="N13" s="105">
        <v>33</v>
      </c>
      <c r="O13" s="105">
        <v>37</v>
      </c>
      <c r="P13" s="105">
        <v>2</v>
      </c>
      <c r="Q13" s="105">
        <v>1</v>
      </c>
      <c r="R13" s="105">
        <v>5</v>
      </c>
      <c r="S13" s="105">
        <v>78</v>
      </c>
    </row>
    <row r="14" spans="1:19">
      <c r="A14" s="74" t="s">
        <v>1515</v>
      </c>
      <c r="B14" s="74" t="s">
        <v>1527</v>
      </c>
      <c r="C14" s="74" t="s">
        <v>111</v>
      </c>
      <c r="D14" s="74" t="s">
        <v>1517</v>
      </c>
      <c r="E14" s="74" t="s">
        <v>109</v>
      </c>
      <c r="F14" s="74" t="s">
        <v>109</v>
      </c>
      <c r="G14" s="74" t="s">
        <v>1526</v>
      </c>
      <c r="H14" s="74">
        <v>10</v>
      </c>
      <c r="I14" s="74">
        <v>0</v>
      </c>
      <c r="M14" s="104" t="s">
        <v>669</v>
      </c>
      <c r="N14" s="105">
        <v>251</v>
      </c>
      <c r="O14" s="105">
        <v>233</v>
      </c>
      <c r="P14" s="105">
        <v>9</v>
      </c>
      <c r="Q14" s="105">
        <v>18</v>
      </c>
      <c r="R14" s="105">
        <v>48</v>
      </c>
      <c r="S14" s="105">
        <v>559</v>
      </c>
    </row>
    <row r="15" spans="1:19">
      <c r="A15" s="74" t="s">
        <v>1515</v>
      </c>
      <c r="B15" s="74" t="s">
        <v>1623</v>
      </c>
      <c r="C15" s="74" t="s">
        <v>111</v>
      </c>
      <c r="D15" s="74" t="s">
        <v>1517</v>
      </c>
      <c r="E15" s="74" t="s">
        <v>108</v>
      </c>
      <c r="F15" s="74" t="s">
        <v>108</v>
      </c>
      <c r="G15" s="74" t="s">
        <v>1526</v>
      </c>
      <c r="H15" s="74">
        <v>4</v>
      </c>
      <c r="I15" s="74">
        <v>0</v>
      </c>
    </row>
    <row r="16" spans="1:19">
      <c r="A16" s="74" t="s">
        <v>1515</v>
      </c>
      <c r="B16" s="74" t="s">
        <v>1624</v>
      </c>
      <c r="C16" s="74" t="s">
        <v>111</v>
      </c>
      <c r="D16" s="74" t="s">
        <v>1517</v>
      </c>
      <c r="E16" s="74" t="s">
        <v>12</v>
      </c>
      <c r="F16" s="74" t="s">
        <v>12</v>
      </c>
      <c r="G16" s="74" t="s">
        <v>1526</v>
      </c>
      <c r="H16" s="74">
        <v>20</v>
      </c>
      <c r="I16" s="74">
        <v>0</v>
      </c>
      <c r="M16" s="103" t="s">
        <v>2429</v>
      </c>
      <c r="N16" s="103" t="s">
        <v>667</v>
      </c>
    </row>
    <row r="17" spans="1:19">
      <c r="A17" s="74" t="s">
        <v>1515</v>
      </c>
      <c r="B17" s="74" t="s">
        <v>1625</v>
      </c>
      <c r="C17" s="74" t="s">
        <v>111</v>
      </c>
      <c r="D17" s="74" t="s">
        <v>1517</v>
      </c>
      <c r="E17" s="74" t="s">
        <v>110</v>
      </c>
      <c r="F17" s="74" t="s">
        <v>110</v>
      </c>
      <c r="G17" s="74" t="s">
        <v>1522</v>
      </c>
      <c r="H17" s="74">
        <v>30</v>
      </c>
      <c r="I17" s="74">
        <v>0</v>
      </c>
      <c r="M17" s="103" t="s">
        <v>668</v>
      </c>
      <c r="N17" s="101" t="s">
        <v>1571</v>
      </c>
      <c r="O17" s="101" t="s">
        <v>1518</v>
      </c>
      <c r="P17" s="101" t="s">
        <v>1578</v>
      </c>
      <c r="Q17" s="101" t="s">
        <v>1583</v>
      </c>
      <c r="R17" s="101" t="s">
        <v>1575</v>
      </c>
      <c r="S17" s="101" t="s">
        <v>669</v>
      </c>
    </row>
    <row r="18" spans="1:19">
      <c r="A18" s="74" t="s">
        <v>1515</v>
      </c>
      <c r="B18" s="74" t="s">
        <v>1528</v>
      </c>
      <c r="C18" s="74" t="s">
        <v>111</v>
      </c>
      <c r="D18" s="74" t="s">
        <v>1517</v>
      </c>
      <c r="E18" s="74" t="s">
        <v>109</v>
      </c>
      <c r="F18" s="74" t="s">
        <v>109</v>
      </c>
      <c r="G18" s="74" t="s">
        <v>1529</v>
      </c>
      <c r="H18" s="74">
        <v>10</v>
      </c>
      <c r="I18" s="74">
        <v>0</v>
      </c>
      <c r="M18" s="104" t="s">
        <v>105</v>
      </c>
      <c r="N18" s="105">
        <v>6066</v>
      </c>
      <c r="O18" s="105">
        <v>1966</v>
      </c>
      <c r="P18" s="105">
        <v>576</v>
      </c>
      <c r="Q18" s="105">
        <v>1759</v>
      </c>
      <c r="R18" s="105">
        <v>2105</v>
      </c>
      <c r="S18" s="105">
        <v>12472</v>
      </c>
    </row>
    <row r="19" spans="1:19">
      <c r="A19" s="74" t="s">
        <v>1515</v>
      </c>
      <c r="B19" s="74" t="s">
        <v>1626</v>
      </c>
      <c r="C19" s="74" t="s">
        <v>111</v>
      </c>
      <c r="D19" s="74" t="s">
        <v>1517</v>
      </c>
      <c r="E19" s="74" t="s">
        <v>12</v>
      </c>
      <c r="F19" s="74" t="s">
        <v>12</v>
      </c>
      <c r="G19" s="74" t="s">
        <v>1518</v>
      </c>
      <c r="H19" s="74">
        <v>124</v>
      </c>
      <c r="I19" s="74">
        <v>6</v>
      </c>
      <c r="M19" s="104" t="s">
        <v>107</v>
      </c>
      <c r="N19" s="105">
        <v>1764</v>
      </c>
      <c r="O19" s="105">
        <v>1955</v>
      </c>
      <c r="P19" s="105">
        <v>636</v>
      </c>
      <c r="Q19" s="105">
        <v>588</v>
      </c>
      <c r="R19" s="105">
        <v>1234</v>
      </c>
      <c r="S19" s="105">
        <v>6177</v>
      </c>
    </row>
    <row r="20" spans="1:19">
      <c r="A20" s="74" t="s">
        <v>1515</v>
      </c>
      <c r="B20" s="74" t="s">
        <v>1530</v>
      </c>
      <c r="C20" s="74" t="s">
        <v>111</v>
      </c>
      <c r="D20" s="74" t="s">
        <v>1517</v>
      </c>
      <c r="E20" s="74" t="s">
        <v>109</v>
      </c>
      <c r="F20" s="74" t="s">
        <v>109</v>
      </c>
      <c r="G20" s="74" t="s">
        <v>1518</v>
      </c>
      <c r="H20" s="74">
        <v>240</v>
      </c>
      <c r="I20" s="74">
        <v>35</v>
      </c>
      <c r="M20" s="104" t="s">
        <v>111</v>
      </c>
      <c r="N20" s="105">
        <v>2635</v>
      </c>
      <c r="O20" s="105">
        <v>15015</v>
      </c>
      <c r="P20" s="105">
        <v>6005</v>
      </c>
      <c r="Q20" s="105">
        <v>2184</v>
      </c>
      <c r="R20" s="105">
        <v>4713</v>
      </c>
      <c r="S20" s="105">
        <v>30552</v>
      </c>
    </row>
    <row r="21" spans="1:19">
      <c r="A21" s="74" t="s">
        <v>1515</v>
      </c>
      <c r="B21" s="74" t="s">
        <v>1627</v>
      </c>
      <c r="C21" s="74" t="s">
        <v>111</v>
      </c>
      <c r="D21" s="74" t="s">
        <v>1517</v>
      </c>
      <c r="E21" s="74" t="s">
        <v>17</v>
      </c>
      <c r="F21" s="74" t="s">
        <v>17</v>
      </c>
      <c r="G21" s="74" t="s">
        <v>1518</v>
      </c>
      <c r="H21" s="74">
        <v>177</v>
      </c>
      <c r="I21" s="74">
        <v>12</v>
      </c>
      <c r="M21" s="104" t="s">
        <v>1589</v>
      </c>
      <c r="N21" s="105">
        <v>8181</v>
      </c>
      <c r="O21" s="105">
        <v>7183</v>
      </c>
      <c r="P21" s="105">
        <v>846</v>
      </c>
      <c r="Q21" s="105">
        <v>1638</v>
      </c>
      <c r="R21" s="105">
        <v>6957</v>
      </c>
      <c r="S21" s="105">
        <v>24805</v>
      </c>
    </row>
    <row r="22" spans="1:19">
      <c r="A22" s="74" t="s">
        <v>1515</v>
      </c>
      <c r="B22" s="74" t="s">
        <v>1628</v>
      </c>
      <c r="C22" s="74" t="s">
        <v>111</v>
      </c>
      <c r="D22" s="74" t="s">
        <v>1517</v>
      </c>
      <c r="E22" s="74" t="s">
        <v>110</v>
      </c>
      <c r="F22" s="74" t="s">
        <v>110</v>
      </c>
      <c r="G22" s="74" t="s">
        <v>1518</v>
      </c>
      <c r="H22" s="74">
        <v>94</v>
      </c>
      <c r="I22" s="74">
        <v>10</v>
      </c>
      <c r="M22" s="104" t="s">
        <v>114</v>
      </c>
      <c r="N22" s="105">
        <v>4235</v>
      </c>
      <c r="O22" s="105">
        <v>750</v>
      </c>
      <c r="P22" s="105"/>
      <c r="Q22" s="105">
        <v>1019</v>
      </c>
      <c r="R22" s="105">
        <v>1550</v>
      </c>
      <c r="S22" s="105">
        <v>7554</v>
      </c>
    </row>
    <row r="23" spans="1:19">
      <c r="A23" s="74" t="s">
        <v>1515</v>
      </c>
      <c r="B23" s="74" t="s">
        <v>1629</v>
      </c>
      <c r="C23" s="74" t="s">
        <v>111</v>
      </c>
      <c r="D23" s="74" t="s">
        <v>1517</v>
      </c>
      <c r="E23" s="74" t="s">
        <v>108</v>
      </c>
      <c r="F23" s="74" t="s">
        <v>108</v>
      </c>
      <c r="G23" s="74" t="s">
        <v>1518</v>
      </c>
      <c r="H23" s="74">
        <v>254</v>
      </c>
      <c r="I23" s="74">
        <v>32</v>
      </c>
      <c r="M23" s="104" t="s">
        <v>115</v>
      </c>
      <c r="N23" s="105">
        <v>2762</v>
      </c>
      <c r="O23" s="105">
        <v>1655</v>
      </c>
      <c r="P23" s="105"/>
      <c r="Q23" s="105">
        <v>774</v>
      </c>
      <c r="R23" s="105">
        <v>877</v>
      </c>
      <c r="S23" s="105">
        <v>6068</v>
      </c>
    </row>
    <row r="24" spans="1:19">
      <c r="A24" s="74" t="s">
        <v>1515</v>
      </c>
      <c r="B24" s="74" t="s">
        <v>1630</v>
      </c>
      <c r="C24" s="74" t="s">
        <v>111</v>
      </c>
      <c r="D24" s="74" t="s">
        <v>1517</v>
      </c>
      <c r="E24" s="74" t="s">
        <v>108</v>
      </c>
      <c r="F24" s="74" t="s">
        <v>108</v>
      </c>
      <c r="G24" s="74" t="s">
        <v>1522</v>
      </c>
      <c r="H24" s="74">
        <v>20</v>
      </c>
      <c r="I24" s="74">
        <v>0</v>
      </c>
      <c r="M24" s="104" t="s">
        <v>116</v>
      </c>
      <c r="N24" s="105">
        <v>1397</v>
      </c>
      <c r="O24" s="105">
        <v>1480</v>
      </c>
      <c r="P24" s="105"/>
      <c r="Q24" s="105">
        <v>1236</v>
      </c>
      <c r="R24" s="105">
        <v>831</v>
      </c>
      <c r="S24" s="105">
        <v>4944</v>
      </c>
    </row>
    <row r="25" spans="1:19">
      <c r="A25" s="74" t="s">
        <v>1515</v>
      </c>
      <c r="B25" s="74" t="s">
        <v>1631</v>
      </c>
      <c r="C25" s="74" t="s">
        <v>111</v>
      </c>
      <c r="D25" s="74" t="s">
        <v>1517</v>
      </c>
      <c r="E25" s="74" t="s">
        <v>110</v>
      </c>
      <c r="F25" s="74" t="s">
        <v>110</v>
      </c>
      <c r="G25" s="74" t="s">
        <v>1526</v>
      </c>
      <c r="H25" s="74">
        <v>4</v>
      </c>
      <c r="I25" s="74">
        <v>0</v>
      </c>
      <c r="M25" s="104" t="s">
        <v>117</v>
      </c>
      <c r="N25" s="105">
        <v>604</v>
      </c>
      <c r="O25" s="105">
        <v>654</v>
      </c>
      <c r="P25" s="105"/>
      <c r="Q25" s="105">
        <v>648</v>
      </c>
      <c r="R25" s="105">
        <v>227</v>
      </c>
      <c r="S25" s="105">
        <v>2133</v>
      </c>
    </row>
    <row r="26" spans="1:19">
      <c r="A26" s="74" t="s">
        <v>1515</v>
      </c>
      <c r="B26" s="74" t="s">
        <v>1632</v>
      </c>
      <c r="C26" s="74" t="s">
        <v>111</v>
      </c>
      <c r="D26" s="74" t="s">
        <v>1517</v>
      </c>
      <c r="E26" s="74" t="s">
        <v>110</v>
      </c>
      <c r="F26" s="74" t="s">
        <v>110</v>
      </c>
      <c r="G26" s="74" t="s">
        <v>1529</v>
      </c>
      <c r="H26" s="74">
        <v>33</v>
      </c>
      <c r="I26" s="74">
        <v>0</v>
      </c>
      <c r="M26" s="104" t="s">
        <v>119</v>
      </c>
      <c r="N26" s="105">
        <v>2974</v>
      </c>
      <c r="O26" s="105">
        <v>5158</v>
      </c>
      <c r="P26" s="105">
        <v>2359</v>
      </c>
      <c r="Q26" s="105">
        <v>272</v>
      </c>
      <c r="R26" s="105">
        <v>1438</v>
      </c>
      <c r="S26" s="105">
        <v>12201</v>
      </c>
    </row>
    <row r="27" spans="1:19">
      <c r="A27" s="74" t="s">
        <v>1515</v>
      </c>
      <c r="B27" s="74" t="s">
        <v>1531</v>
      </c>
      <c r="C27" s="74" t="s">
        <v>111</v>
      </c>
      <c r="D27" s="74" t="s">
        <v>1517</v>
      </c>
      <c r="E27" s="74" t="s">
        <v>109</v>
      </c>
      <c r="F27" s="74" t="s">
        <v>109</v>
      </c>
      <c r="G27" s="74" t="s">
        <v>1529</v>
      </c>
      <c r="H27" s="74">
        <v>20</v>
      </c>
      <c r="I27" s="74">
        <v>0</v>
      </c>
      <c r="M27" s="104" t="s">
        <v>669</v>
      </c>
      <c r="N27" s="105">
        <v>30618</v>
      </c>
      <c r="O27" s="105">
        <v>35816</v>
      </c>
      <c r="P27" s="105">
        <v>10422</v>
      </c>
      <c r="Q27" s="105">
        <v>10118</v>
      </c>
      <c r="R27" s="105">
        <v>19932</v>
      </c>
      <c r="S27" s="105">
        <v>106906</v>
      </c>
    </row>
    <row r="28" spans="1:19">
      <c r="A28" s="74" t="s">
        <v>1515</v>
      </c>
      <c r="B28" s="74" t="s">
        <v>1532</v>
      </c>
      <c r="C28" s="74" t="s">
        <v>111</v>
      </c>
      <c r="D28" s="74" t="s">
        <v>1517</v>
      </c>
      <c r="E28" s="74" t="s">
        <v>109</v>
      </c>
      <c r="F28" s="74" t="s">
        <v>109</v>
      </c>
      <c r="G28" s="74" t="s">
        <v>1520</v>
      </c>
      <c r="H28" s="74">
        <v>41</v>
      </c>
      <c r="I28" s="74">
        <v>0</v>
      </c>
    </row>
    <row r="29" spans="1:19">
      <c r="A29" s="74" t="s">
        <v>1515</v>
      </c>
      <c r="B29" s="74" t="s">
        <v>1633</v>
      </c>
      <c r="C29" s="74" t="s">
        <v>111</v>
      </c>
      <c r="D29" s="74" t="s">
        <v>1517</v>
      </c>
      <c r="E29" s="74" t="s">
        <v>110</v>
      </c>
      <c r="F29" s="74" t="s">
        <v>110</v>
      </c>
      <c r="G29" s="74" t="s">
        <v>1529</v>
      </c>
      <c r="H29" s="74">
        <v>8</v>
      </c>
      <c r="I29" s="74">
        <v>0</v>
      </c>
      <c r="M29" s="103" t="s">
        <v>2430</v>
      </c>
      <c r="N29" s="103" t="s">
        <v>667</v>
      </c>
    </row>
    <row r="30" spans="1:19">
      <c r="A30" s="74" t="s">
        <v>1515</v>
      </c>
      <c r="B30" s="74" t="s">
        <v>1634</v>
      </c>
      <c r="C30" s="74" t="s">
        <v>111</v>
      </c>
      <c r="D30" s="74" t="s">
        <v>1517</v>
      </c>
      <c r="E30" s="74" t="s">
        <v>108</v>
      </c>
      <c r="F30" s="74" t="s">
        <v>108</v>
      </c>
      <c r="G30" s="74" t="s">
        <v>1529</v>
      </c>
      <c r="H30" s="74">
        <v>20</v>
      </c>
      <c r="I30" s="74">
        <v>0</v>
      </c>
      <c r="M30" s="103" t="s">
        <v>668</v>
      </c>
      <c r="N30" s="101" t="s">
        <v>1571</v>
      </c>
      <c r="O30" s="101" t="s">
        <v>1518</v>
      </c>
      <c r="P30" s="101" t="s">
        <v>1578</v>
      </c>
      <c r="Q30" s="101" t="s">
        <v>1583</v>
      </c>
      <c r="R30" s="101" t="s">
        <v>1575</v>
      </c>
      <c r="S30" s="101" t="s">
        <v>669</v>
      </c>
    </row>
    <row r="31" spans="1:19">
      <c r="A31" s="74" t="s">
        <v>1515</v>
      </c>
      <c r="B31" s="74" t="s">
        <v>1533</v>
      </c>
      <c r="C31" s="74" t="s">
        <v>111</v>
      </c>
      <c r="D31" s="74" t="s">
        <v>1517</v>
      </c>
      <c r="E31" s="74" t="s">
        <v>109</v>
      </c>
      <c r="F31" s="74" t="s">
        <v>109</v>
      </c>
      <c r="G31" s="74" t="s">
        <v>1520</v>
      </c>
      <c r="H31" s="74">
        <v>170</v>
      </c>
      <c r="I31" s="74">
        <v>0</v>
      </c>
      <c r="M31" s="104" t="s">
        <v>105</v>
      </c>
      <c r="N31" s="105">
        <v>5</v>
      </c>
      <c r="O31" s="105">
        <v>223</v>
      </c>
      <c r="P31" s="105">
        <v>20</v>
      </c>
      <c r="Q31" s="105">
        <v>38</v>
      </c>
      <c r="R31" s="105">
        <v>30</v>
      </c>
      <c r="S31" s="105">
        <v>316</v>
      </c>
    </row>
    <row r="32" spans="1:19">
      <c r="A32" s="74" t="s">
        <v>1515</v>
      </c>
      <c r="B32" s="74" t="s">
        <v>1635</v>
      </c>
      <c r="C32" s="74" t="s">
        <v>111</v>
      </c>
      <c r="D32" s="74" t="s">
        <v>1517</v>
      </c>
      <c r="E32" s="74" t="s">
        <v>110</v>
      </c>
      <c r="F32" s="74" t="s">
        <v>110</v>
      </c>
      <c r="G32" s="74" t="s">
        <v>1529</v>
      </c>
      <c r="H32" s="74">
        <v>21</v>
      </c>
      <c r="I32" s="74">
        <v>0</v>
      </c>
      <c r="M32" s="104" t="s">
        <v>107</v>
      </c>
      <c r="N32" s="105">
        <v>0</v>
      </c>
      <c r="O32" s="105">
        <v>172</v>
      </c>
      <c r="P32" s="105">
        <v>37</v>
      </c>
      <c r="Q32" s="105">
        <v>9</v>
      </c>
      <c r="R32" s="105">
        <v>23</v>
      </c>
      <c r="S32" s="105">
        <v>241</v>
      </c>
    </row>
    <row r="33" spans="1:19">
      <c r="A33" s="74" t="s">
        <v>1515</v>
      </c>
      <c r="B33" s="74" t="s">
        <v>1534</v>
      </c>
      <c r="C33" s="74" t="s">
        <v>111</v>
      </c>
      <c r="D33" s="74" t="s">
        <v>1517</v>
      </c>
      <c r="E33" s="74" t="s">
        <v>109</v>
      </c>
      <c r="F33" s="74" t="s">
        <v>109</v>
      </c>
      <c r="G33" s="74" t="s">
        <v>1518</v>
      </c>
      <c r="H33" s="74">
        <v>100</v>
      </c>
      <c r="I33" s="74">
        <v>10</v>
      </c>
      <c r="M33" s="104" t="s">
        <v>111</v>
      </c>
      <c r="N33" s="105">
        <v>4</v>
      </c>
      <c r="O33" s="105">
        <v>1867</v>
      </c>
      <c r="P33" s="105">
        <v>60</v>
      </c>
      <c r="Q33" s="105">
        <v>34</v>
      </c>
      <c r="R33" s="105">
        <v>34</v>
      </c>
      <c r="S33" s="105">
        <v>1999</v>
      </c>
    </row>
    <row r="34" spans="1:19">
      <c r="A34" s="74" t="s">
        <v>1515</v>
      </c>
      <c r="B34" s="74" t="s">
        <v>1636</v>
      </c>
      <c r="C34" s="74" t="s">
        <v>111</v>
      </c>
      <c r="D34" s="74" t="s">
        <v>1517</v>
      </c>
      <c r="E34" s="74" t="s">
        <v>110</v>
      </c>
      <c r="F34" s="74" t="s">
        <v>110</v>
      </c>
      <c r="G34" s="74" t="s">
        <v>1518</v>
      </c>
      <c r="H34" s="74">
        <v>170</v>
      </c>
      <c r="I34" s="74">
        <v>20</v>
      </c>
      <c r="M34" s="104" t="s">
        <v>1589</v>
      </c>
      <c r="N34" s="105">
        <v>0</v>
      </c>
      <c r="O34" s="105">
        <v>701</v>
      </c>
      <c r="P34" s="105">
        <v>88</v>
      </c>
      <c r="Q34" s="105">
        <v>31</v>
      </c>
      <c r="R34" s="105">
        <v>67</v>
      </c>
      <c r="S34" s="105">
        <v>887</v>
      </c>
    </row>
    <row r="35" spans="1:19">
      <c r="A35" s="74" t="s">
        <v>1515</v>
      </c>
      <c r="B35" s="74" t="s">
        <v>1535</v>
      </c>
      <c r="C35" s="74" t="s">
        <v>111</v>
      </c>
      <c r="D35" s="74" t="s">
        <v>1517</v>
      </c>
      <c r="E35" s="74" t="s">
        <v>109</v>
      </c>
      <c r="F35" s="74" t="s">
        <v>109</v>
      </c>
      <c r="G35" s="74" t="s">
        <v>1522</v>
      </c>
      <c r="H35" s="74">
        <v>30</v>
      </c>
      <c r="I35" s="74">
        <v>0</v>
      </c>
      <c r="M35" s="104" t="s">
        <v>114</v>
      </c>
      <c r="N35" s="105">
        <v>8</v>
      </c>
      <c r="O35" s="105">
        <v>79</v>
      </c>
      <c r="P35" s="105"/>
      <c r="Q35" s="105">
        <v>26</v>
      </c>
      <c r="R35" s="105">
        <v>23</v>
      </c>
      <c r="S35" s="105">
        <v>136</v>
      </c>
    </row>
    <row r="36" spans="1:19">
      <c r="A36" s="74" t="s">
        <v>1515</v>
      </c>
      <c r="B36" s="74" t="s">
        <v>1637</v>
      </c>
      <c r="C36" s="74" t="s">
        <v>111</v>
      </c>
      <c r="D36" s="74" t="s">
        <v>1517</v>
      </c>
      <c r="E36" s="74" t="s">
        <v>110</v>
      </c>
      <c r="F36" s="74" t="s">
        <v>110</v>
      </c>
      <c r="G36" s="74" t="s">
        <v>1522</v>
      </c>
      <c r="H36" s="74">
        <v>20</v>
      </c>
      <c r="I36" s="74">
        <v>0</v>
      </c>
      <c r="M36" s="104" t="s">
        <v>115</v>
      </c>
      <c r="N36" s="105">
        <v>0</v>
      </c>
      <c r="O36" s="105">
        <v>166</v>
      </c>
      <c r="P36" s="105"/>
      <c r="Q36" s="105">
        <v>7</v>
      </c>
      <c r="R36" s="105">
        <v>4</v>
      </c>
      <c r="S36" s="105">
        <v>177</v>
      </c>
    </row>
    <row r="37" spans="1:19">
      <c r="A37" s="74" t="s">
        <v>1515</v>
      </c>
      <c r="B37" s="74" t="s">
        <v>1536</v>
      </c>
      <c r="C37" s="74" t="s">
        <v>111</v>
      </c>
      <c r="D37" s="74" t="s">
        <v>1517</v>
      </c>
      <c r="E37" s="74" t="s">
        <v>109</v>
      </c>
      <c r="F37" s="74" t="s">
        <v>109</v>
      </c>
      <c r="G37" s="74" t="s">
        <v>1529</v>
      </c>
      <c r="H37" s="74">
        <v>20</v>
      </c>
      <c r="I37" s="74">
        <v>0</v>
      </c>
      <c r="M37" s="104" t="s">
        <v>116</v>
      </c>
      <c r="N37" s="105">
        <v>40</v>
      </c>
      <c r="O37" s="105">
        <v>154</v>
      </c>
      <c r="P37" s="105"/>
      <c r="Q37" s="105">
        <v>16</v>
      </c>
      <c r="R37" s="105">
        <v>9</v>
      </c>
      <c r="S37" s="105">
        <v>219</v>
      </c>
    </row>
    <row r="38" spans="1:19">
      <c r="A38" s="74" t="s">
        <v>1515</v>
      </c>
      <c r="B38" s="74" t="s">
        <v>1638</v>
      </c>
      <c r="C38" s="74" t="s">
        <v>111</v>
      </c>
      <c r="D38" s="74" t="s">
        <v>1517</v>
      </c>
      <c r="E38" s="74" t="s">
        <v>108</v>
      </c>
      <c r="F38" s="74" t="s">
        <v>108</v>
      </c>
      <c r="G38" s="74" t="s">
        <v>1522</v>
      </c>
      <c r="H38" s="74">
        <v>42</v>
      </c>
      <c r="I38" s="74">
        <v>0</v>
      </c>
      <c r="M38" s="104" t="s">
        <v>117</v>
      </c>
      <c r="N38" s="105">
        <v>2</v>
      </c>
      <c r="O38" s="105">
        <v>71</v>
      </c>
      <c r="P38" s="105"/>
      <c r="Q38" s="105">
        <v>10</v>
      </c>
      <c r="R38" s="105">
        <v>5</v>
      </c>
      <c r="S38" s="105">
        <v>88</v>
      </c>
    </row>
    <row r="39" spans="1:19">
      <c r="A39" s="74" t="s">
        <v>1515</v>
      </c>
      <c r="B39" s="74" t="s">
        <v>1639</v>
      </c>
      <c r="C39" s="74" t="s">
        <v>111</v>
      </c>
      <c r="D39" s="74" t="s">
        <v>1517</v>
      </c>
      <c r="E39" s="74" t="s">
        <v>108</v>
      </c>
      <c r="F39" s="74" t="s">
        <v>108</v>
      </c>
      <c r="G39" s="74" t="s">
        <v>1518</v>
      </c>
      <c r="H39" s="74">
        <v>343</v>
      </c>
      <c r="I39" s="74">
        <v>46</v>
      </c>
      <c r="M39" s="104" t="s">
        <v>119</v>
      </c>
      <c r="N39" s="105">
        <v>3</v>
      </c>
      <c r="O39" s="105">
        <v>454</v>
      </c>
      <c r="P39" s="105">
        <v>164</v>
      </c>
      <c r="Q39" s="105">
        <v>30</v>
      </c>
      <c r="R39" s="105">
        <v>28</v>
      </c>
      <c r="S39" s="105">
        <v>679</v>
      </c>
    </row>
    <row r="40" spans="1:19">
      <c r="A40" s="74" t="s">
        <v>1515</v>
      </c>
      <c r="B40" s="74" t="s">
        <v>1640</v>
      </c>
      <c r="C40" s="74" t="s">
        <v>111</v>
      </c>
      <c r="D40" s="74" t="s">
        <v>1517</v>
      </c>
      <c r="E40" s="74" t="s">
        <v>108</v>
      </c>
      <c r="F40" s="74" t="s">
        <v>108</v>
      </c>
      <c r="G40" s="74" t="s">
        <v>1529</v>
      </c>
      <c r="H40" s="74">
        <v>24</v>
      </c>
      <c r="I40" s="74">
        <v>0</v>
      </c>
      <c r="M40" s="104" t="s">
        <v>669</v>
      </c>
      <c r="N40" s="105">
        <v>62</v>
      </c>
      <c r="O40" s="105">
        <v>3887</v>
      </c>
      <c r="P40" s="105">
        <v>369</v>
      </c>
      <c r="Q40" s="105">
        <v>201</v>
      </c>
      <c r="R40" s="105">
        <v>223</v>
      </c>
      <c r="S40" s="105">
        <v>4742</v>
      </c>
    </row>
    <row r="41" spans="1:19">
      <c r="A41" s="74" t="s">
        <v>1515</v>
      </c>
      <c r="B41" s="74" t="s">
        <v>1641</v>
      </c>
      <c r="C41" s="74" t="s">
        <v>111</v>
      </c>
      <c r="D41" s="74" t="s">
        <v>1517</v>
      </c>
      <c r="E41" s="74" t="s">
        <v>110</v>
      </c>
      <c r="F41" s="74" t="s">
        <v>110</v>
      </c>
      <c r="G41" s="74" t="s">
        <v>1520</v>
      </c>
      <c r="H41" s="74">
        <v>80</v>
      </c>
      <c r="I41" s="74">
        <v>0</v>
      </c>
    </row>
    <row r="42" spans="1:19">
      <c r="A42" s="74" t="s">
        <v>1515</v>
      </c>
      <c r="B42" s="74" t="s">
        <v>1642</v>
      </c>
      <c r="C42" s="74" t="s">
        <v>111</v>
      </c>
      <c r="D42" s="74" t="s">
        <v>1517</v>
      </c>
      <c r="E42" s="74" t="s">
        <v>17</v>
      </c>
      <c r="F42" s="74" t="s">
        <v>17</v>
      </c>
      <c r="G42" s="74" t="s">
        <v>1520</v>
      </c>
      <c r="H42" s="74">
        <v>51</v>
      </c>
      <c r="I42" s="74">
        <v>0</v>
      </c>
    </row>
    <row r="43" spans="1:19">
      <c r="A43" s="74" t="s">
        <v>1515</v>
      </c>
      <c r="B43" s="74" t="s">
        <v>1643</v>
      </c>
      <c r="C43" s="74" t="s">
        <v>111</v>
      </c>
      <c r="D43" s="74" t="s">
        <v>1517</v>
      </c>
      <c r="E43" s="74" t="s">
        <v>108</v>
      </c>
      <c r="F43" s="74" t="s">
        <v>108</v>
      </c>
      <c r="G43" s="74" t="s">
        <v>1520</v>
      </c>
      <c r="H43" s="74">
        <v>41</v>
      </c>
      <c r="I43" s="74">
        <v>0</v>
      </c>
    </row>
    <row r="44" spans="1:19">
      <c r="A44" s="74" t="s">
        <v>1515</v>
      </c>
      <c r="B44" s="74" t="s">
        <v>1644</v>
      </c>
      <c r="C44" s="74" t="s">
        <v>111</v>
      </c>
      <c r="D44" s="74" t="s">
        <v>1517</v>
      </c>
      <c r="E44" s="74" t="s">
        <v>12</v>
      </c>
      <c r="F44" s="74" t="s">
        <v>12</v>
      </c>
      <c r="G44" s="74" t="s">
        <v>1522</v>
      </c>
      <c r="H44" s="74">
        <v>42</v>
      </c>
      <c r="I44" s="74">
        <v>0</v>
      </c>
    </row>
    <row r="45" spans="1:19">
      <c r="A45" s="74" t="s">
        <v>1515</v>
      </c>
      <c r="B45" s="74" t="s">
        <v>1537</v>
      </c>
      <c r="C45" s="74" t="s">
        <v>111</v>
      </c>
      <c r="D45" s="74" t="s">
        <v>1517</v>
      </c>
      <c r="E45" s="74" t="s">
        <v>109</v>
      </c>
      <c r="F45" s="74" t="s">
        <v>109</v>
      </c>
      <c r="G45" s="74" t="s">
        <v>1518</v>
      </c>
      <c r="H45" s="74">
        <v>369</v>
      </c>
      <c r="I45" s="74">
        <v>50</v>
      </c>
    </row>
    <row r="46" spans="1:19">
      <c r="A46" s="74" t="s">
        <v>1515</v>
      </c>
      <c r="B46" s="74" t="s">
        <v>1645</v>
      </c>
      <c r="C46" s="74" t="s">
        <v>111</v>
      </c>
      <c r="D46" s="74" t="s">
        <v>1517</v>
      </c>
      <c r="E46" s="74" t="s">
        <v>108</v>
      </c>
      <c r="F46" s="74" t="s">
        <v>108</v>
      </c>
      <c r="G46" s="74" t="s">
        <v>1518</v>
      </c>
      <c r="H46" s="74">
        <v>219</v>
      </c>
      <c r="I46" s="74">
        <v>29</v>
      </c>
    </row>
    <row r="47" spans="1:19">
      <c r="A47" s="74" t="s">
        <v>1515</v>
      </c>
      <c r="B47" s="74" t="s">
        <v>1646</v>
      </c>
      <c r="C47" s="74" t="s">
        <v>111</v>
      </c>
      <c r="D47" s="74" t="s">
        <v>1517</v>
      </c>
      <c r="E47" s="74" t="s">
        <v>110</v>
      </c>
      <c r="F47" s="74" t="s">
        <v>110</v>
      </c>
      <c r="G47" s="74" t="s">
        <v>1518</v>
      </c>
      <c r="H47" s="74">
        <v>329</v>
      </c>
      <c r="I47" s="74">
        <v>36</v>
      </c>
    </row>
    <row r="48" spans="1:19">
      <c r="A48" s="74" t="s">
        <v>1515</v>
      </c>
      <c r="B48" s="74" t="s">
        <v>1647</v>
      </c>
      <c r="C48" s="74" t="s">
        <v>111</v>
      </c>
      <c r="D48" s="74" t="s">
        <v>1517</v>
      </c>
      <c r="E48" s="74" t="s">
        <v>12</v>
      </c>
      <c r="F48" s="74" t="s">
        <v>12</v>
      </c>
      <c r="G48" s="74" t="s">
        <v>1518</v>
      </c>
      <c r="H48" s="74">
        <v>96</v>
      </c>
      <c r="I48" s="74">
        <v>10</v>
      </c>
    </row>
    <row r="49" spans="1:9">
      <c r="A49" s="74" t="s">
        <v>1515</v>
      </c>
      <c r="B49" s="74" t="s">
        <v>1648</v>
      </c>
      <c r="C49" s="74" t="s">
        <v>111</v>
      </c>
      <c r="D49" s="74" t="s">
        <v>1517</v>
      </c>
      <c r="E49" s="74" t="s">
        <v>110</v>
      </c>
      <c r="F49" s="74" t="s">
        <v>110</v>
      </c>
      <c r="G49" s="74" t="s">
        <v>1518</v>
      </c>
      <c r="H49" s="74">
        <v>251</v>
      </c>
      <c r="I49" s="74">
        <v>38</v>
      </c>
    </row>
    <row r="50" spans="1:9">
      <c r="A50" s="74" t="s">
        <v>1515</v>
      </c>
      <c r="B50" s="74" t="s">
        <v>1649</v>
      </c>
      <c r="C50" s="74" t="s">
        <v>111</v>
      </c>
      <c r="D50" s="74" t="s">
        <v>1517</v>
      </c>
      <c r="E50" s="74" t="s">
        <v>108</v>
      </c>
      <c r="F50" s="74" t="s">
        <v>108</v>
      </c>
      <c r="G50" s="74" t="s">
        <v>1544</v>
      </c>
      <c r="H50" s="74">
        <v>41</v>
      </c>
      <c r="I50" s="74">
        <v>0</v>
      </c>
    </row>
    <row r="51" spans="1:9">
      <c r="A51" s="74" t="s">
        <v>1515</v>
      </c>
      <c r="B51" s="74" t="s">
        <v>1650</v>
      </c>
      <c r="C51" s="74" t="s">
        <v>111</v>
      </c>
      <c r="D51" s="74" t="s">
        <v>1517</v>
      </c>
      <c r="E51" s="74" t="s">
        <v>17</v>
      </c>
      <c r="F51" s="74" t="s">
        <v>17</v>
      </c>
      <c r="G51" s="74" t="s">
        <v>1518</v>
      </c>
      <c r="H51" s="74">
        <v>139</v>
      </c>
      <c r="I51" s="74">
        <v>12</v>
      </c>
    </row>
    <row r="52" spans="1:9">
      <c r="A52" s="74" t="s">
        <v>1515</v>
      </c>
      <c r="B52" s="74" t="s">
        <v>1651</v>
      </c>
      <c r="C52" s="74" t="s">
        <v>111</v>
      </c>
      <c r="D52" s="74" t="s">
        <v>1517</v>
      </c>
      <c r="E52" s="74" t="s">
        <v>110</v>
      </c>
      <c r="F52" s="74" t="s">
        <v>110</v>
      </c>
      <c r="G52" s="74" t="s">
        <v>1518</v>
      </c>
      <c r="H52" s="74">
        <v>133</v>
      </c>
      <c r="I52" s="74">
        <v>16</v>
      </c>
    </row>
    <row r="53" spans="1:9">
      <c r="A53" s="74" t="s">
        <v>1515</v>
      </c>
      <c r="B53" s="74" t="s">
        <v>1652</v>
      </c>
      <c r="C53" s="74" t="s">
        <v>111</v>
      </c>
      <c r="D53" s="74" t="s">
        <v>1517</v>
      </c>
      <c r="E53" s="74" t="s">
        <v>108</v>
      </c>
      <c r="F53" s="74" t="s">
        <v>108</v>
      </c>
      <c r="G53" s="74" t="s">
        <v>1520</v>
      </c>
      <c r="H53" s="74">
        <v>76</v>
      </c>
      <c r="I53" s="74">
        <v>0</v>
      </c>
    </row>
    <row r="54" spans="1:9">
      <c r="A54" s="74" t="s">
        <v>1515</v>
      </c>
      <c r="B54" s="74" t="s">
        <v>1653</v>
      </c>
      <c r="C54" s="74" t="s">
        <v>111</v>
      </c>
      <c r="D54" s="74" t="s">
        <v>1517</v>
      </c>
      <c r="E54" s="74" t="s">
        <v>108</v>
      </c>
      <c r="F54" s="74" t="s">
        <v>108</v>
      </c>
      <c r="G54" s="74" t="s">
        <v>1518</v>
      </c>
      <c r="H54" s="74">
        <v>240</v>
      </c>
      <c r="I54" s="74">
        <v>26</v>
      </c>
    </row>
    <row r="55" spans="1:9">
      <c r="A55" s="74" t="s">
        <v>1515</v>
      </c>
      <c r="B55" s="74" t="s">
        <v>1538</v>
      </c>
      <c r="C55" s="74" t="s">
        <v>111</v>
      </c>
      <c r="D55" s="74" t="s">
        <v>1517</v>
      </c>
      <c r="E55" s="74" t="s">
        <v>109</v>
      </c>
      <c r="F55" s="74" t="s">
        <v>109</v>
      </c>
      <c r="G55" s="74" t="s">
        <v>1529</v>
      </c>
      <c r="H55" s="74">
        <v>13</v>
      </c>
      <c r="I55" s="74">
        <v>0</v>
      </c>
    </row>
    <row r="56" spans="1:9">
      <c r="A56" s="74" t="s">
        <v>1515</v>
      </c>
      <c r="B56" s="74" t="s">
        <v>1539</v>
      </c>
      <c r="C56" s="74" t="s">
        <v>111</v>
      </c>
      <c r="D56" s="74" t="s">
        <v>1517</v>
      </c>
      <c r="E56" s="74" t="s">
        <v>109</v>
      </c>
      <c r="F56" s="74" t="s">
        <v>109</v>
      </c>
      <c r="G56" s="74" t="s">
        <v>1518</v>
      </c>
      <c r="H56" s="74">
        <v>370</v>
      </c>
      <c r="I56" s="74">
        <v>39</v>
      </c>
    </row>
    <row r="57" spans="1:9">
      <c r="A57" s="74" t="s">
        <v>1515</v>
      </c>
      <c r="B57" s="74" t="s">
        <v>1540</v>
      </c>
      <c r="C57" s="74" t="s">
        <v>111</v>
      </c>
      <c r="D57" s="74" t="s">
        <v>1517</v>
      </c>
      <c r="E57" s="74" t="s">
        <v>109</v>
      </c>
      <c r="F57" s="74" t="s">
        <v>109</v>
      </c>
      <c r="G57" s="74" t="s">
        <v>1518</v>
      </c>
      <c r="H57" s="74">
        <v>89</v>
      </c>
      <c r="I57" s="74">
        <v>9</v>
      </c>
    </row>
    <row r="58" spans="1:9">
      <c r="A58" s="74" t="s">
        <v>1515</v>
      </c>
      <c r="B58" s="74" t="s">
        <v>1654</v>
      </c>
      <c r="C58" s="74" t="s">
        <v>111</v>
      </c>
      <c r="D58" s="74" t="s">
        <v>1517</v>
      </c>
      <c r="E58" s="74" t="s">
        <v>108</v>
      </c>
      <c r="F58" s="74" t="s">
        <v>108</v>
      </c>
      <c r="G58" s="74" t="s">
        <v>1518</v>
      </c>
      <c r="H58" s="74">
        <v>339</v>
      </c>
      <c r="I58" s="74">
        <v>58</v>
      </c>
    </row>
    <row r="59" spans="1:9">
      <c r="A59" s="74" t="s">
        <v>1515</v>
      </c>
      <c r="B59" s="74" t="s">
        <v>1655</v>
      </c>
      <c r="C59" s="74" t="s">
        <v>111</v>
      </c>
      <c r="D59" s="74" t="s">
        <v>1517</v>
      </c>
      <c r="E59" s="74" t="s">
        <v>108</v>
      </c>
      <c r="F59" s="74" t="s">
        <v>108</v>
      </c>
      <c r="G59" s="74" t="s">
        <v>1518</v>
      </c>
      <c r="H59" s="74">
        <v>199</v>
      </c>
      <c r="I59" s="74">
        <v>37</v>
      </c>
    </row>
    <row r="60" spans="1:9">
      <c r="A60" s="74" t="s">
        <v>1515</v>
      </c>
      <c r="B60" s="74" t="s">
        <v>1656</v>
      </c>
      <c r="C60" s="74" t="s">
        <v>111</v>
      </c>
      <c r="D60" s="74" t="s">
        <v>1517</v>
      </c>
      <c r="E60" s="74" t="s">
        <v>108</v>
      </c>
      <c r="F60" s="74" t="s">
        <v>108</v>
      </c>
      <c r="G60" s="74" t="s">
        <v>1520</v>
      </c>
      <c r="H60" s="74">
        <v>87</v>
      </c>
      <c r="I60" s="74">
        <v>0</v>
      </c>
    </row>
    <row r="61" spans="1:9">
      <c r="A61" s="74" t="s">
        <v>1515</v>
      </c>
      <c r="B61" s="74" t="s">
        <v>1541</v>
      </c>
      <c r="C61" s="74" t="s">
        <v>111</v>
      </c>
      <c r="D61" s="74" t="s">
        <v>1517</v>
      </c>
      <c r="E61" s="74" t="s">
        <v>109</v>
      </c>
      <c r="F61" s="74" t="s">
        <v>109</v>
      </c>
      <c r="G61" s="74" t="s">
        <v>1518</v>
      </c>
      <c r="H61" s="74">
        <v>219</v>
      </c>
      <c r="I61" s="74">
        <v>21</v>
      </c>
    </row>
    <row r="62" spans="1:9">
      <c r="A62" s="74" t="s">
        <v>1515</v>
      </c>
      <c r="B62" s="74" t="s">
        <v>1657</v>
      </c>
      <c r="C62" s="74" t="s">
        <v>111</v>
      </c>
      <c r="D62" s="74" t="s">
        <v>1517</v>
      </c>
      <c r="E62" s="74" t="s">
        <v>110</v>
      </c>
      <c r="F62" s="74" t="s">
        <v>110</v>
      </c>
      <c r="G62" s="74" t="s">
        <v>1518</v>
      </c>
      <c r="H62" s="74">
        <v>99</v>
      </c>
      <c r="I62" s="74">
        <v>8</v>
      </c>
    </row>
    <row r="63" spans="1:9">
      <c r="A63" s="74" t="s">
        <v>1515</v>
      </c>
      <c r="B63" s="74" t="s">
        <v>1658</v>
      </c>
      <c r="C63" s="74" t="s">
        <v>111</v>
      </c>
      <c r="D63" s="74" t="s">
        <v>1517</v>
      </c>
      <c r="E63" s="74" t="s">
        <v>110</v>
      </c>
      <c r="F63" s="74" t="s">
        <v>110</v>
      </c>
      <c r="G63" s="74" t="s">
        <v>1518</v>
      </c>
      <c r="H63" s="74">
        <v>149</v>
      </c>
      <c r="I63" s="74">
        <v>18</v>
      </c>
    </row>
    <row r="64" spans="1:9">
      <c r="A64" s="74" t="s">
        <v>1515</v>
      </c>
      <c r="B64" s="74" t="s">
        <v>1542</v>
      </c>
      <c r="C64" s="74" t="s">
        <v>111</v>
      </c>
      <c r="D64" s="74" t="s">
        <v>1517</v>
      </c>
      <c r="E64" s="74" t="s">
        <v>109</v>
      </c>
      <c r="F64" s="74" t="s">
        <v>109</v>
      </c>
      <c r="G64" s="74" t="s">
        <v>1529</v>
      </c>
      <c r="H64" s="74">
        <v>31</v>
      </c>
      <c r="I64" s="74">
        <v>0</v>
      </c>
    </row>
    <row r="65" spans="1:9">
      <c r="A65" s="74" t="s">
        <v>1515</v>
      </c>
      <c r="B65" s="74" t="s">
        <v>1659</v>
      </c>
      <c r="C65" s="74" t="s">
        <v>111</v>
      </c>
      <c r="D65" s="74" t="s">
        <v>1517</v>
      </c>
      <c r="E65" s="74" t="s">
        <v>108</v>
      </c>
      <c r="F65" s="74" t="s">
        <v>108</v>
      </c>
      <c r="G65" s="74" t="s">
        <v>1518</v>
      </c>
      <c r="H65" s="74">
        <v>153</v>
      </c>
      <c r="I65" s="74">
        <v>18</v>
      </c>
    </row>
    <row r="66" spans="1:9">
      <c r="A66" s="74" t="s">
        <v>1515</v>
      </c>
      <c r="B66" s="74" t="s">
        <v>1660</v>
      </c>
      <c r="C66" s="74" t="s">
        <v>111</v>
      </c>
      <c r="D66" s="74" t="s">
        <v>1517</v>
      </c>
      <c r="E66" s="74" t="s">
        <v>108</v>
      </c>
      <c r="F66" s="74" t="s">
        <v>108</v>
      </c>
      <c r="G66" s="74" t="s">
        <v>1518</v>
      </c>
      <c r="H66" s="74">
        <v>15</v>
      </c>
      <c r="I66" s="74">
        <v>0</v>
      </c>
    </row>
    <row r="67" spans="1:9">
      <c r="A67" s="74" t="s">
        <v>1515</v>
      </c>
      <c r="B67" s="74" t="s">
        <v>1543</v>
      </c>
      <c r="C67" s="74" t="s">
        <v>111</v>
      </c>
      <c r="D67" s="74" t="s">
        <v>1517</v>
      </c>
      <c r="E67" s="74" t="s">
        <v>109</v>
      </c>
      <c r="F67" s="74" t="s">
        <v>109</v>
      </c>
      <c r="G67" s="74" t="s">
        <v>1544</v>
      </c>
      <c r="H67" s="74">
        <v>21</v>
      </c>
      <c r="I67" s="74">
        <v>0</v>
      </c>
    </row>
    <row r="68" spans="1:9">
      <c r="A68" s="74" t="s">
        <v>1515</v>
      </c>
      <c r="B68" s="74" t="s">
        <v>1661</v>
      </c>
      <c r="C68" s="74" t="s">
        <v>111</v>
      </c>
      <c r="D68" s="74" t="s">
        <v>1517</v>
      </c>
      <c r="E68" s="74" t="s">
        <v>108</v>
      </c>
      <c r="F68" s="74" t="s">
        <v>108</v>
      </c>
      <c r="G68" s="74" t="s">
        <v>1544</v>
      </c>
      <c r="H68" s="74">
        <v>76</v>
      </c>
      <c r="I68" s="74">
        <v>0</v>
      </c>
    </row>
    <row r="69" spans="1:9">
      <c r="A69" s="74" t="s">
        <v>1515</v>
      </c>
      <c r="B69" s="74" t="s">
        <v>1545</v>
      </c>
      <c r="C69" s="74" t="s">
        <v>111</v>
      </c>
      <c r="D69" s="74" t="s">
        <v>1517</v>
      </c>
      <c r="E69" s="74" t="s">
        <v>109</v>
      </c>
      <c r="F69" s="74" t="s">
        <v>109</v>
      </c>
      <c r="G69" s="74" t="s">
        <v>1518</v>
      </c>
      <c r="H69" s="74">
        <v>8</v>
      </c>
      <c r="I69" s="74">
        <v>0</v>
      </c>
    </row>
    <row r="70" spans="1:9">
      <c r="A70" s="74" t="s">
        <v>1515</v>
      </c>
      <c r="B70" s="74" t="s">
        <v>1662</v>
      </c>
      <c r="C70" s="74" t="s">
        <v>111</v>
      </c>
      <c r="D70" s="74" t="s">
        <v>1517</v>
      </c>
      <c r="E70" s="74" t="s">
        <v>108</v>
      </c>
      <c r="F70" s="74" t="s">
        <v>108</v>
      </c>
      <c r="G70" s="74" t="s">
        <v>1520</v>
      </c>
      <c r="H70" s="74">
        <v>46</v>
      </c>
      <c r="I70" s="74">
        <v>0</v>
      </c>
    </row>
    <row r="71" spans="1:9">
      <c r="A71" s="74" t="s">
        <v>1515</v>
      </c>
      <c r="B71" s="74" t="s">
        <v>1663</v>
      </c>
      <c r="C71" s="74" t="s">
        <v>111</v>
      </c>
      <c r="D71" s="74" t="s">
        <v>1517</v>
      </c>
      <c r="E71" s="74" t="s">
        <v>108</v>
      </c>
      <c r="F71" s="74" t="s">
        <v>108</v>
      </c>
      <c r="G71" s="74" t="s">
        <v>1518</v>
      </c>
      <c r="H71" s="74">
        <v>200</v>
      </c>
      <c r="I71" s="74">
        <v>30</v>
      </c>
    </row>
    <row r="72" spans="1:9">
      <c r="A72" s="74" t="s">
        <v>1515</v>
      </c>
      <c r="B72" s="74" t="s">
        <v>1664</v>
      </c>
      <c r="C72" s="74" t="s">
        <v>111</v>
      </c>
      <c r="D72" s="74" t="s">
        <v>1517</v>
      </c>
      <c r="E72" s="74" t="s">
        <v>110</v>
      </c>
      <c r="F72" s="74" t="s">
        <v>110</v>
      </c>
      <c r="G72" s="74" t="s">
        <v>1518</v>
      </c>
      <c r="H72" s="74">
        <v>170</v>
      </c>
      <c r="I72" s="74">
        <v>25</v>
      </c>
    </row>
    <row r="73" spans="1:9">
      <c r="A73" s="74" t="s">
        <v>1515</v>
      </c>
      <c r="B73" s="74" t="s">
        <v>1665</v>
      </c>
      <c r="C73" s="74" t="s">
        <v>111</v>
      </c>
      <c r="D73" s="74" t="s">
        <v>1517</v>
      </c>
      <c r="E73" s="74" t="s">
        <v>108</v>
      </c>
      <c r="F73" s="74" t="s">
        <v>108</v>
      </c>
      <c r="G73" s="74" t="s">
        <v>1529</v>
      </c>
      <c r="H73" s="74">
        <v>24</v>
      </c>
      <c r="I73" s="74">
        <v>0</v>
      </c>
    </row>
    <row r="74" spans="1:9">
      <c r="A74" s="74" t="s">
        <v>1515</v>
      </c>
      <c r="B74" s="74" t="s">
        <v>1666</v>
      </c>
      <c r="C74" s="74" t="s">
        <v>111</v>
      </c>
      <c r="D74" s="74" t="s">
        <v>1517</v>
      </c>
      <c r="E74" s="74" t="s">
        <v>108</v>
      </c>
      <c r="F74" s="74" t="s">
        <v>108</v>
      </c>
      <c r="G74" s="74" t="s">
        <v>1518</v>
      </c>
      <c r="H74" s="74">
        <v>363</v>
      </c>
      <c r="I74" s="74">
        <v>37</v>
      </c>
    </row>
    <row r="75" spans="1:9">
      <c r="A75" s="74" t="s">
        <v>1515</v>
      </c>
      <c r="B75" s="74" t="s">
        <v>1667</v>
      </c>
      <c r="C75" s="74" t="s">
        <v>111</v>
      </c>
      <c r="D75" s="74" t="s">
        <v>1517</v>
      </c>
      <c r="E75" s="74" t="s">
        <v>17</v>
      </c>
      <c r="F75" s="74" t="s">
        <v>17</v>
      </c>
      <c r="G75" s="74" t="s">
        <v>1518</v>
      </c>
      <c r="H75" s="74">
        <v>265</v>
      </c>
      <c r="I75" s="74">
        <v>36</v>
      </c>
    </row>
    <row r="76" spans="1:9">
      <c r="A76" s="74" t="s">
        <v>1515</v>
      </c>
      <c r="B76" s="74" t="s">
        <v>1668</v>
      </c>
      <c r="C76" s="74" t="s">
        <v>111</v>
      </c>
      <c r="D76" s="74" t="s">
        <v>1517</v>
      </c>
      <c r="E76" s="74" t="s">
        <v>108</v>
      </c>
      <c r="F76" s="74" t="s">
        <v>108</v>
      </c>
      <c r="G76" s="74" t="s">
        <v>1518</v>
      </c>
      <c r="H76" s="74">
        <v>283</v>
      </c>
      <c r="I76" s="74">
        <v>25</v>
      </c>
    </row>
    <row r="77" spans="1:9">
      <c r="A77" s="74" t="s">
        <v>1515</v>
      </c>
      <c r="B77" s="74" t="s">
        <v>1669</v>
      </c>
      <c r="C77" s="74" t="s">
        <v>111</v>
      </c>
      <c r="D77" s="74" t="s">
        <v>1517</v>
      </c>
      <c r="E77" s="74" t="s">
        <v>108</v>
      </c>
      <c r="F77" s="74" t="s">
        <v>108</v>
      </c>
      <c r="G77" s="74" t="s">
        <v>1518</v>
      </c>
      <c r="H77" s="74">
        <v>48</v>
      </c>
      <c r="I77" s="74">
        <v>13</v>
      </c>
    </row>
    <row r="78" spans="1:9">
      <c r="A78" s="74" t="s">
        <v>1515</v>
      </c>
      <c r="B78" s="74" t="s">
        <v>1670</v>
      </c>
      <c r="C78" s="74" t="s">
        <v>111</v>
      </c>
      <c r="D78" s="74" t="s">
        <v>1517</v>
      </c>
      <c r="E78" s="74" t="s">
        <v>108</v>
      </c>
      <c r="F78" s="74" t="s">
        <v>108</v>
      </c>
      <c r="G78" s="74" t="s">
        <v>1518</v>
      </c>
      <c r="H78" s="74">
        <v>456</v>
      </c>
      <c r="I78" s="74">
        <v>117</v>
      </c>
    </row>
    <row r="79" spans="1:9">
      <c r="A79" s="74" t="s">
        <v>1515</v>
      </c>
      <c r="B79" s="74" t="s">
        <v>1671</v>
      </c>
      <c r="C79" s="74" t="s">
        <v>111</v>
      </c>
      <c r="D79" s="74" t="s">
        <v>1517</v>
      </c>
      <c r="E79" s="74" t="s">
        <v>108</v>
      </c>
      <c r="F79" s="74" t="s">
        <v>108</v>
      </c>
      <c r="G79" s="74" t="s">
        <v>1518</v>
      </c>
      <c r="H79" s="74">
        <v>216</v>
      </c>
      <c r="I79" s="74">
        <v>28</v>
      </c>
    </row>
    <row r="80" spans="1:9">
      <c r="A80" s="74" t="s">
        <v>1515</v>
      </c>
      <c r="B80" s="74" t="s">
        <v>1672</v>
      </c>
      <c r="C80" s="74" t="s">
        <v>111</v>
      </c>
      <c r="D80" s="74" t="s">
        <v>1517</v>
      </c>
      <c r="E80" s="74" t="s">
        <v>108</v>
      </c>
      <c r="F80" s="74" t="s">
        <v>108</v>
      </c>
      <c r="G80" s="74" t="s">
        <v>1518</v>
      </c>
      <c r="H80" s="74">
        <v>265</v>
      </c>
      <c r="I80" s="74">
        <v>33</v>
      </c>
    </row>
    <row r="81" spans="1:9">
      <c r="A81" s="74" t="s">
        <v>1515</v>
      </c>
      <c r="B81" s="74" t="s">
        <v>1673</v>
      </c>
      <c r="C81" s="74" t="s">
        <v>111</v>
      </c>
      <c r="D81" s="74" t="s">
        <v>1517</v>
      </c>
      <c r="E81" s="74" t="s">
        <v>108</v>
      </c>
      <c r="F81" s="74" t="s">
        <v>108</v>
      </c>
      <c r="G81" s="74" t="s">
        <v>1518</v>
      </c>
      <c r="H81" s="74">
        <v>204</v>
      </c>
      <c r="I81" s="74">
        <v>23</v>
      </c>
    </row>
    <row r="82" spans="1:9">
      <c r="A82" s="74" t="s">
        <v>1515</v>
      </c>
      <c r="B82" s="74" t="s">
        <v>1674</v>
      </c>
      <c r="C82" s="74" t="s">
        <v>111</v>
      </c>
      <c r="D82" s="74" t="s">
        <v>1517</v>
      </c>
      <c r="E82" s="74" t="s">
        <v>17</v>
      </c>
      <c r="F82" s="74" t="s">
        <v>17</v>
      </c>
      <c r="G82" s="74" t="s">
        <v>1518</v>
      </c>
      <c r="H82" s="74">
        <v>131</v>
      </c>
      <c r="I82" s="74">
        <v>15</v>
      </c>
    </row>
    <row r="83" spans="1:9">
      <c r="A83" s="74" t="s">
        <v>1515</v>
      </c>
      <c r="B83" s="74" t="s">
        <v>1675</v>
      </c>
      <c r="C83" s="74" t="s">
        <v>111</v>
      </c>
      <c r="D83" s="74" t="s">
        <v>1517</v>
      </c>
      <c r="E83" s="74" t="s">
        <v>108</v>
      </c>
      <c r="F83" s="74" t="s">
        <v>108</v>
      </c>
      <c r="G83" s="74" t="s">
        <v>1544</v>
      </c>
      <c r="H83" s="74">
        <v>128</v>
      </c>
      <c r="I83" s="74">
        <v>0</v>
      </c>
    </row>
    <row r="84" spans="1:9">
      <c r="A84" s="74" t="s">
        <v>1515</v>
      </c>
      <c r="B84" s="74" t="s">
        <v>1676</v>
      </c>
      <c r="C84" s="74" t="s">
        <v>111</v>
      </c>
      <c r="D84" s="74" t="s">
        <v>1517</v>
      </c>
      <c r="E84" s="74" t="s">
        <v>108</v>
      </c>
      <c r="F84" s="74" t="s">
        <v>108</v>
      </c>
      <c r="G84" s="74" t="s">
        <v>1518</v>
      </c>
      <c r="H84" s="74">
        <v>128</v>
      </c>
      <c r="I84" s="74">
        <v>6</v>
      </c>
    </row>
    <row r="85" spans="1:9">
      <c r="A85" s="74" t="s">
        <v>1515</v>
      </c>
      <c r="B85" s="74" t="s">
        <v>1677</v>
      </c>
      <c r="C85" s="74" t="s">
        <v>111</v>
      </c>
      <c r="D85" s="74" t="s">
        <v>1517</v>
      </c>
      <c r="E85" s="74" t="s">
        <v>108</v>
      </c>
      <c r="F85" s="74" t="s">
        <v>108</v>
      </c>
      <c r="G85" s="74" t="s">
        <v>1518</v>
      </c>
      <c r="H85" s="74">
        <v>279</v>
      </c>
      <c r="I85" s="74">
        <v>87</v>
      </c>
    </row>
    <row r="86" spans="1:9">
      <c r="A86" s="74" t="s">
        <v>1515</v>
      </c>
      <c r="B86" s="74" t="s">
        <v>1678</v>
      </c>
      <c r="C86" s="74" t="s">
        <v>111</v>
      </c>
      <c r="D86" s="74" t="s">
        <v>1517</v>
      </c>
      <c r="E86" s="74" t="s">
        <v>110</v>
      </c>
      <c r="F86" s="74" t="s">
        <v>110</v>
      </c>
      <c r="G86" s="74" t="s">
        <v>1518</v>
      </c>
      <c r="H86" s="74">
        <v>222</v>
      </c>
      <c r="I86" s="74">
        <v>45</v>
      </c>
    </row>
    <row r="87" spans="1:9">
      <c r="A87" s="74" t="s">
        <v>1515</v>
      </c>
      <c r="B87" s="74" t="s">
        <v>1679</v>
      </c>
      <c r="C87" s="74" t="s">
        <v>111</v>
      </c>
      <c r="D87" s="74" t="s">
        <v>1517</v>
      </c>
      <c r="E87" s="74" t="s">
        <v>110</v>
      </c>
      <c r="F87" s="74" t="s">
        <v>110</v>
      </c>
      <c r="G87" s="74" t="s">
        <v>1518</v>
      </c>
      <c r="H87" s="74">
        <v>29</v>
      </c>
      <c r="I87" s="74">
        <v>0</v>
      </c>
    </row>
    <row r="88" spans="1:9">
      <c r="A88" s="74" t="s">
        <v>1515</v>
      </c>
      <c r="B88" s="74" t="s">
        <v>1680</v>
      </c>
      <c r="C88" s="74" t="s">
        <v>111</v>
      </c>
      <c r="D88" s="74" t="s">
        <v>1517</v>
      </c>
      <c r="E88" s="74" t="s">
        <v>110</v>
      </c>
      <c r="F88" s="74" t="s">
        <v>110</v>
      </c>
      <c r="G88" s="74" t="s">
        <v>1518</v>
      </c>
      <c r="H88" s="74">
        <v>214</v>
      </c>
      <c r="I88" s="74">
        <v>27</v>
      </c>
    </row>
    <row r="89" spans="1:9">
      <c r="A89" s="74" t="s">
        <v>1515</v>
      </c>
      <c r="B89" s="74" t="s">
        <v>1681</v>
      </c>
      <c r="C89" s="74" t="s">
        <v>111</v>
      </c>
      <c r="D89" s="74" t="s">
        <v>1517</v>
      </c>
      <c r="E89" s="74" t="s">
        <v>110</v>
      </c>
      <c r="F89" s="74" t="s">
        <v>110</v>
      </c>
      <c r="G89" s="74" t="s">
        <v>1518</v>
      </c>
      <c r="H89" s="74">
        <v>203</v>
      </c>
      <c r="I89" s="74">
        <v>22</v>
      </c>
    </row>
    <row r="90" spans="1:9">
      <c r="A90" s="74" t="s">
        <v>1515</v>
      </c>
      <c r="B90" s="74" t="s">
        <v>1682</v>
      </c>
      <c r="C90" s="74" t="s">
        <v>111</v>
      </c>
      <c r="D90" s="74" t="s">
        <v>1517</v>
      </c>
      <c r="E90" s="74" t="s">
        <v>110</v>
      </c>
      <c r="F90" s="74" t="s">
        <v>110</v>
      </c>
      <c r="G90" s="74" t="s">
        <v>1518</v>
      </c>
      <c r="H90" s="74">
        <v>175</v>
      </c>
      <c r="I90" s="74">
        <v>21</v>
      </c>
    </row>
    <row r="91" spans="1:9">
      <c r="A91" s="74" t="s">
        <v>1515</v>
      </c>
      <c r="B91" s="74" t="s">
        <v>1546</v>
      </c>
      <c r="C91" s="74" t="s">
        <v>111</v>
      </c>
      <c r="D91" s="74" t="s">
        <v>1517</v>
      </c>
      <c r="E91" s="74" t="s">
        <v>109</v>
      </c>
      <c r="F91" s="74" t="s">
        <v>109</v>
      </c>
      <c r="G91" s="74" t="s">
        <v>1518</v>
      </c>
      <c r="H91" s="74">
        <v>475</v>
      </c>
      <c r="I91" s="74">
        <v>78</v>
      </c>
    </row>
    <row r="92" spans="1:9">
      <c r="A92" s="74" t="s">
        <v>1515</v>
      </c>
      <c r="B92" s="74" t="s">
        <v>1547</v>
      </c>
      <c r="C92" s="74" t="s">
        <v>111</v>
      </c>
      <c r="D92" s="74" t="s">
        <v>1517</v>
      </c>
      <c r="E92" s="74" t="s">
        <v>109</v>
      </c>
      <c r="F92" s="74" t="s">
        <v>109</v>
      </c>
      <c r="G92" s="74" t="s">
        <v>1518</v>
      </c>
      <c r="H92" s="74">
        <v>358</v>
      </c>
      <c r="I92" s="74">
        <v>41</v>
      </c>
    </row>
    <row r="93" spans="1:9">
      <c r="A93" s="74" t="s">
        <v>1515</v>
      </c>
      <c r="B93" s="74" t="s">
        <v>1548</v>
      </c>
      <c r="C93" s="74" t="s">
        <v>111</v>
      </c>
      <c r="D93" s="74" t="s">
        <v>1517</v>
      </c>
      <c r="E93" s="74" t="s">
        <v>109</v>
      </c>
      <c r="F93" s="74" t="s">
        <v>109</v>
      </c>
      <c r="G93" s="74" t="s">
        <v>1518</v>
      </c>
      <c r="H93" s="74">
        <v>130</v>
      </c>
      <c r="I93" s="74">
        <v>7</v>
      </c>
    </row>
    <row r="94" spans="1:9">
      <c r="A94" s="74" t="s">
        <v>1515</v>
      </c>
      <c r="B94" s="74" t="s">
        <v>1549</v>
      </c>
      <c r="C94" s="74" t="s">
        <v>111</v>
      </c>
      <c r="D94" s="74" t="s">
        <v>1517</v>
      </c>
      <c r="E94" s="74" t="s">
        <v>109</v>
      </c>
      <c r="F94" s="74" t="s">
        <v>109</v>
      </c>
      <c r="G94" s="74" t="s">
        <v>1518</v>
      </c>
      <c r="H94" s="74">
        <v>134</v>
      </c>
      <c r="I94" s="74">
        <v>23</v>
      </c>
    </row>
    <row r="95" spans="1:9">
      <c r="A95" s="74" t="s">
        <v>1515</v>
      </c>
      <c r="B95" s="74" t="s">
        <v>1550</v>
      </c>
      <c r="C95" s="74" t="s">
        <v>111</v>
      </c>
      <c r="D95" s="74" t="s">
        <v>1517</v>
      </c>
      <c r="E95" s="74" t="s">
        <v>109</v>
      </c>
      <c r="F95" s="74" t="s">
        <v>109</v>
      </c>
      <c r="G95" s="74" t="s">
        <v>1518</v>
      </c>
      <c r="H95" s="74">
        <v>92</v>
      </c>
      <c r="I95" s="74">
        <v>12</v>
      </c>
    </row>
    <row r="96" spans="1:9">
      <c r="A96" s="74" t="s">
        <v>1515</v>
      </c>
      <c r="B96" s="74" t="s">
        <v>1551</v>
      </c>
      <c r="C96" s="74" t="s">
        <v>111</v>
      </c>
      <c r="D96" s="74" t="s">
        <v>1517</v>
      </c>
      <c r="E96" s="74" t="s">
        <v>109</v>
      </c>
      <c r="F96" s="74" t="s">
        <v>109</v>
      </c>
      <c r="G96" s="74" t="s">
        <v>1518</v>
      </c>
      <c r="H96" s="74">
        <v>60</v>
      </c>
      <c r="I96" s="74">
        <v>4</v>
      </c>
    </row>
    <row r="97" spans="1:9">
      <c r="A97" s="74" t="s">
        <v>1515</v>
      </c>
      <c r="B97" s="74" t="s">
        <v>1552</v>
      </c>
      <c r="C97" s="74" t="s">
        <v>111</v>
      </c>
      <c r="D97" s="74" t="s">
        <v>1517</v>
      </c>
      <c r="E97" s="74" t="s">
        <v>109</v>
      </c>
      <c r="F97" s="74" t="s">
        <v>109</v>
      </c>
      <c r="G97" s="74" t="s">
        <v>1518</v>
      </c>
      <c r="H97" s="74">
        <v>162</v>
      </c>
      <c r="I97" s="74">
        <v>20</v>
      </c>
    </row>
    <row r="98" spans="1:9">
      <c r="A98" s="74" t="s">
        <v>1515</v>
      </c>
      <c r="B98" s="74" t="s">
        <v>1553</v>
      </c>
      <c r="C98" s="74" t="s">
        <v>111</v>
      </c>
      <c r="D98" s="74" t="s">
        <v>1517</v>
      </c>
      <c r="E98" s="74" t="s">
        <v>109</v>
      </c>
      <c r="F98" s="74" t="s">
        <v>109</v>
      </c>
      <c r="G98" s="74" t="s">
        <v>1518</v>
      </c>
      <c r="H98" s="74">
        <v>212</v>
      </c>
      <c r="I98" s="74">
        <v>30</v>
      </c>
    </row>
    <row r="99" spans="1:9">
      <c r="A99" s="74" t="s">
        <v>1515</v>
      </c>
      <c r="B99" s="74" t="s">
        <v>1683</v>
      </c>
      <c r="C99" s="74" t="s">
        <v>111</v>
      </c>
      <c r="D99" s="74" t="s">
        <v>1517</v>
      </c>
      <c r="E99" s="74" t="s">
        <v>12</v>
      </c>
      <c r="F99" s="74" t="s">
        <v>12</v>
      </c>
      <c r="G99" s="74" t="s">
        <v>1518</v>
      </c>
      <c r="H99" s="74">
        <v>267</v>
      </c>
      <c r="I99" s="74">
        <v>20</v>
      </c>
    </row>
    <row r="100" spans="1:9">
      <c r="A100" s="74" t="s">
        <v>1515</v>
      </c>
      <c r="B100" s="74" t="s">
        <v>1684</v>
      </c>
      <c r="C100" s="74" t="s">
        <v>111</v>
      </c>
      <c r="D100" s="74" t="s">
        <v>1517</v>
      </c>
      <c r="E100" s="74" t="s">
        <v>108</v>
      </c>
      <c r="F100" s="74" t="s">
        <v>108</v>
      </c>
      <c r="G100" s="74" t="s">
        <v>1518</v>
      </c>
      <c r="H100" s="74">
        <v>301</v>
      </c>
      <c r="I100" s="74">
        <v>36</v>
      </c>
    </row>
    <row r="101" spans="1:9">
      <c r="A101" s="74" t="s">
        <v>1515</v>
      </c>
      <c r="B101" s="74" t="s">
        <v>1554</v>
      </c>
      <c r="C101" s="74" t="s">
        <v>111</v>
      </c>
      <c r="D101" s="74" t="s">
        <v>1517</v>
      </c>
      <c r="E101" s="74" t="s">
        <v>109</v>
      </c>
      <c r="F101" s="74" t="s">
        <v>109</v>
      </c>
      <c r="G101" s="74" t="s">
        <v>1518</v>
      </c>
      <c r="H101" s="74">
        <v>279</v>
      </c>
      <c r="I101" s="74">
        <v>46</v>
      </c>
    </row>
    <row r="102" spans="1:9">
      <c r="A102" s="74" t="s">
        <v>1515</v>
      </c>
      <c r="B102" s="74" t="s">
        <v>1555</v>
      </c>
      <c r="C102" s="74" t="s">
        <v>111</v>
      </c>
      <c r="D102" s="74" t="s">
        <v>1517</v>
      </c>
      <c r="E102" s="74" t="s">
        <v>109</v>
      </c>
      <c r="F102" s="74" t="s">
        <v>109</v>
      </c>
      <c r="G102" s="74" t="s">
        <v>1518</v>
      </c>
      <c r="H102" s="74">
        <v>209</v>
      </c>
      <c r="I102" s="74">
        <v>24</v>
      </c>
    </row>
    <row r="103" spans="1:9">
      <c r="A103" s="74" t="s">
        <v>1515</v>
      </c>
      <c r="B103" s="74" t="s">
        <v>1556</v>
      </c>
      <c r="C103" s="74" t="s">
        <v>111</v>
      </c>
      <c r="D103" s="74" t="s">
        <v>1517</v>
      </c>
      <c r="E103" s="74" t="s">
        <v>109</v>
      </c>
      <c r="F103" s="74" t="s">
        <v>109</v>
      </c>
      <c r="G103" s="74" t="s">
        <v>1518</v>
      </c>
      <c r="H103" s="74">
        <v>156</v>
      </c>
      <c r="I103" s="74">
        <v>14</v>
      </c>
    </row>
    <row r="104" spans="1:9">
      <c r="A104" s="74" t="s">
        <v>1515</v>
      </c>
      <c r="B104" s="74" t="s">
        <v>1685</v>
      </c>
      <c r="C104" s="74" t="s">
        <v>111</v>
      </c>
      <c r="D104" s="74" t="s">
        <v>1517</v>
      </c>
      <c r="E104" s="74" t="s">
        <v>108</v>
      </c>
      <c r="F104" s="74" t="s">
        <v>108</v>
      </c>
      <c r="G104" s="74" t="s">
        <v>1518</v>
      </c>
      <c r="H104" s="74">
        <v>176</v>
      </c>
      <c r="I104" s="74">
        <v>20</v>
      </c>
    </row>
    <row r="105" spans="1:9">
      <c r="A105" s="74" t="s">
        <v>1515</v>
      </c>
      <c r="B105" s="74" t="s">
        <v>1686</v>
      </c>
      <c r="C105" s="74" t="s">
        <v>111</v>
      </c>
      <c r="D105" s="74" t="s">
        <v>1517</v>
      </c>
      <c r="E105" s="74" t="s">
        <v>108</v>
      </c>
      <c r="F105" s="74" t="s">
        <v>108</v>
      </c>
      <c r="G105" s="74" t="s">
        <v>1518</v>
      </c>
      <c r="H105" s="74">
        <v>230</v>
      </c>
      <c r="I105" s="74">
        <v>35</v>
      </c>
    </row>
    <row r="106" spans="1:9">
      <c r="A106" s="74" t="s">
        <v>1515</v>
      </c>
      <c r="B106" s="74" t="s">
        <v>1557</v>
      </c>
      <c r="C106" s="74" t="s">
        <v>111</v>
      </c>
      <c r="D106" s="74" t="s">
        <v>1517</v>
      </c>
      <c r="E106" s="74" t="s">
        <v>109</v>
      </c>
      <c r="F106" s="74" t="s">
        <v>109</v>
      </c>
      <c r="G106" s="74" t="s">
        <v>1518</v>
      </c>
      <c r="H106" s="74">
        <v>206</v>
      </c>
      <c r="I106" s="74">
        <v>20</v>
      </c>
    </row>
    <row r="107" spans="1:9">
      <c r="A107" s="74" t="s">
        <v>1515</v>
      </c>
      <c r="B107" s="74" t="s">
        <v>1558</v>
      </c>
      <c r="C107" s="74" t="s">
        <v>111</v>
      </c>
      <c r="D107" s="74" t="s">
        <v>1517</v>
      </c>
      <c r="E107" s="74" t="s">
        <v>109</v>
      </c>
      <c r="F107" s="74" t="s">
        <v>109</v>
      </c>
      <c r="G107" s="74" t="s">
        <v>1518</v>
      </c>
      <c r="H107" s="74">
        <v>53</v>
      </c>
      <c r="I107" s="74">
        <v>5</v>
      </c>
    </row>
    <row r="108" spans="1:9">
      <c r="A108" s="74" t="s">
        <v>1515</v>
      </c>
      <c r="B108" s="74" t="s">
        <v>1559</v>
      </c>
      <c r="C108" s="74" t="s">
        <v>111</v>
      </c>
      <c r="D108" s="74" t="s">
        <v>1517</v>
      </c>
      <c r="E108" s="74" t="s">
        <v>109</v>
      </c>
      <c r="F108" s="74" t="s">
        <v>109</v>
      </c>
      <c r="G108" s="74" t="s">
        <v>1518</v>
      </c>
      <c r="H108" s="74">
        <v>90</v>
      </c>
      <c r="I108" s="74">
        <v>33</v>
      </c>
    </row>
    <row r="109" spans="1:9">
      <c r="A109" s="74" t="s">
        <v>1515</v>
      </c>
      <c r="B109" s="74" t="s">
        <v>1687</v>
      </c>
      <c r="C109" s="74" t="s">
        <v>111</v>
      </c>
      <c r="D109" s="74" t="s">
        <v>1517</v>
      </c>
      <c r="E109" s="74" t="s">
        <v>12</v>
      </c>
      <c r="F109" s="74" t="s">
        <v>12</v>
      </c>
      <c r="G109" s="74" t="s">
        <v>1518</v>
      </c>
      <c r="H109" s="74">
        <v>155</v>
      </c>
      <c r="I109" s="74">
        <v>16</v>
      </c>
    </row>
    <row r="110" spans="1:9">
      <c r="A110" s="74" t="s">
        <v>1515</v>
      </c>
      <c r="B110" s="74" t="s">
        <v>1560</v>
      </c>
      <c r="C110" s="74" t="s">
        <v>111</v>
      </c>
      <c r="D110" s="74" t="s">
        <v>1517</v>
      </c>
      <c r="E110" s="74" t="s">
        <v>109</v>
      </c>
      <c r="F110" s="74" t="s">
        <v>109</v>
      </c>
      <c r="G110" s="74" t="s">
        <v>1544</v>
      </c>
      <c r="H110" s="74">
        <v>16</v>
      </c>
      <c r="I110" s="74">
        <v>0</v>
      </c>
    </row>
    <row r="111" spans="1:9">
      <c r="A111" s="74" t="s">
        <v>1515</v>
      </c>
      <c r="B111" s="74" t="s">
        <v>1688</v>
      </c>
      <c r="C111" s="74" t="s">
        <v>111</v>
      </c>
      <c r="D111" s="74" t="s">
        <v>1517</v>
      </c>
      <c r="E111" s="74" t="s">
        <v>108</v>
      </c>
      <c r="F111" s="74" t="s">
        <v>108</v>
      </c>
      <c r="G111" s="74" t="s">
        <v>1522</v>
      </c>
      <c r="H111" s="74">
        <v>30</v>
      </c>
      <c r="I111" s="74">
        <v>0</v>
      </c>
    </row>
    <row r="112" spans="1:9">
      <c r="A112" s="74" t="s">
        <v>1515</v>
      </c>
      <c r="B112" s="74" t="s">
        <v>1689</v>
      </c>
      <c r="C112" s="74" t="s">
        <v>111</v>
      </c>
      <c r="D112" s="74" t="s">
        <v>1517</v>
      </c>
      <c r="E112" s="74" t="s">
        <v>108</v>
      </c>
      <c r="F112" s="74" t="s">
        <v>108</v>
      </c>
      <c r="G112" s="74" t="s">
        <v>1518</v>
      </c>
      <c r="H112" s="74">
        <v>131</v>
      </c>
      <c r="I112" s="74">
        <v>19</v>
      </c>
    </row>
    <row r="113" spans="1:9">
      <c r="A113" s="74" t="s">
        <v>1515</v>
      </c>
      <c r="B113" s="74" t="s">
        <v>1690</v>
      </c>
      <c r="C113" s="74" t="s">
        <v>111</v>
      </c>
      <c r="D113" s="74" t="s">
        <v>1517</v>
      </c>
      <c r="E113" s="74" t="s">
        <v>12</v>
      </c>
      <c r="F113" s="74" t="s">
        <v>12</v>
      </c>
      <c r="G113" s="74" t="s">
        <v>1518</v>
      </c>
      <c r="H113" s="74">
        <v>153</v>
      </c>
      <c r="I113" s="74">
        <v>20</v>
      </c>
    </row>
    <row r="114" spans="1:9">
      <c r="A114" s="74" t="s">
        <v>1515</v>
      </c>
      <c r="B114" s="74" t="s">
        <v>1691</v>
      </c>
      <c r="C114" s="74" t="s">
        <v>111</v>
      </c>
      <c r="D114" s="74" t="s">
        <v>1517</v>
      </c>
      <c r="E114" s="74" t="s">
        <v>108</v>
      </c>
      <c r="F114" s="74" t="s">
        <v>108</v>
      </c>
      <c r="G114" s="74" t="s">
        <v>1518</v>
      </c>
      <c r="H114" s="74">
        <v>155</v>
      </c>
      <c r="I114" s="74">
        <v>18</v>
      </c>
    </row>
    <row r="115" spans="1:9">
      <c r="A115" s="74" t="s">
        <v>1515</v>
      </c>
      <c r="B115" s="74" t="s">
        <v>1692</v>
      </c>
      <c r="C115" s="74" t="s">
        <v>111</v>
      </c>
      <c r="D115" s="74" t="s">
        <v>1517</v>
      </c>
      <c r="E115" s="74" t="s">
        <v>108</v>
      </c>
      <c r="F115" s="74" t="s">
        <v>108</v>
      </c>
      <c r="G115" s="74" t="s">
        <v>1518</v>
      </c>
      <c r="H115" s="74">
        <v>249</v>
      </c>
      <c r="I115" s="74">
        <v>34</v>
      </c>
    </row>
    <row r="116" spans="1:9">
      <c r="A116" s="74" t="s">
        <v>1515</v>
      </c>
      <c r="B116" s="74" t="s">
        <v>1693</v>
      </c>
      <c r="C116" s="74" t="s">
        <v>111</v>
      </c>
      <c r="D116" s="74" t="s">
        <v>1517</v>
      </c>
      <c r="E116" s="74" t="s">
        <v>108</v>
      </c>
      <c r="F116" s="74" t="s">
        <v>108</v>
      </c>
      <c r="G116" s="74" t="s">
        <v>1518</v>
      </c>
      <c r="H116" s="74">
        <v>515</v>
      </c>
      <c r="I116" s="74">
        <v>0</v>
      </c>
    </row>
    <row r="117" spans="1:9">
      <c r="A117" s="74" t="s">
        <v>1515</v>
      </c>
      <c r="B117" s="74" t="s">
        <v>1694</v>
      </c>
      <c r="C117" s="74" t="s">
        <v>111</v>
      </c>
      <c r="D117" s="74" t="s">
        <v>1517</v>
      </c>
      <c r="E117" s="74" t="s">
        <v>108</v>
      </c>
      <c r="F117" s="74" t="s">
        <v>108</v>
      </c>
      <c r="G117" s="74" t="s">
        <v>1518</v>
      </c>
      <c r="H117" s="74">
        <v>210</v>
      </c>
      <c r="I117" s="74">
        <v>21</v>
      </c>
    </row>
    <row r="118" spans="1:9">
      <c r="A118" s="74" t="s">
        <v>1515</v>
      </c>
      <c r="B118" s="74" t="s">
        <v>1695</v>
      </c>
      <c r="C118" s="74" t="s">
        <v>111</v>
      </c>
      <c r="D118" s="74" t="s">
        <v>1517</v>
      </c>
      <c r="E118" s="74" t="s">
        <v>108</v>
      </c>
      <c r="F118" s="74" t="s">
        <v>108</v>
      </c>
      <c r="G118" s="74" t="s">
        <v>1529</v>
      </c>
      <c r="H118" s="74">
        <v>30</v>
      </c>
      <c r="I118" s="74">
        <v>0</v>
      </c>
    </row>
    <row r="119" spans="1:9">
      <c r="A119" s="74" t="s">
        <v>1515</v>
      </c>
      <c r="B119" s="74" t="s">
        <v>1561</v>
      </c>
      <c r="C119" s="74" t="s">
        <v>111</v>
      </c>
      <c r="D119" s="74" t="s">
        <v>1517</v>
      </c>
      <c r="E119" s="74" t="s">
        <v>109</v>
      </c>
      <c r="F119" s="74" t="s">
        <v>109</v>
      </c>
      <c r="G119" s="74" t="s">
        <v>1518</v>
      </c>
      <c r="H119" s="74">
        <v>12</v>
      </c>
      <c r="I119" s="74">
        <v>0</v>
      </c>
    </row>
    <row r="120" spans="1:9">
      <c r="A120" s="74" t="s">
        <v>1515</v>
      </c>
      <c r="B120" s="74" t="s">
        <v>1696</v>
      </c>
      <c r="C120" s="74" t="s">
        <v>111</v>
      </c>
      <c r="D120" s="74" t="s">
        <v>1517</v>
      </c>
      <c r="E120" s="74" t="s">
        <v>110</v>
      </c>
      <c r="F120" s="74" t="s">
        <v>110</v>
      </c>
      <c r="G120" s="74" t="s">
        <v>1518</v>
      </c>
      <c r="H120" s="74">
        <v>94</v>
      </c>
      <c r="I120" s="74">
        <v>14</v>
      </c>
    </row>
    <row r="121" spans="1:9">
      <c r="A121" s="74" t="s">
        <v>1515</v>
      </c>
      <c r="B121" s="74" t="s">
        <v>1697</v>
      </c>
      <c r="C121" s="74" t="s">
        <v>111</v>
      </c>
      <c r="D121" s="74" t="s">
        <v>1517</v>
      </c>
      <c r="E121" s="74" t="s">
        <v>108</v>
      </c>
      <c r="F121" s="74" t="s">
        <v>108</v>
      </c>
      <c r="G121" s="74" t="s">
        <v>1520</v>
      </c>
      <c r="H121" s="74">
        <v>74</v>
      </c>
      <c r="I121" s="74">
        <v>0</v>
      </c>
    </row>
    <row r="122" spans="1:9">
      <c r="A122" s="74" t="s">
        <v>1515</v>
      </c>
      <c r="B122" s="74" t="s">
        <v>1698</v>
      </c>
      <c r="C122" s="74" t="s">
        <v>111</v>
      </c>
      <c r="D122" s="74" t="s">
        <v>1517</v>
      </c>
      <c r="E122" s="74" t="s">
        <v>108</v>
      </c>
      <c r="F122" s="74" t="s">
        <v>108</v>
      </c>
      <c r="G122" s="74" t="s">
        <v>1520</v>
      </c>
      <c r="H122" s="74">
        <v>65</v>
      </c>
      <c r="I122" s="74">
        <v>0</v>
      </c>
    </row>
    <row r="123" spans="1:9">
      <c r="A123" s="74" t="s">
        <v>1515</v>
      </c>
      <c r="B123" s="74" t="s">
        <v>1699</v>
      </c>
      <c r="C123" s="74" t="s">
        <v>111</v>
      </c>
      <c r="D123" s="74" t="s">
        <v>1517</v>
      </c>
      <c r="E123" s="74" t="s">
        <v>108</v>
      </c>
      <c r="F123" s="74" t="s">
        <v>108</v>
      </c>
      <c r="G123" s="74" t="s">
        <v>1520</v>
      </c>
      <c r="H123" s="74">
        <v>70</v>
      </c>
      <c r="I123" s="74">
        <v>0</v>
      </c>
    </row>
    <row r="124" spans="1:9">
      <c r="A124" s="74" t="s">
        <v>1515</v>
      </c>
      <c r="B124" s="74" t="s">
        <v>1700</v>
      </c>
      <c r="C124" s="74" t="s">
        <v>111</v>
      </c>
      <c r="D124" s="74" t="s">
        <v>1517</v>
      </c>
      <c r="E124" s="74" t="s">
        <v>108</v>
      </c>
      <c r="F124" s="74" t="s">
        <v>108</v>
      </c>
      <c r="G124" s="74" t="s">
        <v>1526</v>
      </c>
      <c r="H124" s="74">
        <v>16</v>
      </c>
      <c r="I124" s="74">
        <v>0</v>
      </c>
    </row>
    <row r="125" spans="1:9">
      <c r="A125" s="74" t="s">
        <v>1515</v>
      </c>
      <c r="B125" s="74" t="s">
        <v>1701</v>
      </c>
      <c r="C125" s="74" t="s">
        <v>111</v>
      </c>
      <c r="D125" s="74" t="s">
        <v>1517</v>
      </c>
      <c r="E125" s="74" t="s">
        <v>108</v>
      </c>
      <c r="F125" s="74" t="s">
        <v>108</v>
      </c>
      <c r="G125" s="74" t="s">
        <v>1529</v>
      </c>
      <c r="H125" s="74">
        <v>20</v>
      </c>
      <c r="I125" s="74">
        <v>0</v>
      </c>
    </row>
    <row r="126" spans="1:9">
      <c r="A126" s="74" t="s">
        <v>1515</v>
      </c>
      <c r="B126" s="74" t="s">
        <v>1702</v>
      </c>
      <c r="C126" s="74" t="s">
        <v>111</v>
      </c>
      <c r="D126" s="74" t="s">
        <v>1517</v>
      </c>
      <c r="E126" s="74" t="s">
        <v>108</v>
      </c>
      <c r="F126" s="74" t="s">
        <v>108</v>
      </c>
      <c r="G126" s="74" t="s">
        <v>1522</v>
      </c>
      <c r="H126" s="74">
        <v>37</v>
      </c>
      <c r="I126" s="74">
        <v>0</v>
      </c>
    </row>
    <row r="127" spans="1:9">
      <c r="A127" s="74" t="s">
        <v>1515</v>
      </c>
      <c r="B127" s="74" t="s">
        <v>1703</v>
      </c>
      <c r="C127" s="74" t="s">
        <v>111</v>
      </c>
      <c r="D127" s="74" t="s">
        <v>1517</v>
      </c>
      <c r="E127" s="74" t="s">
        <v>108</v>
      </c>
      <c r="F127" s="74" t="s">
        <v>108</v>
      </c>
      <c r="G127" s="74" t="s">
        <v>1526</v>
      </c>
      <c r="H127" s="74">
        <v>36</v>
      </c>
      <c r="I127" s="74">
        <v>0</v>
      </c>
    </row>
    <row r="128" spans="1:9">
      <c r="A128" s="74" t="s">
        <v>1515</v>
      </c>
      <c r="B128" s="74" t="s">
        <v>1704</v>
      </c>
      <c r="C128" s="74" t="s">
        <v>111</v>
      </c>
      <c r="D128" s="74" t="s">
        <v>1517</v>
      </c>
      <c r="E128" s="74" t="s">
        <v>108</v>
      </c>
      <c r="F128" s="74" t="s">
        <v>108</v>
      </c>
      <c r="G128" s="74" t="s">
        <v>1518</v>
      </c>
      <c r="H128" s="74">
        <v>21</v>
      </c>
      <c r="I128" s="74">
        <v>0</v>
      </c>
    </row>
    <row r="129" spans="1:9">
      <c r="A129" s="74" t="s">
        <v>1515</v>
      </c>
      <c r="B129" s="74" t="s">
        <v>1705</v>
      </c>
      <c r="C129" s="74" t="s">
        <v>111</v>
      </c>
      <c r="D129" s="74" t="s">
        <v>1517</v>
      </c>
      <c r="E129" s="74" t="s">
        <v>108</v>
      </c>
      <c r="F129" s="74" t="s">
        <v>108</v>
      </c>
      <c r="G129" s="74" t="s">
        <v>1529</v>
      </c>
      <c r="H129" s="74">
        <v>16</v>
      </c>
      <c r="I129" s="74">
        <v>0</v>
      </c>
    </row>
    <row r="130" spans="1:9">
      <c r="A130" s="74" t="s">
        <v>1515</v>
      </c>
      <c r="B130" s="74" t="s">
        <v>1706</v>
      </c>
      <c r="C130" s="74" t="s">
        <v>111</v>
      </c>
      <c r="D130" s="74" t="s">
        <v>1517</v>
      </c>
      <c r="E130" s="74" t="s">
        <v>108</v>
      </c>
      <c r="F130" s="74" t="s">
        <v>108</v>
      </c>
      <c r="G130" s="74" t="s">
        <v>1529</v>
      </c>
      <c r="H130" s="74">
        <v>20</v>
      </c>
      <c r="I130" s="74">
        <v>0</v>
      </c>
    </row>
    <row r="131" spans="1:9">
      <c r="A131" s="74" t="s">
        <v>1515</v>
      </c>
      <c r="B131" s="74" t="s">
        <v>1707</v>
      </c>
      <c r="C131" s="74" t="s">
        <v>111</v>
      </c>
      <c r="D131" s="74" t="s">
        <v>1517</v>
      </c>
      <c r="E131" s="74" t="s">
        <v>108</v>
      </c>
      <c r="F131" s="74" t="s">
        <v>108</v>
      </c>
      <c r="G131" s="74" t="s">
        <v>1529</v>
      </c>
      <c r="H131" s="74">
        <v>18</v>
      </c>
      <c r="I131" s="74">
        <v>0</v>
      </c>
    </row>
    <row r="132" spans="1:9">
      <c r="A132" s="74" t="s">
        <v>1515</v>
      </c>
      <c r="B132" s="74" t="s">
        <v>1708</v>
      </c>
      <c r="C132" s="74" t="s">
        <v>111</v>
      </c>
      <c r="D132" s="74" t="s">
        <v>1517</v>
      </c>
      <c r="E132" s="74" t="s">
        <v>108</v>
      </c>
      <c r="F132" s="74" t="s">
        <v>108</v>
      </c>
      <c r="G132" s="74" t="s">
        <v>1529</v>
      </c>
      <c r="H132" s="74">
        <v>28</v>
      </c>
      <c r="I132" s="74">
        <v>0</v>
      </c>
    </row>
    <row r="133" spans="1:9">
      <c r="A133" s="74" t="s">
        <v>1515</v>
      </c>
      <c r="B133" s="74" t="s">
        <v>1709</v>
      </c>
      <c r="C133" s="74" t="s">
        <v>111</v>
      </c>
      <c r="D133" s="74" t="s">
        <v>1517</v>
      </c>
      <c r="E133" s="74" t="s">
        <v>108</v>
      </c>
      <c r="F133" s="74" t="s">
        <v>108</v>
      </c>
      <c r="G133" s="74" t="s">
        <v>1522</v>
      </c>
      <c r="H133" s="74">
        <v>26</v>
      </c>
      <c r="I133" s="74">
        <v>0</v>
      </c>
    </row>
    <row r="134" spans="1:9">
      <c r="A134" s="74" t="s">
        <v>1515</v>
      </c>
      <c r="B134" s="74" t="s">
        <v>1710</v>
      </c>
      <c r="C134" s="74" t="s">
        <v>111</v>
      </c>
      <c r="D134" s="74" t="s">
        <v>1517</v>
      </c>
      <c r="E134" s="74" t="s">
        <v>108</v>
      </c>
      <c r="F134" s="74" t="s">
        <v>108</v>
      </c>
      <c r="G134" s="74" t="s">
        <v>1518</v>
      </c>
      <c r="H134" s="74">
        <v>64</v>
      </c>
      <c r="I134" s="74">
        <v>7</v>
      </c>
    </row>
    <row r="135" spans="1:9">
      <c r="A135" s="74" t="s">
        <v>1515</v>
      </c>
      <c r="B135" s="74" t="s">
        <v>1562</v>
      </c>
      <c r="C135" s="74" t="s">
        <v>111</v>
      </c>
      <c r="D135" s="74" t="s">
        <v>1517</v>
      </c>
      <c r="E135" s="74" t="s">
        <v>109</v>
      </c>
      <c r="F135" s="74" t="s">
        <v>109</v>
      </c>
      <c r="G135" s="74" t="s">
        <v>1529</v>
      </c>
      <c r="H135" s="74">
        <v>24</v>
      </c>
      <c r="I135" s="74">
        <v>0</v>
      </c>
    </row>
    <row r="136" spans="1:9">
      <c r="A136" s="74" t="s">
        <v>1515</v>
      </c>
      <c r="B136" s="74" t="s">
        <v>1563</v>
      </c>
      <c r="C136" s="74" t="s">
        <v>111</v>
      </c>
      <c r="D136" s="74" t="s">
        <v>1517</v>
      </c>
      <c r="E136" s="74" t="s">
        <v>109</v>
      </c>
      <c r="F136" s="74" t="s">
        <v>109</v>
      </c>
      <c r="G136" s="74" t="s">
        <v>1522</v>
      </c>
      <c r="H136" s="74">
        <v>36</v>
      </c>
      <c r="I136" s="74">
        <v>0</v>
      </c>
    </row>
    <row r="137" spans="1:9">
      <c r="A137" s="74" t="s">
        <v>1515</v>
      </c>
      <c r="B137" s="74" t="s">
        <v>1564</v>
      </c>
      <c r="C137" s="74" t="s">
        <v>111</v>
      </c>
      <c r="D137" s="74" t="s">
        <v>1517</v>
      </c>
      <c r="E137" s="74" t="s">
        <v>109</v>
      </c>
      <c r="F137" s="74" t="s">
        <v>109</v>
      </c>
      <c r="G137" s="74" t="s">
        <v>1520</v>
      </c>
      <c r="H137" s="74">
        <v>158</v>
      </c>
      <c r="I137" s="74">
        <v>0</v>
      </c>
    </row>
    <row r="138" spans="1:9">
      <c r="A138" s="74" t="s">
        <v>1515</v>
      </c>
      <c r="B138" s="74" t="s">
        <v>1565</v>
      </c>
      <c r="C138" s="74" t="s">
        <v>111</v>
      </c>
      <c r="D138" s="74" t="s">
        <v>1517</v>
      </c>
      <c r="E138" s="74" t="s">
        <v>109</v>
      </c>
      <c r="F138" s="74" t="s">
        <v>109</v>
      </c>
      <c r="G138" s="74" t="s">
        <v>1526</v>
      </c>
      <c r="H138" s="74">
        <v>14</v>
      </c>
      <c r="I138" s="74">
        <v>0</v>
      </c>
    </row>
    <row r="139" spans="1:9">
      <c r="A139" s="74" t="s">
        <v>1515</v>
      </c>
      <c r="B139" s="74" t="s">
        <v>1711</v>
      </c>
      <c r="C139" s="74" t="s">
        <v>111</v>
      </c>
      <c r="D139" s="74" t="s">
        <v>1517</v>
      </c>
      <c r="E139" s="74" t="s">
        <v>12</v>
      </c>
      <c r="F139" s="74" t="s">
        <v>12</v>
      </c>
      <c r="G139" s="74" t="s">
        <v>1526</v>
      </c>
      <c r="H139" s="74">
        <v>13</v>
      </c>
      <c r="I139" s="74">
        <v>0</v>
      </c>
    </row>
    <row r="140" spans="1:9">
      <c r="A140" s="74" t="s">
        <v>1515</v>
      </c>
      <c r="B140" s="74" t="s">
        <v>1566</v>
      </c>
      <c r="C140" s="74" t="s">
        <v>111</v>
      </c>
      <c r="D140" s="74" t="s">
        <v>1517</v>
      </c>
      <c r="E140" s="74" t="s">
        <v>109</v>
      </c>
      <c r="F140" s="74" t="s">
        <v>109</v>
      </c>
      <c r="G140" s="74" t="s">
        <v>1522</v>
      </c>
      <c r="H140" s="74">
        <v>36</v>
      </c>
      <c r="I140" s="74">
        <v>0</v>
      </c>
    </row>
    <row r="141" spans="1:9">
      <c r="A141" s="74" t="s">
        <v>1515</v>
      </c>
      <c r="B141" s="74" t="s">
        <v>1567</v>
      </c>
      <c r="C141" s="74" t="s">
        <v>111</v>
      </c>
      <c r="D141" s="74" t="s">
        <v>1517</v>
      </c>
      <c r="E141" s="74" t="s">
        <v>109</v>
      </c>
      <c r="F141" s="74" t="s">
        <v>109</v>
      </c>
      <c r="G141" s="74" t="s">
        <v>1529</v>
      </c>
      <c r="H141" s="74">
        <v>24</v>
      </c>
      <c r="I141" s="74">
        <v>0</v>
      </c>
    </row>
    <row r="142" spans="1:9">
      <c r="A142" s="74" t="s">
        <v>1515</v>
      </c>
      <c r="B142" s="74" t="s">
        <v>1712</v>
      </c>
      <c r="C142" s="74" t="s">
        <v>111</v>
      </c>
      <c r="D142" s="74" t="s">
        <v>1517</v>
      </c>
      <c r="E142" s="74" t="s">
        <v>12</v>
      </c>
      <c r="F142" s="74" t="s">
        <v>12</v>
      </c>
      <c r="G142" s="74" t="s">
        <v>1518</v>
      </c>
      <c r="H142" s="74">
        <v>32</v>
      </c>
      <c r="I142" s="74">
        <v>0</v>
      </c>
    </row>
    <row r="143" spans="1:9">
      <c r="A143" s="74" t="s">
        <v>1515</v>
      </c>
      <c r="B143" s="74" t="s">
        <v>1713</v>
      </c>
      <c r="C143" s="74" t="s">
        <v>111</v>
      </c>
      <c r="D143" s="74" t="s">
        <v>1517</v>
      </c>
      <c r="E143" s="74" t="s">
        <v>17</v>
      </c>
      <c r="F143" s="74" t="s">
        <v>17</v>
      </c>
      <c r="G143" s="74" t="s">
        <v>1518</v>
      </c>
      <c r="H143" s="74">
        <v>37</v>
      </c>
      <c r="I143" s="74">
        <v>0</v>
      </c>
    </row>
    <row r="144" spans="1:9">
      <c r="A144" s="74" t="s">
        <v>1515</v>
      </c>
      <c r="B144" s="74" t="s">
        <v>1714</v>
      </c>
      <c r="C144" s="74" t="s">
        <v>111</v>
      </c>
      <c r="D144" s="74" t="s">
        <v>1517</v>
      </c>
      <c r="E144" s="74" t="s">
        <v>108</v>
      </c>
      <c r="F144" s="74" t="s">
        <v>108</v>
      </c>
      <c r="G144" s="74" t="s">
        <v>1529</v>
      </c>
      <c r="H144" s="74">
        <v>5</v>
      </c>
      <c r="I144" s="74">
        <v>0</v>
      </c>
    </row>
    <row r="145" spans="1:9">
      <c r="A145" s="74" t="s">
        <v>1515</v>
      </c>
      <c r="B145" s="74" t="s">
        <v>1715</v>
      </c>
      <c r="C145" s="74" t="s">
        <v>111</v>
      </c>
      <c r="D145" s="74" t="s">
        <v>1517</v>
      </c>
      <c r="E145" s="74" t="s">
        <v>108</v>
      </c>
      <c r="F145" s="74" t="s">
        <v>108</v>
      </c>
      <c r="G145" s="74" t="s">
        <v>1518</v>
      </c>
      <c r="H145" s="74">
        <v>7</v>
      </c>
      <c r="I145" s="74">
        <v>0</v>
      </c>
    </row>
    <row r="146" spans="1:9">
      <c r="A146" s="74" t="s">
        <v>1515</v>
      </c>
      <c r="B146" s="74" t="s">
        <v>1716</v>
      </c>
      <c r="C146" s="74" t="s">
        <v>116</v>
      </c>
      <c r="D146" s="74" t="s">
        <v>1717</v>
      </c>
      <c r="E146" s="74" t="s">
        <v>22</v>
      </c>
      <c r="F146" s="74" t="s">
        <v>22</v>
      </c>
      <c r="G146" s="74" t="s">
        <v>1518</v>
      </c>
      <c r="H146" s="74">
        <v>148</v>
      </c>
      <c r="I146" s="74">
        <v>15</v>
      </c>
    </row>
    <row r="147" spans="1:9">
      <c r="A147" s="74" t="s">
        <v>1515</v>
      </c>
      <c r="B147" s="74" t="s">
        <v>1718</v>
      </c>
      <c r="C147" s="74" t="s">
        <v>116</v>
      </c>
      <c r="D147" s="74" t="s">
        <v>1717</v>
      </c>
      <c r="E147" s="74" t="s">
        <v>10</v>
      </c>
      <c r="F147" s="74" t="s">
        <v>10</v>
      </c>
      <c r="G147" s="74" t="s">
        <v>1518</v>
      </c>
      <c r="H147" s="74">
        <v>80</v>
      </c>
      <c r="I147" s="74">
        <v>5</v>
      </c>
    </row>
    <row r="148" spans="1:9">
      <c r="A148" s="74" t="s">
        <v>1515</v>
      </c>
      <c r="B148" s="74" t="s">
        <v>1719</v>
      </c>
      <c r="C148" s="74" t="s">
        <v>116</v>
      </c>
      <c r="D148" s="74" t="s">
        <v>1717</v>
      </c>
      <c r="E148" s="74" t="s">
        <v>22</v>
      </c>
      <c r="F148" s="74" t="s">
        <v>22</v>
      </c>
      <c r="G148" s="74" t="s">
        <v>1518</v>
      </c>
      <c r="H148" s="74">
        <v>185</v>
      </c>
      <c r="I148" s="74">
        <v>13</v>
      </c>
    </row>
    <row r="149" spans="1:9">
      <c r="A149" s="74" t="s">
        <v>1515</v>
      </c>
      <c r="B149" s="74" t="s">
        <v>1720</v>
      </c>
      <c r="C149" s="74" t="s">
        <v>116</v>
      </c>
      <c r="D149" s="74" t="s">
        <v>1717</v>
      </c>
      <c r="E149" s="74" t="s">
        <v>22</v>
      </c>
      <c r="F149" s="74" t="s">
        <v>22</v>
      </c>
      <c r="G149" s="74" t="s">
        <v>1518</v>
      </c>
      <c r="H149" s="74">
        <v>62</v>
      </c>
      <c r="I149" s="74">
        <v>2</v>
      </c>
    </row>
    <row r="150" spans="1:9">
      <c r="A150" s="74" t="s">
        <v>1515</v>
      </c>
      <c r="B150" s="74" t="s">
        <v>1721</v>
      </c>
      <c r="C150" s="74" t="s">
        <v>116</v>
      </c>
      <c r="D150" s="74" t="s">
        <v>1717</v>
      </c>
      <c r="E150" s="74" t="s">
        <v>22</v>
      </c>
      <c r="F150" s="74" t="s">
        <v>22</v>
      </c>
      <c r="G150" s="74" t="s">
        <v>1520</v>
      </c>
      <c r="H150" s="74">
        <v>50</v>
      </c>
      <c r="I150" s="74">
        <v>0</v>
      </c>
    </row>
    <row r="151" spans="1:9">
      <c r="A151" s="74" t="s">
        <v>1515</v>
      </c>
      <c r="B151" s="74" t="s">
        <v>1722</v>
      </c>
      <c r="C151" s="74" t="s">
        <v>116</v>
      </c>
      <c r="D151" s="74" t="s">
        <v>1717</v>
      </c>
      <c r="E151" s="74" t="s">
        <v>22</v>
      </c>
      <c r="F151" s="74" t="s">
        <v>22</v>
      </c>
      <c r="G151" s="74" t="s">
        <v>1522</v>
      </c>
      <c r="H151" s="74">
        <v>26</v>
      </c>
      <c r="I151" s="74">
        <v>0</v>
      </c>
    </row>
    <row r="152" spans="1:9">
      <c r="A152" s="74" t="s">
        <v>1515</v>
      </c>
      <c r="B152" s="74" t="s">
        <v>1723</v>
      </c>
      <c r="C152" s="74" t="s">
        <v>116</v>
      </c>
      <c r="D152" s="74" t="s">
        <v>1717</v>
      </c>
      <c r="E152" s="74" t="s">
        <v>1724</v>
      </c>
      <c r="F152" s="74" t="s">
        <v>1724</v>
      </c>
      <c r="G152" s="74" t="s">
        <v>1520</v>
      </c>
      <c r="H152" s="74">
        <v>60</v>
      </c>
      <c r="I152" s="74">
        <v>0</v>
      </c>
    </row>
    <row r="153" spans="1:9">
      <c r="A153" s="74" t="s">
        <v>1515</v>
      </c>
      <c r="B153" s="74" t="s">
        <v>1725</v>
      </c>
      <c r="C153" s="74" t="s">
        <v>116</v>
      </c>
      <c r="D153" s="74" t="s">
        <v>1717</v>
      </c>
      <c r="E153" s="74" t="s">
        <v>22</v>
      </c>
      <c r="F153" s="74" t="s">
        <v>22</v>
      </c>
      <c r="G153" s="74" t="s">
        <v>1518</v>
      </c>
      <c r="H153" s="74">
        <v>147</v>
      </c>
      <c r="I153" s="74">
        <v>24</v>
      </c>
    </row>
    <row r="154" spans="1:9">
      <c r="A154" s="74" t="s">
        <v>1515</v>
      </c>
      <c r="B154" s="74" t="s">
        <v>1726</v>
      </c>
      <c r="C154" s="74" t="s">
        <v>116</v>
      </c>
      <c r="D154" s="74" t="s">
        <v>1717</v>
      </c>
      <c r="E154" s="74" t="s">
        <v>10</v>
      </c>
      <c r="F154" s="74" t="s">
        <v>10</v>
      </c>
      <c r="G154" s="74" t="s">
        <v>1518</v>
      </c>
      <c r="H154" s="74">
        <v>285</v>
      </c>
      <c r="I154" s="74">
        <v>22</v>
      </c>
    </row>
    <row r="155" spans="1:9">
      <c r="A155" s="74" t="s">
        <v>1515</v>
      </c>
      <c r="B155" s="74" t="s">
        <v>1727</v>
      </c>
      <c r="C155" s="74" t="s">
        <v>116</v>
      </c>
      <c r="D155" s="74" t="s">
        <v>1717</v>
      </c>
      <c r="E155" s="74" t="s">
        <v>26</v>
      </c>
      <c r="F155" s="74" t="s">
        <v>26</v>
      </c>
      <c r="G155" s="74" t="s">
        <v>1518</v>
      </c>
      <c r="H155" s="74">
        <v>125</v>
      </c>
      <c r="I155" s="74">
        <v>19</v>
      </c>
    </row>
    <row r="156" spans="1:9">
      <c r="A156" s="74" t="s">
        <v>1515</v>
      </c>
      <c r="B156" s="74" t="s">
        <v>1728</v>
      </c>
      <c r="C156" s="74" t="s">
        <v>116</v>
      </c>
      <c r="D156" s="74" t="s">
        <v>1717</v>
      </c>
      <c r="E156" s="74" t="s">
        <v>22</v>
      </c>
      <c r="F156" s="74" t="s">
        <v>22</v>
      </c>
      <c r="G156" s="74" t="s">
        <v>1518</v>
      </c>
      <c r="H156" s="74">
        <v>83</v>
      </c>
      <c r="I156" s="74">
        <v>5</v>
      </c>
    </row>
    <row r="157" spans="1:9">
      <c r="A157" s="74" t="s">
        <v>1515</v>
      </c>
      <c r="B157" s="74" t="s">
        <v>1729</v>
      </c>
      <c r="C157" s="74" t="s">
        <v>116</v>
      </c>
      <c r="D157" s="74" t="s">
        <v>1717</v>
      </c>
      <c r="E157" s="74" t="s">
        <v>1724</v>
      </c>
      <c r="F157" s="74" t="s">
        <v>1724</v>
      </c>
      <c r="G157" s="74" t="s">
        <v>1518</v>
      </c>
      <c r="H157" s="74">
        <v>110</v>
      </c>
      <c r="I157" s="74">
        <v>20</v>
      </c>
    </row>
    <row r="158" spans="1:9">
      <c r="A158" s="74" t="s">
        <v>1515</v>
      </c>
      <c r="B158" s="74" t="s">
        <v>1730</v>
      </c>
      <c r="C158" s="74" t="s">
        <v>116</v>
      </c>
      <c r="D158" s="74" t="s">
        <v>1717</v>
      </c>
      <c r="E158" s="74" t="s">
        <v>26</v>
      </c>
      <c r="F158" s="74" t="s">
        <v>26</v>
      </c>
      <c r="G158" s="74" t="s">
        <v>1520</v>
      </c>
      <c r="H158" s="74">
        <v>50</v>
      </c>
      <c r="I158" s="74">
        <v>0</v>
      </c>
    </row>
    <row r="159" spans="1:9">
      <c r="A159" s="74" t="s">
        <v>1515</v>
      </c>
      <c r="B159" s="74" t="s">
        <v>1731</v>
      </c>
      <c r="C159" s="74" t="s">
        <v>116</v>
      </c>
      <c r="D159" s="74" t="s">
        <v>1717</v>
      </c>
      <c r="E159" s="74" t="s">
        <v>43</v>
      </c>
      <c r="F159" s="74" t="s">
        <v>43</v>
      </c>
      <c r="G159" s="74" t="s">
        <v>1518</v>
      </c>
      <c r="H159" s="74">
        <v>44</v>
      </c>
      <c r="I159" s="74">
        <v>2</v>
      </c>
    </row>
    <row r="160" spans="1:9">
      <c r="A160" s="74" t="s">
        <v>1515</v>
      </c>
      <c r="B160" s="74" t="s">
        <v>1732</v>
      </c>
      <c r="C160" s="74" t="s">
        <v>116</v>
      </c>
      <c r="D160" s="74" t="s">
        <v>1717</v>
      </c>
      <c r="E160" s="74" t="s">
        <v>10</v>
      </c>
      <c r="F160" s="74" t="s">
        <v>10</v>
      </c>
      <c r="G160" s="74" t="s">
        <v>1518</v>
      </c>
      <c r="H160" s="74">
        <v>211</v>
      </c>
      <c r="I160" s="74">
        <v>27</v>
      </c>
    </row>
    <row r="161" spans="1:9">
      <c r="A161" s="74" t="s">
        <v>1515</v>
      </c>
      <c r="B161" s="74" t="s">
        <v>1733</v>
      </c>
      <c r="C161" s="74" t="s">
        <v>116</v>
      </c>
      <c r="D161" s="74" t="s">
        <v>1717</v>
      </c>
      <c r="E161" s="74" t="s">
        <v>1724</v>
      </c>
      <c r="F161" s="74" t="s">
        <v>1724</v>
      </c>
      <c r="G161" s="74" t="s">
        <v>1734</v>
      </c>
      <c r="H161" s="74">
        <v>56</v>
      </c>
      <c r="I161" s="74">
        <v>0</v>
      </c>
    </row>
    <row r="162" spans="1:9">
      <c r="A162" s="74" t="s">
        <v>1515</v>
      </c>
      <c r="B162" s="74" t="s">
        <v>1735</v>
      </c>
      <c r="C162" s="74" t="s">
        <v>117</v>
      </c>
      <c r="D162" s="74" t="s">
        <v>1736</v>
      </c>
      <c r="E162" s="74" t="s">
        <v>36</v>
      </c>
      <c r="F162" s="74" t="s">
        <v>36</v>
      </c>
      <c r="G162" s="74" t="s">
        <v>1518</v>
      </c>
      <c r="H162" s="74">
        <v>197</v>
      </c>
      <c r="I162" s="74">
        <v>36</v>
      </c>
    </row>
    <row r="163" spans="1:9">
      <c r="A163" s="74" t="s">
        <v>1515</v>
      </c>
      <c r="B163" s="74" t="s">
        <v>1737</v>
      </c>
      <c r="C163" s="74" t="s">
        <v>117</v>
      </c>
      <c r="D163" s="74" t="s">
        <v>1736</v>
      </c>
      <c r="E163" s="74" t="s">
        <v>47</v>
      </c>
      <c r="F163" s="74" t="s">
        <v>47</v>
      </c>
      <c r="G163" s="74" t="s">
        <v>1518</v>
      </c>
      <c r="H163" s="74">
        <v>55</v>
      </c>
      <c r="I163" s="74">
        <v>0</v>
      </c>
    </row>
    <row r="164" spans="1:9">
      <c r="A164" s="74" t="s">
        <v>1515</v>
      </c>
      <c r="B164" s="74" t="s">
        <v>1738</v>
      </c>
      <c r="C164" s="74" t="s">
        <v>117</v>
      </c>
      <c r="D164" s="74" t="s">
        <v>1736</v>
      </c>
      <c r="E164" s="74" t="s">
        <v>36</v>
      </c>
      <c r="F164" s="74" t="s">
        <v>36</v>
      </c>
      <c r="G164" s="74" t="s">
        <v>1520</v>
      </c>
      <c r="H164" s="74">
        <v>19</v>
      </c>
      <c r="I164" s="74">
        <v>0</v>
      </c>
    </row>
    <row r="165" spans="1:9">
      <c r="A165" s="74" t="s">
        <v>1515</v>
      </c>
      <c r="B165" s="74" t="s">
        <v>1739</v>
      </c>
      <c r="C165" s="74" t="s">
        <v>117</v>
      </c>
      <c r="D165" s="74" t="s">
        <v>1736</v>
      </c>
      <c r="E165" s="74" t="s">
        <v>36</v>
      </c>
      <c r="F165" s="74" t="s">
        <v>36</v>
      </c>
      <c r="G165" s="74" t="s">
        <v>1544</v>
      </c>
      <c r="H165" s="74">
        <v>15</v>
      </c>
      <c r="I165" s="74">
        <v>0</v>
      </c>
    </row>
    <row r="166" spans="1:9">
      <c r="A166" s="74" t="s">
        <v>1515</v>
      </c>
      <c r="B166" s="74" t="s">
        <v>1740</v>
      </c>
      <c r="C166" s="74" t="s">
        <v>117</v>
      </c>
      <c r="D166" s="74" t="s">
        <v>1736</v>
      </c>
      <c r="E166" s="74" t="s">
        <v>36</v>
      </c>
      <c r="F166" s="74" t="s">
        <v>36</v>
      </c>
      <c r="G166" s="74" t="s">
        <v>1518</v>
      </c>
      <c r="H166" s="74">
        <v>22</v>
      </c>
      <c r="I166" s="74">
        <v>0</v>
      </c>
    </row>
    <row r="167" spans="1:9">
      <c r="A167" s="74" t="s">
        <v>1515</v>
      </c>
      <c r="B167" s="74" t="s">
        <v>1741</v>
      </c>
      <c r="C167" s="74" t="s">
        <v>117</v>
      </c>
      <c r="D167" s="74" t="s">
        <v>1736</v>
      </c>
      <c r="E167" s="74" t="s">
        <v>36</v>
      </c>
      <c r="F167" s="74" t="s">
        <v>36</v>
      </c>
      <c r="G167" s="74" t="s">
        <v>1518</v>
      </c>
      <c r="H167" s="74">
        <v>98</v>
      </c>
      <c r="I167" s="74">
        <v>15</v>
      </c>
    </row>
    <row r="168" spans="1:9">
      <c r="A168" s="74" t="s">
        <v>1515</v>
      </c>
      <c r="B168" s="74" t="s">
        <v>1742</v>
      </c>
      <c r="C168" s="74" t="s">
        <v>117</v>
      </c>
      <c r="D168" s="74" t="s">
        <v>1736</v>
      </c>
      <c r="E168" s="74" t="s">
        <v>36</v>
      </c>
      <c r="F168" s="74" t="s">
        <v>36</v>
      </c>
      <c r="G168" s="74" t="s">
        <v>1518</v>
      </c>
      <c r="H168" s="74">
        <v>196</v>
      </c>
      <c r="I168" s="74">
        <v>10</v>
      </c>
    </row>
    <row r="169" spans="1:9">
      <c r="A169" s="74" t="s">
        <v>1515</v>
      </c>
      <c r="B169" s="74" t="s">
        <v>1743</v>
      </c>
      <c r="C169" s="74" t="s">
        <v>117</v>
      </c>
      <c r="D169" s="74" t="s">
        <v>1736</v>
      </c>
      <c r="E169" s="74" t="s">
        <v>1744</v>
      </c>
      <c r="F169" s="74" t="s">
        <v>1744</v>
      </c>
      <c r="G169" s="74" t="s">
        <v>1518</v>
      </c>
      <c r="H169" s="74">
        <v>76</v>
      </c>
      <c r="I169" s="74">
        <v>6</v>
      </c>
    </row>
    <row r="170" spans="1:9">
      <c r="A170" s="74" t="s">
        <v>1515</v>
      </c>
      <c r="B170" s="74" t="s">
        <v>1745</v>
      </c>
      <c r="C170" s="74" t="s">
        <v>117</v>
      </c>
      <c r="D170" s="74" t="s">
        <v>1736</v>
      </c>
      <c r="E170" s="74" t="s">
        <v>36</v>
      </c>
      <c r="F170" s="74" t="s">
        <v>36</v>
      </c>
      <c r="G170" s="74" t="s">
        <v>1522</v>
      </c>
      <c r="H170" s="74">
        <v>16</v>
      </c>
      <c r="I170" s="74">
        <v>0</v>
      </c>
    </row>
    <row r="171" spans="1:9">
      <c r="A171" s="74" t="s">
        <v>1515</v>
      </c>
      <c r="B171" s="74" t="s">
        <v>1746</v>
      </c>
      <c r="C171" s="74" t="s">
        <v>117</v>
      </c>
      <c r="D171" s="74" t="s">
        <v>1736</v>
      </c>
      <c r="E171" s="74" t="s">
        <v>36</v>
      </c>
      <c r="F171" s="74" t="s">
        <v>36</v>
      </c>
      <c r="G171" s="74" t="s">
        <v>1529</v>
      </c>
      <c r="H171" s="74">
        <v>5</v>
      </c>
      <c r="I171" s="74">
        <v>0</v>
      </c>
    </row>
    <row r="172" spans="1:9">
      <c r="A172" s="74" t="s">
        <v>1515</v>
      </c>
      <c r="B172" s="74" t="s">
        <v>1747</v>
      </c>
      <c r="C172" s="74" t="s">
        <v>119</v>
      </c>
      <c r="D172" s="74" t="s">
        <v>1748</v>
      </c>
      <c r="E172" s="74" t="s">
        <v>20</v>
      </c>
      <c r="F172" s="74" t="s">
        <v>20</v>
      </c>
      <c r="G172" s="74" t="s">
        <v>1518</v>
      </c>
      <c r="H172" s="74">
        <v>143</v>
      </c>
      <c r="I172" s="74">
        <v>11</v>
      </c>
    </row>
    <row r="173" spans="1:9">
      <c r="A173" s="74" t="s">
        <v>1515</v>
      </c>
      <c r="B173" s="74" t="s">
        <v>1749</v>
      </c>
      <c r="C173" s="74" t="s">
        <v>119</v>
      </c>
      <c r="D173" s="74" t="s">
        <v>1748</v>
      </c>
      <c r="E173" s="74" t="s">
        <v>18</v>
      </c>
      <c r="F173" s="74" t="s">
        <v>18</v>
      </c>
      <c r="G173" s="74" t="s">
        <v>1520</v>
      </c>
      <c r="H173" s="74">
        <v>40</v>
      </c>
      <c r="I173" s="74">
        <v>0</v>
      </c>
    </row>
    <row r="174" spans="1:9">
      <c r="A174" s="74" t="s">
        <v>1515</v>
      </c>
      <c r="B174" s="74" t="s">
        <v>1750</v>
      </c>
      <c r="C174" s="74" t="s">
        <v>119</v>
      </c>
      <c r="D174" s="74" t="s">
        <v>1748</v>
      </c>
      <c r="E174" s="74" t="s">
        <v>20</v>
      </c>
      <c r="F174" s="74" t="s">
        <v>20</v>
      </c>
      <c r="G174" s="74" t="s">
        <v>1518</v>
      </c>
      <c r="H174" s="74">
        <v>182</v>
      </c>
      <c r="I174" s="74">
        <v>9</v>
      </c>
    </row>
    <row r="175" spans="1:9">
      <c r="A175" s="74" t="s">
        <v>1515</v>
      </c>
      <c r="B175" s="74" t="s">
        <v>1751</v>
      </c>
      <c r="C175" s="74" t="s">
        <v>119</v>
      </c>
      <c r="D175" s="74" t="s">
        <v>1748</v>
      </c>
      <c r="E175" s="74" t="s">
        <v>118</v>
      </c>
      <c r="F175" s="74" t="s">
        <v>118</v>
      </c>
      <c r="G175" s="74" t="s">
        <v>1518</v>
      </c>
      <c r="H175" s="74">
        <v>400</v>
      </c>
      <c r="I175" s="74">
        <v>30</v>
      </c>
    </row>
    <row r="176" spans="1:9">
      <c r="A176" s="74" t="s">
        <v>1515</v>
      </c>
      <c r="B176" s="74" t="s">
        <v>1752</v>
      </c>
      <c r="C176" s="74" t="s">
        <v>119</v>
      </c>
      <c r="D176" s="74" t="s">
        <v>1748</v>
      </c>
      <c r="E176" s="74" t="s">
        <v>18</v>
      </c>
      <c r="F176" s="74" t="s">
        <v>18</v>
      </c>
      <c r="G176" s="74" t="s">
        <v>1518</v>
      </c>
      <c r="H176" s="74">
        <v>27</v>
      </c>
      <c r="I176" s="74">
        <v>3</v>
      </c>
    </row>
    <row r="177" spans="1:9">
      <c r="A177" s="74" t="s">
        <v>1515</v>
      </c>
      <c r="B177" s="74" t="s">
        <v>1753</v>
      </c>
      <c r="C177" s="74" t="s">
        <v>119</v>
      </c>
      <c r="D177" s="74" t="s">
        <v>1748</v>
      </c>
      <c r="E177" s="74" t="s">
        <v>118</v>
      </c>
      <c r="F177" s="74" t="s">
        <v>118</v>
      </c>
      <c r="G177" s="74" t="s">
        <v>1518</v>
      </c>
      <c r="H177" s="74">
        <v>26</v>
      </c>
      <c r="I177" s="74">
        <v>0</v>
      </c>
    </row>
    <row r="178" spans="1:9">
      <c r="A178" s="74" t="s">
        <v>1515</v>
      </c>
      <c r="B178" s="74" t="s">
        <v>1754</v>
      </c>
      <c r="C178" s="74" t="s">
        <v>119</v>
      </c>
      <c r="D178" s="74" t="s">
        <v>1748</v>
      </c>
      <c r="E178" s="74" t="s">
        <v>118</v>
      </c>
      <c r="F178" s="74" t="s">
        <v>118</v>
      </c>
      <c r="G178" s="74" t="s">
        <v>1529</v>
      </c>
      <c r="H178" s="74">
        <v>24</v>
      </c>
      <c r="I178" s="74">
        <v>0</v>
      </c>
    </row>
    <row r="179" spans="1:9">
      <c r="A179" s="74" t="s">
        <v>1515</v>
      </c>
      <c r="B179" s="74" t="s">
        <v>1755</v>
      </c>
      <c r="C179" s="74" t="s">
        <v>119</v>
      </c>
      <c r="D179" s="74" t="s">
        <v>1748</v>
      </c>
      <c r="E179" s="74" t="s">
        <v>118</v>
      </c>
      <c r="F179" s="74" t="s">
        <v>118</v>
      </c>
      <c r="G179" s="74" t="s">
        <v>1522</v>
      </c>
      <c r="H179" s="74">
        <v>58</v>
      </c>
      <c r="I179" s="74">
        <v>0</v>
      </c>
    </row>
    <row r="180" spans="1:9">
      <c r="A180" s="74" t="s">
        <v>1515</v>
      </c>
      <c r="B180" s="74" t="s">
        <v>1756</v>
      </c>
      <c r="C180" s="74" t="s">
        <v>119</v>
      </c>
      <c r="D180" s="74" t="s">
        <v>1748</v>
      </c>
      <c r="E180" s="74" t="s">
        <v>20</v>
      </c>
      <c r="F180" s="74" t="s">
        <v>20</v>
      </c>
      <c r="G180" s="74" t="s">
        <v>1529</v>
      </c>
      <c r="H180" s="74">
        <v>20</v>
      </c>
      <c r="I180" s="74">
        <v>0</v>
      </c>
    </row>
    <row r="181" spans="1:9">
      <c r="A181" s="74" t="s">
        <v>1515</v>
      </c>
      <c r="B181" s="74" t="s">
        <v>1757</v>
      </c>
      <c r="C181" s="74" t="s">
        <v>119</v>
      </c>
      <c r="D181" s="74" t="s">
        <v>1748</v>
      </c>
      <c r="E181" s="74" t="s">
        <v>20</v>
      </c>
      <c r="F181" s="74" t="s">
        <v>20</v>
      </c>
      <c r="G181" s="74" t="s">
        <v>1522</v>
      </c>
      <c r="H181" s="74">
        <v>22</v>
      </c>
      <c r="I181" s="74">
        <v>0</v>
      </c>
    </row>
    <row r="182" spans="1:9">
      <c r="A182" s="74" t="s">
        <v>1515</v>
      </c>
      <c r="B182" s="74" t="s">
        <v>1758</v>
      </c>
      <c r="C182" s="74" t="s">
        <v>119</v>
      </c>
      <c r="D182" s="74" t="s">
        <v>1748</v>
      </c>
      <c r="E182" s="74" t="s">
        <v>118</v>
      </c>
      <c r="F182" s="74" t="s">
        <v>118</v>
      </c>
      <c r="G182" s="74" t="s">
        <v>1520</v>
      </c>
      <c r="H182" s="74">
        <v>28</v>
      </c>
      <c r="I182" s="74">
        <v>0</v>
      </c>
    </row>
    <row r="183" spans="1:9">
      <c r="A183" s="74" t="s">
        <v>1515</v>
      </c>
      <c r="B183" s="74" t="s">
        <v>1759</v>
      </c>
      <c r="C183" s="74" t="s">
        <v>119</v>
      </c>
      <c r="D183" s="74" t="s">
        <v>1748</v>
      </c>
      <c r="E183" s="74" t="s">
        <v>18</v>
      </c>
      <c r="F183" s="74" t="s">
        <v>18</v>
      </c>
      <c r="G183" s="74" t="s">
        <v>1522</v>
      </c>
      <c r="H183" s="74">
        <v>24</v>
      </c>
      <c r="I183" s="74">
        <v>0</v>
      </c>
    </row>
    <row r="184" spans="1:9">
      <c r="A184" s="74" t="s">
        <v>1515</v>
      </c>
      <c r="B184" s="74" t="s">
        <v>1760</v>
      </c>
      <c r="C184" s="74" t="s">
        <v>119</v>
      </c>
      <c r="D184" s="74" t="s">
        <v>1748</v>
      </c>
      <c r="E184" s="74" t="s">
        <v>118</v>
      </c>
      <c r="F184" s="74" t="s">
        <v>118</v>
      </c>
      <c r="G184" s="74" t="s">
        <v>1522</v>
      </c>
      <c r="H184" s="74">
        <v>25</v>
      </c>
      <c r="I184" s="74">
        <v>0</v>
      </c>
    </row>
    <row r="185" spans="1:9">
      <c r="A185" s="74" t="s">
        <v>1515</v>
      </c>
      <c r="B185" s="74" t="s">
        <v>1761</v>
      </c>
      <c r="C185" s="74" t="s">
        <v>119</v>
      </c>
      <c r="D185" s="74" t="s">
        <v>1748</v>
      </c>
      <c r="E185" s="74" t="s">
        <v>38</v>
      </c>
      <c r="F185" s="74" t="s">
        <v>38</v>
      </c>
      <c r="G185" s="74" t="s">
        <v>1522</v>
      </c>
      <c r="H185" s="74">
        <v>20</v>
      </c>
      <c r="I185" s="74">
        <v>0</v>
      </c>
    </row>
    <row r="186" spans="1:9">
      <c r="A186" s="74" t="s">
        <v>1515</v>
      </c>
      <c r="B186" s="74" t="s">
        <v>1762</v>
      </c>
      <c r="C186" s="74" t="s">
        <v>119</v>
      </c>
      <c r="D186" s="74" t="s">
        <v>1748</v>
      </c>
      <c r="E186" s="74" t="s">
        <v>20</v>
      </c>
      <c r="F186" s="74" t="s">
        <v>20</v>
      </c>
      <c r="G186" s="74" t="s">
        <v>1522</v>
      </c>
      <c r="H186" s="74">
        <v>26</v>
      </c>
      <c r="I186" s="74">
        <v>0</v>
      </c>
    </row>
    <row r="187" spans="1:9">
      <c r="A187" s="74" t="s">
        <v>1515</v>
      </c>
      <c r="B187" s="74" t="s">
        <v>1763</v>
      </c>
      <c r="C187" s="74" t="s">
        <v>119</v>
      </c>
      <c r="D187" s="74" t="s">
        <v>1748</v>
      </c>
      <c r="E187" s="74" t="s">
        <v>18</v>
      </c>
      <c r="F187" s="74" t="s">
        <v>18</v>
      </c>
      <c r="G187" s="74" t="s">
        <v>1522</v>
      </c>
      <c r="H187" s="74">
        <v>24</v>
      </c>
      <c r="I187" s="74">
        <v>0</v>
      </c>
    </row>
    <row r="188" spans="1:9">
      <c r="A188" s="74" t="s">
        <v>1515</v>
      </c>
      <c r="B188" s="74" t="s">
        <v>1764</v>
      </c>
      <c r="C188" s="74" t="s">
        <v>119</v>
      </c>
      <c r="D188" s="74" t="s">
        <v>1748</v>
      </c>
      <c r="E188" s="74" t="s">
        <v>20</v>
      </c>
      <c r="F188" s="74" t="s">
        <v>20</v>
      </c>
      <c r="G188" s="74" t="s">
        <v>1522</v>
      </c>
      <c r="H188" s="74">
        <v>30</v>
      </c>
      <c r="I188" s="74">
        <v>0</v>
      </c>
    </row>
    <row r="189" spans="1:9">
      <c r="A189" s="74" t="s">
        <v>1515</v>
      </c>
      <c r="B189" s="74" t="s">
        <v>1765</v>
      </c>
      <c r="C189" s="74" t="s">
        <v>119</v>
      </c>
      <c r="D189" s="74" t="s">
        <v>1748</v>
      </c>
      <c r="E189" s="74" t="s">
        <v>118</v>
      </c>
      <c r="F189" s="74" t="s">
        <v>118</v>
      </c>
      <c r="G189" s="74" t="s">
        <v>1518</v>
      </c>
      <c r="H189" s="74">
        <v>134</v>
      </c>
      <c r="I189" s="74">
        <v>13</v>
      </c>
    </row>
    <row r="190" spans="1:9">
      <c r="A190" s="74" t="s">
        <v>1515</v>
      </c>
      <c r="B190" s="74" t="s">
        <v>1766</v>
      </c>
      <c r="C190" s="74" t="s">
        <v>119</v>
      </c>
      <c r="D190" s="74" t="s">
        <v>1748</v>
      </c>
      <c r="E190" s="74" t="s">
        <v>118</v>
      </c>
      <c r="F190" s="74" t="s">
        <v>118</v>
      </c>
      <c r="G190" s="74" t="s">
        <v>1518</v>
      </c>
      <c r="H190" s="74">
        <v>100</v>
      </c>
      <c r="I190" s="74">
        <v>10</v>
      </c>
    </row>
    <row r="191" spans="1:9">
      <c r="A191" s="74" t="s">
        <v>1515</v>
      </c>
      <c r="B191" s="74" t="s">
        <v>1767</v>
      </c>
      <c r="C191" s="74" t="s">
        <v>119</v>
      </c>
      <c r="D191" s="74" t="s">
        <v>1748</v>
      </c>
      <c r="E191" s="74" t="s">
        <v>118</v>
      </c>
      <c r="F191" s="74" t="s">
        <v>118</v>
      </c>
      <c r="G191" s="74" t="s">
        <v>1520</v>
      </c>
      <c r="H191" s="74">
        <v>15</v>
      </c>
      <c r="I191" s="74">
        <v>0</v>
      </c>
    </row>
    <row r="192" spans="1:9">
      <c r="A192" s="74" t="s">
        <v>1515</v>
      </c>
      <c r="B192" s="74" t="s">
        <v>1768</v>
      </c>
      <c r="C192" s="74" t="s">
        <v>119</v>
      </c>
      <c r="D192" s="74" t="s">
        <v>1748</v>
      </c>
      <c r="E192" s="74" t="s">
        <v>118</v>
      </c>
      <c r="F192" s="74" t="s">
        <v>118</v>
      </c>
      <c r="G192" s="74" t="s">
        <v>1522</v>
      </c>
      <c r="H192" s="74">
        <v>20</v>
      </c>
      <c r="I192" s="74">
        <v>0</v>
      </c>
    </row>
    <row r="193" spans="1:9">
      <c r="A193" s="74" t="s">
        <v>1515</v>
      </c>
      <c r="B193" s="74" t="s">
        <v>1769</v>
      </c>
      <c r="C193" s="74" t="s">
        <v>119</v>
      </c>
      <c r="D193" s="74" t="s">
        <v>1748</v>
      </c>
      <c r="E193" s="74" t="s">
        <v>118</v>
      </c>
      <c r="F193" s="74" t="s">
        <v>118</v>
      </c>
      <c r="G193" s="74" t="s">
        <v>1522</v>
      </c>
      <c r="H193" s="74">
        <v>45</v>
      </c>
      <c r="I193" s="74">
        <v>0</v>
      </c>
    </row>
    <row r="194" spans="1:9">
      <c r="A194" s="74" t="s">
        <v>1515</v>
      </c>
      <c r="B194" s="74" t="s">
        <v>1770</v>
      </c>
      <c r="C194" s="74" t="s">
        <v>119</v>
      </c>
      <c r="D194" s="74" t="s">
        <v>1748</v>
      </c>
      <c r="E194" s="74" t="s">
        <v>118</v>
      </c>
      <c r="F194" s="74" t="s">
        <v>118</v>
      </c>
      <c r="G194" s="74" t="s">
        <v>1529</v>
      </c>
      <c r="H194" s="74">
        <v>4</v>
      </c>
      <c r="I194" s="74">
        <v>0</v>
      </c>
    </row>
    <row r="195" spans="1:9">
      <c r="A195" s="74" t="s">
        <v>1515</v>
      </c>
      <c r="B195" s="74" t="s">
        <v>1771</v>
      </c>
      <c r="C195" s="74" t="s">
        <v>119</v>
      </c>
      <c r="D195" s="74" t="s">
        <v>1748</v>
      </c>
      <c r="E195" s="74" t="s">
        <v>118</v>
      </c>
      <c r="F195" s="74" t="s">
        <v>118</v>
      </c>
      <c r="G195" s="74" t="s">
        <v>1522</v>
      </c>
      <c r="H195" s="74">
        <v>54</v>
      </c>
      <c r="I195" s="74">
        <v>0</v>
      </c>
    </row>
    <row r="196" spans="1:9">
      <c r="A196" s="74" t="s">
        <v>1515</v>
      </c>
      <c r="B196" s="74" t="s">
        <v>1772</v>
      </c>
      <c r="C196" s="74" t="s">
        <v>119</v>
      </c>
      <c r="D196" s="74" t="s">
        <v>1748</v>
      </c>
      <c r="E196" s="74" t="s">
        <v>118</v>
      </c>
      <c r="F196" s="74" t="s">
        <v>118</v>
      </c>
      <c r="G196" s="74" t="s">
        <v>1520</v>
      </c>
      <c r="H196" s="74">
        <v>25</v>
      </c>
      <c r="I196" s="74">
        <v>0</v>
      </c>
    </row>
    <row r="197" spans="1:9">
      <c r="A197" s="74" t="s">
        <v>1515</v>
      </c>
      <c r="B197" s="74" t="s">
        <v>1773</v>
      </c>
      <c r="C197" s="74" t="s">
        <v>119</v>
      </c>
      <c r="D197" s="74" t="s">
        <v>1748</v>
      </c>
      <c r="E197" s="74" t="s">
        <v>118</v>
      </c>
      <c r="F197" s="74" t="s">
        <v>118</v>
      </c>
      <c r="G197" s="74" t="s">
        <v>1520</v>
      </c>
      <c r="H197" s="74">
        <v>25</v>
      </c>
      <c r="I197" s="74">
        <v>0</v>
      </c>
    </row>
    <row r="198" spans="1:9">
      <c r="A198" s="74" t="s">
        <v>1515</v>
      </c>
      <c r="B198" s="74" t="s">
        <v>1774</v>
      </c>
      <c r="C198" s="74" t="s">
        <v>119</v>
      </c>
      <c r="D198" s="74" t="s">
        <v>1748</v>
      </c>
      <c r="E198" s="74" t="s">
        <v>118</v>
      </c>
      <c r="F198" s="74" t="s">
        <v>118</v>
      </c>
      <c r="G198" s="74" t="s">
        <v>1520</v>
      </c>
      <c r="H198" s="74">
        <v>33</v>
      </c>
      <c r="I198" s="74">
        <v>0</v>
      </c>
    </row>
    <row r="199" spans="1:9">
      <c r="A199" s="74" t="s">
        <v>1515</v>
      </c>
      <c r="B199" s="74" t="s">
        <v>1775</v>
      </c>
      <c r="C199" s="74" t="s">
        <v>119</v>
      </c>
      <c r="D199" s="74" t="s">
        <v>1748</v>
      </c>
      <c r="E199" s="74" t="s">
        <v>118</v>
      </c>
      <c r="F199" s="74" t="s">
        <v>118</v>
      </c>
      <c r="G199" s="74" t="s">
        <v>1520</v>
      </c>
      <c r="H199" s="74">
        <v>34</v>
      </c>
      <c r="I199" s="74">
        <v>0</v>
      </c>
    </row>
    <row r="200" spans="1:9">
      <c r="A200" s="74" t="s">
        <v>1515</v>
      </c>
      <c r="B200" s="74" t="s">
        <v>1776</v>
      </c>
      <c r="C200" s="74" t="s">
        <v>119</v>
      </c>
      <c r="D200" s="74" t="s">
        <v>1748</v>
      </c>
      <c r="E200" s="74" t="s">
        <v>118</v>
      </c>
      <c r="F200" s="74" t="s">
        <v>118</v>
      </c>
      <c r="G200" s="74" t="s">
        <v>1520</v>
      </c>
      <c r="H200" s="74">
        <v>38</v>
      </c>
      <c r="I200" s="74">
        <v>0</v>
      </c>
    </row>
    <row r="201" spans="1:9">
      <c r="A201" s="74" t="s">
        <v>1515</v>
      </c>
      <c r="B201" s="74" t="s">
        <v>1777</v>
      </c>
      <c r="C201" s="74" t="s">
        <v>119</v>
      </c>
      <c r="D201" s="74" t="s">
        <v>1748</v>
      </c>
      <c r="E201" s="74" t="s">
        <v>20</v>
      </c>
      <c r="F201" s="74" t="s">
        <v>20</v>
      </c>
      <c r="G201" s="74" t="s">
        <v>1520</v>
      </c>
      <c r="H201" s="74">
        <v>30</v>
      </c>
      <c r="I201" s="74">
        <v>0</v>
      </c>
    </row>
    <row r="202" spans="1:9">
      <c r="A202" s="74" t="s">
        <v>1515</v>
      </c>
      <c r="B202" s="74" t="s">
        <v>1778</v>
      </c>
      <c r="C202" s="74" t="s">
        <v>119</v>
      </c>
      <c r="D202" s="74" t="s">
        <v>1748</v>
      </c>
      <c r="E202" s="74" t="s">
        <v>118</v>
      </c>
      <c r="F202" s="74" t="s">
        <v>118</v>
      </c>
      <c r="G202" s="74" t="s">
        <v>1520</v>
      </c>
      <c r="H202" s="74">
        <v>37</v>
      </c>
      <c r="I202" s="74">
        <v>0</v>
      </c>
    </row>
    <row r="203" spans="1:9">
      <c r="A203" s="74" t="s">
        <v>1515</v>
      </c>
      <c r="B203" s="74" t="s">
        <v>1779</v>
      </c>
      <c r="C203" s="74" t="s">
        <v>119</v>
      </c>
      <c r="D203" s="74" t="s">
        <v>1748</v>
      </c>
      <c r="E203" s="74" t="s">
        <v>118</v>
      </c>
      <c r="F203" s="74" t="s">
        <v>118</v>
      </c>
      <c r="G203" s="74" t="s">
        <v>1520</v>
      </c>
      <c r="H203" s="74">
        <v>43</v>
      </c>
      <c r="I203" s="74">
        <v>0</v>
      </c>
    </row>
    <row r="204" spans="1:9">
      <c r="A204" s="74" t="s">
        <v>1515</v>
      </c>
      <c r="B204" s="74" t="s">
        <v>1780</v>
      </c>
      <c r="C204" s="74" t="s">
        <v>119</v>
      </c>
      <c r="D204" s="74" t="s">
        <v>1748</v>
      </c>
      <c r="E204" s="74" t="s">
        <v>20</v>
      </c>
      <c r="F204" s="74" t="s">
        <v>20</v>
      </c>
      <c r="G204" s="74" t="s">
        <v>1520</v>
      </c>
      <c r="H204" s="74">
        <v>28</v>
      </c>
      <c r="I204" s="74">
        <v>0</v>
      </c>
    </row>
    <row r="205" spans="1:9">
      <c r="A205" s="74" t="s">
        <v>1515</v>
      </c>
      <c r="B205" s="74" t="s">
        <v>1781</v>
      </c>
      <c r="C205" s="74" t="s">
        <v>119</v>
      </c>
      <c r="D205" s="74" t="s">
        <v>1748</v>
      </c>
      <c r="E205" s="74" t="s">
        <v>118</v>
      </c>
      <c r="F205" s="74" t="s">
        <v>118</v>
      </c>
      <c r="G205" s="74" t="s">
        <v>1522</v>
      </c>
      <c r="H205" s="74">
        <v>58</v>
      </c>
      <c r="I205" s="74">
        <v>0</v>
      </c>
    </row>
    <row r="206" spans="1:9">
      <c r="A206" s="74" t="s">
        <v>1515</v>
      </c>
      <c r="B206" s="74" t="s">
        <v>1782</v>
      </c>
      <c r="C206" s="74" t="s">
        <v>119</v>
      </c>
      <c r="D206" s="74" t="s">
        <v>1748</v>
      </c>
      <c r="E206" s="74" t="s">
        <v>18</v>
      </c>
      <c r="F206" s="74" t="s">
        <v>18</v>
      </c>
      <c r="G206" s="74" t="s">
        <v>1529</v>
      </c>
      <c r="H206" s="74">
        <v>14</v>
      </c>
      <c r="I206" s="74">
        <v>0</v>
      </c>
    </row>
    <row r="207" spans="1:9">
      <c r="A207" s="74" t="s">
        <v>1515</v>
      </c>
      <c r="B207" s="74" t="s">
        <v>1783</v>
      </c>
      <c r="C207" s="74" t="s">
        <v>119</v>
      </c>
      <c r="D207" s="74" t="s">
        <v>1748</v>
      </c>
      <c r="E207" s="74" t="s">
        <v>118</v>
      </c>
      <c r="F207" s="74" t="s">
        <v>118</v>
      </c>
      <c r="G207" s="74" t="s">
        <v>1522</v>
      </c>
      <c r="H207" s="74">
        <v>12</v>
      </c>
      <c r="I207" s="74">
        <v>0</v>
      </c>
    </row>
    <row r="208" spans="1:9">
      <c r="A208" s="74" t="s">
        <v>1515</v>
      </c>
      <c r="B208" s="74" t="s">
        <v>1784</v>
      </c>
      <c r="C208" s="74" t="s">
        <v>119</v>
      </c>
      <c r="D208" s="74" t="s">
        <v>1748</v>
      </c>
      <c r="E208" s="74" t="s">
        <v>118</v>
      </c>
      <c r="F208" s="74" t="s">
        <v>118</v>
      </c>
      <c r="G208" s="74" t="s">
        <v>1520</v>
      </c>
      <c r="H208" s="74">
        <v>24</v>
      </c>
      <c r="I208" s="74">
        <v>0</v>
      </c>
    </row>
    <row r="209" spans="1:9">
      <c r="A209" s="74" t="s">
        <v>1515</v>
      </c>
      <c r="B209" s="74" t="s">
        <v>1785</v>
      </c>
      <c r="C209" s="74" t="s">
        <v>119</v>
      </c>
      <c r="D209" s="74" t="s">
        <v>1748</v>
      </c>
      <c r="E209" s="74" t="s">
        <v>20</v>
      </c>
      <c r="F209" s="74" t="s">
        <v>20</v>
      </c>
      <c r="G209" s="74" t="s">
        <v>1529</v>
      </c>
      <c r="H209" s="74">
        <v>15</v>
      </c>
      <c r="I209" s="74">
        <v>0</v>
      </c>
    </row>
    <row r="210" spans="1:9">
      <c r="A210" s="74" t="s">
        <v>1515</v>
      </c>
      <c r="B210" s="74" t="s">
        <v>1786</v>
      </c>
      <c r="C210" s="74" t="s">
        <v>119</v>
      </c>
      <c r="D210" s="74" t="s">
        <v>1748</v>
      </c>
      <c r="E210" s="74" t="s">
        <v>118</v>
      </c>
      <c r="F210" s="74" t="s">
        <v>118</v>
      </c>
      <c r="G210" s="74" t="s">
        <v>1529</v>
      </c>
      <c r="H210" s="74">
        <v>27</v>
      </c>
      <c r="I210" s="74">
        <v>0</v>
      </c>
    </row>
    <row r="211" spans="1:9">
      <c r="A211" s="74" t="s">
        <v>1515</v>
      </c>
      <c r="B211" s="74" t="s">
        <v>1787</v>
      </c>
      <c r="C211" s="74" t="s">
        <v>119</v>
      </c>
      <c r="D211" s="74" t="s">
        <v>1748</v>
      </c>
      <c r="E211" s="74" t="s">
        <v>118</v>
      </c>
      <c r="F211" s="74" t="s">
        <v>118</v>
      </c>
      <c r="G211" s="74" t="s">
        <v>1529</v>
      </c>
      <c r="H211" s="74">
        <v>20</v>
      </c>
      <c r="I211" s="74">
        <v>0</v>
      </c>
    </row>
    <row r="212" spans="1:9">
      <c r="A212" s="74" t="s">
        <v>1515</v>
      </c>
      <c r="B212" s="74" t="s">
        <v>1788</v>
      </c>
      <c r="C212" s="74" t="s">
        <v>119</v>
      </c>
      <c r="D212" s="74" t="s">
        <v>1748</v>
      </c>
      <c r="E212" s="74" t="s">
        <v>18</v>
      </c>
      <c r="F212" s="74" t="s">
        <v>18</v>
      </c>
      <c r="G212" s="74" t="s">
        <v>1529</v>
      </c>
      <c r="H212" s="74">
        <v>20</v>
      </c>
      <c r="I212" s="74">
        <v>0</v>
      </c>
    </row>
    <row r="213" spans="1:9">
      <c r="A213" s="74" t="s">
        <v>1515</v>
      </c>
      <c r="B213" s="74" t="s">
        <v>1789</v>
      </c>
      <c r="C213" s="74" t="s">
        <v>119</v>
      </c>
      <c r="D213" s="74" t="s">
        <v>1748</v>
      </c>
      <c r="E213" s="74" t="s">
        <v>118</v>
      </c>
      <c r="F213" s="74" t="s">
        <v>118</v>
      </c>
      <c r="G213" s="74" t="s">
        <v>1529</v>
      </c>
      <c r="H213" s="74">
        <v>24</v>
      </c>
      <c r="I213" s="74">
        <v>0</v>
      </c>
    </row>
    <row r="214" spans="1:9">
      <c r="A214" s="74" t="s">
        <v>1515</v>
      </c>
      <c r="B214" s="74" t="s">
        <v>1790</v>
      </c>
      <c r="C214" s="74" t="s">
        <v>119</v>
      </c>
      <c r="D214" s="74" t="s">
        <v>1748</v>
      </c>
      <c r="E214" s="74" t="s">
        <v>118</v>
      </c>
      <c r="F214" s="74" t="s">
        <v>118</v>
      </c>
      <c r="G214" s="74" t="s">
        <v>1522</v>
      </c>
      <c r="H214" s="74">
        <v>44</v>
      </c>
      <c r="I214" s="74">
        <v>0</v>
      </c>
    </row>
    <row r="215" spans="1:9">
      <c r="A215" s="74" t="s">
        <v>1515</v>
      </c>
      <c r="B215" s="74" t="s">
        <v>1791</v>
      </c>
      <c r="C215" s="74" t="s">
        <v>119</v>
      </c>
      <c r="D215" s="74" t="s">
        <v>1748</v>
      </c>
      <c r="E215" s="74" t="s">
        <v>18</v>
      </c>
      <c r="F215" s="74" t="s">
        <v>18</v>
      </c>
      <c r="G215" s="74" t="s">
        <v>1522</v>
      </c>
      <c r="H215" s="74">
        <v>14</v>
      </c>
      <c r="I215" s="74">
        <v>0</v>
      </c>
    </row>
    <row r="216" spans="1:9">
      <c r="A216" s="74" t="s">
        <v>1515</v>
      </c>
      <c r="B216" s="74" t="s">
        <v>1792</v>
      </c>
      <c r="C216" s="74" t="s">
        <v>119</v>
      </c>
      <c r="D216" s="74" t="s">
        <v>1748</v>
      </c>
      <c r="E216" s="74" t="s">
        <v>38</v>
      </c>
      <c r="F216" s="74" t="s">
        <v>38</v>
      </c>
      <c r="G216" s="74" t="s">
        <v>1529</v>
      </c>
      <c r="H216" s="74">
        <v>21</v>
      </c>
      <c r="I216" s="74">
        <v>0</v>
      </c>
    </row>
    <row r="217" spans="1:9">
      <c r="A217" s="74" t="s">
        <v>1515</v>
      </c>
      <c r="B217" s="74" t="s">
        <v>1793</v>
      </c>
      <c r="C217" s="74" t="s">
        <v>119</v>
      </c>
      <c r="D217" s="74" t="s">
        <v>1748</v>
      </c>
      <c r="E217" s="74" t="s">
        <v>1794</v>
      </c>
      <c r="F217" s="74" t="s">
        <v>1794</v>
      </c>
      <c r="G217" s="74" t="s">
        <v>1529</v>
      </c>
      <c r="H217" s="74">
        <v>14</v>
      </c>
      <c r="I217" s="74">
        <v>0</v>
      </c>
    </row>
    <row r="218" spans="1:9">
      <c r="A218" s="74" t="s">
        <v>1515</v>
      </c>
      <c r="B218" s="74" t="s">
        <v>1795</v>
      </c>
      <c r="C218" s="74" t="s">
        <v>119</v>
      </c>
      <c r="D218" s="74" t="s">
        <v>1748</v>
      </c>
      <c r="E218" s="74" t="s">
        <v>118</v>
      </c>
      <c r="F218" s="74" t="s">
        <v>118</v>
      </c>
      <c r="G218" s="74" t="s">
        <v>1526</v>
      </c>
      <c r="H218" s="74">
        <v>4</v>
      </c>
      <c r="I218" s="74">
        <v>0</v>
      </c>
    </row>
    <row r="219" spans="1:9">
      <c r="A219" s="74" t="s">
        <v>1515</v>
      </c>
      <c r="B219" s="74" t="s">
        <v>1796</v>
      </c>
      <c r="C219" s="74" t="s">
        <v>119</v>
      </c>
      <c r="D219" s="74" t="s">
        <v>1748</v>
      </c>
      <c r="E219" s="74" t="s">
        <v>20</v>
      </c>
      <c r="F219" s="74" t="s">
        <v>20</v>
      </c>
      <c r="G219" s="74" t="s">
        <v>1520</v>
      </c>
      <c r="H219" s="74">
        <v>32</v>
      </c>
      <c r="I219" s="74">
        <v>0</v>
      </c>
    </row>
    <row r="220" spans="1:9">
      <c r="A220" s="74" t="s">
        <v>1515</v>
      </c>
      <c r="B220" s="74" t="s">
        <v>1797</v>
      </c>
      <c r="C220" s="74" t="s">
        <v>119</v>
      </c>
      <c r="D220" s="74" t="s">
        <v>1748</v>
      </c>
      <c r="E220" s="74" t="s">
        <v>118</v>
      </c>
      <c r="F220" s="74" t="s">
        <v>118</v>
      </c>
      <c r="G220" s="74" t="s">
        <v>1522</v>
      </c>
      <c r="H220" s="74">
        <v>10</v>
      </c>
      <c r="I220" s="74">
        <v>0</v>
      </c>
    </row>
    <row r="221" spans="1:9">
      <c r="A221" s="74" t="s">
        <v>1515</v>
      </c>
      <c r="B221" s="74" t="s">
        <v>1798</v>
      </c>
      <c r="C221" s="74" t="s">
        <v>119</v>
      </c>
      <c r="D221" s="74" t="s">
        <v>1748</v>
      </c>
      <c r="E221" s="74" t="s">
        <v>118</v>
      </c>
      <c r="F221" s="74" t="s">
        <v>118</v>
      </c>
      <c r="G221" s="74" t="s">
        <v>1518</v>
      </c>
      <c r="H221" s="74">
        <v>263</v>
      </c>
      <c r="I221" s="74">
        <v>32</v>
      </c>
    </row>
    <row r="222" spans="1:9">
      <c r="A222" s="74" t="s">
        <v>1515</v>
      </c>
      <c r="B222" s="74" t="s">
        <v>1799</v>
      </c>
      <c r="C222" s="74" t="s">
        <v>119</v>
      </c>
      <c r="D222" s="74" t="s">
        <v>1748</v>
      </c>
      <c r="E222" s="74" t="s">
        <v>34</v>
      </c>
      <c r="F222" s="74" t="s">
        <v>34</v>
      </c>
      <c r="G222" s="74" t="s">
        <v>1518</v>
      </c>
      <c r="H222" s="74">
        <v>63</v>
      </c>
      <c r="I222" s="74">
        <v>4</v>
      </c>
    </row>
    <row r="223" spans="1:9">
      <c r="A223" s="74" t="s">
        <v>1515</v>
      </c>
      <c r="B223" s="74" t="s">
        <v>1800</v>
      </c>
      <c r="C223" s="74" t="s">
        <v>119</v>
      </c>
      <c r="D223" s="74" t="s">
        <v>1748</v>
      </c>
      <c r="E223" s="74" t="s">
        <v>118</v>
      </c>
      <c r="F223" s="74" t="s">
        <v>118</v>
      </c>
      <c r="G223" s="74" t="s">
        <v>1529</v>
      </c>
      <c r="H223" s="74">
        <v>10</v>
      </c>
      <c r="I223" s="74">
        <v>0</v>
      </c>
    </row>
    <row r="224" spans="1:9">
      <c r="A224" s="74" t="s">
        <v>1515</v>
      </c>
      <c r="B224" s="74" t="s">
        <v>1801</v>
      </c>
      <c r="C224" s="74" t="s">
        <v>119</v>
      </c>
      <c r="D224" s="74" t="s">
        <v>1748</v>
      </c>
      <c r="E224" s="74" t="s">
        <v>118</v>
      </c>
      <c r="F224" s="74" t="s">
        <v>118</v>
      </c>
      <c r="G224" s="74" t="s">
        <v>1518</v>
      </c>
      <c r="H224" s="74">
        <v>18</v>
      </c>
      <c r="I224" s="74">
        <v>0</v>
      </c>
    </row>
    <row r="225" spans="1:9">
      <c r="A225" s="74" t="s">
        <v>1515</v>
      </c>
      <c r="B225" s="74" t="s">
        <v>1802</v>
      </c>
      <c r="C225" s="74" t="s">
        <v>119</v>
      </c>
      <c r="D225" s="74" t="s">
        <v>1748</v>
      </c>
      <c r="E225" s="74" t="s">
        <v>118</v>
      </c>
      <c r="F225" s="74" t="s">
        <v>118</v>
      </c>
      <c r="G225" s="74" t="s">
        <v>1518</v>
      </c>
      <c r="H225" s="74">
        <v>240</v>
      </c>
      <c r="I225" s="74">
        <v>17</v>
      </c>
    </row>
    <row r="226" spans="1:9">
      <c r="A226" s="74" t="s">
        <v>1515</v>
      </c>
      <c r="B226" s="74" t="s">
        <v>1803</v>
      </c>
      <c r="C226" s="74" t="s">
        <v>119</v>
      </c>
      <c r="D226" s="74" t="s">
        <v>1748</v>
      </c>
      <c r="E226" s="74" t="s">
        <v>1794</v>
      </c>
      <c r="F226" s="74" t="s">
        <v>1794</v>
      </c>
      <c r="G226" s="74" t="s">
        <v>1518</v>
      </c>
      <c r="H226" s="74">
        <v>69</v>
      </c>
      <c r="I226" s="74">
        <v>6</v>
      </c>
    </row>
    <row r="227" spans="1:9">
      <c r="A227" s="74" t="s">
        <v>1515</v>
      </c>
      <c r="B227" s="74" t="s">
        <v>1804</v>
      </c>
      <c r="C227" s="74" t="s">
        <v>119</v>
      </c>
      <c r="D227" s="74" t="s">
        <v>1748</v>
      </c>
      <c r="E227" s="74" t="s">
        <v>1794</v>
      </c>
      <c r="F227" s="74" t="s">
        <v>1794</v>
      </c>
      <c r="G227" s="74" t="s">
        <v>1518</v>
      </c>
      <c r="H227" s="74">
        <v>152</v>
      </c>
      <c r="I227" s="74">
        <v>8</v>
      </c>
    </row>
    <row r="228" spans="1:9">
      <c r="A228" s="74" t="s">
        <v>1515</v>
      </c>
      <c r="B228" s="74" t="s">
        <v>1805</v>
      </c>
      <c r="C228" s="74" t="s">
        <v>119</v>
      </c>
      <c r="D228" s="74" t="s">
        <v>1748</v>
      </c>
      <c r="E228" s="74" t="s">
        <v>118</v>
      </c>
      <c r="F228" s="74" t="s">
        <v>118</v>
      </c>
      <c r="G228" s="74" t="s">
        <v>1544</v>
      </c>
      <c r="H228" s="74">
        <v>71</v>
      </c>
      <c r="I228" s="74">
        <v>0</v>
      </c>
    </row>
    <row r="229" spans="1:9">
      <c r="A229" s="74" t="s">
        <v>1515</v>
      </c>
      <c r="B229" s="74" t="s">
        <v>1806</v>
      </c>
      <c r="C229" s="74" t="s">
        <v>119</v>
      </c>
      <c r="D229" s="74" t="s">
        <v>1748</v>
      </c>
      <c r="E229" s="74" t="s">
        <v>118</v>
      </c>
      <c r="F229" s="74" t="s">
        <v>118</v>
      </c>
      <c r="G229" s="74" t="s">
        <v>1518</v>
      </c>
      <c r="H229" s="74">
        <v>189</v>
      </c>
      <c r="I229" s="74">
        <v>17</v>
      </c>
    </row>
    <row r="230" spans="1:9">
      <c r="A230" s="74" t="s">
        <v>1515</v>
      </c>
      <c r="B230" s="74" t="s">
        <v>1807</v>
      </c>
      <c r="C230" s="74" t="s">
        <v>119</v>
      </c>
      <c r="D230" s="74" t="s">
        <v>1748</v>
      </c>
      <c r="E230" s="74" t="s">
        <v>118</v>
      </c>
      <c r="F230" s="74" t="s">
        <v>118</v>
      </c>
      <c r="G230" s="74" t="s">
        <v>1518</v>
      </c>
      <c r="H230" s="74">
        <v>224</v>
      </c>
      <c r="I230" s="74">
        <v>31</v>
      </c>
    </row>
    <row r="231" spans="1:9">
      <c r="A231" s="74" t="s">
        <v>1515</v>
      </c>
      <c r="B231" s="74" t="s">
        <v>1808</v>
      </c>
      <c r="C231" s="74" t="s">
        <v>119</v>
      </c>
      <c r="D231" s="74" t="s">
        <v>1748</v>
      </c>
      <c r="E231" s="74" t="s">
        <v>118</v>
      </c>
      <c r="F231" s="74" t="s">
        <v>118</v>
      </c>
      <c r="G231" s="74" t="s">
        <v>1518</v>
      </c>
      <c r="H231" s="74">
        <v>112</v>
      </c>
      <c r="I231" s="74">
        <v>10</v>
      </c>
    </row>
    <row r="232" spans="1:9">
      <c r="A232" s="74" t="s">
        <v>1515</v>
      </c>
      <c r="B232" s="74" t="s">
        <v>1809</v>
      </c>
      <c r="C232" s="74" t="s">
        <v>119</v>
      </c>
      <c r="D232" s="74" t="s">
        <v>1748</v>
      </c>
      <c r="E232" s="74" t="s">
        <v>118</v>
      </c>
      <c r="F232" s="74" t="s">
        <v>118</v>
      </c>
      <c r="G232" s="74" t="s">
        <v>1518</v>
      </c>
      <c r="H232" s="74">
        <v>154</v>
      </c>
      <c r="I232" s="74">
        <v>18</v>
      </c>
    </row>
    <row r="233" spans="1:9">
      <c r="A233" s="74" t="s">
        <v>1515</v>
      </c>
      <c r="B233" s="74" t="s">
        <v>1810</v>
      </c>
      <c r="C233" s="74" t="s">
        <v>119</v>
      </c>
      <c r="D233" s="74" t="s">
        <v>1748</v>
      </c>
      <c r="E233" s="74" t="s">
        <v>118</v>
      </c>
      <c r="F233" s="74" t="s">
        <v>118</v>
      </c>
      <c r="G233" s="74" t="s">
        <v>1518</v>
      </c>
      <c r="H233" s="74">
        <v>260</v>
      </c>
      <c r="I233" s="74">
        <v>22</v>
      </c>
    </row>
    <row r="234" spans="1:9">
      <c r="A234" s="74" t="s">
        <v>1515</v>
      </c>
      <c r="B234" s="74" t="s">
        <v>1811</v>
      </c>
      <c r="C234" s="74" t="s">
        <v>119</v>
      </c>
      <c r="D234" s="74" t="s">
        <v>1748</v>
      </c>
      <c r="E234" s="74" t="s">
        <v>20</v>
      </c>
      <c r="F234" s="74" t="s">
        <v>20</v>
      </c>
      <c r="G234" s="74" t="s">
        <v>1518</v>
      </c>
      <c r="H234" s="74">
        <v>28</v>
      </c>
      <c r="I234" s="74">
        <v>0</v>
      </c>
    </row>
    <row r="235" spans="1:9">
      <c r="A235" s="74" t="s">
        <v>1515</v>
      </c>
      <c r="B235" s="74" t="s">
        <v>1812</v>
      </c>
      <c r="C235" s="74" t="s">
        <v>119</v>
      </c>
      <c r="D235" s="74" t="s">
        <v>1748</v>
      </c>
      <c r="E235" s="74" t="s">
        <v>18</v>
      </c>
      <c r="F235" s="74" t="s">
        <v>18</v>
      </c>
      <c r="G235" s="74" t="s">
        <v>1520</v>
      </c>
      <c r="H235" s="74">
        <v>12</v>
      </c>
      <c r="I235" s="74">
        <v>0</v>
      </c>
    </row>
    <row r="236" spans="1:9">
      <c r="A236" s="74" t="s">
        <v>1515</v>
      </c>
      <c r="B236" s="74" t="s">
        <v>1813</v>
      </c>
      <c r="C236" s="74" t="s">
        <v>119</v>
      </c>
      <c r="D236" s="74" t="s">
        <v>1748</v>
      </c>
      <c r="E236" s="74" t="s">
        <v>118</v>
      </c>
      <c r="F236" s="74" t="s">
        <v>118</v>
      </c>
      <c r="G236" s="74" t="s">
        <v>1529</v>
      </c>
      <c r="H236" s="74">
        <v>20</v>
      </c>
      <c r="I236" s="74">
        <v>0</v>
      </c>
    </row>
    <row r="237" spans="1:9">
      <c r="A237" s="74" t="s">
        <v>1515</v>
      </c>
      <c r="B237" s="74" t="s">
        <v>1814</v>
      </c>
      <c r="C237" s="74" t="s">
        <v>119</v>
      </c>
      <c r="D237" s="74" t="s">
        <v>1748</v>
      </c>
      <c r="E237" s="74" t="s">
        <v>118</v>
      </c>
      <c r="F237" s="74" t="s">
        <v>118</v>
      </c>
      <c r="G237" s="74" t="s">
        <v>1529</v>
      </c>
      <c r="H237" s="74">
        <v>12</v>
      </c>
      <c r="I237" s="74">
        <v>0</v>
      </c>
    </row>
    <row r="238" spans="1:9">
      <c r="A238" s="74" t="s">
        <v>1515</v>
      </c>
      <c r="B238" s="74" t="s">
        <v>1815</v>
      </c>
      <c r="C238" s="74" t="s">
        <v>119</v>
      </c>
      <c r="D238" s="74" t="s">
        <v>1748</v>
      </c>
      <c r="E238" s="74" t="s">
        <v>1794</v>
      </c>
      <c r="F238" s="74" t="s">
        <v>1794</v>
      </c>
      <c r="G238" s="74" t="s">
        <v>1518</v>
      </c>
      <c r="H238" s="74">
        <v>56</v>
      </c>
      <c r="I238" s="74">
        <v>0</v>
      </c>
    </row>
    <row r="239" spans="1:9">
      <c r="A239" s="74" t="s">
        <v>1515</v>
      </c>
      <c r="B239" s="74" t="s">
        <v>1816</v>
      </c>
      <c r="C239" s="74" t="s">
        <v>119</v>
      </c>
      <c r="D239" s="74" t="s">
        <v>1748</v>
      </c>
      <c r="E239" s="74" t="s">
        <v>18</v>
      </c>
      <c r="F239" s="74" t="s">
        <v>18</v>
      </c>
      <c r="G239" s="74" t="s">
        <v>1518</v>
      </c>
      <c r="H239" s="74">
        <v>130</v>
      </c>
      <c r="I239" s="74">
        <v>10</v>
      </c>
    </row>
    <row r="240" spans="1:9">
      <c r="A240" s="74" t="s">
        <v>1515</v>
      </c>
      <c r="B240" s="74" t="s">
        <v>1817</v>
      </c>
      <c r="C240" s="74" t="s">
        <v>119</v>
      </c>
      <c r="D240" s="74" t="s">
        <v>1748</v>
      </c>
      <c r="E240" s="74" t="s">
        <v>1794</v>
      </c>
      <c r="F240" s="74" t="s">
        <v>1794</v>
      </c>
      <c r="G240" s="74" t="s">
        <v>1518</v>
      </c>
      <c r="H240" s="74">
        <v>50</v>
      </c>
      <c r="I240" s="74">
        <v>6</v>
      </c>
    </row>
    <row r="241" spans="1:9">
      <c r="A241" s="74" t="s">
        <v>1515</v>
      </c>
      <c r="B241" s="74" t="s">
        <v>1818</v>
      </c>
      <c r="C241" s="74" t="s">
        <v>119</v>
      </c>
      <c r="D241" s="74" t="s">
        <v>1748</v>
      </c>
      <c r="E241" s="74" t="s">
        <v>38</v>
      </c>
      <c r="F241" s="74" t="s">
        <v>38</v>
      </c>
      <c r="G241" s="74" t="s">
        <v>1518</v>
      </c>
      <c r="H241" s="74">
        <v>80</v>
      </c>
      <c r="I241" s="74">
        <v>9</v>
      </c>
    </row>
    <row r="242" spans="1:9">
      <c r="A242" s="74" t="s">
        <v>1515</v>
      </c>
      <c r="B242" s="74" t="s">
        <v>1819</v>
      </c>
      <c r="C242" s="74" t="s">
        <v>119</v>
      </c>
      <c r="D242" s="74" t="s">
        <v>1748</v>
      </c>
      <c r="E242" s="74" t="s">
        <v>118</v>
      </c>
      <c r="F242" s="74" t="s">
        <v>118</v>
      </c>
      <c r="G242" s="74" t="s">
        <v>1518</v>
      </c>
      <c r="H242" s="74">
        <v>128</v>
      </c>
      <c r="I242" s="74">
        <v>9</v>
      </c>
    </row>
    <row r="243" spans="1:9">
      <c r="A243" s="74" t="s">
        <v>1515</v>
      </c>
      <c r="B243" s="74" t="s">
        <v>1820</v>
      </c>
      <c r="C243" s="74" t="s">
        <v>119</v>
      </c>
      <c r="D243" s="74" t="s">
        <v>1748</v>
      </c>
      <c r="E243" s="74" t="s">
        <v>118</v>
      </c>
      <c r="F243" s="74" t="s">
        <v>118</v>
      </c>
      <c r="G243" s="74" t="s">
        <v>1518</v>
      </c>
      <c r="H243" s="74">
        <v>228</v>
      </c>
      <c r="I243" s="74">
        <v>21</v>
      </c>
    </row>
    <row r="244" spans="1:9">
      <c r="A244" s="74" t="s">
        <v>1515</v>
      </c>
      <c r="B244" s="74" t="s">
        <v>1821</v>
      </c>
      <c r="C244" s="74" t="s">
        <v>119</v>
      </c>
      <c r="D244" s="74" t="s">
        <v>1748</v>
      </c>
      <c r="E244" s="74" t="s">
        <v>118</v>
      </c>
      <c r="F244" s="74" t="s">
        <v>118</v>
      </c>
      <c r="G244" s="74" t="s">
        <v>1529</v>
      </c>
      <c r="H244" s="74">
        <v>26</v>
      </c>
      <c r="I244" s="74">
        <v>0</v>
      </c>
    </row>
    <row r="245" spans="1:9">
      <c r="A245" s="74" t="s">
        <v>1515</v>
      </c>
      <c r="B245" s="74" t="s">
        <v>1822</v>
      </c>
      <c r="C245" s="74" t="s">
        <v>119</v>
      </c>
      <c r="D245" s="74" t="s">
        <v>1748</v>
      </c>
      <c r="E245" s="74" t="s">
        <v>118</v>
      </c>
      <c r="F245" s="74" t="s">
        <v>118</v>
      </c>
      <c r="G245" s="74" t="s">
        <v>1518</v>
      </c>
      <c r="H245" s="74">
        <v>205</v>
      </c>
      <c r="I245" s="74">
        <v>26</v>
      </c>
    </row>
    <row r="246" spans="1:9">
      <c r="A246" s="74" t="s">
        <v>1515</v>
      </c>
      <c r="B246" s="74" t="s">
        <v>1823</v>
      </c>
      <c r="C246" s="74" t="s">
        <v>119</v>
      </c>
      <c r="D246" s="74" t="s">
        <v>1748</v>
      </c>
      <c r="E246" s="74" t="s">
        <v>118</v>
      </c>
      <c r="F246" s="74" t="s">
        <v>118</v>
      </c>
      <c r="G246" s="74" t="s">
        <v>1520</v>
      </c>
      <c r="H246" s="74">
        <v>42</v>
      </c>
      <c r="I246" s="74">
        <v>0</v>
      </c>
    </row>
    <row r="247" spans="1:9">
      <c r="A247" s="74" t="s">
        <v>1515</v>
      </c>
      <c r="B247" s="74" t="s">
        <v>1824</v>
      </c>
      <c r="C247" s="74" t="s">
        <v>119</v>
      </c>
      <c r="D247" s="74" t="s">
        <v>1748</v>
      </c>
      <c r="E247" s="74" t="s">
        <v>118</v>
      </c>
      <c r="F247" s="74" t="s">
        <v>118</v>
      </c>
      <c r="G247" s="74" t="s">
        <v>1520</v>
      </c>
      <c r="H247" s="74">
        <v>59</v>
      </c>
      <c r="I247" s="74">
        <v>0</v>
      </c>
    </row>
    <row r="248" spans="1:9">
      <c r="A248" s="74" t="s">
        <v>1515</v>
      </c>
      <c r="B248" s="74" t="s">
        <v>1825</v>
      </c>
      <c r="C248" s="74" t="s">
        <v>119</v>
      </c>
      <c r="D248" s="74" t="s">
        <v>1748</v>
      </c>
      <c r="E248" s="74" t="s">
        <v>118</v>
      </c>
      <c r="F248" s="74" t="s">
        <v>118</v>
      </c>
      <c r="G248" s="74" t="s">
        <v>1520</v>
      </c>
      <c r="H248" s="74">
        <v>30</v>
      </c>
      <c r="I248" s="74">
        <v>0</v>
      </c>
    </row>
    <row r="249" spans="1:9">
      <c r="A249" s="74" t="s">
        <v>1515</v>
      </c>
      <c r="B249" s="74" t="s">
        <v>1826</v>
      </c>
      <c r="C249" s="74" t="s">
        <v>119</v>
      </c>
      <c r="D249" s="74" t="s">
        <v>1748</v>
      </c>
      <c r="E249" s="74" t="s">
        <v>118</v>
      </c>
      <c r="F249" s="74" t="s">
        <v>118</v>
      </c>
      <c r="G249" s="74" t="s">
        <v>1518</v>
      </c>
      <c r="H249" s="74">
        <v>144</v>
      </c>
      <c r="I249" s="74">
        <v>13</v>
      </c>
    </row>
    <row r="250" spans="1:9">
      <c r="A250" s="74" t="s">
        <v>1515</v>
      </c>
      <c r="B250" s="74" t="s">
        <v>1827</v>
      </c>
      <c r="C250" s="74" t="s">
        <v>119</v>
      </c>
      <c r="D250" s="74" t="s">
        <v>1748</v>
      </c>
      <c r="E250" s="74" t="s">
        <v>118</v>
      </c>
      <c r="F250" s="74" t="s">
        <v>118</v>
      </c>
      <c r="G250" s="74" t="s">
        <v>1518</v>
      </c>
      <c r="H250" s="74">
        <v>162</v>
      </c>
      <c r="I250" s="74">
        <v>12</v>
      </c>
    </row>
    <row r="251" spans="1:9">
      <c r="A251" s="74" t="s">
        <v>1515</v>
      </c>
      <c r="B251" s="74" t="s">
        <v>1828</v>
      </c>
      <c r="C251" s="74" t="s">
        <v>119</v>
      </c>
      <c r="D251" s="74" t="s">
        <v>1748</v>
      </c>
      <c r="E251" s="74" t="s">
        <v>118</v>
      </c>
      <c r="F251" s="74" t="s">
        <v>118</v>
      </c>
      <c r="G251" s="74" t="s">
        <v>1518</v>
      </c>
      <c r="H251" s="74">
        <v>237</v>
      </c>
      <c r="I251" s="74">
        <v>26</v>
      </c>
    </row>
    <row r="252" spans="1:9">
      <c r="A252" s="74" t="s">
        <v>1515</v>
      </c>
      <c r="B252" s="74" t="s">
        <v>1829</v>
      </c>
      <c r="C252" s="74" t="s">
        <v>119</v>
      </c>
      <c r="D252" s="74" t="s">
        <v>1748</v>
      </c>
      <c r="E252" s="74" t="s">
        <v>118</v>
      </c>
      <c r="F252" s="74" t="s">
        <v>118</v>
      </c>
      <c r="G252" s="74" t="s">
        <v>1518</v>
      </c>
      <c r="H252" s="74">
        <v>186</v>
      </c>
      <c r="I252" s="74">
        <v>9</v>
      </c>
    </row>
    <row r="253" spans="1:9">
      <c r="A253" s="74" t="s">
        <v>1515</v>
      </c>
      <c r="B253" s="74" t="s">
        <v>1830</v>
      </c>
      <c r="C253" s="74" t="s">
        <v>119</v>
      </c>
      <c r="D253" s="74" t="s">
        <v>1748</v>
      </c>
      <c r="E253" s="74" t="s">
        <v>118</v>
      </c>
      <c r="F253" s="74" t="s">
        <v>118</v>
      </c>
      <c r="G253" s="74" t="s">
        <v>1518</v>
      </c>
      <c r="H253" s="74">
        <v>158</v>
      </c>
      <c r="I253" s="74">
        <v>16</v>
      </c>
    </row>
    <row r="254" spans="1:9">
      <c r="A254" s="74" t="s">
        <v>1515</v>
      </c>
      <c r="B254" s="74" t="s">
        <v>1831</v>
      </c>
      <c r="C254" s="74" t="s">
        <v>119</v>
      </c>
      <c r="D254" s="74" t="s">
        <v>1748</v>
      </c>
      <c r="E254" s="74" t="s">
        <v>118</v>
      </c>
      <c r="F254" s="74" t="s">
        <v>118</v>
      </c>
      <c r="G254" s="74" t="s">
        <v>1518</v>
      </c>
      <c r="H254" s="74">
        <v>116</v>
      </c>
      <c r="I254" s="74">
        <v>3</v>
      </c>
    </row>
    <row r="255" spans="1:9">
      <c r="A255" s="74" t="s">
        <v>1515</v>
      </c>
      <c r="B255" s="74" t="s">
        <v>1832</v>
      </c>
      <c r="C255" s="74" t="s">
        <v>119</v>
      </c>
      <c r="D255" s="74" t="s">
        <v>1748</v>
      </c>
      <c r="E255" s="74" t="s">
        <v>118</v>
      </c>
      <c r="F255" s="74" t="s">
        <v>118</v>
      </c>
      <c r="G255" s="74" t="s">
        <v>1518</v>
      </c>
      <c r="H255" s="74">
        <v>225</v>
      </c>
      <c r="I255" s="74">
        <v>34</v>
      </c>
    </row>
    <row r="256" spans="1:9">
      <c r="A256" s="74" t="s">
        <v>1515</v>
      </c>
      <c r="B256" s="74" t="s">
        <v>1833</v>
      </c>
      <c r="C256" s="74" t="s">
        <v>119</v>
      </c>
      <c r="D256" s="74" t="s">
        <v>1748</v>
      </c>
      <c r="E256" s="74" t="s">
        <v>118</v>
      </c>
      <c r="F256" s="74" t="s">
        <v>118</v>
      </c>
      <c r="G256" s="74" t="s">
        <v>1518</v>
      </c>
      <c r="H256" s="74">
        <v>133</v>
      </c>
      <c r="I256" s="74">
        <v>8</v>
      </c>
    </row>
    <row r="257" spans="1:9">
      <c r="A257" s="74" t="s">
        <v>1515</v>
      </c>
      <c r="B257" s="74" t="s">
        <v>1834</v>
      </c>
      <c r="C257" s="74" t="s">
        <v>119</v>
      </c>
      <c r="D257" s="74" t="s">
        <v>1748</v>
      </c>
      <c r="E257" s="74" t="s">
        <v>118</v>
      </c>
      <c r="F257" s="74" t="s">
        <v>118</v>
      </c>
      <c r="G257" s="74" t="s">
        <v>1520</v>
      </c>
      <c r="H257" s="74">
        <v>30</v>
      </c>
      <c r="I257" s="74">
        <v>0</v>
      </c>
    </row>
    <row r="258" spans="1:9">
      <c r="A258" s="74" t="s">
        <v>1515</v>
      </c>
      <c r="B258" s="74" t="s">
        <v>1835</v>
      </c>
      <c r="C258" s="74" t="s">
        <v>119</v>
      </c>
      <c r="D258" s="74" t="s">
        <v>1748</v>
      </c>
      <c r="E258" s="74" t="s">
        <v>20</v>
      </c>
      <c r="F258" s="74" t="s">
        <v>20</v>
      </c>
      <c r="G258" s="74" t="s">
        <v>1518</v>
      </c>
      <c r="H258" s="74">
        <v>95</v>
      </c>
      <c r="I258" s="74">
        <v>10</v>
      </c>
    </row>
    <row r="259" spans="1:9">
      <c r="A259" s="74" t="s">
        <v>1515</v>
      </c>
      <c r="B259" s="74" t="s">
        <v>1836</v>
      </c>
      <c r="C259" s="74" t="s">
        <v>119</v>
      </c>
      <c r="D259" s="74" t="s">
        <v>1748</v>
      </c>
      <c r="E259" s="74" t="s">
        <v>118</v>
      </c>
      <c r="F259" s="74" t="s">
        <v>118</v>
      </c>
      <c r="G259" s="74" t="s">
        <v>1529</v>
      </c>
      <c r="H259" s="74">
        <v>9</v>
      </c>
      <c r="I259" s="74">
        <v>0</v>
      </c>
    </row>
    <row r="260" spans="1:9">
      <c r="A260" s="74" t="s">
        <v>1515</v>
      </c>
      <c r="B260" s="74" t="s">
        <v>1837</v>
      </c>
      <c r="C260" s="74" t="s">
        <v>119</v>
      </c>
      <c r="D260" s="74" t="s">
        <v>1748</v>
      </c>
      <c r="E260" s="74" t="s">
        <v>118</v>
      </c>
      <c r="F260" s="74" t="s">
        <v>118</v>
      </c>
      <c r="G260" s="74" t="s">
        <v>1526</v>
      </c>
      <c r="H260" s="74">
        <v>20</v>
      </c>
      <c r="I260" s="74">
        <v>0</v>
      </c>
    </row>
    <row r="261" spans="1:9">
      <c r="A261" s="74" t="s">
        <v>1515</v>
      </c>
      <c r="B261" s="74" t="s">
        <v>1838</v>
      </c>
      <c r="C261" s="74" t="s">
        <v>119</v>
      </c>
      <c r="D261" s="74" t="s">
        <v>1748</v>
      </c>
      <c r="E261" s="74" t="s">
        <v>118</v>
      </c>
      <c r="F261" s="74" t="s">
        <v>118</v>
      </c>
      <c r="G261" s="74" t="s">
        <v>1529</v>
      </c>
      <c r="H261" s="74">
        <v>4</v>
      </c>
      <c r="I261" s="74">
        <v>0</v>
      </c>
    </row>
    <row r="262" spans="1:9">
      <c r="A262" s="74" t="s">
        <v>1515</v>
      </c>
      <c r="B262" s="74" t="s">
        <v>1839</v>
      </c>
      <c r="C262" s="74" t="s">
        <v>119</v>
      </c>
      <c r="D262" s="74" t="s">
        <v>1748</v>
      </c>
      <c r="E262" s="74" t="s">
        <v>118</v>
      </c>
      <c r="F262" s="74" t="s">
        <v>118</v>
      </c>
      <c r="G262" s="74" t="s">
        <v>1520</v>
      </c>
      <c r="H262" s="74">
        <v>21</v>
      </c>
      <c r="I262" s="74">
        <v>0</v>
      </c>
    </row>
    <row r="263" spans="1:9">
      <c r="A263" s="74" t="s">
        <v>1515</v>
      </c>
      <c r="B263" s="74" t="s">
        <v>1840</v>
      </c>
      <c r="C263" s="74" t="s">
        <v>119</v>
      </c>
      <c r="D263" s="74" t="s">
        <v>1748</v>
      </c>
      <c r="E263" s="74" t="s">
        <v>118</v>
      </c>
      <c r="F263" s="74" t="s">
        <v>118</v>
      </c>
      <c r="G263" s="74" t="s">
        <v>1529</v>
      </c>
      <c r="H263" s="74">
        <v>6</v>
      </c>
      <c r="I263" s="74">
        <v>0</v>
      </c>
    </row>
    <row r="264" spans="1:9">
      <c r="A264" s="74" t="s">
        <v>1515</v>
      </c>
      <c r="B264" s="74" t="s">
        <v>1841</v>
      </c>
      <c r="C264" s="74" t="s">
        <v>119</v>
      </c>
      <c r="D264" s="74" t="s">
        <v>1748</v>
      </c>
      <c r="E264" s="74" t="s">
        <v>18</v>
      </c>
      <c r="F264" s="74" t="s">
        <v>18</v>
      </c>
      <c r="G264" s="74" t="s">
        <v>1529</v>
      </c>
      <c r="H264" s="74">
        <v>25</v>
      </c>
      <c r="I264" s="74">
        <v>0</v>
      </c>
    </row>
    <row r="265" spans="1:9">
      <c r="A265" s="74" t="s">
        <v>1515</v>
      </c>
      <c r="B265" s="74" t="s">
        <v>1842</v>
      </c>
      <c r="C265" s="74" t="s">
        <v>119</v>
      </c>
      <c r="D265" s="74" t="s">
        <v>1748</v>
      </c>
      <c r="E265" s="74" t="s">
        <v>18</v>
      </c>
      <c r="F265" s="74" t="s">
        <v>18</v>
      </c>
      <c r="G265" s="74" t="s">
        <v>1522</v>
      </c>
      <c r="H265" s="74">
        <v>15</v>
      </c>
      <c r="I265" s="74">
        <v>0</v>
      </c>
    </row>
    <row r="266" spans="1:9">
      <c r="A266" s="74" t="s">
        <v>1515</v>
      </c>
      <c r="B266" s="74" t="s">
        <v>1843</v>
      </c>
      <c r="C266" s="74" t="s">
        <v>119</v>
      </c>
      <c r="D266" s="74" t="s">
        <v>1748</v>
      </c>
      <c r="E266" s="74" t="s">
        <v>118</v>
      </c>
      <c r="F266" s="74" t="s">
        <v>118</v>
      </c>
      <c r="G266" s="74" t="s">
        <v>1529</v>
      </c>
      <c r="H266" s="74">
        <v>10</v>
      </c>
      <c r="I266" s="74">
        <v>0</v>
      </c>
    </row>
    <row r="267" spans="1:9">
      <c r="A267" s="74" t="s">
        <v>1515</v>
      </c>
      <c r="B267" s="74" t="s">
        <v>1844</v>
      </c>
      <c r="C267" s="74" t="s">
        <v>119</v>
      </c>
      <c r="D267" s="74" t="s">
        <v>1748</v>
      </c>
      <c r="E267" s="74" t="s">
        <v>20</v>
      </c>
      <c r="F267" s="74" t="s">
        <v>20</v>
      </c>
      <c r="G267" s="74" t="s">
        <v>1529</v>
      </c>
      <c r="H267" s="74">
        <v>4</v>
      </c>
      <c r="I267" s="74">
        <v>0</v>
      </c>
    </row>
    <row r="268" spans="1:9">
      <c r="A268" s="74" t="s">
        <v>1515</v>
      </c>
      <c r="B268" s="74" t="s">
        <v>1845</v>
      </c>
      <c r="C268" s="74" t="s">
        <v>119</v>
      </c>
      <c r="D268" s="74" t="s">
        <v>1748</v>
      </c>
      <c r="E268" s="74" t="s">
        <v>118</v>
      </c>
      <c r="F268" s="74" t="s">
        <v>118</v>
      </c>
      <c r="G268" s="74" t="s">
        <v>1518</v>
      </c>
      <c r="H268" s="74">
        <v>8</v>
      </c>
      <c r="I268" s="74">
        <v>0</v>
      </c>
    </row>
    <row r="269" spans="1:9">
      <c r="A269" s="74" t="s">
        <v>1515</v>
      </c>
      <c r="B269" s="74" t="s">
        <v>1846</v>
      </c>
      <c r="C269" s="74" t="s">
        <v>119</v>
      </c>
      <c r="D269" s="74" t="s">
        <v>1748</v>
      </c>
      <c r="E269" s="74" t="s">
        <v>118</v>
      </c>
      <c r="F269" s="74" t="s">
        <v>118</v>
      </c>
      <c r="G269" s="74" t="s">
        <v>1518</v>
      </c>
      <c r="H269" s="74">
        <v>33</v>
      </c>
      <c r="I269" s="74">
        <v>1</v>
      </c>
    </row>
    <row r="270" spans="1:9">
      <c r="A270" s="74" t="s">
        <v>1515</v>
      </c>
      <c r="B270" s="74" t="s">
        <v>1847</v>
      </c>
      <c r="C270" s="74" t="s">
        <v>105</v>
      </c>
      <c r="D270" s="74" t="s">
        <v>1848</v>
      </c>
      <c r="E270" s="74" t="s">
        <v>103</v>
      </c>
      <c r="F270" s="74" t="s">
        <v>103</v>
      </c>
      <c r="G270" s="74" t="s">
        <v>1526</v>
      </c>
      <c r="H270" s="74">
        <v>15</v>
      </c>
      <c r="I270" s="74">
        <v>0</v>
      </c>
    </row>
    <row r="271" spans="1:9">
      <c r="A271" s="74" t="s">
        <v>1515</v>
      </c>
      <c r="B271" s="74" t="s">
        <v>1849</v>
      </c>
      <c r="C271" s="74" t="s">
        <v>1589</v>
      </c>
      <c r="D271" s="74" t="s">
        <v>1590</v>
      </c>
      <c r="E271" s="74" t="s">
        <v>44</v>
      </c>
      <c r="F271" s="74" t="s">
        <v>44</v>
      </c>
      <c r="G271" s="74" t="s">
        <v>1518</v>
      </c>
      <c r="H271" s="74">
        <v>31</v>
      </c>
      <c r="I271" s="74">
        <v>2</v>
      </c>
    </row>
    <row r="272" spans="1:9">
      <c r="A272" s="74" t="s">
        <v>1515</v>
      </c>
      <c r="B272" s="74" t="s">
        <v>1850</v>
      </c>
      <c r="C272" s="74" t="s">
        <v>105</v>
      </c>
      <c r="D272" s="74" t="s">
        <v>1848</v>
      </c>
      <c r="E272" s="74" t="s">
        <v>30</v>
      </c>
      <c r="F272" s="74" t="s">
        <v>30</v>
      </c>
      <c r="G272" s="74" t="s">
        <v>1522</v>
      </c>
      <c r="H272" s="74">
        <v>48</v>
      </c>
      <c r="I272" s="74">
        <v>0</v>
      </c>
    </row>
    <row r="273" spans="1:9">
      <c r="A273" s="74" t="s">
        <v>1515</v>
      </c>
      <c r="B273" s="74" t="s">
        <v>1851</v>
      </c>
      <c r="C273" s="74" t="s">
        <v>105</v>
      </c>
      <c r="D273" s="74" t="s">
        <v>1848</v>
      </c>
      <c r="E273" s="74" t="s">
        <v>29</v>
      </c>
      <c r="F273" s="74" t="s">
        <v>29</v>
      </c>
      <c r="G273" s="74" t="s">
        <v>1518</v>
      </c>
      <c r="H273" s="74">
        <v>52</v>
      </c>
      <c r="I273" s="74">
        <v>6</v>
      </c>
    </row>
    <row r="274" spans="1:9">
      <c r="A274" s="74" t="s">
        <v>1515</v>
      </c>
      <c r="B274" s="74" t="s">
        <v>1852</v>
      </c>
      <c r="C274" s="74" t="s">
        <v>105</v>
      </c>
      <c r="D274" s="74" t="s">
        <v>1848</v>
      </c>
      <c r="E274" s="74" t="s">
        <v>32</v>
      </c>
      <c r="F274" s="74" t="s">
        <v>32</v>
      </c>
      <c r="G274" s="74" t="s">
        <v>1518</v>
      </c>
      <c r="H274" s="74">
        <v>28</v>
      </c>
      <c r="I274" s="74">
        <v>0</v>
      </c>
    </row>
    <row r="275" spans="1:9">
      <c r="A275" s="74" t="s">
        <v>1515</v>
      </c>
      <c r="B275" s="74" t="s">
        <v>1853</v>
      </c>
      <c r="C275" s="74" t="s">
        <v>105</v>
      </c>
      <c r="D275" s="74" t="s">
        <v>1848</v>
      </c>
      <c r="E275" s="74" t="s">
        <v>103</v>
      </c>
      <c r="F275" s="74" t="s">
        <v>103</v>
      </c>
      <c r="G275" s="74" t="s">
        <v>1518</v>
      </c>
      <c r="H275" s="74">
        <v>35</v>
      </c>
      <c r="I275" s="74">
        <v>0</v>
      </c>
    </row>
    <row r="276" spans="1:9">
      <c r="A276" s="74" t="s">
        <v>1515</v>
      </c>
      <c r="B276" s="74" t="s">
        <v>1854</v>
      </c>
      <c r="C276" s="74" t="s">
        <v>105</v>
      </c>
      <c r="D276" s="74" t="s">
        <v>1848</v>
      </c>
      <c r="E276" s="74" t="s">
        <v>103</v>
      </c>
      <c r="F276" s="74" t="s">
        <v>103</v>
      </c>
      <c r="G276" s="74" t="s">
        <v>1544</v>
      </c>
      <c r="H276" s="74">
        <v>20</v>
      </c>
      <c r="I276" s="74">
        <v>0</v>
      </c>
    </row>
    <row r="277" spans="1:9">
      <c r="A277" s="74" t="s">
        <v>1515</v>
      </c>
      <c r="B277" s="74" t="s">
        <v>1855</v>
      </c>
      <c r="C277" s="74" t="s">
        <v>105</v>
      </c>
      <c r="D277" s="74" t="s">
        <v>1848</v>
      </c>
      <c r="E277" s="74" t="s">
        <v>1856</v>
      </c>
      <c r="F277" s="74" t="s">
        <v>1856</v>
      </c>
      <c r="G277" s="74" t="s">
        <v>1518</v>
      </c>
      <c r="H277" s="74">
        <v>151</v>
      </c>
      <c r="I277" s="74">
        <v>14</v>
      </c>
    </row>
    <row r="278" spans="1:9">
      <c r="A278" s="74" t="s">
        <v>1515</v>
      </c>
      <c r="B278" s="74" t="s">
        <v>1857</v>
      </c>
      <c r="C278" s="74" t="s">
        <v>105</v>
      </c>
      <c r="D278" s="74" t="s">
        <v>1848</v>
      </c>
      <c r="E278" s="74" t="s">
        <v>104</v>
      </c>
      <c r="F278" s="74" t="s">
        <v>104</v>
      </c>
      <c r="G278" s="74" t="s">
        <v>1520</v>
      </c>
      <c r="H278" s="74">
        <v>80</v>
      </c>
      <c r="I278" s="74">
        <v>0</v>
      </c>
    </row>
    <row r="279" spans="1:9">
      <c r="A279" s="74" t="s">
        <v>1515</v>
      </c>
      <c r="B279" s="74" t="s">
        <v>1858</v>
      </c>
      <c r="C279" s="74" t="s">
        <v>105</v>
      </c>
      <c r="D279" s="74" t="s">
        <v>1848</v>
      </c>
      <c r="E279" s="74" t="s">
        <v>104</v>
      </c>
      <c r="F279" s="74" t="s">
        <v>104</v>
      </c>
      <c r="G279" s="74" t="s">
        <v>1518</v>
      </c>
      <c r="H279" s="74">
        <v>196</v>
      </c>
      <c r="I279" s="74">
        <v>23</v>
      </c>
    </row>
    <row r="280" spans="1:9">
      <c r="A280" s="74" t="s">
        <v>1515</v>
      </c>
      <c r="B280" s="74" t="s">
        <v>1859</v>
      </c>
      <c r="C280" s="74" t="s">
        <v>105</v>
      </c>
      <c r="D280" s="74" t="s">
        <v>1848</v>
      </c>
      <c r="E280" s="74" t="s">
        <v>104</v>
      </c>
      <c r="F280" s="74" t="s">
        <v>104</v>
      </c>
      <c r="G280" s="74" t="s">
        <v>1544</v>
      </c>
      <c r="H280" s="74">
        <v>28</v>
      </c>
      <c r="I280" s="74">
        <v>0</v>
      </c>
    </row>
    <row r="281" spans="1:9">
      <c r="A281" s="74" t="s">
        <v>1515</v>
      </c>
      <c r="B281" s="74" t="s">
        <v>1860</v>
      </c>
      <c r="C281" s="74" t="s">
        <v>105</v>
      </c>
      <c r="D281" s="74" t="s">
        <v>1848</v>
      </c>
      <c r="E281" s="74" t="s">
        <v>103</v>
      </c>
      <c r="F281" s="74" t="s">
        <v>103</v>
      </c>
      <c r="G281" s="74" t="s">
        <v>1518</v>
      </c>
      <c r="H281" s="74">
        <v>318</v>
      </c>
      <c r="I281" s="74">
        <v>48</v>
      </c>
    </row>
    <row r="282" spans="1:9">
      <c r="A282" s="74" t="s">
        <v>1515</v>
      </c>
      <c r="B282" s="74" t="s">
        <v>1861</v>
      </c>
      <c r="C282" s="74" t="s">
        <v>105</v>
      </c>
      <c r="D282" s="74" t="s">
        <v>1848</v>
      </c>
      <c r="E282" s="74" t="s">
        <v>104</v>
      </c>
      <c r="F282" s="74" t="s">
        <v>104</v>
      </c>
      <c r="G282" s="74" t="s">
        <v>1518</v>
      </c>
      <c r="H282" s="74">
        <v>32</v>
      </c>
      <c r="I282" s="74">
        <v>0</v>
      </c>
    </row>
    <row r="283" spans="1:9">
      <c r="A283" s="74" t="s">
        <v>1515</v>
      </c>
      <c r="B283" s="74" t="s">
        <v>1862</v>
      </c>
      <c r="C283" s="74" t="s">
        <v>105</v>
      </c>
      <c r="D283" s="74" t="s">
        <v>1848</v>
      </c>
      <c r="E283" s="74" t="s">
        <v>32</v>
      </c>
      <c r="F283" s="74" t="s">
        <v>32</v>
      </c>
      <c r="G283" s="74" t="s">
        <v>1518</v>
      </c>
      <c r="H283" s="74">
        <v>104</v>
      </c>
      <c r="I283" s="74">
        <v>13</v>
      </c>
    </row>
    <row r="284" spans="1:9">
      <c r="A284" s="74" t="s">
        <v>1515</v>
      </c>
      <c r="B284" s="74" t="s">
        <v>1863</v>
      </c>
      <c r="C284" s="74" t="s">
        <v>105</v>
      </c>
      <c r="D284" s="74" t="s">
        <v>1848</v>
      </c>
      <c r="E284" s="74" t="s">
        <v>103</v>
      </c>
      <c r="F284" s="74" t="s">
        <v>103</v>
      </c>
      <c r="G284" s="74" t="s">
        <v>1518</v>
      </c>
      <c r="H284" s="74">
        <v>207</v>
      </c>
      <c r="I284" s="74">
        <v>15</v>
      </c>
    </row>
    <row r="285" spans="1:9">
      <c r="A285" s="74" t="s">
        <v>1515</v>
      </c>
      <c r="B285" s="74" t="s">
        <v>1864</v>
      </c>
      <c r="C285" s="74" t="s">
        <v>105</v>
      </c>
      <c r="D285" s="74" t="s">
        <v>1848</v>
      </c>
      <c r="E285" s="74" t="s">
        <v>30</v>
      </c>
      <c r="F285" s="74" t="s">
        <v>30</v>
      </c>
      <c r="G285" s="74" t="s">
        <v>1518</v>
      </c>
      <c r="H285" s="74">
        <v>32</v>
      </c>
      <c r="I285" s="74">
        <v>0</v>
      </c>
    </row>
    <row r="286" spans="1:9">
      <c r="A286" s="74" t="s">
        <v>1515</v>
      </c>
      <c r="B286" s="74" t="s">
        <v>1865</v>
      </c>
      <c r="C286" s="74" t="s">
        <v>105</v>
      </c>
      <c r="D286" s="74" t="s">
        <v>1848</v>
      </c>
      <c r="E286" s="74" t="s">
        <v>104</v>
      </c>
      <c r="F286" s="74" t="s">
        <v>104</v>
      </c>
      <c r="G286" s="74" t="s">
        <v>1518</v>
      </c>
      <c r="H286" s="74">
        <v>100</v>
      </c>
      <c r="I286" s="74">
        <v>6</v>
      </c>
    </row>
    <row r="287" spans="1:9">
      <c r="A287" s="74" t="s">
        <v>1515</v>
      </c>
      <c r="B287" s="74" t="s">
        <v>1866</v>
      </c>
      <c r="C287" s="74" t="s">
        <v>105</v>
      </c>
      <c r="D287" s="74" t="s">
        <v>1848</v>
      </c>
      <c r="E287" s="74" t="s">
        <v>103</v>
      </c>
      <c r="F287" s="74" t="s">
        <v>103</v>
      </c>
      <c r="G287" s="74" t="s">
        <v>1518</v>
      </c>
      <c r="H287" s="74">
        <v>41</v>
      </c>
      <c r="I287" s="74">
        <v>0</v>
      </c>
    </row>
    <row r="288" spans="1:9">
      <c r="A288" s="74" t="s">
        <v>1515</v>
      </c>
      <c r="B288" s="74" t="s">
        <v>1867</v>
      </c>
      <c r="C288" s="74" t="s">
        <v>105</v>
      </c>
      <c r="D288" s="74" t="s">
        <v>1848</v>
      </c>
      <c r="E288" s="74" t="s">
        <v>104</v>
      </c>
      <c r="F288" s="74" t="s">
        <v>104</v>
      </c>
      <c r="G288" s="74" t="s">
        <v>1518</v>
      </c>
      <c r="H288" s="74">
        <v>6</v>
      </c>
      <c r="I288" s="74">
        <v>0</v>
      </c>
    </row>
    <row r="289" spans="1:9">
      <c r="A289" s="74" t="s">
        <v>1515</v>
      </c>
      <c r="B289" s="74" t="s">
        <v>1868</v>
      </c>
      <c r="C289" s="74" t="s">
        <v>105</v>
      </c>
      <c r="D289" s="74" t="s">
        <v>1848</v>
      </c>
      <c r="E289" s="74" t="s">
        <v>103</v>
      </c>
      <c r="F289" s="74" t="s">
        <v>103</v>
      </c>
      <c r="G289" s="74" t="s">
        <v>1520</v>
      </c>
      <c r="H289" s="74">
        <v>50</v>
      </c>
      <c r="I289" s="74">
        <v>0</v>
      </c>
    </row>
    <row r="290" spans="1:9">
      <c r="A290" s="74" t="s">
        <v>1515</v>
      </c>
      <c r="B290" s="74" t="s">
        <v>1869</v>
      </c>
      <c r="C290" s="74" t="s">
        <v>105</v>
      </c>
      <c r="D290" s="74" t="s">
        <v>1848</v>
      </c>
      <c r="E290" s="74" t="s">
        <v>104</v>
      </c>
      <c r="F290" s="74" t="s">
        <v>104</v>
      </c>
      <c r="G290" s="74" t="s">
        <v>1518</v>
      </c>
      <c r="H290" s="74">
        <v>175</v>
      </c>
      <c r="I290" s="74">
        <v>31</v>
      </c>
    </row>
    <row r="291" spans="1:9">
      <c r="A291" s="74" t="s">
        <v>1515</v>
      </c>
      <c r="B291" s="74" t="s">
        <v>1870</v>
      </c>
      <c r="C291" s="74" t="s">
        <v>105</v>
      </c>
      <c r="D291" s="74" t="s">
        <v>1848</v>
      </c>
      <c r="E291" s="74" t="s">
        <v>103</v>
      </c>
      <c r="F291" s="74" t="s">
        <v>103</v>
      </c>
      <c r="G291" s="74" t="s">
        <v>1518</v>
      </c>
      <c r="H291" s="74">
        <v>340</v>
      </c>
      <c r="I291" s="74">
        <v>42</v>
      </c>
    </row>
    <row r="292" spans="1:9">
      <c r="A292" s="74" t="s">
        <v>1515</v>
      </c>
      <c r="B292" s="74" t="s">
        <v>1871</v>
      </c>
      <c r="C292" s="74" t="s">
        <v>105</v>
      </c>
      <c r="D292" s="74" t="s">
        <v>1848</v>
      </c>
      <c r="E292" s="74" t="s">
        <v>103</v>
      </c>
      <c r="F292" s="74" t="s">
        <v>103</v>
      </c>
      <c r="G292" s="74" t="s">
        <v>1518</v>
      </c>
      <c r="H292" s="74">
        <v>149</v>
      </c>
      <c r="I292" s="74">
        <v>25</v>
      </c>
    </row>
    <row r="293" spans="1:9">
      <c r="A293" s="74" t="s">
        <v>1515</v>
      </c>
      <c r="B293" s="74" t="s">
        <v>1872</v>
      </c>
      <c r="C293" s="74" t="s">
        <v>105</v>
      </c>
      <c r="D293" s="74" t="s">
        <v>1848</v>
      </c>
      <c r="E293" s="74" t="s">
        <v>104</v>
      </c>
      <c r="F293" s="74" t="s">
        <v>104</v>
      </c>
      <c r="G293" s="74" t="s">
        <v>1526</v>
      </c>
      <c r="H293" s="74">
        <v>10</v>
      </c>
      <c r="I293" s="74">
        <v>0</v>
      </c>
    </row>
    <row r="294" spans="1:9">
      <c r="A294" s="74" t="s">
        <v>1515</v>
      </c>
      <c r="B294" s="74" t="s">
        <v>1873</v>
      </c>
      <c r="C294" s="74" t="s">
        <v>105</v>
      </c>
      <c r="D294" s="74" t="s">
        <v>1848</v>
      </c>
      <c r="E294" s="74" t="s">
        <v>103</v>
      </c>
      <c r="F294" s="74" t="s">
        <v>103</v>
      </c>
      <c r="G294" s="74" t="s">
        <v>1529</v>
      </c>
      <c r="H294" s="74">
        <v>15</v>
      </c>
      <c r="I294" s="74">
        <v>0</v>
      </c>
    </row>
    <row r="295" spans="1:9">
      <c r="A295" s="74" t="s">
        <v>1515</v>
      </c>
      <c r="B295" s="74" t="s">
        <v>1874</v>
      </c>
      <c r="C295" s="74" t="s">
        <v>115</v>
      </c>
      <c r="D295" s="74" t="s">
        <v>1875</v>
      </c>
      <c r="E295" s="74" t="s">
        <v>9</v>
      </c>
      <c r="F295" s="74" t="s">
        <v>9</v>
      </c>
      <c r="G295" s="74" t="s">
        <v>1518</v>
      </c>
      <c r="H295" s="74">
        <v>317</v>
      </c>
      <c r="I295" s="74">
        <v>27</v>
      </c>
    </row>
    <row r="296" spans="1:9">
      <c r="A296" s="74" t="s">
        <v>1515</v>
      </c>
      <c r="B296" s="74" t="s">
        <v>1876</v>
      </c>
      <c r="C296" s="74" t="s">
        <v>115</v>
      </c>
      <c r="D296" s="74" t="s">
        <v>1875</v>
      </c>
      <c r="E296" s="74" t="s">
        <v>14</v>
      </c>
      <c r="F296" s="74" t="s">
        <v>14</v>
      </c>
      <c r="G296" s="74" t="s">
        <v>1518</v>
      </c>
      <c r="H296" s="74">
        <v>43</v>
      </c>
      <c r="I296" s="74">
        <v>0</v>
      </c>
    </row>
    <row r="297" spans="1:9">
      <c r="A297" s="74" t="s">
        <v>1515</v>
      </c>
      <c r="B297" s="74" t="s">
        <v>1877</v>
      </c>
      <c r="C297" s="74" t="s">
        <v>115</v>
      </c>
      <c r="D297" s="74" t="s">
        <v>1875</v>
      </c>
      <c r="E297" s="74" t="s">
        <v>53</v>
      </c>
      <c r="F297" s="74" t="s">
        <v>53</v>
      </c>
      <c r="G297" s="74" t="s">
        <v>1518</v>
      </c>
      <c r="H297" s="74">
        <v>30</v>
      </c>
      <c r="I297" s="74">
        <v>0</v>
      </c>
    </row>
    <row r="298" spans="1:9">
      <c r="A298" s="74" t="s">
        <v>1515</v>
      </c>
      <c r="B298" s="74" t="s">
        <v>1878</v>
      </c>
      <c r="C298" s="74" t="s">
        <v>115</v>
      </c>
      <c r="D298" s="74" t="s">
        <v>1875</v>
      </c>
      <c r="E298" s="74" t="s">
        <v>14</v>
      </c>
      <c r="F298" s="74" t="s">
        <v>14</v>
      </c>
      <c r="G298" s="74" t="s">
        <v>1518</v>
      </c>
      <c r="H298" s="74">
        <v>60</v>
      </c>
      <c r="I298" s="74">
        <v>0</v>
      </c>
    </row>
    <row r="299" spans="1:9">
      <c r="A299" s="74" t="s">
        <v>1515</v>
      </c>
      <c r="B299" s="74" t="s">
        <v>1879</v>
      </c>
      <c r="C299" s="74" t="s">
        <v>115</v>
      </c>
      <c r="D299" s="74" t="s">
        <v>1875</v>
      </c>
      <c r="E299" s="74" t="s">
        <v>14</v>
      </c>
      <c r="F299" s="74" t="s">
        <v>14</v>
      </c>
      <c r="G299" s="74" t="s">
        <v>1518</v>
      </c>
      <c r="H299" s="74">
        <v>202</v>
      </c>
      <c r="I299" s="74">
        <v>26</v>
      </c>
    </row>
    <row r="300" spans="1:9">
      <c r="A300" s="74" t="s">
        <v>1515</v>
      </c>
      <c r="B300" s="74" t="s">
        <v>1880</v>
      </c>
      <c r="C300" s="74" t="s">
        <v>115</v>
      </c>
      <c r="D300" s="74" t="s">
        <v>1875</v>
      </c>
      <c r="E300" s="74" t="s">
        <v>8</v>
      </c>
      <c r="F300" s="74" t="s">
        <v>8</v>
      </c>
      <c r="G300" s="74" t="s">
        <v>1526</v>
      </c>
      <c r="H300" s="74">
        <v>18</v>
      </c>
      <c r="I300" s="74">
        <v>0</v>
      </c>
    </row>
    <row r="301" spans="1:9">
      <c r="A301" s="74" t="s">
        <v>1515</v>
      </c>
      <c r="B301" s="74" t="s">
        <v>1881</v>
      </c>
      <c r="C301" s="74" t="s">
        <v>115</v>
      </c>
      <c r="D301" s="74" t="s">
        <v>1875</v>
      </c>
      <c r="E301" s="74" t="s">
        <v>9</v>
      </c>
      <c r="F301" s="74" t="s">
        <v>9</v>
      </c>
      <c r="G301" s="74" t="s">
        <v>1522</v>
      </c>
      <c r="H301" s="74">
        <v>33</v>
      </c>
      <c r="I301" s="74">
        <v>0</v>
      </c>
    </row>
    <row r="302" spans="1:9">
      <c r="A302" s="74" t="s">
        <v>1515</v>
      </c>
      <c r="B302" s="74" t="s">
        <v>1882</v>
      </c>
      <c r="C302" s="74" t="s">
        <v>115</v>
      </c>
      <c r="D302" s="74" t="s">
        <v>1875</v>
      </c>
      <c r="E302" s="74" t="s">
        <v>8</v>
      </c>
      <c r="F302" s="74" t="s">
        <v>8</v>
      </c>
      <c r="G302" s="74" t="s">
        <v>1522</v>
      </c>
      <c r="H302" s="74">
        <v>30</v>
      </c>
      <c r="I302" s="74">
        <v>0</v>
      </c>
    </row>
    <row r="303" spans="1:9">
      <c r="A303" s="74" t="s">
        <v>1515</v>
      </c>
      <c r="B303" s="74" t="s">
        <v>1883</v>
      </c>
      <c r="C303" s="74" t="s">
        <v>115</v>
      </c>
      <c r="D303" s="74" t="s">
        <v>1875</v>
      </c>
      <c r="E303" s="74" t="s">
        <v>9</v>
      </c>
      <c r="F303" s="74" t="s">
        <v>9</v>
      </c>
      <c r="G303" s="74" t="s">
        <v>1518</v>
      </c>
      <c r="H303" s="74">
        <v>125</v>
      </c>
      <c r="I303" s="74">
        <v>23</v>
      </c>
    </row>
    <row r="304" spans="1:9">
      <c r="A304" s="74" t="s">
        <v>1515</v>
      </c>
      <c r="B304" s="74" t="s">
        <v>1884</v>
      </c>
      <c r="C304" s="74" t="s">
        <v>115</v>
      </c>
      <c r="D304" s="74" t="s">
        <v>1875</v>
      </c>
      <c r="E304" s="74" t="s">
        <v>8</v>
      </c>
      <c r="F304" s="74" t="s">
        <v>8</v>
      </c>
      <c r="G304" s="74" t="s">
        <v>1529</v>
      </c>
      <c r="H304" s="74">
        <v>20</v>
      </c>
      <c r="I304" s="74">
        <v>0</v>
      </c>
    </row>
    <row r="305" spans="1:9">
      <c r="A305" s="74" t="s">
        <v>1515</v>
      </c>
      <c r="B305" s="74" t="s">
        <v>1885</v>
      </c>
      <c r="C305" s="74" t="s">
        <v>115</v>
      </c>
      <c r="D305" s="74" t="s">
        <v>1875</v>
      </c>
      <c r="E305" s="74" t="s">
        <v>8</v>
      </c>
      <c r="F305" s="74" t="s">
        <v>8</v>
      </c>
      <c r="G305" s="74" t="s">
        <v>1518</v>
      </c>
      <c r="H305" s="74">
        <v>110</v>
      </c>
      <c r="I305" s="74">
        <v>18</v>
      </c>
    </row>
    <row r="306" spans="1:9">
      <c r="A306" s="74" t="s">
        <v>1515</v>
      </c>
      <c r="B306" s="74" t="s">
        <v>1886</v>
      </c>
      <c r="C306" s="74" t="s">
        <v>115</v>
      </c>
      <c r="D306" s="74" t="s">
        <v>1875</v>
      </c>
      <c r="E306" s="74" t="s">
        <v>8</v>
      </c>
      <c r="F306" s="74" t="s">
        <v>8</v>
      </c>
      <c r="G306" s="74" t="s">
        <v>1529</v>
      </c>
      <c r="H306" s="74">
        <v>40</v>
      </c>
      <c r="I306" s="74">
        <v>0</v>
      </c>
    </row>
    <row r="307" spans="1:9">
      <c r="A307" s="74" t="s">
        <v>1515</v>
      </c>
      <c r="B307" s="74" t="s">
        <v>1887</v>
      </c>
      <c r="C307" s="74" t="s">
        <v>115</v>
      </c>
      <c r="D307" s="74" t="s">
        <v>1875</v>
      </c>
      <c r="E307" s="74" t="s">
        <v>53</v>
      </c>
      <c r="F307" s="74" t="s">
        <v>53</v>
      </c>
      <c r="G307" s="74" t="s">
        <v>1520</v>
      </c>
      <c r="H307" s="74">
        <v>75</v>
      </c>
      <c r="I307" s="74">
        <v>0</v>
      </c>
    </row>
    <row r="308" spans="1:9">
      <c r="A308" s="74" t="s">
        <v>1515</v>
      </c>
      <c r="B308" s="74" t="s">
        <v>1888</v>
      </c>
      <c r="C308" s="74" t="s">
        <v>115</v>
      </c>
      <c r="D308" s="74" t="s">
        <v>1875</v>
      </c>
      <c r="E308" s="74" t="s">
        <v>14</v>
      </c>
      <c r="F308" s="74" t="s">
        <v>14</v>
      </c>
      <c r="G308" s="74" t="s">
        <v>1518</v>
      </c>
      <c r="H308" s="74">
        <v>43</v>
      </c>
      <c r="I308" s="74">
        <v>2</v>
      </c>
    </row>
    <row r="309" spans="1:9">
      <c r="A309" s="74" t="s">
        <v>1515</v>
      </c>
      <c r="B309" s="74" t="s">
        <v>1889</v>
      </c>
      <c r="C309" s="74" t="s">
        <v>115</v>
      </c>
      <c r="D309" s="74" t="s">
        <v>1875</v>
      </c>
      <c r="E309" s="74" t="s">
        <v>8</v>
      </c>
      <c r="F309" s="74" t="s">
        <v>8</v>
      </c>
      <c r="G309" s="74" t="s">
        <v>1518</v>
      </c>
      <c r="H309" s="74">
        <v>237</v>
      </c>
      <c r="I309" s="74">
        <v>25</v>
      </c>
    </row>
    <row r="310" spans="1:9">
      <c r="A310" s="74" t="s">
        <v>1515</v>
      </c>
      <c r="B310" s="74" t="s">
        <v>1890</v>
      </c>
      <c r="C310" s="74" t="s">
        <v>115</v>
      </c>
      <c r="D310" s="74" t="s">
        <v>1875</v>
      </c>
      <c r="E310" s="74" t="s">
        <v>8</v>
      </c>
      <c r="F310" s="74" t="s">
        <v>8</v>
      </c>
      <c r="G310" s="74" t="s">
        <v>1518</v>
      </c>
      <c r="H310" s="74">
        <v>262</v>
      </c>
      <c r="I310" s="74">
        <v>45</v>
      </c>
    </row>
    <row r="311" spans="1:9">
      <c r="A311" s="74" t="s">
        <v>1515</v>
      </c>
      <c r="B311" s="74" t="s">
        <v>1891</v>
      </c>
      <c r="C311" s="74" t="s">
        <v>115</v>
      </c>
      <c r="D311" s="74" t="s">
        <v>1875</v>
      </c>
      <c r="E311" s="74" t="s">
        <v>8</v>
      </c>
      <c r="F311" s="74" t="s">
        <v>8</v>
      </c>
      <c r="G311" s="74" t="s">
        <v>1518</v>
      </c>
      <c r="H311" s="74">
        <v>134</v>
      </c>
      <c r="I311" s="74">
        <v>0</v>
      </c>
    </row>
    <row r="312" spans="1:9">
      <c r="A312" s="74" t="s">
        <v>1515</v>
      </c>
      <c r="B312" s="74" t="s">
        <v>1892</v>
      </c>
      <c r="C312" s="74" t="s">
        <v>115</v>
      </c>
      <c r="D312" s="74" t="s">
        <v>1875</v>
      </c>
      <c r="E312" s="74" t="s">
        <v>53</v>
      </c>
      <c r="F312" s="74" t="s">
        <v>53</v>
      </c>
      <c r="G312" s="74" t="s">
        <v>1518</v>
      </c>
      <c r="H312" s="74">
        <v>12</v>
      </c>
      <c r="I312" s="74">
        <v>0</v>
      </c>
    </row>
    <row r="313" spans="1:9">
      <c r="A313" s="74" t="s">
        <v>1515</v>
      </c>
      <c r="B313" s="74" t="s">
        <v>1893</v>
      </c>
      <c r="C313" s="74" t="s">
        <v>115</v>
      </c>
      <c r="D313" s="74" t="s">
        <v>1875</v>
      </c>
      <c r="E313" s="74" t="s">
        <v>53</v>
      </c>
      <c r="F313" s="74" t="s">
        <v>53</v>
      </c>
      <c r="G313" s="74" t="s">
        <v>1518</v>
      </c>
      <c r="H313" s="74">
        <v>50</v>
      </c>
      <c r="I313" s="74">
        <v>0</v>
      </c>
    </row>
    <row r="314" spans="1:9">
      <c r="A314" s="74" t="s">
        <v>1515</v>
      </c>
      <c r="B314" s="74" t="s">
        <v>1894</v>
      </c>
      <c r="C314" s="74" t="s">
        <v>115</v>
      </c>
      <c r="D314" s="74" t="s">
        <v>1875</v>
      </c>
      <c r="E314" s="74" t="s">
        <v>53</v>
      </c>
      <c r="F314" s="74" t="s">
        <v>53</v>
      </c>
      <c r="G314" s="74" t="s">
        <v>1518</v>
      </c>
      <c r="H314" s="74">
        <v>30</v>
      </c>
      <c r="I314" s="74">
        <v>0</v>
      </c>
    </row>
    <row r="315" spans="1:9">
      <c r="A315" s="74" t="s">
        <v>1515</v>
      </c>
      <c r="B315" s="74" t="s">
        <v>1895</v>
      </c>
      <c r="C315" s="74" t="s">
        <v>115</v>
      </c>
      <c r="D315" s="74" t="s">
        <v>1875</v>
      </c>
      <c r="E315" s="74" t="s">
        <v>53</v>
      </c>
      <c r="F315" s="74" t="s">
        <v>53</v>
      </c>
      <c r="G315" s="74" t="s">
        <v>1529</v>
      </c>
      <c r="H315" s="74">
        <v>16</v>
      </c>
      <c r="I315" s="74">
        <v>0</v>
      </c>
    </row>
    <row r="316" spans="1:9">
      <c r="A316" s="74" t="s">
        <v>1515</v>
      </c>
      <c r="B316" s="74" t="s">
        <v>1588</v>
      </c>
      <c r="C316" s="74" t="s">
        <v>1589</v>
      </c>
      <c r="D316" s="74" t="s">
        <v>1590</v>
      </c>
      <c r="E316" s="74" t="s">
        <v>11</v>
      </c>
      <c r="F316" s="74" t="s">
        <v>11</v>
      </c>
      <c r="G316" s="74" t="s">
        <v>1518</v>
      </c>
      <c r="H316" s="74">
        <v>46</v>
      </c>
      <c r="I316" s="74">
        <v>0</v>
      </c>
    </row>
    <row r="317" spans="1:9">
      <c r="A317" s="74" t="s">
        <v>1515</v>
      </c>
      <c r="B317" s="74" t="s">
        <v>1896</v>
      </c>
      <c r="C317" s="74" t="s">
        <v>1589</v>
      </c>
      <c r="D317" s="74" t="s">
        <v>1590</v>
      </c>
      <c r="E317" s="74" t="s">
        <v>42</v>
      </c>
      <c r="F317" s="74" t="s">
        <v>42</v>
      </c>
      <c r="G317" s="74" t="s">
        <v>1518</v>
      </c>
      <c r="H317" s="74">
        <v>206</v>
      </c>
      <c r="I317" s="74">
        <v>18</v>
      </c>
    </row>
    <row r="318" spans="1:9">
      <c r="A318" s="74" t="s">
        <v>1515</v>
      </c>
      <c r="B318" s="74" t="s">
        <v>1897</v>
      </c>
      <c r="C318" s="74" t="s">
        <v>1589</v>
      </c>
      <c r="D318" s="74" t="s">
        <v>1590</v>
      </c>
      <c r="E318" s="74" t="s">
        <v>112</v>
      </c>
      <c r="F318" s="74" t="s">
        <v>112</v>
      </c>
      <c r="G318" s="74" t="s">
        <v>1518</v>
      </c>
      <c r="H318" s="74">
        <v>132</v>
      </c>
      <c r="I318" s="74">
        <v>12</v>
      </c>
    </row>
    <row r="319" spans="1:9">
      <c r="A319" s="74" t="s">
        <v>1515</v>
      </c>
      <c r="B319" s="74" t="s">
        <v>1591</v>
      </c>
      <c r="C319" s="74" t="s">
        <v>1589</v>
      </c>
      <c r="D319" s="74" t="s">
        <v>1590</v>
      </c>
      <c r="E319" s="74" t="s">
        <v>1592</v>
      </c>
      <c r="F319" s="74" t="s">
        <v>1592</v>
      </c>
      <c r="G319" s="74" t="s">
        <v>1518</v>
      </c>
      <c r="H319" s="74">
        <v>222</v>
      </c>
      <c r="I319" s="74">
        <v>32</v>
      </c>
    </row>
    <row r="320" spans="1:9">
      <c r="A320" s="74" t="s">
        <v>1515</v>
      </c>
      <c r="B320" s="74" t="s">
        <v>1593</v>
      </c>
      <c r="C320" s="74" t="s">
        <v>1589</v>
      </c>
      <c r="D320" s="74" t="s">
        <v>1590</v>
      </c>
      <c r="E320" s="74" t="s">
        <v>11</v>
      </c>
      <c r="F320" s="74" t="s">
        <v>11</v>
      </c>
      <c r="G320" s="74" t="s">
        <v>1529</v>
      </c>
      <c r="H320" s="74">
        <v>30</v>
      </c>
      <c r="I320" s="74">
        <v>0</v>
      </c>
    </row>
    <row r="321" spans="1:9">
      <c r="A321" s="74" t="s">
        <v>1515</v>
      </c>
      <c r="B321" s="74" t="s">
        <v>1898</v>
      </c>
      <c r="C321" s="74" t="s">
        <v>1589</v>
      </c>
      <c r="D321" s="74" t="s">
        <v>1590</v>
      </c>
      <c r="E321" s="74" t="s">
        <v>21</v>
      </c>
      <c r="F321" s="74" t="s">
        <v>21</v>
      </c>
      <c r="G321" s="74" t="s">
        <v>1522</v>
      </c>
      <c r="H321" s="74">
        <v>40</v>
      </c>
      <c r="I321" s="74">
        <v>0</v>
      </c>
    </row>
    <row r="322" spans="1:9">
      <c r="A322" s="74" t="s">
        <v>1515</v>
      </c>
      <c r="B322" s="74" t="s">
        <v>1899</v>
      </c>
      <c r="C322" s="74" t="s">
        <v>1589</v>
      </c>
      <c r="D322" s="74" t="s">
        <v>1590</v>
      </c>
      <c r="E322" s="74" t="s">
        <v>112</v>
      </c>
      <c r="F322" s="74" t="s">
        <v>112</v>
      </c>
      <c r="G322" s="74" t="s">
        <v>1529</v>
      </c>
      <c r="H322" s="74">
        <v>36</v>
      </c>
      <c r="I322" s="74">
        <v>0</v>
      </c>
    </row>
    <row r="323" spans="1:9">
      <c r="A323" s="74" t="s">
        <v>1515</v>
      </c>
      <c r="B323" s="74" t="s">
        <v>1594</v>
      </c>
      <c r="C323" s="74" t="s">
        <v>1589</v>
      </c>
      <c r="D323" s="74" t="s">
        <v>1590</v>
      </c>
      <c r="E323" s="74" t="s">
        <v>11</v>
      </c>
      <c r="F323" s="74" t="s">
        <v>11</v>
      </c>
      <c r="G323" s="74" t="s">
        <v>1522</v>
      </c>
      <c r="H323" s="74">
        <v>10</v>
      </c>
      <c r="I323" s="74">
        <v>0</v>
      </c>
    </row>
    <row r="324" spans="1:9">
      <c r="A324" s="74" t="s">
        <v>1515</v>
      </c>
      <c r="B324" s="74" t="s">
        <v>1900</v>
      </c>
      <c r="C324" s="74" t="s">
        <v>1589</v>
      </c>
      <c r="D324" s="74" t="s">
        <v>1590</v>
      </c>
      <c r="E324" s="74" t="s">
        <v>46</v>
      </c>
      <c r="F324" s="74" t="s">
        <v>46</v>
      </c>
      <c r="G324" s="74" t="s">
        <v>1518</v>
      </c>
      <c r="H324" s="74">
        <v>32</v>
      </c>
      <c r="I324" s="74">
        <v>0</v>
      </c>
    </row>
    <row r="325" spans="1:9">
      <c r="A325" s="74" t="s">
        <v>1515</v>
      </c>
      <c r="B325" s="74" t="s">
        <v>1595</v>
      </c>
      <c r="C325" s="74" t="s">
        <v>1589</v>
      </c>
      <c r="D325" s="74" t="s">
        <v>1590</v>
      </c>
      <c r="E325" s="74" t="s">
        <v>11</v>
      </c>
      <c r="F325" s="74" t="s">
        <v>11</v>
      </c>
      <c r="G325" s="74" t="s">
        <v>1522</v>
      </c>
      <c r="H325" s="74">
        <v>20</v>
      </c>
      <c r="I325" s="74">
        <v>0</v>
      </c>
    </row>
    <row r="326" spans="1:9">
      <c r="A326" s="74" t="s">
        <v>1515</v>
      </c>
      <c r="B326" s="74" t="s">
        <v>1901</v>
      </c>
      <c r="C326" s="74" t="s">
        <v>1589</v>
      </c>
      <c r="D326" s="74" t="s">
        <v>1590</v>
      </c>
      <c r="E326" s="74" t="s">
        <v>112</v>
      </c>
      <c r="F326" s="74" t="s">
        <v>112</v>
      </c>
      <c r="G326" s="74" t="s">
        <v>1522</v>
      </c>
      <c r="H326" s="74">
        <v>30</v>
      </c>
      <c r="I326" s="74">
        <v>0</v>
      </c>
    </row>
    <row r="327" spans="1:9">
      <c r="A327" s="74" t="s">
        <v>1515</v>
      </c>
      <c r="B327" s="74" t="s">
        <v>1902</v>
      </c>
      <c r="C327" s="74" t="s">
        <v>1589</v>
      </c>
      <c r="D327" s="74" t="s">
        <v>1590</v>
      </c>
      <c r="E327" s="74" t="s">
        <v>39</v>
      </c>
      <c r="F327" s="74" t="s">
        <v>39</v>
      </c>
      <c r="G327" s="74" t="s">
        <v>1518</v>
      </c>
      <c r="H327" s="74">
        <v>11</v>
      </c>
      <c r="I327" s="74">
        <v>0</v>
      </c>
    </row>
    <row r="328" spans="1:9">
      <c r="A328" s="74" t="s">
        <v>1515</v>
      </c>
      <c r="B328" s="74" t="s">
        <v>1903</v>
      </c>
      <c r="C328" s="74" t="s">
        <v>1589</v>
      </c>
      <c r="D328" s="74" t="s">
        <v>1590</v>
      </c>
      <c r="E328" s="74" t="s">
        <v>112</v>
      </c>
      <c r="F328" s="74" t="s">
        <v>112</v>
      </c>
      <c r="G328" s="74" t="s">
        <v>1522</v>
      </c>
      <c r="H328" s="74">
        <v>22</v>
      </c>
      <c r="I328" s="74">
        <v>0</v>
      </c>
    </row>
    <row r="329" spans="1:9">
      <c r="A329" s="74" t="s">
        <v>1515</v>
      </c>
      <c r="B329" s="74" t="s">
        <v>1904</v>
      </c>
      <c r="C329" s="74" t="s">
        <v>1589</v>
      </c>
      <c r="D329" s="74" t="s">
        <v>1590</v>
      </c>
      <c r="E329" s="74" t="s">
        <v>41</v>
      </c>
      <c r="F329" s="74" t="s">
        <v>41</v>
      </c>
      <c r="G329" s="74" t="s">
        <v>1518</v>
      </c>
      <c r="H329" s="74">
        <v>107</v>
      </c>
      <c r="I329" s="74">
        <v>9</v>
      </c>
    </row>
    <row r="330" spans="1:9">
      <c r="A330" s="74" t="s">
        <v>1515</v>
      </c>
      <c r="B330" s="74" t="s">
        <v>1905</v>
      </c>
      <c r="C330" s="74" t="s">
        <v>1589</v>
      </c>
      <c r="D330" s="74" t="s">
        <v>1590</v>
      </c>
      <c r="E330" s="74" t="s">
        <v>112</v>
      </c>
      <c r="F330" s="74" t="s">
        <v>112</v>
      </c>
      <c r="G330" s="74" t="s">
        <v>1518</v>
      </c>
      <c r="H330" s="74">
        <v>115</v>
      </c>
      <c r="I330" s="74">
        <v>8</v>
      </c>
    </row>
    <row r="331" spans="1:9">
      <c r="A331" s="74" t="s">
        <v>1515</v>
      </c>
      <c r="B331" s="74" t="s">
        <v>1596</v>
      </c>
      <c r="C331" s="74" t="s">
        <v>1589</v>
      </c>
      <c r="D331" s="74" t="s">
        <v>1590</v>
      </c>
      <c r="E331" s="74" t="s">
        <v>11</v>
      </c>
      <c r="F331" s="74" t="s">
        <v>11</v>
      </c>
      <c r="G331" s="74" t="s">
        <v>1529</v>
      </c>
      <c r="H331" s="74">
        <v>6</v>
      </c>
      <c r="I331" s="74">
        <v>0</v>
      </c>
    </row>
    <row r="332" spans="1:9">
      <c r="A332" s="74" t="s">
        <v>1515</v>
      </c>
      <c r="B332" s="74" t="s">
        <v>1906</v>
      </c>
      <c r="C332" s="74" t="s">
        <v>1589</v>
      </c>
      <c r="D332" s="74" t="s">
        <v>1590</v>
      </c>
      <c r="E332" s="74" t="s">
        <v>112</v>
      </c>
      <c r="F332" s="74" t="s">
        <v>112</v>
      </c>
      <c r="G332" s="74" t="s">
        <v>1526</v>
      </c>
      <c r="H332" s="74">
        <v>5</v>
      </c>
      <c r="I332" s="74">
        <v>0</v>
      </c>
    </row>
    <row r="333" spans="1:9">
      <c r="A333" s="74" t="s">
        <v>1515</v>
      </c>
      <c r="B333" s="74" t="s">
        <v>1907</v>
      </c>
      <c r="C333" s="74" t="s">
        <v>1589</v>
      </c>
      <c r="D333" s="74" t="s">
        <v>1590</v>
      </c>
      <c r="E333" s="74" t="s">
        <v>112</v>
      </c>
      <c r="F333" s="74" t="s">
        <v>112</v>
      </c>
      <c r="G333" s="74" t="s">
        <v>1518</v>
      </c>
      <c r="H333" s="74">
        <v>158</v>
      </c>
      <c r="I333" s="74">
        <v>24</v>
      </c>
    </row>
    <row r="334" spans="1:9">
      <c r="A334" s="74" t="s">
        <v>1515</v>
      </c>
      <c r="B334" s="74" t="s">
        <v>1908</v>
      </c>
      <c r="C334" s="74" t="s">
        <v>1589</v>
      </c>
      <c r="D334" s="74" t="s">
        <v>1590</v>
      </c>
      <c r="E334" s="74" t="s">
        <v>112</v>
      </c>
      <c r="F334" s="74" t="s">
        <v>112</v>
      </c>
      <c r="G334" s="74" t="s">
        <v>1520</v>
      </c>
      <c r="H334" s="74">
        <v>30</v>
      </c>
      <c r="I334" s="74">
        <v>0</v>
      </c>
    </row>
    <row r="335" spans="1:9">
      <c r="A335" s="74" t="s">
        <v>1515</v>
      </c>
      <c r="B335" s="74" t="s">
        <v>1909</v>
      </c>
      <c r="C335" s="74" t="s">
        <v>1589</v>
      </c>
      <c r="D335" s="74" t="s">
        <v>1590</v>
      </c>
      <c r="E335" s="74" t="s">
        <v>31</v>
      </c>
      <c r="F335" s="74" t="s">
        <v>31</v>
      </c>
      <c r="G335" s="74" t="s">
        <v>1518</v>
      </c>
      <c r="H335" s="74">
        <v>154</v>
      </c>
      <c r="I335" s="74">
        <v>14</v>
      </c>
    </row>
    <row r="336" spans="1:9">
      <c r="A336" s="74" t="s">
        <v>1515</v>
      </c>
      <c r="B336" s="74" t="s">
        <v>1910</v>
      </c>
      <c r="C336" s="74" t="s">
        <v>1589</v>
      </c>
      <c r="D336" s="74" t="s">
        <v>1590</v>
      </c>
      <c r="E336" s="74" t="s">
        <v>112</v>
      </c>
      <c r="F336" s="74" t="s">
        <v>112</v>
      </c>
      <c r="G336" s="74" t="s">
        <v>1518</v>
      </c>
      <c r="H336" s="74">
        <v>213</v>
      </c>
      <c r="I336" s="74">
        <v>12</v>
      </c>
    </row>
    <row r="337" spans="1:9">
      <c r="A337" s="74" t="s">
        <v>1515</v>
      </c>
      <c r="B337" s="74" t="s">
        <v>1911</v>
      </c>
      <c r="C337" s="74" t="s">
        <v>1589</v>
      </c>
      <c r="D337" s="74" t="s">
        <v>1590</v>
      </c>
      <c r="E337" s="74" t="s">
        <v>31</v>
      </c>
      <c r="F337" s="74" t="s">
        <v>31</v>
      </c>
      <c r="G337" s="74" t="s">
        <v>1529</v>
      </c>
      <c r="H337" s="74">
        <v>20</v>
      </c>
      <c r="I337" s="74">
        <v>0</v>
      </c>
    </row>
    <row r="338" spans="1:9">
      <c r="A338" s="74" t="s">
        <v>1515</v>
      </c>
      <c r="B338" s="74" t="s">
        <v>1597</v>
      </c>
      <c r="C338" s="74" t="s">
        <v>1589</v>
      </c>
      <c r="D338" s="74" t="s">
        <v>1590</v>
      </c>
      <c r="E338" s="74" t="s">
        <v>11</v>
      </c>
      <c r="F338" s="74" t="s">
        <v>11</v>
      </c>
      <c r="G338" s="74" t="s">
        <v>1518</v>
      </c>
      <c r="H338" s="74">
        <v>142</v>
      </c>
      <c r="I338" s="74">
        <v>15</v>
      </c>
    </row>
    <row r="339" spans="1:9">
      <c r="A339" s="74" t="s">
        <v>1515</v>
      </c>
      <c r="B339" s="74" t="s">
        <v>1912</v>
      </c>
      <c r="C339" s="74" t="s">
        <v>1589</v>
      </c>
      <c r="D339" s="74" t="s">
        <v>1590</v>
      </c>
      <c r="E339" s="74" t="s">
        <v>112</v>
      </c>
      <c r="F339" s="74" t="s">
        <v>112</v>
      </c>
      <c r="G339" s="74" t="s">
        <v>1518</v>
      </c>
      <c r="H339" s="74">
        <v>42</v>
      </c>
      <c r="I339" s="74">
        <v>12</v>
      </c>
    </row>
    <row r="340" spans="1:9">
      <c r="A340" s="74" t="s">
        <v>1515</v>
      </c>
      <c r="B340" s="74" t="s">
        <v>1913</v>
      </c>
      <c r="C340" s="74" t="s">
        <v>1589</v>
      </c>
      <c r="D340" s="74" t="s">
        <v>1590</v>
      </c>
      <c r="E340" s="74" t="s">
        <v>112</v>
      </c>
      <c r="F340" s="74" t="s">
        <v>112</v>
      </c>
      <c r="G340" s="74" t="s">
        <v>1522</v>
      </c>
      <c r="H340" s="74">
        <v>41</v>
      </c>
      <c r="I340" s="74">
        <v>0</v>
      </c>
    </row>
    <row r="341" spans="1:9">
      <c r="A341" s="74" t="s">
        <v>1515</v>
      </c>
      <c r="B341" s="74" t="s">
        <v>1914</v>
      </c>
      <c r="C341" s="74" t="s">
        <v>1589</v>
      </c>
      <c r="D341" s="74" t="s">
        <v>1590</v>
      </c>
      <c r="E341" s="74" t="s">
        <v>112</v>
      </c>
      <c r="F341" s="74" t="s">
        <v>112</v>
      </c>
      <c r="G341" s="74" t="s">
        <v>1518</v>
      </c>
      <c r="H341" s="74">
        <v>300</v>
      </c>
      <c r="I341" s="74">
        <v>28</v>
      </c>
    </row>
    <row r="342" spans="1:9">
      <c r="A342" s="74" t="s">
        <v>1515</v>
      </c>
      <c r="B342" s="74" t="s">
        <v>1915</v>
      </c>
      <c r="C342" s="74" t="s">
        <v>1589</v>
      </c>
      <c r="D342" s="74" t="s">
        <v>1590</v>
      </c>
      <c r="E342" s="74" t="s">
        <v>112</v>
      </c>
      <c r="F342" s="74" t="s">
        <v>112</v>
      </c>
      <c r="G342" s="74" t="s">
        <v>1518</v>
      </c>
      <c r="H342" s="74">
        <v>193</v>
      </c>
      <c r="I342" s="74">
        <v>11</v>
      </c>
    </row>
    <row r="343" spans="1:9">
      <c r="A343" s="74" t="s">
        <v>1515</v>
      </c>
      <c r="B343" s="74" t="s">
        <v>1916</v>
      </c>
      <c r="C343" s="74" t="s">
        <v>1589</v>
      </c>
      <c r="D343" s="74" t="s">
        <v>1590</v>
      </c>
      <c r="E343" s="74" t="s">
        <v>112</v>
      </c>
      <c r="F343" s="74" t="s">
        <v>112</v>
      </c>
      <c r="G343" s="74" t="s">
        <v>1518</v>
      </c>
      <c r="H343" s="74">
        <v>190</v>
      </c>
      <c r="I343" s="74">
        <v>22</v>
      </c>
    </row>
    <row r="344" spans="1:9">
      <c r="A344" s="74" t="s">
        <v>1515</v>
      </c>
      <c r="B344" s="74" t="s">
        <v>1598</v>
      </c>
      <c r="C344" s="74" t="s">
        <v>1589</v>
      </c>
      <c r="D344" s="74" t="s">
        <v>1590</v>
      </c>
      <c r="E344" s="74" t="s">
        <v>11</v>
      </c>
      <c r="F344" s="74" t="s">
        <v>11</v>
      </c>
      <c r="G344" s="74" t="s">
        <v>1518</v>
      </c>
      <c r="H344" s="74">
        <v>101</v>
      </c>
      <c r="I344" s="74">
        <v>11</v>
      </c>
    </row>
    <row r="345" spans="1:9">
      <c r="A345" s="74" t="s">
        <v>1515</v>
      </c>
      <c r="B345" s="74" t="s">
        <v>1917</v>
      </c>
      <c r="C345" s="74" t="s">
        <v>1589</v>
      </c>
      <c r="D345" s="74" t="s">
        <v>1590</v>
      </c>
      <c r="E345" s="74" t="s">
        <v>112</v>
      </c>
      <c r="F345" s="74" t="s">
        <v>112</v>
      </c>
      <c r="G345" s="74" t="s">
        <v>1518</v>
      </c>
      <c r="H345" s="74">
        <v>492</v>
      </c>
      <c r="I345" s="74">
        <v>27</v>
      </c>
    </row>
    <row r="346" spans="1:9">
      <c r="A346" s="74" t="s">
        <v>1515</v>
      </c>
      <c r="B346" s="74" t="s">
        <v>1918</v>
      </c>
      <c r="C346" s="74" t="s">
        <v>1589</v>
      </c>
      <c r="D346" s="74" t="s">
        <v>1590</v>
      </c>
      <c r="E346" s="74" t="s">
        <v>1919</v>
      </c>
      <c r="F346" s="74" t="s">
        <v>1919</v>
      </c>
      <c r="G346" s="74" t="s">
        <v>1518</v>
      </c>
      <c r="H346" s="74">
        <v>179</v>
      </c>
      <c r="I346" s="74">
        <v>11</v>
      </c>
    </row>
    <row r="347" spans="1:9">
      <c r="A347" s="74" t="s">
        <v>1515</v>
      </c>
      <c r="B347" s="74" t="s">
        <v>1920</v>
      </c>
      <c r="C347" s="74" t="s">
        <v>1589</v>
      </c>
      <c r="D347" s="74" t="s">
        <v>1590</v>
      </c>
      <c r="E347" s="74" t="s">
        <v>112</v>
      </c>
      <c r="F347" s="74" t="s">
        <v>112</v>
      </c>
      <c r="G347" s="74" t="s">
        <v>1518</v>
      </c>
      <c r="H347" s="74">
        <v>217</v>
      </c>
      <c r="I347" s="74">
        <v>7</v>
      </c>
    </row>
    <row r="348" spans="1:9">
      <c r="A348" s="74" t="s">
        <v>1515</v>
      </c>
      <c r="B348" s="74" t="s">
        <v>1921</v>
      </c>
      <c r="C348" s="74" t="s">
        <v>1589</v>
      </c>
      <c r="D348" s="74" t="s">
        <v>1590</v>
      </c>
      <c r="E348" s="74" t="s">
        <v>1919</v>
      </c>
      <c r="F348" s="74" t="s">
        <v>1919</v>
      </c>
      <c r="G348" s="74" t="s">
        <v>1518</v>
      </c>
      <c r="H348" s="74">
        <v>263</v>
      </c>
      <c r="I348" s="74">
        <v>38</v>
      </c>
    </row>
    <row r="349" spans="1:9">
      <c r="A349" s="74" t="s">
        <v>1515</v>
      </c>
      <c r="B349" s="74" t="s">
        <v>1922</v>
      </c>
      <c r="C349" s="74" t="s">
        <v>1589</v>
      </c>
      <c r="D349" s="74" t="s">
        <v>1590</v>
      </c>
      <c r="E349" s="74" t="s">
        <v>112</v>
      </c>
      <c r="F349" s="74" t="s">
        <v>112</v>
      </c>
      <c r="G349" s="74" t="s">
        <v>1526</v>
      </c>
      <c r="H349" s="74">
        <v>21</v>
      </c>
      <c r="I349" s="74">
        <v>0</v>
      </c>
    </row>
    <row r="350" spans="1:9">
      <c r="A350" s="74" t="s">
        <v>1515</v>
      </c>
      <c r="B350" s="74" t="s">
        <v>1923</v>
      </c>
      <c r="C350" s="74" t="s">
        <v>1589</v>
      </c>
      <c r="D350" s="74" t="s">
        <v>1590</v>
      </c>
      <c r="E350" s="74" t="s">
        <v>112</v>
      </c>
      <c r="F350" s="74" t="s">
        <v>112</v>
      </c>
      <c r="G350" s="74" t="s">
        <v>1518</v>
      </c>
      <c r="H350" s="74">
        <v>290</v>
      </c>
      <c r="I350" s="74">
        <v>30</v>
      </c>
    </row>
    <row r="351" spans="1:9">
      <c r="A351" s="74" t="s">
        <v>1515</v>
      </c>
      <c r="B351" s="74" t="s">
        <v>1924</v>
      </c>
      <c r="C351" s="74" t="s">
        <v>1589</v>
      </c>
      <c r="D351" s="74" t="s">
        <v>1590</v>
      </c>
      <c r="E351" s="74" t="s">
        <v>112</v>
      </c>
      <c r="F351" s="74" t="s">
        <v>112</v>
      </c>
      <c r="G351" s="74" t="s">
        <v>1518</v>
      </c>
      <c r="H351" s="74">
        <v>441</v>
      </c>
      <c r="I351" s="74">
        <v>71</v>
      </c>
    </row>
    <row r="352" spans="1:9">
      <c r="A352" s="74" t="s">
        <v>1515</v>
      </c>
      <c r="B352" s="74" t="s">
        <v>1599</v>
      </c>
      <c r="C352" s="74" t="s">
        <v>1589</v>
      </c>
      <c r="D352" s="74" t="s">
        <v>1590</v>
      </c>
      <c r="E352" s="74" t="s">
        <v>1592</v>
      </c>
      <c r="F352" s="74" t="s">
        <v>1592</v>
      </c>
      <c r="G352" s="74" t="s">
        <v>1518</v>
      </c>
      <c r="H352" s="74">
        <v>233</v>
      </c>
      <c r="I352" s="74">
        <v>25</v>
      </c>
    </row>
    <row r="353" spans="1:9">
      <c r="A353" s="74" t="s">
        <v>1515</v>
      </c>
      <c r="B353" s="74" t="s">
        <v>1925</v>
      </c>
      <c r="C353" s="74" t="s">
        <v>1589</v>
      </c>
      <c r="D353" s="74" t="s">
        <v>1590</v>
      </c>
      <c r="E353" s="74" t="s">
        <v>112</v>
      </c>
      <c r="F353" s="74" t="s">
        <v>112</v>
      </c>
      <c r="G353" s="74" t="s">
        <v>1518</v>
      </c>
      <c r="H353" s="74">
        <v>197</v>
      </c>
      <c r="I353" s="74">
        <v>8</v>
      </c>
    </row>
    <row r="354" spans="1:9">
      <c r="A354" s="74" t="s">
        <v>1515</v>
      </c>
      <c r="B354" s="74" t="s">
        <v>1926</v>
      </c>
      <c r="C354" s="74" t="s">
        <v>1589</v>
      </c>
      <c r="D354" s="74" t="s">
        <v>1590</v>
      </c>
      <c r="E354" s="74" t="s">
        <v>31</v>
      </c>
      <c r="F354" s="74" t="s">
        <v>31</v>
      </c>
      <c r="G354" s="74" t="s">
        <v>1518</v>
      </c>
      <c r="H354" s="74">
        <v>151</v>
      </c>
      <c r="I354" s="74">
        <v>13</v>
      </c>
    </row>
    <row r="355" spans="1:9">
      <c r="A355" s="74" t="s">
        <v>1515</v>
      </c>
      <c r="B355" s="74" t="s">
        <v>1927</v>
      </c>
      <c r="C355" s="74" t="s">
        <v>1589</v>
      </c>
      <c r="D355" s="74" t="s">
        <v>1590</v>
      </c>
      <c r="E355" s="74" t="s">
        <v>112</v>
      </c>
      <c r="F355" s="74" t="s">
        <v>112</v>
      </c>
      <c r="G355" s="74" t="s">
        <v>1518</v>
      </c>
      <c r="H355" s="74">
        <v>235</v>
      </c>
      <c r="I355" s="74">
        <v>14</v>
      </c>
    </row>
    <row r="356" spans="1:9">
      <c r="A356" s="74" t="s">
        <v>1515</v>
      </c>
      <c r="B356" s="74" t="s">
        <v>1928</v>
      </c>
      <c r="C356" s="74" t="s">
        <v>1589</v>
      </c>
      <c r="D356" s="74" t="s">
        <v>1590</v>
      </c>
      <c r="E356" s="74" t="s">
        <v>112</v>
      </c>
      <c r="F356" s="74" t="s">
        <v>112</v>
      </c>
      <c r="G356" s="74" t="s">
        <v>1518</v>
      </c>
      <c r="H356" s="74">
        <v>119</v>
      </c>
      <c r="I356" s="74">
        <v>21</v>
      </c>
    </row>
    <row r="357" spans="1:9">
      <c r="A357" s="74" t="s">
        <v>1515</v>
      </c>
      <c r="B357" s="74" t="s">
        <v>1929</v>
      </c>
      <c r="C357" s="74" t="s">
        <v>1589</v>
      </c>
      <c r="D357" s="74" t="s">
        <v>1590</v>
      </c>
      <c r="E357" s="74" t="s">
        <v>46</v>
      </c>
      <c r="F357" s="74" t="s">
        <v>46</v>
      </c>
      <c r="G357" s="74" t="s">
        <v>1518</v>
      </c>
      <c r="H357" s="74">
        <v>36</v>
      </c>
      <c r="I357" s="74">
        <v>0</v>
      </c>
    </row>
    <row r="358" spans="1:9">
      <c r="A358" s="74" t="s">
        <v>1515</v>
      </c>
      <c r="B358" s="74" t="s">
        <v>1930</v>
      </c>
      <c r="C358" s="74" t="s">
        <v>1589</v>
      </c>
      <c r="D358" s="74" t="s">
        <v>1590</v>
      </c>
      <c r="E358" s="74" t="s">
        <v>112</v>
      </c>
      <c r="F358" s="74" t="s">
        <v>112</v>
      </c>
      <c r="G358" s="74" t="s">
        <v>1529</v>
      </c>
      <c r="H358" s="74">
        <v>21</v>
      </c>
      <c r="I358" s="74">
        <v>0</v>
      </c>
    </row>
    <row r="359" spans="1:9">
      <c r="A359" s="74" t="s">
        <v>1515</v>
      </c>
      <c r="B359" s="74" t="s">
        <v>1931</v>
      </c>
      <c r="C359" s="74" t="s">
        <v>1589</v>
      </c>
      <c r="D359" s="74" t="s">
        <v>1590</v>
      </c>
      <c r="E359" s="74" t="s">
        <v>112</v>
      </c>
      <c r="F359" s="74" t="s">
        <v>112</v>
      </c>
      <c r="G359" s="74" t="s">
        <v>1522</v>
      </c>
      <c r="H359" s="74">
        <v>22</v>
      </c>
      <c r="I359" s="74">
        <v>0</v>
      </c>
    </row>
    <row r="360" spans="1:9">
      <c r="A360" s="74" t="s">
        <v>1515</v>
      </c>
      <c r="B360" s="74" t="s">
        <v>1600</v>
      </c>
      <c r="C360" s="74" t="s">
        <v>1589</v>
      </c>
      <c r="D360" s="74" t="s">
        <v>1590</v>
      </c>
      <c r="E360" s="74" t="s">
        <v>11</v>
      </c>
      <c r="F360" s="74" t="s">
        <v>11</v>
      </c>
      <c r="G360" s="74" t="s">
        <v>1526</v>
      </c>
      <c r="H360" s="74">
        <v>10</v>
      </c>
      <c r="I360" s="74">
        <v>0</v>
      </c>
    </row>
    <row r="361" spans="1:9">
      <c r="A361" s="74" t="s">
        <v>1515</v>
      </c>
      <c r="B361" s="74" t="s">
        <v>1932</v>
      </c>
      <c r="C361" s="74" t="s">
        <v>1589</v>
      </c>
      <c r="D361" s="74" t="s">
        <v>1590</v>
      </c>
      <c r="E361" s="74" t="s">
        <v>112</v>
      </c>
      <c r="F361" s="74" t="s">
        <v>112</v>
      </c>
      <c r="G361" s="74" t="s">
        <v>1518</v>
      </c>
      <c r="H361" s="74">
        <v>87</v>
      </c>
      <c r="I361" s="74">
        <v>3</v>
      </c>
    </row>
    <row r="362" spans="1:9">
      <c r="A362" s="74" t="s">
        <v>1515</v>
      </c>
      <c r="B362" s="74" t="s">
        <v>1933</v>
      </c>
      <c r="C362" s="74" t="s">
        <v>1589</v>
      </c>
      <c r="D362" s="74" t="s">
        <v>1590</v>
      </c>
      <c r="E362" s="74" t="s">
        <v>112</v>
      </c>
      <c r="F362" s="74" t="s">
        <v>112</v>
      </c>
      <c r="G362" s="74" t="s">
        <v>1518</v>
      </c>
      <c r="H362" s="74">
        <v>163</v>
      </c>
      <c r="I362" s="74">
        <v>15</v>
      </c>
    </row>
    <row r="363" spans="1:9">
      <c r="A363" s="74" t="s">
        <v>1515</v>
      </c>
      <c r="B363" s="74" t="s">
        <v>1601</v>
      </c>
      <c r="C363" s="74" t="s">
        <v>1589</v>
      </c>
      <c r="D363" s="74" t="s">
        <v>1590</v>
      </c>
      <c r="E363" s="74" t="s">
        <v>11</v>
      </c>
      <c r="F363" s="74" t="s">
        <v>11</v>
      </c>
      <c r="G363" s="74" t="s">
        <v>1518</v>
      </c>
      <c r="H363" s="74">
        <v>125</v>
      </c>
      <c r="I363" s="74">
        <v>9</v>
      </c>
    </row>
    <row r="364" spans="1:9">
      <c r="A364" s="74" t="s">
        <v>1515</v>
      </c>
      <c r="B364" s="74" t="s">
        <v>1934</v>
      </c>
      <c r="C364" s="74" t="s">
        <v>1589</v>
      </c>
      <c r="D364" s="74" t="s">
        <v>1590</v>
      </c>
      <c r="E364" s="74" t="s">
        <v>112</v>
      </c>
      <c r="F364" s="74" t="s">
        <v>112</v>
      </c>
      <c r="G364" s="74" t="s">
        <v>1529</v>
      </c>
      <c r="H364" s="74">
        <v>11</v>
      </c>
      <c r="I364" s="74">
        <v>0</v>
      </c>
    </row>
    <row r="365" spans="1:9">
      <c r="A365" s="74" t="s">
        <v>1515</v>
      </c>
      <c r="B365" s="74" t="s">
        <v>1935</v>
      </c>
      <c r="C365" s="74" t="s">
        <v>1589</v>
      </c>
      <c r="D365" s="74" t="s">
        <v>1590</v>
      </c>
      <c r="E365" s="74" t="s">
        <v>31</v>
      </c>
      <c r="F365" s="74" t="s">
        <v>31</v>
      </c>
      <c r="G365" s="74" t="s">
        <v>1529</v>
      </c>
      <c r="H365" s="74">
        <v>13</v>
      </c>
      <c r="I365" s="74">
        <v>0</v>
      </c>
    </row>
    <row r="366" spans="1:9">
      <c r="A366" s="74" t="s">
        <v>1515</v>
      </c>
      <c r="B366" s="74" t="s">
        <v>1936</v>
      </c>
      <c r="C366" s="74" t="s">
        <v>1589</v>
      </c>
      <c r="D366" s="74" t="s">
        <v>1590</v>
      </c>
      <c r="E366" s="74" t="s">
        <v>31</v>
      </c>
      <c r="F366" s="74" t="s">
        <v>31</v>
      </c>
      <c r="G366" s="74" t="s">
        <v>1518</v>
      </c>
      <c r="H366" s="74">
        <v>130</v>
      </c>
      <c r="I366" s="74">
        <v>19</v>
      </c>
    </row>
    <row r="367" spans="1:9">
      <c r="A367" s="74" t="s">
        <v>1515</v>
      </c>
      <c r="B367" s="74" t="s">
        <v>1602</v>
      </c>
      <c r="C367" s="74" t="s">
        <v>1589</v>
      </c>
      <c r="D367" s="74" t="s">
        <v>1590</v>
      </c>
      <c r="E367" s="74" t="s">
        <v>11</v>
      </c>
      <c r="F367" s="74" t="s">
        <v>11</v>
      </c>
      <c r="G367" s="74" t="s">
        <v>1520</v>
      </c>
      <c r="H367" s="74">
        <v>58</v>
      </c>
      <c r="I367" s="74">
        <v>0</v>
      </c>
    </row>
    <row r="368" spans="1:9">
      <c r="A368" s="74" t="s">
        <v>1515</v>
      </c>
      <c r="B368" s="74" t="s">
        <v>1937</v>
      </c>
      <c r="C368" s="74" t="s">
        <v>1589</v>
      </c>
      <c r="D368" s="74" t="s">
        <v>1590</v>
      </c>
      <c r="E368" s="74" t="s">
        <v>112</v>
      </c>
      <c r="F368" s="74" t="s">
        <v>112</v>
      </c>
      <c r="G368" s="74" t="s">
        <v>1520</v>
      </c>
      <c r="H368" s="74">
        <v>77</v>
      </c>
      <c r="I368" s="74">
        <v>0</v>
      </c>
    </row>
    <row r="369" spans="1:9">
      <c r="A369" s="74" t="s">
        <v>1515</v>
      </c>
      <c r="B369" s="74" t="s">
        <v>1938</v>
      </c>
      <c r="C369" s="74" t="s">
        <v>1589</v>
      </c>
      <c r="D369" s="74" t="s">
        <v>1590</v>
      </c>
      <c r="E369" s="74" t="s">
        <v>112</v>
      </c>
      <c r="F369" s="74" t="s">
        <v>112</v>
      </c>
      <c r="G369" s="74" t="s">
        <v>1518</v>
      </c>
      <c r="H369" s="74">
        <v>373</v>
      </c>
      <c r="I369" s="74">
        <v>50</v>
      </c>
    </row>
    <row r="370" spans="1:9">
      <c r="A370" s="74" t="s">
        <v>1515</v>
      </c>
      <c r="B370" s="74" t="s">
        <v>1939</v>
      </c>
      <c r="C370" s="74" t="s">
        <v>1589</v>
      </c>
      <c r="D370" s="74" t="s">
        <v>1590</v>
      </c>
      <c r="E370" s="74" t="s">
        <v>21</v>
      </c>
      <c r="F370" s="74" t="s">
        <v>21</v>
      </c>
      <c r="G370" s="74" t="s">
        <v>1518</v>
      </c>
      <c r="H370" s="74">
        <v>200</v>
      </c>
      <c r="I370" s="74">
        <v>14</v>
      </c>
    </row>
    <row r="371" spans="1:9">
      <c r="A371" s="74" t="s">
        <v>1515</v>
      </c>
      <c r="B371" s="74" t="s">
        <v>1940</v>
      </c>
      <c r="C371" s="74" t="s">
        <v>1589</v>
      </c>
      <c r="D371" s="74" t="s">
        <v>1590</v>
      </c>
      <c r="E371" s="74" t="s">
        <v>112</v>
      </c>
      <c r="F371" s="74" t="s">
        <v>112</v>
      </c>
      <c r="G371" s="74" t="s">
        <v>1518</v>
      </c>
      <c r="H371" s="74">
        <v>62</v>
      </c>
      <c r="I371" s="74">
        <v>4</v>
      </c>
    </row>
    <row r="372" spans="1:9">
      <c r="A372" s="74" t="s">
        <v>1515</v>
      </c>
      <c r="B372" s="74" t="s">
        <v>1941</v>
      </c>
      <c r="C372" s="74" t="s">
        <v>1589</v>
      </c>
      <c r="D372" s="74" t="s">
        <v>1590</v>
      </c>
      <c r="E372" s="74" t="s">
        <v>112</v>
      </c>
      <c r="F372" s="74" t="s">
        <v>112</v>
      </c>
      <c r="G372" s="74" t="s">
        <v>1518</v>
      </c>
      <c r="H372" s="74">
        <v>250</v>
      </c>
      <c r="I372" s="74">
        <v>30</v>
      </c>
    </row>
    <row r="373" spans="1:9">
      <c r="A373" s="74" t="s">
        <v>1515</v>
      </c>
      <c r="B373" s="74" t="s">
        <v>1942</v>
      </c>
      <c r="C373" s="74" t="s">
        <v>1589</v>
      </c>
      <c r="D373" s="74" t="s">
        <v>1590</v>
      </c>
      <c r="E373" s="74" t="s">
        <v>112</v>
      </c>
      <c r="F373" s="74" t="s">
        <v>112</v>
      </c>
      <c r="G373" s="74" t="s">
        <v>1518</v>
      </c>
      <c r="H373" s="74">
        <v>163</v>
      </c>
      <c r="I373" s="74">
        <v>16</v>
      </c>
    </row>
    <row r="374" spans="1:9">
      <c r="A374" s="74" t="s">
        <v>1515</v>
      </c>
      <c r="B374" s="74" t="s">
        <v>1603</v>
      </c>
      <c r="C374" s="74" t="s">
        <v>1589</v>
      </c>
      <c r="D374" s="74" t="s">
        <v>1590</v>
      </c>
      <c r="E374" s="74" t="s">
        <v>11</v>
      </c>
      <c r="F374" s="74" t="s">
        <v>11</v>
      </c>
      <c r="G374" s="74" t="s">
        <v>1518</v>
      </c>
      <c r="H374" s="74">
        <v>47</v>
      </c>
      <c r="I374" s="74">
        <v>2</v>
      </c>
    </row>
    <row r="375" spans="1:9">
      <c r="A375" s="74" t="s">
        <v>1515</v>
      </c>
      <c r="B375" s="74" t="s">
        <v>1943</v>
      </c>
      <c r="C375" s="74" t="s">
        <v>1589</v>
      </c>
      <c r="D375" s="74" t="s">
        <v>1590</v>
      </c>
      <c r="E375" s="74" t="s">
        <v>33</v>
      </c>
      <c r="F375" s="74" t="s">
        <v>33</v>
      </c>
      <c r="G375" s="74" t="s">
        <v>1518</v>
      </c>
      <c r="H375" s="74">
        <v>70</v>
      </c>
      <c r="I375" s="74">
        <v>8</v>
      </c>
    </row>
    <row r="376" spans="1:9">
      <c r="A376" s="74" t="s">
        <v>1515</v>
      </c>
      <c r="B376" s="74" t="s">
        <v>1944</v>
      </c>
      <c r="C376" s="74" t="s">
        <v>1589</v>
      </c>
      <c r="D376" s="74" t="s">
        <v>1590</v>
      </c>
      <c r="E376" s="74" t="s">
        <v>112</v>
      </c>
      <c r="F376" s="74" t="s">
        <v>112</v>
      </c>
      <c r="G376" s="74" t="s">
        <v>1529</v>
      </c>
      <c r="H376" s="74">
        <v>18</v>
      </c>
      <c r="I376" s="74">
        <v>0</v>
      </c>
    </row>
    <row r="377" spans="1:9">
      <c r="A377" s="74" t="s">
        <v>1515</v>
      </c>
      <c r="B377" s="74" t="s">
        <v>1604</v>
      </c>
      <c r="C377" s="74" t="s">
        <v>1589</v>
      </c>
      <c r="D377" s="74" t="s">
        <v>1590</v>
      </c>
      <c r="E377" s="74" t="s">
        <v>11</v>
      </c>
      <c r="F377" s="74" t="s">
        <v>11</v>
      </c>
      <c r="G377" s="74" t="s">
        <v>1518</v>
      </c>
      <c r="H377" s="74">
        <v>265</v>
      </c>
      <c r="I377" s="74">
        <v>36</v>
      </c>
    </row>
    <row r="378" spans="1:9">
      <c r="A378" s="74" t="s">
        <v>1515</v>
      </c>
      <c r="B378" s="74" t="s">
        <v>1945</v>
      </c>
      <c r="C378" s="74" t="s">
        <v>1589</v>
      </c>
      <c r="D378" s="74" t="s">
        <v>1590</v>
      </c>
      <c r="E378" s="74" t="s">
        <v>31</v>
      </c>
      <c r="F378" s="74" t="s">
        <v>31</v>
      </c>
      <c r="G378" s="74" t="s">
        <v>1522</v>
      </c>
      <c r="H378" s="74">
        <v>20</v>
      </c>
      <c r="I378" s="74">
        <v>0</v>
      </c>
    </row>
    <row r="379" spans="1:9">
      <c r="A379" s="74" t="s">
        <v>1515</v>
      </c>
      <c r="B379" s="74" t="s">
        <v>1605</v>
      </c>
      <c r="C379" s="74" t="s">
        <v>1589</v>
      </c>
      <c r="D379" s="74" t="s">
        <v>1590</v>
      </c>
      <c r="E379" s="74" t="s">
        <v>11</v>
      </c>
      <c r="F379" s="74" t="s">
        <v>11</v>
      </c>
      <c r="G379" s="74" t="s">
        <v>1529</v>
      </c>
      <c r="H379" s="74">
        <v>10</v>
      </c>
      <c r="I379" s="74">
        <v>0</v>
      </c>
    </row>
    <row r="380" spans="1:9">
      <c r="A380" s="74" t="s">
        <v>1515</v>
      </c>
      <c r="B380" s="74" t="s">
        <v>1946</v>
      </c>
      <c r="C380" s="74" t="s">
        <v>1589</v>
      </c>
      <c r="D380" s="74" t="s">
        <v>1590</v>
      </c>
      <c r="E380" s="74" t="s">
        <v>33</v>
      </c>
      <c r="F380" s="74" t="s">
        <v>33</v>
      </c>
      <c r="G380" s="74" t="s">
        <v>1544</v>
      </c>
      <c r="H380" s="74">
        <v>54</v>
      </c>
      <c r="I380" s="74">
        <v>0</v>
      </c>
    </row>
    <row r="381" spans="1:9">
      <c r="A381" s="74" t="s">
        <v>1515</v>
      </c>
      <c r="B381" s="74" t="s">
        <v>1606</v>
      </c>
      <c r="C381" s="74" t="s">
        <v>1589</v>
      </c>
      <c r="D381" s="74" t="s">
        <v>1590</v>
      </c>
      <c r="E381" s="74" t="s">
        <v>11</v>
      </c>
      <c r="F381" s="74" t="s">
        <v>11</v>
      </c>
      <c r="G381" s="74" t="s">
        <v>1544</v>
      </c>
      <c r="H381" s="74">
        <v>26</v>
      </c>
      <c r="I381" s="74">
        <v>0</v>
      </c>
    </row>
    <row r="382" spans="1:9">
      <c r="A382" s="74" t="s">
        <v>1515</v>
      </c>
      <c r="B382" s="74" t="s">
        <v>1947</v>
      </c>
      <c r="C382" s="74" t="s">
        <v>107</v>
      </c>
      <c r="D382" s="74" t="s">
        <v>1948</v>
      </c>
      <c r="E382" s="74" t="s">
        <v>28</v>
      </c>
      <c r="F382" s="74" t="s">
        <v>28</v>
      </c>
      <c r="G382" s="74" t="s">
        <v>1518</v>
      </c>
      <c r="H382" s="74">
        <v>227</v>
      </c>
      <c r="I382" s="74">
        <v>24</v>
      </c>
    </row>
    <row r="383" spans="1:9">
      <c r="A383" s="74" t="s">
        <v>1515</v>
      </c>
      <c r="B383" s="74" t="s">
        <v>1949</v>
      </c>
      <c r="C383" s="74" t="s">
        <v>107</v>
      </c>
      <c r="D383" s="74" t="s">
        <v>1948</v>
      </c>
      <c r="E383" s="74" t="s">
        <v>106</v>
      </c>
      <c r="F383" s="74" t="s">
        <v>106</v>
      </c>
      <c r="G383" s="74" t="s">
        <v>1518</v>
      </c>
      <c r="H383" s="74">
        <v>377</v>
      </c>
      <c r="I383" s="74">
        <v>38</v>
      </c>
    </row>
    <row r="384" spans="1:9">
      <c r="A384" s="74" t="s">
        <v>1515</v>
      </c>
      <c r="B384" s="74" t="s">
        <v>1950</v>
      </c>
      <c r="C384" s="74" t="s">
        <v>107</v>
      </c>
      <c r="D384" s="74" t="s">
        <v>1948</v>
      </c>
      <c r="E384" s="74" t="s">
        <v>1951</v>
      </c>
      <c r="F384" s="74" t="s">
        <v>1951</v>
      </c>
      <c r="G384" s="74" t="s">
        <v>1518</v>
      </c>
      <c r="H384" s="74">
        <v>114</v>
      </c>
      <c r="I384" s="74">
        <v>6</v>
      </c>
    </row>
    <row r="385" spans="1:9">
      <c r="A385" s="74" t="s">
        <v>1515</v>
      </c>
      <c r="B385" s="74" t="s">
        <v>1952</v>
      </c>
      <c r="C385" s="74" t="s">
        <v>107</v>
      </c>
      <c r="D385" s="74" t="s">
        <v>1948</v>
      </c>
      <c r="E385" s="74" t="s">
        <v>106</v>
      </c>
      <c r="F385" s="74" t="s">
        <v>106</v>
      </c>
      <c r="G385" s="74" t="s">
        <v>1529</v>
      </c>
      <c r="H385" s="74">
        <v>20</v>
      </c>
      <c r="I385" s="74">
        <v>0</v>
      </c>
    </row>
    <row r="386" spans="1:9">
      <c r="A386" s="74" t="s">
        <v>1515</v>
      </c>
      <c r="B386" s="74" t="s">
        <v>1953</v>
      </c>
      <c r="C386" s="74" t="s">
        <v>107</v>
      </c>
      <c r="D386" s="74" t="s">
        <v>1948</v>
      </c>
      <c r="E386" s="74" t="s">
        <v>106</v>
      </c>
      <c r="F386" s="74" t="s">
        <v>106</v>
      </c>
      <c r="G386" s="74" t="s">
        <v>1522</v>
      </c>
      <c r="H386" s="74">
        <v>40</v>
      </c>
      <c r="I386" s="74">
        <v>0</v>
      </c>
    </row>
    <row r="387" spans="1:9">
      <c r="A387" s="74" t="s">
        <v>1515</v>
      </c>
      <c r="B387" s="74" t="s">
        <v>1954</v>
      </c>
      <c r="C387" s="74" t="s">
        <v>107</v>
      </c>
      <c r="D387" s="74" t="s">
        <v>1948</v>
      </c>
      <c r="E387" s="74" t="s">
        <v>28</v>
      </c>
      <c r="F387" s="74" t="s">
        <v>28</v>
      </c>
      <c r="G387" s="74" t="s">
        <v>1518</v>
      </c>
      <c r="H387" s="74">
        <v>131</v>
      </c>
      <c r="I387" s="74">
        <v>6</v>
      </c>
    </row>
    <row r="388" spans="1:9">
      <c r="A388" s="74" t="s">
        <v>1515</v>
      </c>
      <c r="B388" s="74" t="s">
        <v>1955</v>
      </c>
      <c r="C388" s="74" t="s">
        <v>107</v>
      </c>
      <c r="D388" s="74" t="s">
        <v>1948</v>
      </c>
      <c r="E388" s="74" t="s">
        <v>37</v>
      </c>
      <c r="F388" s="74" t="s">
        <v>37</v>
      </c>
      <c r="G388" s="74" t="s">
        <v>1518</v>
      </c>
      <c r="H388" s="74">
        <v>10</v>
      </c>
      <c r="I388" s="74">
        <v>0</v>
      </c>
    </row>
    <row r="389" spans="1:9">
      <c r="A389" s="74" t="s">
        <v>1515</v>
      </c>
      <c r="B389" s="74" t="s">
        <v>1956</v>
      </c>
      <c r="C389" s="74" t="s">
        <v>107</v>
      </c>
      <c r="D389" s="74" t="s">
        <v>1948</v>
      </c>
      <c r="E389" s="74" t="s">
        <v>106</v>
      </c>
      <c r="F389" s="74" t="s">
        <v>106</v>
      </c>
      <c r="G389" s="74" t="s">
        <v>1544</v>
      </c>
      <c r="H389" s="74">
        <v>12</v>
      </c>
      <c r="I389" s="74">
        <v>0</v>
      </c>
    </row>
    <row r="390" spans="1:9">
      <c r="A390" s="74" t="s">
        <v>1515</v>
      </c>
      <c r="B390" s="74" t="s">
        <v>1957</v>
      </c>
      <c r="C390" s="74" t="s">
        <v>107</v>
      </c>
      <c r="D390" s="74" t="s">
        <v>1948</v>
      </c>
      <c r="E390" s="74" t="s">
        <v>106</v>
      </c>
      <c r="F390" s="74" t="s">
        <v>106</v>
      </c>
      <c r="G390" s="74" t="s">
        <v>1522</v>
      </c>
      <c r="H390" s="74">
        <v>24</v>
      </c>
      <c r="I390" s="74">
        <v>0</v>
      </c>
    </row>
    <row r="391" spans="1:9">
      <c r="A391" s="74" t="s">
        <v>1515</v>
      </c>
      <c r="B391" s="74" t="s">
        <v>1958</v>
      </c>
      <c r="C391" s="74" t="s">
        <v>107</v>
      </c>
      <c r="D391" s="74" t="s">
        <v>1948</v>
      </c>
      <c r="E391" s="74" t="s">
        <v>106</v>
      </c>
      <c r="F391" s="74" t="s">
        <v>106</v>
      </c>
      <c r="G391" s="74" t="s">
        <v>1520</v>
      </c>
      <c r="H391" s="74">
        <v>22</v>
      </c>
      <c r="I391" s="74">
        <v>0</v>
      </c>
    </row>
    <row r="392" spans="1:9">
      <c r="A392" s="74" t="s">
        <v>1515</v>
      </c>
      <c r="B392" s="74" t="s">
        <v>1959</v>
      </c>
      <c r="C392" s="74" t="s">
        <v>107</v>
      </c>
      <c r="D392" s="74" t="s">
        <v>1948</v>
      </c>
      <c r="E392" s="74" t="s">
        <v>106</v>
      </c>
      <c r="F392" s="74" t="s">
        <v>106</v>
      </c>
      <c r="G392" s="74" t="s">
        <v>1520</v>
      </c>
      <c r="H392" s="74">
        <v>116</v>
      </c>
      <c r="I392" s="74">
        <v>0</v>
      </c>
    </row>
    <row r="393" spans="1:9">
      <c r="A393" s="74" t="s">
        <v>1515</v>
      </c>
      <c r="B393" s="74" t="s">
        <v>1960</v>
      </c>
      <c r="C393" s="74" t="s">
        <v>107</v>
      </c>
      <c r="D393" s="74" t="s">
        <v>1948</v>
      </c>
      <c r="E393" s="74" t="s">
        <v>106</v>
      </c>
      <c r="F393" s="74" t="s">
        <v>106</v>
      </c>
      <c r="G393" s="74" t="s">
        <v>1529</v>
      </c>
      <c r="H393" s="74">
        <v>40</v>
      </c>
      <c r="I393" s="74">
        <v>0</v>
      </c>
    </row>
    <row r="394" spans="1:9">
      <c r="A394" s="74" t="s">
        <v>1515</v>
      </c>
      <c r="B394" s="74" t="s">
        <v>1961</v>
      </c>
      <c r="C394" s="74" t="s">
        <v>107</v>
      </c>
      <c r="D394" s="74" t="s">
        <v>1948</v>
      </c>
      <c r="E394" s="74" t="s">
        <v>106</v>
      </c>
      <c r="F394" s="74" t="s">
        <v>106</v>
      </c>
      <c r="G394" s="74" t="s">
        <v>1520</v>
      </c>
      <c r="H394" s="74">
        <v>76</v>
      </c>
      <c r="I394" s="74">
        <v>0</v>
      </c>
    </row>
    <row r="395" spans="1:9">
      <c r="A395" s="74" t="s">
        <v>1515</v>
      </c>
      <c r="B395" s="74" t="s">
        <v>1962</v>
      </c>
      <c r="C395" s="74" t="s">
        <v>107</v>
      </c>
      <c r="D395" s="74" t="s">
        <v>1948</v>
      </c>
      <c r="E395" s="74" t="s">
        <v>106</v>
      </c>
      <c r="F395" s="74" t="s">
        <v>106</v>
      </c>
      <c r="G395" s="74" t="s">
        <v>1518</v>
      </c>
      <c r="H395" s="74">
        <v>21</v>
      </c>
      <c r="I395" s="74">
        <v>0</v>
      </c>
    </row>
    <row r="396" spans="1:9">
      <c r="A396" s="74" t="s">
        <v>1515</v>
      </c>
      <c r="B396" s="74" t="s">
        <v>1963</v>
      </c>
      <c r="C396" s="74" t="s">
        <v>107</v>
      </c>
      <c r="D396" s="74" t="s">
        <v>1948</v>
      </c>
      <c r="E396" s="74" t="s">
        <v>25</v>
      </c>
      <c r="F396" s="74" t="s">
        <v>25</v>
      </c>
      <c r="G396" s="74" t="s">
        <v>1518</v>
      </c>
      <c r="H396" s="74">
        <v>120</v>
      </c>
      <c r="I396" s="74">
        <v>12</v>
      </c>
    </row>
    <row r="397" spans="1:9">
      <c r="A397" s="74" t="s">
        <v>1515</v>
      </c>
      <c r="B397" s="74" t="s">
        <v>1964</v>
      </c>
      <c r="C397" s="74" t="s">
        <v>107</v>
      </c>
      <c r="D397" s="74" t="s">
        <v>1948</v>
      </c>
      <c r="E397" s="74" t="s">
        <v>106</v>
      </c>
      <c r="F397" s="74" t="s">
        <v>106</v>
      </c>
      <c r="G397" s="74" t="s">
        <v>1518</v>
      </c>
      <c r="H397" s="74">
        <v>261</v>
      </c>
      <c r="I397" s="74">
        <v>38</v>
      </c>
    </row>
    <row r="398" spans="1:9">
      <c r="A398" s="74" t="s">
        <v>1515</v>
      </c>
      <c r="B398" s="74" t="s">
        <v>1965</v>
      </c>
      <c r="C398" s="74" t="s">
        <v>107</v>
      </c>
      <c r="D398" s="74" t="s">
        <v>1948</v>
      </c>
      <c r="E398" s="74" t="s">
        <v>106</v>
      </c>
      <c r="F398" s="74" t="s">
        <v>106</v>
      </c>
      <c r="G398" s="74" t="s">
        <v>1544</v>
      </c>
      <c r="H398" s="74">
        <v>37</v>
      </c>
      <c r="I398" s="74">
        <v>0</v>
      </c>
    </row>
    <row r="399" spans="1:9">
      <c r="A399" s="74" t="s">
        <v>1515</v>
      </c>
      <c r="B399" s="74" t="s">
        <v>1966</v>
      </c>
      <c r="C399" s="74" t="s">
        <v>107</v>
      </c>
      <c r="D399" s="74" t="s">
        <v>1948</v>
      </c>
      <c r="E399" s="74" t="s">
        <v>106</v>
      </c>
      <c r="F399" s="74" t="s">
        <v>106</v>
      </c>
      <c r="G399" s="74" t="s">
        <v>1522</v>
      </c>
      <c r="H399" s="74">
        <v>12</v>
      </c>
      <c r="I399" s="74">
        <v>0</v>
      </c>
    </row>
    <row r="400" spans="1:9">
      <c r="A400" s="74" t="s">
        <v>1515</v>
      </c>
      <c r="B400" s="74" t="s">
        <v>1967</v>
      </c>
      <c r="C400" s="74" t="s">
        <v>107</v>
      </c>
      <c r="D400" s="74" t="s">
        <v>1948</v>
      </c>
      <c r="E400" s="74" t="s">
        <v>106</v>
      </c>
      <c r="F400" s="74" t="s">
        <v>106</v>
      </c>
      <c r="G400" s="74" t="s">
        <v>1522</v>
      </c>
      <c r="H400" s="74">
        <v>10</v>
      </c>
      <c r="I400" s="74">
        <v>0</v>
      </c>
    </row>
    <row r="401" spans="1:9">
      <c r="A401" s="74" t="s">
        <v>1515</v>
      </c>
      <c r="B401" s="74" t="s">
        <v>1968</v>
      </c>
      <c r="C401" s="74" t="s">
        <v>107</v>
      </c>
      <c r="D401" s="74" t="s">
        <v>1948</v>
      </c>
      <c r="E401" s="74" t="s">
        <v>37</v>
      </c>
      <c r="F401" s="74" t="s">
        <v>37</v>
      </c>
      <c r="G401" s="74" t="s">
        <v>1518</v>
      </c>
      <c r="H401" s="74">
        <v>80</v>
      </c>
      <c r="I401" s="74">
        <v>5</v>
      </c>
    </row>
    <row r="402" spans="1:9">
      <c r="A402" s="74" t="s">
        <v>1515</v>
      </c>
      <c r="B402" s="74" t="s">
        <v>1969</v>
      </c>
      <c r="C402" s="74" t="s">
        <v>107</v>
      </c>
      <c r="D402" s="74" t="s">
        <v>1948</v>
      </c>
      <c r="E402" s="74" t="s">
        <v>37</v>
      </c>
      <c r="F402" s="74" t="s">
        <v>37</v>
      </c>
      <c r="G402" s="74" t="s">
        <v>1518</v>
      </c>
      <c r="H402" s="74">
        <v>68</v>
      </c>
      <c r="I402" s="74">
        <v>0</v>
      </c>
    </row>
    <row r="403" spans="1:9">
      <c r="A403" s="74" t="s">
        <v>1515</v>
      </c>
      <c r="B403" s="74" t="s">
        <v>1970</v>
      </c>
      <c r="C403" s="74" t="s">
        <v>107</v>
      </c>
      <c r="D403" s="74" t="s">
        <v>1948</v>
      </c>
      <c r="E403" s="74" t="s">
        <v>106</v>
      </c>
      <c r="F403" s="74" t="s">
        <v>106</v>
      </c>
      <c r="G403" s="74" t="s">
        <v>1518</v>
      </c>
      <c r="H403" s="74">
        <v>127</v>
      </c>
      <c r="I403" s="74">
        <v>11</v>
      </c>
    </row>
    <row r="404" spans="1:9">
      <c r="A404" s="74" t="s">
        <v>1515</v>
      </c>
      <c r="B404" s="74" t="s">
        <v>1971</v>
      </c>
      <c r="C404" s="74" t="s">
        <v>107</v>
      </c>
      <c r="D404" s="74" t="s">
        <v>1948</v>
      </c>
      <c r="E404" s="74" t="s">
        <v>106</v>
      </c>
      <c r="F404" s="74" t="s">
        <v>106</v>
      </c>
      <c r="G404" s="74" t="s">
        <v>1518</v>
      </c>
      <c r="H404" s="74">
        <v>133</v>
      </c>
      <c r="I404" s="74">
        <v>12</v>
      </c>
    </row>
    <row r="405" spans="1:9">
      <c r="A405" s="74" t="s">
        <v>1515</v>
      </c>
      <c r="B405" s="74" t="s">
        <v>1972</v>
      </c>
      <c r="C405" s="74" t="s">
        <v>107</v>
      </c>
      <c r="D405" s="74" t="s">
        <v>1948</v>
      </c>
      <c r="E405" s="74" t="s">
        <v>106</v>
      </c>
      <c r="F405" s="74" t="s">
        <v>106</v>
      </c>
      <c r="G405" s="74" t="s">
        <v>1518</v>
      </c>
      <c r="H405" s="74">
        <v>110</v>
      </c>
      <c r="I405" s="74">
        <v>0</v>
      </c>
    </row>
    <row r="406" spans="1:9">
      <c r="A406" s="74" t="s">
        <v>1515</v>
      </c>
      <c r="B406" s="74" t="s">
        <v>1973</v>
      </c>
      <c r="C406" s="74" t="s">
        <v>107</v>
      </c>
      <c r="D406" s="74" t="s">
        <v>1948</v>
      </c>
      <c r="E406" s="74" t="s">
        <v>106</v>
      </c>
      <c r="F406" s="74" t="s">
        <v>106</v>
      </c>
      <c r="G406" s="74" t="s">
        <v>1518</v>
      </c>
      <c r="H406" s="74">
        <v>40</v>
      </c>
      <c r="I406" s="74">
        <v>6</v>
      </c>
    </row>
    <row r="407" spans="1:9">
      <c r="A407" s="74" t="s">
        <v>1515</v>
      </c>
      <c r="B407" s="74" t="s">
        <v>1974</v>
      </c>
      <c r="C407" s="74" t="s">
        <v>107</v>
      </c>
      <c r="D407" s="74" t="s">
        <v>1948</v>
      </c>
      <c r="E407" s="74" t="s">
        <v>25</v>
      </c>
      <c r="F407" s="74" t="s">
        <v>25</v>
      </c>
      <c r="G407" s="74" t="s">
        <v>1522</v>
      </c>
      <c r="H407" s="74">
        <v>30</v>
      </c>
      <c r="I407" s="74">
        <v>0</v>
      </c>
    </row>
    <row r="408" spans="1:9">
      <c r="A408" s="74" t="s">
        <v>1515</v>
      </c>
      <c r="B408" s="74" t="s">
        <v>1975</v>
      </c>
      <c r="C408" s="74" t="s">
        <v>107</v>
      </c>
      <c r="D408" s="74" t="s">
        <v>1948</v>
      </c>
      <c r="E408" s="74" t="s">
        <v>28</v>
      </c>
      <c r="F408" s="74" t="s">
        <v>28</v>
      </c>
      <c r="G408" s="74" t="s">
        <v>1518</v>
      </c>
      <c r="H408" s="74">
        <v>136</v>
      </c>
      <c r="I408" s="74">
        <v>14</v>
      </c>
    </row>
    <row r="409" spans="1:9">
      <c r="A409" s="74" t="s">
        <v>1515</v>
      </c>
      <c r="B409" s="74" t="s">
        <v>1976</v>
      </c>
      <c r="C409" s="74" t="s">
        <v>114</v>
      </c>
      <c r="D409" s="74" t="s">
        <v>1977</v>
      </c>
      <c r="E409" s="74" t="s">
        <v>19</v>
      </c>
      <c r="F409" s="74" t="s">
        <v>19</v>
      </c>
      <c r="G409" s="74" t="s">
        <v>1518</v>
      </c>
      <c r="H409" s="74">
        <v>32</v>
      </c>
      <c r="I409" s="74">
        <v>0</v>
      </c>
    </row>
    <row r="410" spans="1:9">
      <c r="A410" s="74" t="s">
        <v>1515</v>
      </c>
      <c r="B410" s="74" t="s">
        <v>1978</v>
      </c>
      <c r="C410" s="74" t="s">
        <v>114</v>
      </c>
      <c r="D410" s="74" t="s">
        <v>1977</v>
      </c>
      <c r="E410" s="74" t="s">
        <v>23</v>
      </c>
      <c r="F410" s="74" t="s">
        <v>23</v>
      </c>
      <c r="G410" s="74" t="s">
        <v>1518</v>
      </c>
      <c r="H410" s="74">
        <v>34</v>
      </c>
      <c r="I410" s="74">
        <v>0</v>
      </c>
    </row>
    <row r="411" spans="1:9">
      <c r="A411" s="74" t="s">
        <v>1515</v>
      </c>
      <c r="B411" s="74" t="s">
        <v>1979</v>
      </c>
      <c r="C411" s="74" t="s">
        <v>114</v>
      </c>
      <c r="D411" s="74" t="s">
        <v>1977</v>
      </c>
      <c r="E411" s="74" t="s">
        <v>23</v>
      </c>
      <c r="F411" s="74" t="s">
        <v>23</v>
      </c>
      <c r="G411" s="74" t="s">
        <v>1518</v>
      </c>
      <c r="H411" s="74">
        <v>34</v>
      </c>
      <c r="I411" s="74">
        <v>0</v>
      </c>
    </row>
    <row r="412" spans="1:9">
      <c r="A412" s="74" t="s">
        <v>1515</v>
      </c>
      <c r="B412" s="74" t="s">
        <v>1980</v>
      </c>
      <c r="C412" s="74" t="s">
        <v>114</v>
      </c>
      <c r="D412" s="74" t="s">
        <v>1977</v>
      </c>
      <c r="E412" s="74" t="s">
        <v>15</v>
      </c>
      <c r="F412" s="74" t="s">
        <v>15</v>
      </c>
      <c r="G412" s="74" t="s">
        <v>1518</v>
      </c>
      <c r="H412" s="74">
        <v>247</v>
      </c>
      <c r="I412" s="74">
        <v>31</v>
      </c>
    </row>
    <row r="413" spans="1:9">
      <c r="A413" s="74" t="s">
        <v>1515</v>
      </c>
      <c r="B413" s="74" t="s">
        <v>1981</v>
      </c>
      <c r="C413" s="74" t="s">
        <v>114</v>
      </c>
      <c r="D413" s="74" t="s">
        <v>1977</v>
      </c>
      <c r="E413" s="74" t="s">
        <v>24</v>
      </c>
      <c r="F413" s="74" t="s">
        <v>24</v>
      </c>
      <c r="G413" s="74" t="s">
        <v>1518</v>
      </c>
      <c r="H413" s="74">
        <v>131</v>
      </c>
      <c r="I413" s="74">
        <v>16</v>
      </c>
    </row>
    <row r="414" spans="1:9">
      <c r="A414" s="74" t="s">
        <v>1515</v>
      </c>
      <c r="B414" s="74" t="s">
        <v>1982</v>
      </c>
      <c r="C414" s="74" t="s">
        <v>114</v>
      </c>
      <c r="D414" s="74" t="s">
        <v>1977</v>
      </c>
      <c r="E414" s="74" t="s">
        <v>15</v>
      </c>
      <c r="F414" s="74" t="s">
        <v>15</v>
      </c>
      <c r="G414" s="74" t="s">
        <v>1529</v>
      </c>
      <c r="H414" s="74">
        <v>26</v>
      </c>
      <c r="I414" s="74">
        <v>0</v>
      </c>
    </row>
    <row r="415" spans="1:9">
      <c r="A415" s="74" t="s">
        <v>1515</v>
      </c>
      <c r="B415" s="74" t="s">
        <v>1983</v>
      </c>
      <c r="C415" s="74" t="s">
        <v>114</v>
      </c>
      <c r="D415" s="74" t="s">
        <v>1977</v>
      </c>
      <c r="E415" s="74" t="s">
        <v>19</v>
      </c>
      <c r="F415" s="74" t="s">
        <v>19</v>
      </c>
      <c r="G415" s="74" t="s">
        <v>1518</v>
      </c>
      <c r="H415" s="74">
        <v>9</v>
      </c>
      <c r="I415" s="74">
        <v>0</v>
      </c>
    </row>
    <row r="416" spans="1:9">
      <c r="A416" s="74" t="s">
        <v>1515</v>
      </c>
      <c r="B416" s="74" t="s">
        <v>1984</v>
      </c>
      <c r="C416" s="74" t="s">
        <v>114</v>
      </c>
      <c r="D416" s="74" t="s">
        <v>1977</v>
      </c>
      <c r="E416" s="74" t="s">
        <v>23</v>
      </c>
      <c r="F416" s="74" t="s">
        <v>23</v>
      </c>
      <c r="G416" s="74" t="s">
        <v>1518</v>
      </c>
      <c r="H416" s="74">
        <v>42</v>
      </c>
      <c r="I416" s="74">
        <v>0</v>
      </c>
    </row>
    <row r="417" spans="1:9">
      <c r="A417" s="74" t="s">
        <v>1515</v>
      </c>
      <c r="B417" s="74" t="s">
        <v>1985</v>
      </c>
      <c r="C417" s="74" t="s">
        <v>114</v>
      </c>
      <c r="D417" s="74" t="s">
        <v>1977</v>
      </c>
      <c r="E417" s="74" t="s">
        <v>15</v>
      </c>
      <c r="F417" s="74" t="s">
        <v>15</v>
      </c>
      <c r="G417" s="74" t="s">
        <v>1518</v>
      </c>
      <c r="H417" s="74">
        <v>200</v>
      </c>
      <c r="I417" s="74">
        <v>32</v>
      </c>
    </row>
    <row r="418" spans="1:9">
      <c r="A418" s="74" t="s">
        <v>1515</v>
      </c>
      <c r="B418" s="74" t="s">
        <v>1986</v>
      </c>
      <c r="C418" s="74" t="s">
        <v>114</v>
      </c>
      <c r="D418" s="74" t="s">
        <v>1977</v>
      </c>
      <c r="E418" s="74" t="s">
        <v>15</v>
      </c>
      <c r="F418" s="74" t="s">
        <v>15</v>
      </c>
      <c r="G418" s="74" t="s">
        <v>1518</v>
      </c>
      <c r="H418" s="74">
        <v>21</v>
      </c>
      <c r="I418" s="74">
        <v>0</v>
      </c>
    </row>
    <row r="419" spans="1:9">
      <c r="A419" s="74" t="s">
        <v>1515</v>
      </c>
      <c r="B419" s="74" t="s">
        <v>1987</v>
      </c>
      <c r="C419" s="74" t="s">
        <v>117</v>
      </c>
      <c r="D419" s="74" t="s">
        <v>1736</v>
      </c>
      <c r="E419" s="74" t="s">
        <v>36</v>
      </c>
      <c r="F419" s="74" t="s">
        <v>36</v>
      </c>
      <c r="G419" s="74" t="s">
        <v>1518</v>
      </c>
      <c r="H419" s="74">
        <v>10</v>
      </c>
      <c r="I419" s="74">
        <v>4</v>
      </c>
    </row>
    <row r="420" spans="1:9">
      <c r="A420" s="74" t="s">
        <v>1515</v>
      </c>
      <c r="B420" s="74" t="s">
        <v>1988</v>
      </c>
      <c r="C420" s="74" t="s">
        <v>117</v>
      </c>
      <c r="D420" s="74" t="s">
        <v>1736</v>
      </c>
      <c r="E420" s="74" t="s">
        <v>36</v>
      </c>
      <c r="F420" s="74" t="s">
        <v>36</v>
      </c>
      <c r="G420" s="74" t="s">
        <v>1520</v>
      </c>
      <c r="H420" s="74">
        <v>68</v>
      </c>
      <c r="I420" s="74">
        <v>0</v>
      </c>
    </row>
    <row r="421" spans="1:9">
      <c r="A421" s="74" t="s">
        <v>1515</v>
      </c>
      <c r="B421" s="74" t="s">
        <v>1989</v>
      </c>
      <c r="C421" s="74" t="s">
        <v>111</v>
      </c>
      <c r="D421" s="74" t="s">
        <v>1517</v>
      </c>
      <c r="E421" s="74" t="s">
        <v>110</v>
      </c>
      <c r="F421" s="74" t="s">
        <v>110</v>
      </c>
      <c r="G421" s="74" t="s">
        <v>1526</v>
      </c>
      <c r="H421" s="74">
        <v>12</v>
      </c>
      <c r="I421" s="74">
        <v>0</v>
      </c>
    </row>
    <row r="422" spans="1:9">
      <c r="A422" s="74" t="s">
        <v>1515</v>
      </c>
      <c r="B422" s="74" t="s">
        <v>1990</v>
      </c>
      <c r="C422" s="74" t="s">
        <v>107</v>
      </c>
      <c r="D422" s="74" t="s">
        <v>1948</v>
      </c>
      <c r="E422" s="74" t="s">
        <v>106</v>
      </c>
      <c r="F422" s="74" t="s">
        <v>106</v>
      </c>
      <c r="G422" s="74" t="s">
        <v>1526</v>
      </c>
      <c r="H422" s="74">
        <v>20</v>
      </c>
      <c r="I422" s="74">
        <v>0</v>
      </c>
    </row>
    <row r="423" spans="1:9">
      <c r="A423" s="74" t="s">
        <v>1515</v>
      </c>
      <c r="B423" s="74" t="s">
        <v>1991</v>
      </c>
      <c r="C423" s="74" t="s">
        <v>111</v>
      </c>
      <c r="D423" s="74" t="s">
        <v>1517</v>
      </c>
      <c r="E423" s="74" t="s">
        <v>108</v>
      </c>
      <c r="F423" s="74" t="s">
        <v>108</v>
      </c>
      <c r="G423" s="74" t="s">
        <v>1518</v>
      </c>
      <c r="H423" s="74">
        <v>144</v>
      </c>
      <c r="I423" s="74">
        <v>6</v>
      </c>
    </row>
    <row r="424" spans="1:9">
      <c r="A424" s="74" t="s">
        <v>1515</v>
      </c>
      <c r="B424" s="74" t="s">
        <v>1992</v>
      </c>
      <c r="C424" s="74" t="s">
        <v>119</v>
      </c>
      <c r="D424" s="74" t="s">
        <v>1748</v>
      </c>
      <c r="E424" s="74" t="s">
        <v>118</v>
      </c>
      <c r="F424" s="74" t="s">
        <v>118</v>
      </c>
      <c r="G424" s="74" t="s">
        <v>1520</v>
      </c>
      <c r="H424" s="74">
        <v>49</v>
      </c>
      <c r="I424" s="74">
        <v>0</v>
      </c>
    </row>
    <row r="425" spans="1:9">
      <c r="A425" s="74" t="s">
        <v>1515</v>
      </c>
      <c r="B425" s="74" t="s">
        <v>1993</v>
      </c>
      <c r="C425" s="74" t="s">
        <v>111</v>
      </c>
      <c r="D425" s="74" t="s">
        <v>1517</v>
      </c>
      <c r="E425" s="74" t="s">
        <v>17</v>
      </c>
      <c r="F425" s="74" t="s">
        <v>17</v>
      </c>
      <c r="G425" s="74" t="s">
        <v>1518</v>
      </c>
      <c r="H425" s="74">
        <v>50</v>
      </c>
      <c r="I425" s="74">
        <v>0</v>
      </c>
    </row>
    <row r="426" spans="1:9">
      <c r="A426" s="74" t="s">
        <v>1515</v>
      </c>
      <c r="B426" s="74" t="s">
        <v>1994</v>
      </c>
      <c r="C426" s="74" t="s">
        <v>119</v>
      </c>
      <c r="D426" s="74" t="s">
        <v>1748</v>
      </c>
      <c r="E426" s="74" t="s">
        <v>118</v>
      </c>
      <c r="F426" s="74" t="s">
        <v>118</v>
      </c>
      <c r="G426" s="74" t="s">
        <v>1522</v>
      </c>
      <c r="H426" s="74">
        <v>30</v>
      </c>
      <c r="I426" s="74">
        <v>0</v>
      </c>
    </row>
    <row r="427" spans="1:9">
      <c r="A427" s="74" t="s">
        <v>1515</v>
      </c>
      <c r="B427" s="74" t="s">
        <v>1995</v>
      </c>
      <c r="C427" s="74" t="s">
        <v>105</v>
      </c>
      <c r="D427" s="74" t="s">
        <v>1848</v>
      </c>
      <c r="E427" s="74" t="s">
        <v>104</v>
      </c>
      <c r="F427" s="74" t="s">
        <v>104</v>
      </c>
      <c r="G427" s="74" t="s">
        <v>1996</v>
      </c>
      <c r="H427" s="74">
        <v>1</v>
      </c>
      <c r="I427" s="74">
        <v>0</v>
      </c>
    </row>
    <row r="428" spans="1:9">
      <c r="A428" s="74" t="s">
        <v>1515</v>
      </c>
      <c r="B428" s="74" t="s">
        <v>1997</v>
      </c>
      <c r="C428" s="74" t="s">
        <v>111</v>
      </c>
      <c r="D428" s="74" t="s">
        <v>1517</v>
      </c>
      <c r="E428" s="74" t="s">
        <v>108</v>
      </c>
      <c r="F428" s="74" t="s">
        <v>108</v>
      </c>
      <c r="G428" s="74" t="s">
        <v>1522</v>
      </c>
      <c r="H428" s="74">
        <v>20</v>
      </c>
      <c r="I428" s="74">
        <v>0</v>
      </c>
    </row>
    <row r="429" spans="1:9">
      <c r="A429" s="74" t="s">
        <v>1515</v>
      </c>
      <c r="B429" s="74" t="s">
        <v>1998</v>
      </c>
      <c r="C429" s="74" t="s">
        <v>111</v>
      </c>
      <c r="D429" s="74" t="s">
        <v>1517</v>
      </c>
      <c r="E429" s="74" t="s">
        <v>108</v>
      </c>
      <c r="F429" s="74" t="s">
        <v>108</v>
      </c>
      <c r="G429" s="74" t="s">
        <v>1520</v>
      </c>
      <c r="H429" s="74">
        <v>32</v>
      </c>
      <c r="I429" s="74">
        <v>0</v>
      </c>
    </row>
    <row r="430" spans="1:9">
      <c r="A430" s="74" t="s">
        <v>1568</v>
      </c>
      <c r="B430" s="74" t="s">
        <v>1999</v>
      </c>
      <c r="C430" s="74" t="s">
        <v>113</v>
      </c>
      <c r="D430" s="74" t="s">
        <v>1590</v>
      </c>
      <c r="E430" s="74" t="s">
        <v>2000</v>
      </c>
      <c r="F430" s="74" t="s">
        <v>2000</v>
      </c>
      <c r="G430" s="74" t="s">
        <v>1571</v>
      </c>
      <c r="H430" s="74">
        <v>120</v>
      </c>
      <c r="I430" s="74">
        <v>0</v>
      </c>
    </row>
    <row r="431" spans="1:9">
      <c r="A431" s="74" t="s">
        <v>1568</v>
      </c>
      <c r="B431" s="74" t="s">
        <v>2001</v>
      </c>
      <c r="C431" s="74" t="s">
        <v>113</v>
      </c>
      <c r="D431" s="74" t="s">
        <v>1590</v>
      </c>
      <c r="E431" s="74" t="s">
        <v>2002</v>
      </c>
      <c r="F431" s="74" t="s">
        <v>2002</v>
      </c>
      <c r="G431" s="74" t="s">
        <v>1571</v>
      </c>
      <c r="H431" s="74">
        <v>347</v>
      </c>
      <c r="I431" s="74">
        <v>0</v>
      </c>
    </row>
    <row r="432" spans="1:9">
      <c r="A432" s="74" t="s">
        <v>1568</v>
      </c>
      <c r="B432" s="74" t="s">
        <v>2003</v>
      </c>
      <c r="C432" s="74" t="s">
        <v>113</v>
      </c>
      <c r="D432" s="74" t="s">
        <v>1590</v>
      </c>
      <c r="E432" s="74" t="s">
        <v>2004</v>
      </c>
      <c r="F432" s="74" t="s">
        <v>2004</v>
      </c>
      <c r="G432" s="74" t="s">
        <v>1571</v>
      </c>
      <c r="H432" s="74">
        <v>162</v>
      </c>
      <c r="I432" s="74">
        <v>0</v>
      </c>
    </row>
    <row r="433" spans="1:9">
      <c r="A433" s="74" t="s">
        <v>1568</v>
      </c>
      <c r="B433" s="74" t="s">
        <v>2005</v>
      </c>
      <c r="C433" s="74" t="s">
        <v>115</v>
      </c>
      <c r="D433" s="74" t="s">
        <v>1875</v>
      </c>
      <c r="E433" s="74" t="s">
        <v>2006</v>
      </c>
      <c r="F433" s="74" t="s">
        <v>2006</v>
      </c>
      <c r="G433" s="74" t="s">
        <v>1575</v>
      </c>
      <c r="H433" s="74">
        <v>269</v>
      </c>
      <c r="I433" s="74">
        <v>2</v>
      </c>
    </row>
    <row r="434" spans="1:9">
      <c r="A434" s="74" t="s">
        <v>1568</v>
      </c>
      <c r="B434" s="74" t="s">
        <v>1607</v>
      </c>
      <c r="C434" s="74" t="s">
        <v>113</v>
      </c>
      <c r="D434" s="74" t="s">
        <v>1590</v>
      </c>
      <c r="E434" s="74" t="s">
        <v>1608</v>
      </c>
      <c r="F434" s="74" t="s">
        <v>1608</v>
      </c>
      <c r="G434" s="74" t="s">
        <v>1571</v>
      </c>
      <c r="H434" s="74">
        <v>140</v>
      </c>
      <c r="I434" s="74">
        <v>0</v>
      </c>
    </row>
    <row r="435" spans="1:9">
      <c r="A435" s="74" t="s">
        <v>1568</v>
      </c>
      <c r="B435" s="74" t="s">
        <v>2007</v>
      </c>
      <c r="C435" s="74" t="s">
        <v>114</v>
      </c>
      <c r="D435" s="74" t="s">
        <v>1977</v>
      </c>
      <c r="E435" s="74" t="s">
        <v>2008</v>
      </c>
      <c r="F435" s="74" t="s">
        <v>2008</v>
      </c>
      <c r="G435" s="74" t="s">
        <v>1571</v>
      </c>
      <c r="H435" s="74">
        <v>186</v>
      </c>
      <c r="I435" s="74">
        <v>0</v>
      </c>
    </row>
    <row r="436" spans="1:9">
      <c r="A436" s="74" t="s">
        <v>1568</v>
      </c>
      <c r="B436" s="74" t="s">
        <v>2009</v>
      </c>
      <c r="C436" s="74" t="s">
        <v>114</v>
      </c>
      <c r="D436" s="74" t="s">
        <v>1977</v>
      </c>
      <c r="E436" s="74" t="s">
        <v>2010</v>
      </c>
      <c r="F436" s="74" t="s">
        <v>2010</v>
      </c>
      <c r="G436" s="74" t="s">
        <v>1571</v>
      </c>
      <c r="H436" s="74">
        <v>143</v>
      </c>
      <c r="I436" s="74">
        <v>0</v>
      </c>
    </row>
    <row r="437" spans="1:9">
      <c r="A437" s="74" t="s">
        <v>1568</v>
      </c>
      <c r="B437" s="74" t="s">
        <v>2011</v>
      </c>
      <c r="C437" s="74" t="s">
        <v>113</v>
      </c>
      <c r="D437" s="74" t="s">
        <v>1590</v>
      </c>
      <c r="E437" s="74" t="s">
        <v>2012</v>
      </c>
      <c r="F437" s="74" t="s">
        <v>2012</v>
      </c>
      <c r="G437" s="74" t="s">
        <v>1571</v>
      </c>
      <c r="H437" s="74">
        <v>300</v>
      </c>
      <c r="I437" s="74">
        <v>0</v>
      </c>
    </row>
    <row r="438" spans="1:9">
      <c r="A438" s="74" t="s">
        <v>1568</v>
      </c>
      <c r="B438" s="74" t="s">
        <v>2013</v>
      </c>
      <c r="C438" s="74" t="s">
        <v>111</v>
      </c>
      <c r="D438" s="74" t="s">
        <v>1517</v>
      </c>
      <c r="E438" s="74" t="s">
        <v>2014</v>
      </c>
      <c r="F438" s="74" t="s">
        <v>2014</v>
      </c>
      <c r="G438" s="74" t="s">
        <v>1575</v>
      </c>
      <c r="H438" s="74">
        <v>483</v>
      </c>
      <c r="I438" s="74">
        <v>5</v>
      </c>
    </row>
    <row r="439" spans="1:9">
      <c r="A439" s="74" t="s">
        <v>1568</v>
      </c>
      <c r="B439" s="74" t="s">
        <v>2015</v>
      </c>
      <c r="C439" s="74" t="s">
        <v>114</v>
      </c>
      <c r="D439" s="74" t="s">
        <v>1977</v>
      </c>
      <c r="E439" s="74" t="s">
        <v>2016</v>
      </c>
      <c r="F439" s="74" t="s">
        <v>2016</v>
      </c>
      <c r="G439" s="74" t="s">
        <v>1571</v>
      </c>
      <c r="H439" s="74">
        <v>80</v>
      </c>
      <c r="I439" s="74">
        <v>0</v>
      </c>
    </row>
    <row r="440" spans="1:9">
      <c r="A440" s="74" t="s">
        <v>1568</v>
      </c>
      <c r="B440" s="74" t="s">
        <v>2017</v>
      </c>
      <c r="C440" s="74" t="s">
        <v>111</v>
      </c>
      <c r="D440" s="74" t="s">
        <v>1517</v>
      </c>
      <c r="E440" s="74" t="s">
        <v>2018</v>
      </c>
      <c r="F440" s="74" t="s">
        <v>2018</v>
      </c>
      <c r="G440" s="74" t="s">
        <v>1571</v>
      </c>
      <c r="H440" s="74">
        <v>268</v>
      </c>
      <c r="I440" s="74">
        <v>0</v>
      </c>
    </row>
    <row r="441" spans="1:9">
      <c r="A441" s="74" t="s">
        <v>1568</v>
      </c>
      <c r="B441" s="74" t="s">
        <v>2019</v>
      </c>
      <c r="C441" s="74" t="s">
        <v>105</v>
      </c>
      <c r="D441" s="74" t="s">
        <v>1848</v>
      </c>
      <c r="E441" s="74" t="s">
        <v>2020</v>
      </c>
      <c r="F441" s="74" t="s">
        <v>2020</v>
      </c>
      <c r="G441" s="74" t="s">
        <v>1578</v>
      </c>
      <c r="H441" s="74">
        <v>576</v>
      </c>
      <c r="I441" s="74">
        <v>20</v>
      </c>
    </row>
    <row r="442" spans="1:9">
      <c r="A442" s="74" t="s">
        <v>1568</v>
      </c>
      <c r="B442" s="74" t="s">
        <v>2021</v>
      </c>
      <c r="C442" s="74" t="s">
        <v>105</v>
      </c>
      <c r="D442" s="74" t="s">
        <v>1848</v>
      </c>
      <c r="E442" s="74" t="s">
        <v>2022</v>
      </c>
      <c r="F442" s="74" t="s">
        <v>2022</v>
      </c>
      <c r="G442" s="74" t="s">
        <v>1571</v>
      </c>
      <c r="H442" s="74">
        <v>151</v>
      </c>
      <c r="I442" s="74">
        <v>0</v>
      </c>
    </row>
    <row r="443" spans="1:9">
      <c r="A443" s="74" t="s">
        <v>1568</v>
      </c>
      <c r="B443" s="74" t="s">
        <v>2023</v>
      </c>
      <c r="C443" s="74" t="s">
        <v>115</v>
      </c>
      <c r="D443" s="74" t="s">
        <v>1875</v>
      </c>
      <c r="E443" s="74" t="s">
        <v>2006</v>
      </c>
      <c r="F443" s="74" t="s">
        <v>2006</v>
      </c>
      <c r="G443" s="74" t="s">
        <v>1571</v>
      </c>
      <c r="H443" s="74">
        <v>151</v>
      </c>
      <c r="I443" s="74">
        <v>0</v>
      </c>
    </row>
    <row r="444" spans="1:9">
      <c r="A444" s="74" t="s">
        <v>1568</v>
      </c>
      <c r="B444" s="74" t="s">
        <v>2024</v>
      </c>
      <c r="C444" s="74" t="s">
        <v>111</v>
      </c>
      <c r="D444" s="74" t="s">
        <v>1517</v>
      </c>
      <c r="E444" s="74" t="s">
        <v>2018</v>
      </c>
      <c r="F444" s="74" t="s">
        <v>2018</v>
      </c>
      <c r="G444" s="74" t="s">
        <v>1573</v>
      </c>
      <c r="H444" s="74">
        <v>137</v>
      </c>
      <c r="I444" s="74">
        <v>0</v>
      </c>
    </row>
    <row r="445" spans="1:9">
      <c r="A445" s="74" t="s">
        <v>1568</v>
      </c>
      <c r="B445" s="74" t="s">
        <v>2025</v>
      </c>
      <c r="C445" s="74" t="s">
        <v>115</v>
      </c>
      <c r="D445" s="74" t="s">
        <v>1875</v>
      </c>
      <c r="E445" s="74" t="s">
        <v>2026</v>
      </c>
      <c r="F445" s="74" t="s">
        <v>2026</v>
      </c>
      <c r="G445" s="74" t="s">
        <v>1571</v>
      </c>
      <c r="H445" s="74">
        <v>95</v>
      </c>
      <c r="I445" s="74">
        <v>0</v>
      </c>
    </row>
    <row r="446" spans="1:9">
      <c r="A446" s="74" t="s">
        <v>1568</v>
      </c>
      <c r="B446" s="74" t="s">
        <v>2027</v>
      </c>
      <c r="C446" s="74" t="s">
        <v>105</v>
      </c>
      <c r="D446" s="74" t="s">
        <v>1848</v>
      </c>
      <c r="E446" s="74" t="s">
        <v>2028</v>
      </c>
      <c r="F446" s="74" t="s">
        <v>2028</v>
      </c>
      <c r="G446" s="74" t="s">
        <v>1571</v>
      </c>
      <c r="H446" s="74">
        <v>12</v>
      </c>
      <c r="I446" s="74">
        <v>0</v>
      </c>
    </row>
    <row r="447" spans="1:9">
      <c r="A447" s="74" t="s">
        <v>1568</v>
      </c>
      <c r="B447" s="74" t="s">
        <v>2029</v>
      </c>
      <c r="C447" s="74" t="s">
        <v>119</v>
      </c>
      <c r="D447" s="74" t="s">
        <v>1748</v>
      </c>
      <c r="E447" s="74" t="s">
        <v>2030</v>
      </c>
      <c r="F447" s="74" t="s">
        <v>2030</v>
      </c>
      <c r="G447" s="74" t="s">
        <v>1573</v>
      </c>
      <c r="H447" s="74">
        <v>386</v>
      </c>
      <c r="I447" s="74">
        <v>0</v>
      </c>
    </row>
    <row r="448" spans="1:9">
      <c r="A448" s="74" t="s">
        <v>1568</v>
      </c>
      <c r="B448" s="74" t="s">
        <v>2031</v>
      </c>
      <c r="C448" s="74" t="s">
        <v>111</v>
      </c>
      <c r="D448" s="74" t="s">
        <v>1517</v>
      </c>
      <c r="E448" s="74" t="s">
        <v>2032</v>
      </c>
      <c r="F448" s="74" t="s">
        <v>2032</v>
      </c>
      <c r="G448" s="74" t="s">
        <v>1575</v>
      </c>
      <c r="H448" s="74">
        <v>855</v>
      </c>
      <c r="I448" s="74">
        <v>12</v>
      </c>
    </row>
    <row r="449" spans="1:9">
      <c r="A449" s="74" t="s">
        <v>1568</v>
      </c>
      <c r="B449" s="74" t="s">
        <v>2033</v>
      </c>
      <c r="C449" s="74" t="s">
        <v>113</v>
      </c>
      <c r="D449" s="74" t="s">
        <v>1590</v>
      </c>
      <c r="E449" s="74" t="s">
        <v>2034</v>
      </c>
      <c r="F449" s="74" t="s">
        <v>2034</v>
      </c>
      <c r="G449" s="74" t="s">
        <v>1571</v>
      </c>
      <c r="H449" s="74">
        <v>200</v>
      </c>
      <c r="I449" s="74">
        <v>0</v>
      </c>
    </row>
    <row r="450" spans="1:9">
      <c r="A450" s="74" t="s">
        <v>1568</v>
      </c>
      <c r="B450" s="74" t="s">
        <v>2035</v>
      </c>
      <c r="C450" s="74" t="s">
        <v>113</v>
      </c>
      <c r="D450" s="74" t="s">
        <v>1590</v>
      </c>
      <c r="E450" s="74" t="s">
        <v>2000</v>
      </c>
      <c r="F450" s="74" t="s">
        <v>2000</v>
      </c>
      <c r="G450" s="74" t="s">
        <v>1571</v>
      </c>
      <c r="H450" s="74">
        <v>154</v>
      </c>
      <c r="I450" s="74">
        <v>0</v>
      </c>
    </row>
    <row r="451" spans="1:9">
      <c r="A451" s="74" t="s">
        <v>1568</v>
      </c>
      <c r="B451" s="74" t="s">
        <v>2036</v>
      </c>
      <c r="C451" s="74" t="s">
        <v>107</v>
      </c>
      <c r="D451" s="74" t="s">
        <v>1948</v>
      </c>
      <c r="E451" s="74" t="s">
        <v>2037</v>
      </c>
      <c r="F451" s="74" t="s">
        <v>2037</v>
      </c>
      <c r="G451" s="74" t="s">
        <v>1575</v>
      </c>
      <c r="H451" s="74">
        <v>300</v>
      </c>
      <c r="I451" s="74">
        <v>6</v>
      </c>
    </row>
    <row r="452" spans="1:9">
      <c r="A452" s="74" t="s">
        <v>1568</v>
      </c>
      <c r="B452" s="74" t="s">
        <v>2038</v>
      </c>
      <c r="C452" s="74" t="s">
        <v>105</v>
      </c>
      <c r="D452" s="74" t="s">
        <v>1848</v>
      </c>
      <c r="E452" s="74" t="s">
        <v>2022</v>
      </c>
      <c r="F452" s="74" t="s">
        <v>2022</v>
      </c>
      <c r="G452" s="74" t="s">
        <v>1571</v>
      </c>
      <c r="H452" s="74">
        <v>140</v>
      </c>
      <c r="I452" s="74">
        <v>0</v>
      </c>
    </row>
    <row r="453" spans="1:9">
      <c r="A453" s="74" t="s">
        <v>1568</v>
      </c>
      <c r="B453" s="74" t="s">
        <v>2039</v>
      </c>
      <c r="C453" s="74" t="s">
        <v>113</v>
      </c>
      <c r="D453" s="74" t="s">
        <v>1590</v>
      </c>
      <c r="E453" s="74" t="s">
        <v>2040</v>
      </c>
      <c r="F453" s="74" t="s">
        <v>2040</v>
      </c>
      <c r="G453" s="74" t="s">
        <v>1571</v>
      </c>
      <c r="H453" s="74">
        <v>188</v>
      </c>
      <c r="I453" s="74">
        <v>0</v>
      </c>
    </row>
    <row r="454" spans="1:9">
      <c r="A454" s="74" t="s">
        <v>1568</v>
      </c>
      <c r="B454" s="74" t="s">
        <v>2041</v>
      </c>
      <c r="C454" s="74" t="s">
        <v>107</v>
      </c>
      <c r="D454" s="74" t="s">
        <v>1948</v>
      </c>
      <c r="E454" s="74" t="s">
        <v>2042</v>
      </c>
      <c r="F454" s="74" t="s">
        <v>2042</v>
      </c>
      <c r="G454" s="74" t="s">
        <v>1571</v>
      </c>
      <c r="H454" s="74">
        <v>170</v>
      </c>
      <c r="I454" s="74">
        <v>0</v>
      </c>
    </row>
    <row r="455" spans="1:9">
      <c r="A455" s="74" t="s">
        <v>1568</v>
      </c>
      <c r="B455" s="74" t="s">
        <v>2043</v>
      </c>
      <c r="C455" s="74" t="s">
        <v>119</v>
      </c>
      <c r="D455" s="74" t="s">
        <v>1748</v>
      </c>
      <c r="E455" s="74" t="s">
        <v>2030</v>
      </c>
      <c r="F455" s="74" t="s">
        <v>2030</v>
      </c>
      <c r="G455" s="74" t="s">
        <v>1571</v>
      </c>
      <c r="H455" s="74">
        <v>76</v>
      </c>
      <c r="I455" s="74">
        <v>0</v>
      </c>
    </row>
    <row r="456" spans="1:9">
      <c r="A456" s="74" t="s">
        <v>1568</v>
      </c>
      <c r="B456" s="74" t="s">
        <v>2044</v>
      </c>
      <c r="C456" s="74" t="s">
        <v>105</v>
      </c>
      <c r="D456" s="74" t="s">
        <v>1848</v>
      </c>
      <c r="E456" s="74" t="s">
        <v>2022</v>
      </c>
      <c r="F456" s="74" t="s">
        <v>2022</v>
      </c>
      <c r="G456" s="74" t="s">
        <v>1571</v>
      </c>
      <c r="H456" s="74">
        <v>8</v>
      </c>
      <c r="I456" s="74">
        <v>0</v>
      </c>
    </row>
    <row r="457" spans="1:9">
      <c r="A457" s="74" t="s">
        <v>1568</v>
      </c>
      <c r="B457" s="74" t="s">
        <v>2045</v>
      </c>
      <c r="C457" s="74" t="s">
        <v>107</v>
      </c>
      <c r="D457" s="74" t="s">
        <v>1948</v>
      </c>
      <c r="E457" s="74" t="s">
        <v>2046</v>
      </c>
      <c r="F457" s="74" t="s">
        <v>2046</v>
      </c>
      <c r="G457" s="74" t="s">
        <v>1571</v>
      </c>
      <c r="H457" s="74">
        <v>69</v>
      </c>
      <c r="I457" s="74">
        <v>0</v>
      </c>
    </row>
    <row r="458" spans="1:9">
      <c r="A458" s="74" t="s">
        <v>1568</v>
      </c>
      <c r="B458" s="74" t="s">
        <v>2047</v>
      </c>
      <c r="C458" s="74" t="s">
        <v>105</v>
      </c>
      <c r="D458" s="74" t="s">
        <v>1848</v>
      </c>
      <c r="E458" s="74" t="s">
        <v>2048</v>
      </c>
      <c r="F458" s="74" t="s">
        <v>2048</v>
      </c>
      <c r="G458" s="74" t="s">
        <v>1571</v>
      </c>
      <c r="H458" s="74">
        <v>33</v>
      </c>
      <c r="I458" s="74">
        <v>0</v>
      </c>
    </row>
    <row r="459" spans="1:9">
      <c r="A459" s="74" t="s">
        <v>1568</v>
      </c>
      <c r="B459" s="74" t="s">
        <v>2049</v>
      </c>
      <c r="C459" s="74" t="s">
        <v>119</v>
      </c>
      <c r="D459" s="74" t="s">
        <v>1748</v>
      </c>
      <c r="E459" s="74" t="s">
        <v>2030</v>
      </c>
      <c r="F459" s="74" t="s">
        <v>2030</v>
      </c>
      <c r="G459" s="74" t="s">
        <v>1578</v>
      </c>
      <c r="H459" s="74">
        <v>975</v>
      </c>
      <c r="I459" s="74">
        <v>59</v>
      </c>
    </row>
    <row r="460" spans="1:9">
      <c r="A460" s="74" t="s">
        <v>1568</v>
      </c>
      <c r="B460" s="74" t="s">
        <v>2050</v>
      </c>
      <c r="C460" s="74" t="s">
        <v>119</v>
      </c>
      <c r="D460" s="74" t="s">
        <v>1748</v>
      </c>
      <c r="E460" s="74" t="s">
        <v>2051</v>
      </c>
      <c r="F460" s="74" t="s">
        <v>2051</v>
      </c>
      <c r="G460" s="74" t="s">
        <v>1571</v>
      </c>
      <c r="H460" s="74">
        <v>75</v>
      </c>
      <c r="I460" s="74">
        <v>0</v>
      </c>
    </row>
    <row r="461" spans="1:9">
      <c r="A461" s="74" t="s">
        <v>1568</v>
      </c>
      <c r="B461" s="74" t="s">
        <v>2052</v>
      </c>
      <c r="C461" s="74" t="s">
        <v>115</v>
      </c>
      <c r="D461" s="74" t="s">
        <v>1875</v>
      </c>
      <c r="E461" s="74" t="s">
        <v>2026</v>
      </c>
      <c r="F461" s="74" t="s">
        <v>2026</v>
      </c>
      <c r="G461" s="74" t="s">
        <v>1571</v>
      </c>
      <c r="H461" s="74">
        <v>0</v>
      </c>
      <c r="I461" s="74">
        <v>0</v>
      </c>
    </row>
    <row r="462" spans="1:9">
      <c r="A462" s="74" t="s">
        <v>1568</v>
      </c>
      <c r="B462" s="74" t="s">
        <v>2053</v>
      </c>
      <c r="C462" s="74" t="s">
        <v>116</v>
      </c>
      <c r="D462" s="74" t="s">
        <v>1717</v>
      </c>
      <c r="E462" s="74" t="s">
        <v>2054</v>
      </c>
      <c r="F462" s="74" t="s">
        <v>2054</v>
      </c>
      <c r="G462" s="74" t="s">
        <v>1571</v>
      </c>
      <c r="H462" s="74">
        <v>88</v>
      </c>
      <c r="I462" s="74">
        <v>0</v>
      </c>
    </row>
    <row r="463" spans="1:9">
      <c r="A463" s="74" t="s">
        <v>1568</v>
      </c>
      <c r="B463" s="74" t="s">
        <v>2055</v>
      </c>
      <c r="C463" s="74" t="s">
        <v>116</v>
      </c>
      <c r="D463" s="74" t="s">
        <v>1717</v>
      </c>
      <c r="E463" s="74" t="s">
        <v>2056</v>
      </c>
      <c r="F463" s="74" t="s">
        <v>2056</v>
      </c>
      <c r="G463" s="74" t="s">
        <v>1571</v>
      </c>
      <c r="H463" s="74">
        <v>70</v>
      </c>
      <c r="I463" s="74">
        <v>0</v>
      </c>
    </row>
    <row r="464" spans="1:9">
      <c r="A464" s="74" t="s">
        <v>1568</v>
      </c>
      <c r="B464" s="74" t="s">
        <v>2057</v>
      </c>
      <c r="C464" s="74" t="s">
        <v>107</v>
      </c>
      <c r="D464" s="74" t="s">
        <v>1948</v>
      </c>
      <c r="E464" s="74" t="s">
        <v>2037</v>
      </c>
      <c r="F464" s="74" t="s">
        <v>2037</v>
      </c>
      <c r="G464" s="74" t="s">
        <v>1571</v>
      </c>
      <c r="H464" s="74">
        <v>31</v>
      </c>
      <c r="I464" s="74">
        <v>0</v>
      </c>
    </row>
    <row r="465" spans="1:9">
      <c r="A465" s="74" t="s">
        <v>1568</v>
      </c>
      <c r="B465" s="74" t="s">
        <v>2058</v>
      </c>
      <c r="C465" s="74" t="s">
        <v>115</v>
      </c>
      <c r="D465" s="74" t="s">
        <v>1875</v>
      </c>
      <c r="E465" s="74" t="s">
        <v>2059</v>
      </c>
      <c r="F465" s="74" t="s">
        <v>2059</v>
      </c>
      <c r="G465" s="74" t="s">
        <v>1571</v>
      </c>
      <c r="H465" s="74">
        <v>12</v>
      </c>
      <c r="I465" s="74">
        <v>0</v>
      </c>
    </row>
    <row r="466" spans="1:9">
      <c r="A466" s="74" t="s">
        <v>1568</v>
      </c>
      <c r="B466" s="74" t="s">
        <v>2060</v>
      </c>
      <c r="C466" s="74" t="s">
        <v>111</v>
      </c>
      <c r="D466" s="74" t="s">
        <v>1517</v>
      </c>
      <c r="E466" s="74" t="s">
        <v>2061</v>
      </c>
      <c r="F466" s="74" t="s">
        <v>2061</v>
      </c>
      <c r="G466" s="74" t="s">
        <v>1575</v>
      </c>
      <c r="H466" s="74">
        <v>731</v>
      </c>
      <c r="I466" s="74">
        <v>6</v>
      </c>
    </row>
    <row r="467" spans="1:9">
      <c r="A467" s="74" t="s">
        <v>1568</v>
      </c>
      <c r="B467" s="74" t="s">
        <v>2045</v>
      </c>
      <c r="C467" s="74" t="s">
        <v>107</v>
      </c>
      <c r="D467" s="74" t="s">
        <v>1948</v>
      </c>
      <c r="E467" s="74" t="s">
        <v>2046</v>
      </c>
      <c r="F467" s="74" t="s">
        <v>2046</v>
      </c>
      <c r="G467" s="74" t="s">
        <v>1571</v>
      </c>
      <c r="H467" s="74">
        <v>69</v>
      </c>
      <c r="I467" s="74">
        <v>0</v>
      </c>
    </row>
    <row r="468" spans="1:9">
      <c r="A468" s="74" t="s">
        <v>1568</v>
      </c>
      <c r="B468" s="74" t="s">
        <v>2062</v>
      </c>
      <c r="C468" s="74" t="s">
        <v>115</v>
      </c>
      <c r="D468" s="74" t="s">
        <v>1875</v>
      </c>
      <c r="E468" s="74" t="s">
        <v>2026</v>
      </c>
      <c r="F468" s="74" t="s">
        <v>2026</v>
      </c>
      <c r="G468" s="74" t="s">
        <v>1571</v>
      </c>
      <c r="H468" s="74">
        <v>185</v>
      </c>
      <c r="I468" s="74">
        <v>0</v>
      </c>
    </row>
    <row r="469" spans="1:9">
      <c r="A469" s="74" t="s">
        <v>1568</v>
      </c>
      <c r="B469" s="74" t="s">
        <v>2063</v>
      </c>
      <c r="C469" s="74" t="s">
        <v>113</v>
      </c>
      <c r="D469" s="74" t="s">
        <v>1590</v>
      </c>
      <c r="E469" s="74" t="s">
        <v>2064</v>
      </c>
      <c r="F469" s="74" t="s">
        <v>2064</v>
      </c>
      <c r="G469" s="74" t="s">
        <v>1571</v>
      </c>
      <c r="H469" s="74">
        <v>156</v>
      </c>
      <c r="I469" s="74">
        <v>0</v>
      </c>
    </row>
    <row r="470" spans="1:9">
      <c r="A470" s="74" t="s">
        <v>1568</v>
      </c>
      <c r="B470" s="74" t="s">
        <v>2065</v>
      </c>
      <c r="C470" s="74" t="s">
        <v>113</v>
      </c>
      <c r="D470" s="74" t="s">
        <v>1590</v>
      </c>
      <c r="E470" s="74" t="s">
        <v>2066</v>
      </c>
      <c r="F470" s="74" t="s">
        <v>2066</v>
      </c>
      <c r="G470" s="74" t="s">
        <v>1571</v>
      </c>
      <c r="H470" s="74">
        <v>141</v>
      </c>
      <c r="I470" s="74">
        <v>0</v>
      </c>
    </row>
    <row r="471" spans="1:9">
      <c r="A471" s="74" t="s">
        <v>1568</v>
      </c>
      <c r="B471" s="74" t="s">
        <v>2067</v>
      </c>
      <c r="C471" s="74" t="s">
        <v>107</v>
      </c>
      <c r="D471" s="74" t="s">
        <v>1948</v>
      </c>
      <c r="E471" s="74" t="s">
        <v>2037</v>
      </c>
      <c r="F471" s="74" t="s">
        <v>2037</v>
      </c>
      <c r="G471" s="74" t="s">
        <v>1571</v>
      </c>
      <c r="H471" s="74">
        <v>98</v>
      </c>
      <c r="I471" s="74">
        <v>0</v>
      </c>
    </row>
    <row r="472" spans="1:9">
      <c r="A472" s="74" t="s">
        <v>1568</v>
      </c>
      <c r="B472" s="74" t="s">
        <v>2068</v>
      </c>
      <c r="C472" s="74" t="s">
        <v>114</v>
      </c>
      <c r="D472" s="74" t="s">
        <v>1977</v>
      </c>
      <c r="E472" s="74" t="s">
        <v>2069</v>
      </c>
      <c r="F472" s="74" t="s">
        <v>2069</v>
      </c>
      <c r="G472" s="74" t="s">
        <v>1583</v>
      </c>
      <c r="H472" s="74">
        <v>509</v>
      </c>
      <c r="I472" s="74">
        <v>10</v>
      </c>
    </row>
    <row r="473" spans="1:9">
      <c r="A473" s="74" t="s">
        <v>1568</v>
      </c>
      <c r="B473" s="74" t="s">
        <v>2070</v>
      </c>
      <c r="C473" s="74" t="s">
        <v>114</v>
      </c>
      <c r="D473" s="74" t="s">
        <v>1977</v>
      </c>
      <c r="E473" s="74" t="s">
        <v>2010</v>
      </c>
      <c r="F473" s="74" t="s">
        <v>2010</v>
      </c>
      <c r="G473" s="74" t="s">
        <v>1571</v>
      </c>
      <c r="H473" s="74">
        <v>120</v>
      </c>
      <c r="I473" s="74">
        <v>0</v>
      </c>
    </row>
    <row r="474" spans="1:9">
      <c r="A474" s="74" t="s">
        <v>1568</v>
      </c>
      <c r="B474" s="74" t="s">
        <v>2071</v>
      </c>
      <c r="C474" s="74" t="s">
        <v>105</v>
      </c>
      <c r="D474" s="74" t="s">
        <v>1848</v>
      </c>
      <c r="E474" s="74" t="s">
        <v>2020</v>
      </c>
      <c r="F474" s="74" t="s">
        <v>2020</v>
      </c>
      <c r="G474" s="74" t="s">
        <v>1571</v>
      </c>
      <c r="H474" s="74">
        <v>40</v>
      </c>
      <c r="I474" s="74">
        <v>0</v>
      </c>
    </row>
    <row r="475" spans="1:9">
      <c r="A475" s="74" t="s">
        <v>1568</v>
      </c>
      <c r="B475" s="74" t="s">
        <v>2072</v>
      </c>
      <c r="C475" s="74" t="s">
        <v>105</v>
      </c>
      <c r="D475" s="74" t="s">
        <v>1848</v>
      </c>
      <c r="E475" s="74" t="s">
        <v>2028</v>
      </c>
      <c r="F475" s="74" t="s">
        <v>2028</v>
      </c>
      <c r="G475" s="74" t="s">
        <v>1571</v>
      </c>
      <c r="H475" s="74">
        <v>26</v>
      </c>
      <c r="I475" s="74">
        <v>0</v>
      </c>
    </row>
    <row r="476" spans="1:9">
      <c r="A476" s="74" t="s">
        <v>1568</v>
      </c>
      <c r="B476" s="74" t="s">
        <v>2073</v>
      </c>
      <c r="C476" s="74" t="s">
        <v>105</v>
      </c>
      <c r="D476" s="74" t="s">
        <v>1848</v>
      </c>
      <c r="E476" s="74" t="s">
        <v>2028</v>
      </c>
      <c r="F476" s="74" t="s">
        <v>2028</v>
      </c>
      <c r="G476" s="74" t="s">
        <v>1571</v>
      </c>
      <c r="H476" s="74">
        <v>49</v>
      </c>
      <c r="I476" s="74">
        <v>0</v>
      </c>
    </row>
    <row r="477" spans="1:9">
      <c r="A477" s="74" t="s">
        <v>1568</v>
      </c>
      <c r="B477" s="74" t="s">
        <v>2074</v>
      </c>
      <c r="C477" s="74" t="s">
        <v>119</v>
      </c>
      <c r="D477" s="74" t="s">
        <v>1748</v>
      </c>
      <c r="E477" s="74" t="s">
        <v>2075</v>
      </c>
      <c r="F477" s="74" t="s">
        <v>2075</v>
      </c>
      <c r="G477" s="74" t="s">
        <v>1571</v>
      </c>
      <c r="H477" s="74">
        <v>123</v>
      </c>
      <c r="I477" s="74">
        <v>0</v>
      </c>
    </row>
    <row r="478" spans="1:9">
      <c r="A478" s="74" t="s">
        <v>1568</v>
      </c>
      <c r="B478" s="74" t="s">
        <v>1609</v>
      </c>
      <c r="C478" s="74" t="s">
        <v>113</v>
      </c>
      <c r="D478" s="74" t="s">
        <v>1590</v>
      </c>
      <c r="E478" s="74" t="s">
        <v>1608</v>
      </c>
      <c r="F478" s="74" t="s">
        <v>1608</v>
      </c>
      <c r="G478" s="74" t="s">
        <v>1575</v>
      </c>
      <c r="H478" s="74">
        <v>897</v>
      </c>
      <c r="I478" s="74">
        <v>11</v>
      </c>
    </row>
    <row r="479" spans="1:9">
      <c r="A479" s="74" t="s">
        <v>1568</v>
      </c>
      <c r="B479" s="74" t="s">
        <v>2076</v>
      </c>
      <c r="C479" s="74" t="s">
        <v>111</v>
      </c>
      <c r="D479" s="74" t="s">
        <v>1517</v>
      </c>
      <c r="E479" s="74" t="s">
        <v>2018</v>
      </c>
      <c r="F479" s="74" t="s">
        <v>2018</v>
      </c>
      <c r="G479" s="74" t="s">
        <v>1571</v>
      </c>
      <c r="H479" s="74">
        <v>262</v>
      </c>
      <c r="I479" s="74">
        <v>0</v>
      </c>
    </row>
    <row r="480" spans="1:9">
      <c r="A480" s="74" t="s">
        <v>1568</v>
      </c>
      <c r="B480" s="74" t="s">
        <v>2077</v>
      </c>
      <c r="C480" s="74" t="s">
        <v>115</v>
      </c>
      <c r="D480" s="74" t="s">
        <v>1875</v>
      </c>
      <c r="E480" s="74" t="s">
        <v>2026</v>
      </c>
      <c r="F480" s="74" t="s">
        <v>2026</v>
      </c>
      <c r="G480" s="74" t="s">
        <v>1571</v>
      </c>
      <c r="H480" s="74">
        <v>195</v>
      </c>
      <c r="I480" s="74">
        <v>0</v>
      </c>
    </row>
    <row r="481" spans="1:9">
      <c r="A481" s="74" t="s">
        <v>1568</v>
      </c>
      <c r="B481" s="74" t="s">
        <v>2078</v>
      </c>
      <c r="C481" s="74" t="s">
        <v>107</v>
      </c>
      <c r="D481" s="74" t="s">
        <v>1948</v>
      </c>
      <c r="E481" s="74" t="s">
        <v>2079</v>
      </c>
      <c r="F481" s="74" t="s">
        <v>2079</v>
      </c>
      <c r="G481" s="74" t="s">
        <v>1571</v>
      </c>
      <c r="H481" s="74">
        <v>27</v>
      </c>
      <c r="I481" s="74">
        <v>0</v>
      </c>
    </row>
    <row r="482" spans="1:9">
      <c r="A482" s="74" t="s">
        <v>1568</v>
      </c>
      <c r="B482" s="74" t="s">
        <v>2080</v>
      </c>
      <c r="C482" s="74" t="s">
        <v>107</v>
      </c>
      <c r="D482" s="74" t="s">
        <v>1948</v>
      </c>
      <c r="E482" s="74" t="s">
        <v>2037</v>
      </c>
      <c r="F482" s="74" t="s">
        <v>2037</v>
      </c>
      <c r="G482" s="74" t="s">
        <v>1571</v>
      </c>
      <c r="H482" s="74">
        <v>27</v>
      </c>
      <c r="I482" s="74">
        <v>0</v>
      </c>
    </row>
    <row r="483" spans="1:9">
      <c r="A483" s="74" t="s">
        <v>1568</v>
      </c>
      <c r="B483" s="74" t="s">
        <v>2081</v>
      </c>
      <c r="C483" s="74" t="s">
        <v>111</v>
      </c>
      <c r="D483" s="74" t="s">
        <v>1517</v>
      </c>
      <c r="E483" s="74" t="s">
        <v>2032</v>
      </c>
      <c r="F483" s="74" t="s">
        <v>2032</v>
      </c>
      <c r="G483" s="74" t="s">
        <v>1573</v>
      </c>
      <c r="H483" s="74">
        <v>585</v>
      </c>
      <c r="I483" s="74">
        <v>0</v>
      </c>
    </row>
    <row r="484" spans="1:9">
      <c r="A484" s="74" t="s">
        <v>1568</v>
      </c>
      <c r="B484" s="74" t="s">
        <v>2082</v>
      </c>
      <c r="C484" s="74" t="s">
        <v>111</v>
      </c>
      <c r="D484" s="74" t="s">
        <v>1517</v>
      </c>
      <c r="E484" s="74" t="s">
        <v>2032</v>
      </c>
      <c r="F484" s="74" t="s">
        <v>2032</v>
      </c>
      <c r="G484" s="74" t="s">
        <v>1571</v>
      </c>
      <c r="H484" s="74">
        <v>200</v>
      </c>
      <c r="I484" s="74">
        <v>0</v>
      </c>
    </row>
    <row r="485" spans="1:9">
      <c r="A485" s="74" t="s">
        <v>1568</v>
      </c>
      <c r="B485" s="74" t="s">
        <v>1569</v>
      </c>
      <c r="C485" s="74" t="s">
        <v>111</v>
      </c>
      <c r="D485" s="74" t="s">
        <v>1517</v>
      </c>
      <c r="E485" s="74" t="s">
        <v>1570</v>
      </c>
      <c r="F485" s="74" t="s">
        <v>1570</v>
      </c>
      <c r="G485" s="74" t="s">
        <v>1571</v>
      </c>
      <c r="H485" s="74">
        <v>153</v>
      </c>
      <c r="I485" s="74">
        <v>0</v>
      </c>
    </row>
    <row r="486" spans="1:9">
      <c r="A486" s="74" t="s">
        <v>1568</v>
      </c>
      <c r="B486" s="74" t="s">
        <v>2083</v>
      </c>
      <c r="C486" s="74" t="s">
        <v>105</v>
      </c>
      <c r="D486" s="74" t="s">
        <v>1848</v>
      </c>
      <c r="E486" s="74" t="s">
        <v>2022</v>
      </c>
      <c r="F486" s="74" t="s">
        <v>2022</v>
      </c>
      <c r="G486" s="74" t="s">
        <v>1571</v>
      </c>
      <c r="H486" s="74">
        <v>229</v>
      </c>
      <c r="I486" s="74">
        <v>0</v>
      </c>
    </row>
    <row r="487" spans="1:9">
      <c r="A487" s="74" t="s">
        <v>1568</v>
      </c>
      <c r="B487" s="74" t="s">
        <v>2084</v>
      </c>
      <c r="C487" s="74" t="s">
        <v>113</v>
      </c>
      <c r="D487" s="74" t="s">
        <v>1590</v>
      </c>
      <c r="E487" s="74" t="s">
        <v>2004</v>
      </c>
      <c r="F487" s="74" t="s">
        <v>2004</v>
      </c>
      <c r="G487" s="74" t="s">
        <v>1571</v>
      </c>
      <c r="H487" s="74">
        <v>139</v>
      </c>
      <c r="I487" s="74">
        <v>0</v>
      </c>
    </row>
    <row r="488" spans="1:9">
      <c r="A488" s="74" t="s">
        <v>1568</v>
      </c>
      <c r="B488" s="74" t="s">
        <v>2085</v>
      </c>
      <c r="C488" s="74" t="s">
        <v>113</v>
      </c>
      <c r="D488" s="74" t="s">
        <v>1590</v>
      </c>
      <c r="E488" s="74" t="s">
        <v>2034</v>
      </c>
      <c r="F488" s="74" t="s">
        <v>2034</v>
      </c>
      <c r="G488" s="74" t="s">
        <v>1571</v>
      </c>
      <c r="H488" s="74">
        <v>185</v>
      </c>
      <c r="I488" s="74">
        <v>0</v>
      </c>
    </row>
    <row r="489" spans="1:9">
      <c r="A489" s="74" t="s">
        <v>1568</v>
      </c>
      <c r="B489" s="74" t="s">
        <v>2086</v>
      </c>
      <c r="C489" s="74" t="s">
        <v>114</v>
      </c>
      <c r="D489" s="74" t="s">
        <v>1977</v>
      </c>
      <c r="E489" s="74" t="s">
        <v>2010</v>
      </c>
      <c r="F489" s="74" t="s">
        <v>2010</v>
      </c>
      <c r="G489" s="74" t="s">
        <v>1575</v>
      </c>
      <c r="H489" s="74">
        <v>266</v>
      </c>
      <c r="I489" s="74">
        <v>3</v>
      </c>
    </row>
    <row r="490" spans="1:9">
      <c r="A490" s="74" t="s">
        <v>1568</v>
      </c>
      <c r="B490" s="74" t="s">
        <v>2087</v>
      </c>
      <c r="C490" s="74" t="s">
        <v>105</v>
      </c>
      <c r="D490" s="74" t="s">
        <v>1848</v>
      </c>
      <c r="E490" s="74" t="s">
        <v>2088</v>
      </c>
      <c r="F490" s="74" t="s">
        <v>2088</v>
      </c>
      <c r="G490" s="74" t="s">
        <v>1571</v>
      </c>
      <c r="H490" s="74">
        <v>60</v>
      </c>
      <c r="I490" s="74">
        <v>0</v>
      </c>
    </row>
    <row r="491" spans="1:9">
      <c r="A491" s="74" t="s">
        <v>1568</v>
      </c>
      <c r="B491" s="74" t="s">
        <v>2089</v>
      </c>
      <c r="C491" s="74" t="s">
        <v>105</v>
      </c>
      <c r="D491" s="74" t="s">
        <v>1848</v>
      </c>
      <c r="E491" s="74" t="s">
        <v>2022</v>
      </c>
      <c r="F491" s="74" t="s">
        <v>2022</v>
      </c>
      <c r="G491" s="74" t="s">
        <v>1575</v>
      </c>
      <c r="H491" s="74">
        <v>297</v>
      </c>
      <c r="I491" s="74">
        <v>12</v>
      </c>
    </row>
    <row r="492" spans="1:9">
      <c r="A492" s="74" t="s">
        <v>1568</v>
      </c>
      <c r="B492" s="74" t="s">
        <v>2090</v>
      </c>
      <c r="C492" s="74" t="s">
        <v>119</v>
      </c>
      <c r="D492" s="74" t="s">
        <v>1748</v>
      </c>
      <c r="E492" s="74" t="s">
        <v>2030</v>
      </c>
      <c r="F492" s="74" t="s">
        <v>2030</v>
      </c>
      <c r="G492" s="74" t="s">
        <v>1571</v>
      </c>
      <c r="H492" s="74">
        <v>181</v>
      </c>
      <c r="I492" s="74">
        <v>3</v>
      </c>
    </row>
    <row r="493" spans="1:9">
      <c r="A493" s="74" t="s">
        <v>1568</v>
      </c>
      <c r="B493" s="74" t="s">
        <v>2091</v>
      </c>
      <c r="C493" s="74" t="s">
        <v>117</v>
      </c>
      <c r="D493" s="74" t="s">
        <v>1736</v>
      </c>
      <c r="E493" s="74" t="s">
        <v>2092</v>
      </c>
      <c r="F493" s="74" t="s">
        <v>2092</v>
      </c>
      <c r="G493" s="74" t="s">
        <v>1583</v>
      </c>
      <c r="H493" s="74">
        <v>648</v>
      </c>
      <c r="I493" s="74">
        <v>10</v>
      </c>
    </row>
    <row r="494" spans="1:9">
      <c r="A494" s="74" t="s">
        <v>1568</v>
      </c>
      <c r="B494" s="74" t="s">
        <v>2093</v>
      </c>
      <c r="C494" s="74" t="s">
        <v>117</v>
      </c>
      <c r="D494" s="74" t="s">
        <v>1736</v>
      </c>
      <c r="E494" s="74" t="s">
        <v>2094</v>
      </c>
      <c r="F494" s="74" t="s">
        <v>2094</v>
      </c>
      <c r="G494" s="74" t="s">
        <v>1571</v>
      </c>
      <c r="H494" s="74">
        <v>56</v>
      </c>
      <c r="I494" s="74">
        <v>0</v>
      </c>
    </row>
    <row r="495" spans="1:9">
      <c r="A495" s="74" t="s">
        <v>1568</v>
      </c>
      <c r="B495" s="74" t="s">
        <v>1610</v>
      </c>
      <c r="C495" s="74" t="s">
        <v>113</v>
      </c>
      <c r="D495" s="74" t="s">
        <v>1590</v>
      </c>
      <c r="E495" s="74" t="s">
        <v>1608</v>
      </c>
      <c r="F495" s="74" t="s">
        <v>1608</v>
      </c>
      <c r="G495" s="74" t="s">
        <v>1583</v>
      </c>
      <c r="H495" s="74">
        <v>510</v>
      </c>
      <c r="I495" s="74">
        <v>11</v>
      </c>
    </row>
    <row r="496" spans="1:9">
      <c r="A496" s="74" t="s">
        <v>1568</v>
      </c>
      <c r="B496" s="74" t="s">
        <v>2095</v>
      </c>
      <c r="C496" s="74" t="s">
        <v>107</v>
      </c>
      <c r="D496" s="74" t="s">
        <v>1948</v>
      </c>
      <c r="E496" s="74" t="s">
        <v>2037</v>
      </c>
      <c r="F496" s="74" t="s">
        <v>2037</v>
      </c>
      <c r="G496" s="74" t="s">
        <v>1571</v>
      </c>
      <c r="H496" s="74">
        <v>31</v>
      </c>
      <c r="I496" s="74">
        <v>0</v>
      </c>
    </row>
    <row r="497" spans="1:9">
      <c r="A497" s="74" t="s">
        <v>1568</v>
      </c>
      <c r="B497" s="74" t="s">
        <v>1572</v>
      </c>
      <c r="C497" s="74" t="s">
        <v>111</v>
      </c>
      <c r="D497" s="74" t="s">
        <v>1517</v>
      </c>
      <c r="E497" s="74" t="s">
        <v>1570</v>
      </c>
      <c r="F497" s="74" t="s">
        <v>1570</v>
      </c>
      <c r="G497" s="74" t="s">
        <v>1573</v>
      </c>
      <c r="H497" s="74">
        <v>706</v>
      </c>
      <c r="I497" s="74">
        <v>0</v>
      </c>
    </row>
    <row r="498" spans="1:9">
      <c r="A498" s="74" t="s">
        <v>1568</v>
      </c>
      <c r="B498" s="74" t="s">
        <v>2096</v>
      </c>
      <c r="C498" s="74" t="s">
        <v>114</v>
      </c>
      <c r="D498" s="74" t="s">
        <v>1977</v>
      </c>
      <c r="E498" s="74" t="s">
        <v>2010</v>
      </c>
      <c r="F498" s="74" t="s">
        <v>2010</v>
      </c>
      <c r="G498" s="74" t="s">
        <v>1571</v>
      </c>
      <c r="H498" s="74">
        <v>55</v>
      </c>
      <c r="I498" s="74">
        <v>0</v>
      </c>
    </row>
    <row r="499" spans="1:9">
      <c r="A499" s="74" t="s">
        <v>1568</v>
      </c>
      <c r="B499" s="74" t="s">
        <v>2097</v>
      </c>
      <c r="C499" s="74" t="s">
        <v>114</v>
      </c>
      <c r="D499" s="74" t="s">
        <v>1977</v>
      </c>
      <c r="E499" s="74" t="s">
        <v>2069</v>
      </c>
      <c r="F499" s="74" t="s">
        <v>2069</v>
      </c>
      <c r="G499" s="74" t="s">
        <v>1571</v>
      </c>
      <c r="H499" s="74">
        <v>56</v>
      </c>
      <c r="I499" s="74">
        <v>0</v>
      </c>
    </row>
    <row r="500" spans="1:9">
      <c r="A500" s="74" t="s">
        <v>1568</v>
      </c>
      <c r="B500" s="74" t="s">
        <v>2098</v>
      </c>
      <c r="C500" s="74" t="s">
        <v>113</v>
      </c>
      <c r="D500" s="74" t="s">
        <v>1590</v>
      </c>
      <c r="E500" s="74" t="s">
        <v>2012</v>
      </c>
      <c r="F500" s="74" t="s">
        <v>2012</v>
      </c>
      <c r="G500" s="74" t="s">
        <v>1571</v>
      </c>
      <c r="H500" s="74">
        <v>205</v>
      </c>
      <c r="I500" s="74">
        <v>0</v>
      </c>
    </row>
    <row r="501" spans="1:9">
      <c r="A501" s="74" t="s">
        <v>1568</v>
      </c>
      <c r="B501" s="74" t="s">
        <v>2099</v>
      </c>
      <c r="C501" s="74" t="s">
        <v>113</v>
      </c>
      <c r="D501" s="74" t="s">
        <v>1590</v>
      </c>
      <c r="E501" s="74" t="s">
        <v>2000</v>
      </c>
      <c r="F501" s="74" t="s">
        <v>2000</v>
      </c>
      <c r="G501" s="74" t="s">
        <v>1571</v>
      </c>
      <c r="H501" s="74">
        <v>207</v>
      </c>
      <c r="I501" s="74">
        <v>0</v>
      </c>
    </row>
    <row r="502" spans="1:9">
      <c r="A502" s="74" t="s">
        <v>1568</v>
      </c>
      <c r="B502" s="74" t="s">
        <v>1574</v>
      </c>
      <c r="C502" s="74" t="s">
        <v>111</v>
      </c>
      <c r="D502" s="74" t="s">
        <v>1517</v>
      </c>
      <c r="E502" s="74" t="s">
        <v>1570</v>
      </c>
      <c r="F502" s="74" t="s">
        <v>1570</v>
      </c>
      <c r="G502" s="74" t="s">
        <v>1575</v>
      </c>
      <c r="H502" s="74">
        <v>318</v>
      </c>
      <c r="I502" s="74">
        <v>0</v>
      </c>
    </row>
    <row r="503" spans="1:9">
      <c r="A503" s="74" t="s">
        <v>1568</v>
      </c>
      <c r="B503" s="74" t="s">
        <v>2100</v>
      </c>
      <c r="C503" s="74" t="s">
        <v>105</v>
      </c>
      <c r="D503" s="74" t="s">
        <v>1848</v>
      </c>
      <c r="E503" s="74" t="s">
        <v>2101</v>
      </c>
      <c r="F503" s="74" t="s">
        <v>2101</v>
      </c>
      <c r="G503" s="74" t="s">
        <v>1575</v>
      </c>
      <c r="H503" s="74">
        <v>586</v>
      </c>
      <c r="I503" s="74">
        <v>12</v>
      </c>
    </row>
    <row r="504" spans="1:9">
      <c r="A504" s="74" t="s">
        <v>1568</v>
      </c>
      <c r="B504" s="74" t="s">
        <v>2102</v>
      </c>
      <c r="C504" s="74" t="s">
        <v>119</v>
      </c>
      <c r="D504" s="74" t="s">
        <v>1748</v>
      </c>
      <c r="E504" s="74" t="s">
        <v>2103</v>
      </c>
      <c r="F504" s="74" t="s">
        <v>2103</v>
      </c>
      <c r="G504" s="74" t="s">
        <v>1571</v>
      </c>
      <c r="H504" s="74">
        <v>57</v>
      </c>
      <c r="I504" s="74">
        <v>0</v>
      </c>
    </row>
    <row r="505" spans="1:9">
      <c r="A505" s="74" t="s">
        <v>1568</v>
      </c>
      <c r="B505" s="74" t="s">
        <v>2104</v>
      </c>
      <c r="C505" s="74" t="s">
        <v>119</v>
      </c>
      <c r="D505" s="74" t="s">
        <v>1748</v>
      </c>
      <c r="E505" s="74" t="s">
        <v>2075</v>
      </c>
      <c r="F505" s="74" t="s">
        <v>2075</v>
      </c>
      <c r="G505" s="74" t="s">
        <v>1571</v>
      </c>
      <c r="H505" s="74">
        <v>30</v>
      </c>
      <c r="I505" s="74">
        <v>0</v>
      </c>
    </row>
    <row r="506" spans="1:9">
      <c r="A506" s="74" t="s">
        <v>1568</v>
      </c>
      <c r="B506" s="74" t="s">
        <v>2105</v>
      </c>
      <c r="C506" s="74" t="s">
        <v>111</v>
      </c>
      <c r="D506" s="74" t="s">
        <v>1517</v>
      </c>
      <c r="E506" s="74" t="s">
        <v>2018</v>
      </c>
      <c r="F506" s="74" t="s">
        <v>2018</v>
      </c>
      <c r="G506" s="74" t="s">
        <v>1578</v>
      </c>
      <c r="H506" s="74">
        <v>2685</v>
      </c>
      <c r="I506" s="74">
        <v>40</v>
      </c>
    </row>
    <row r="507" spans="1:9">
      <c r="A507" s="74" t="s">
        <v>1568</v>
      </c>
      <c r="B507" s="74" t="s">
        <v>2106</v>
      </c>
      <c r="C507" s="74" t="s">
        <v>116</v>
      </c>
      <c r="D507" s="74" t="s">
        <v>1717</v>
      </c>
      <c r="E507" s="74" t="s">
        <v>2107</v>
      </c>
      <c r="F507" s="74" t="s">
        <v>2107</v>
      </c>
      <c r="G507" s="74" t="s">
        <v>1571</v>
      </c>
      <c r="H507" s="74">
        <v>186</v>
      </c>
      <c r="I507" s="74">
        <v>0</v>
      </c>
    </row>
    <row r="508" spans="1:9">
      <c r="A508" s="74" t="s">
        <v>1568</v>
      </c>
      <c r="B508" s="74" t="s">
        <v>2108</v>
      </c>
      <c r="C508" s="74" t="s">
        <v>115</v>
      </c>
      <c r="D508" s="74" t="s">
        <v>1875</v>
      </c>
      <c r="E508" s="74" t="s">
        <v>2026</v>
      </c>
      <c r="F508" s="74" t="s">
        <v>2026</v>
      </c>
      <c r="G508" s="74" t="s">
        <v>1571</v>
      </c>
      <c r="H508" s="74">
        <v>145</v>
      </c>
      <c r="I508" s="74">
        <v>0</v>
      </c>
    </row>
    <row r="509" spans="1:9">
      <c r="A509" s="74" t="s">
        <v>1568</v>
      </c>
      <c r="B509" s="74" t="s">
        <v>2109</v>
      </c>
      <c r="C509" s="74" t="s">
        <v>116</v>
      </c>
      <c r="D509" s="74" t="s">
        <v>1717</v>
      </c>
      <c r="E509" s="74" t="s">
        <v>2054</v>
      </c>
      <c r="F509" s="74" t="s">
        <v>2054</v>
      </c>
      <c r="G509" s="74" t="s">
        <v>1575</v>
      </c>
      <c r="H509" s="74">
        <v>305</v>
      </c>
      <c r="I509" s="74">
        <v>4</v>
      </c>
    </row>
    <row r="510" spans="1:9">
      <c r="A510" s="74" t="s">
        <v>1568</v>
      </c>
      <c r="B510" s="74" t="s">
        <v>2110</v>
      </c>
      <c r="C510" s="74" t="s">
        <v>107</v>
      </c>
      <c r="D510" s="74" t="s">
        <v>1948</v>
      </c>
      <c r="E510" s="74" t="s">
        <v>2037</v>
      </c>
      <c r="F510" s="74" t="s">
        <v>2037</v>
      </c>
      <c r="G510" s="74" t="s">
        <v>1571</v>
      </c>
      <c r="H510" s="74">
        <v>55</v>
      </c>
      <c r="I510" s="74">
        <v>0</v>
      </c>
    </row>
    <row r="511" spans="1:9">
      <c r="A511" s="74" t="s">
        <v>1568</v>
      </c>
      <c r="B511" s="74" t="s">
        <v>2111</v>
      </c>
      <c r="C511" s="74" t="s">
        <v>114</v>
      </c>
      <c r="D511" s="74" t="s">
        <v>1977</v>
      </c>
      <c r="E511" s="74" t="s">
        <v>2008</v>
      </c>
      <c r="F511" s="74" t="s">
        <v>2008</v>
      </c>
      <c r="G511" s="74" t="s">
        <v>1571</v>
      </c>
      <c r="H511" s="74">
        <v>121</v>
      </c>
      <c r="I511" s="74">
        <v>0</v>
      </c>
    </row>
    <row r="512" spans="1:9">
      <c r="A512" s="74" t="s">
        <v>1568</v>
      </c>
      <c r="B512" s="74" t="s">
        <v>2112</v>
      </c>
      <c r="C512" s="74" t="s">
        <v>107</v>
      </c>
      <c r="D512" s="74" t="s">
        <v>1948</v>
      </c>
      <c r="E512" s="74" t="s">
        <v>2037</v>
      </c>
      <c r="F512" s="74" t="s">
        <v>2037</v>
      </c>
      <c r="G512" s="74" t="s">
        <v>1571</v>
      </c>
      <c r="H512" s="74">
        <v>85</v>
      </c>
      <c r="I512" s="74">
        <v>0</v>
      </c>
    </row>
    <row r="513" spans="1:9">
      <c r="A513" s="74" t="s">
        <v>1568</v>
      </c>
      <c r="B513" s="74" t="s">
        <v>2113</v>
      </c>
      <c r="C513" s="74" t="s">
        <v>114</v>
      </c>
      <c r="D513" s="74" t="s">
        <v>1977</v>
      </c>
      <c r="E513" s="74" t="s">
        <v>2114</v>
      </c>
      <c r="F513" s="74" t="s">
        <v>2114</v>
      </c>
      <c r="G513" s="74" t="s">
        <v>1575</v>
      </c>
      <c r="H513" s="74">
        <v>316</v>
      </c>
      <c r="I513" s="74">
        <v>8</v>
      </c>
    </row>
    <row r="514" spans="1:9">
      <c r="A514" s="74" t="s">
        <v>1568</v>
      </c>
      <c r="B514" s="74" t="s">
        <v>2115</v>
      </c>
      <c r="C514" s="74" t="s">
        <v>113</v>
      </c>
      <c r="D514" s="74" t="s">
        <v>1590</v>
      </c>
      <c r="E514" s="74" t="s">
        <v>2034</v>
      </c>
      <c r="F514" s="74" t="s">
        <v>2034</v>
      </c>
      <c r="G514" s="74" t="s">
        <v>1571</v>
      </c>
      <c r="H514" s="74">
        <v>265</v>
      </c>
      <c r="I514" s="74">
        <v>0</v>
      </c>
    </row>
    <row r="515" spans="1:9">
      <c r="A515" s="74" t="s">
        <v>1568</v>
      </c>
      <c r="B515" s="74" t="s">
        <v>2116</v>
      </c>
      <c r="C515" s="74" t="s">
        <v>113</v>
      </c>
      <c r="D515" s="74" t="s">
        <v>1590</v>
      </c>
      <c r="E515" s="74" t="s">
        <v>2034</v>
      </c>
      <c r="F515" s="74" t="s">
        <v>2034</v>
      </c>
      <c r="G515" s="74" t="s">
        <v>1571</v>
      </c>
      <c r="H515" s="74">
        <v>241</v>
      </c>
      <c r="I515" s="74">
        <v>0</v>
      </c>
    </row>
    <row r="516" spans="1:9">
      <c r="A516" s="74" t="s">
        <v>1568</v>
      </c>
      <c r="B516" s="74" t="s">
        <v>2117</v>
      </c>
      <c r="C516" s="74" t="s">
        <v>113</v>
      </c>
      <c r="D516" s="74" t="s">
        <v>1590</v>
      </c>
      <c r="E516" s="74" t="s">
        <v>2004</v>
      </c>
      <c r="F516" s="74" t="s">
        <v>2004</v>
      </c>
      <c r="G516" s="74" t="s">
        <v>1571</v>
      </c>
      <c r="H516" s="74">
        <v>213</v>
      </c>
      <c r="I516" s="74">
        <v>0</v>
      </c>
    </row>
    <row r="517" spans="1:9">
      <c r="A517" s="74" t="s">
        <v>1568</v>
      </c>
      <c r="B517" s="74" t="s">
        <v>2118</v>
      </c>
      <c r="C517" s="74" t="s">
        <v>113</v>
      </c>
      <c r="D517" s="74" t="s">
        <v>1590</v>
      </c>
      <c r="E517" s="74" t="s">
        <v>2119</v>
      </c>
      <c r="F517" s="74" t="s">
        <v>2119</v>
      </c>
      <c r="G517" s="74" t="s">
        <v>1575</v>
      </c>
      <c r="H517" s="74">
        <v>1162</v>
      </c>
      <c r="I517" s="74">
        <v>9</v>
      </c>
    </row>
    <row r="518" spans="1:9">
      <c r="A518" s="74" t="s">
        <v>1568</v>
      </c>
      <c r="B518" s="74" t="s">
        <v>2120</v>
      </c>
      <c r="C518" s="74" t="s">
        <v>114</v>
      </c>
      <c r="D518" s="74" t="s">
        <v>1977</v>
      </c>
      <c r="E518" s="74" t="s">
        <v>2008</v>
      </c>
      <c r="F518" s="74" t="s">
        <v>2008</v>
      </c>
      <c r="G518" s="74" t="s">
        <v>1571</v>
      </c>
      <c r="H518" s="74">
        <v>200</v>
      </c>
      <c r="I518" s="74">
        <v>0</v>
      </c>
    </row>
    <row r="519" spans="1:9">
      <c r="A519" s="74" t="s">
        <v>1568</v>
      </c>
      <c r="B519" s="74" t="s">
        <v>2121</v>
      </c>
      <c r="C519" s="74" t="s">
        <v>114</v>
      </c>
      <c r="D519" s="74" t="s">
        <v>1977</v>
      </c>
      <c r="E519" s="74" t="s">
        <v>2069</v>
      </c>
      <c r="F519" s="74" t="s">
        <v>2069</v>
      </c>
      <c r="G519" s="74" t="s">
        <v>1571</v>
      </c>
      <c r="H519" s="74">
        <v>220</v>
      </c>
      <c r="I519" s="74">
        <v>4</v>
      </c>
    </row>
    <row r="520" spans="1:9">
      <c r="A520" s="74" t="s">
        <v>1568</v>
      </c>
      <c r="B520" s="74" t="s">
        <v>2122</v>
      </c>
      <c r="C520" s="74" t="s">
        <v>119</v>
      </c>
      <c r="D520" s="74" t="s">
        <v>1748</v>
      </c>
      <c r="E520" s="74" t="s">
        <v>2051</v>
      </c>
      <c r="F520" s="74" t="s">
        <v>2051</v>
      </c>
      <c r="G520" s="74" t="s">
        <v>1571</v>
      </c>
      <c r="H520" s="74">
        <v>31</v>
      </c>
      <c r="I520" s="74">
        <v>0</v>
      </c>
    </row>
    <row r="521" spans="1:9">
      <c r="A521" s="74" t="s">
        <v>1568</v>
      </c>
      <c r="B521" s="74" t="s">
        <v>2123</v>
      </c>
      <c r="C521" s="74" t="s">
        <v>116</v>
      </c>
      <c r="D521" s="74" t="s">
        <v>1717</v>
      </c>
      <c r="E521" s="74" t="s">
        <v>2107</v>
      </c>
      <c r="F521" s="74" t="s">
        <v>2107</v>
      </c>
      <c r="G521" s="74" t="s">
        <v>1571</v>
      </c>
      <c r="H521" s="74">
        <v>209</v>
      </c>
      <c r="I521" s="74">
        <v>8</v>
      </c>
    </row>
    <row r="522" spans="1:9">
      <c r="A522" s="74" t="s">
        <v>1568</v>
      </c>
      <c r="B522" s="74" t="s">
        <v>2124</v>
      </c>
      <c r="C522" s="74" t="s">
        <v>105</v>
      </c>
      <c r="D522" s="74" t="s">
        <v>1848</v>
      </c>
      <c r="E522" s="74" t="s">
        <v>2125</v>
      </c>
      <c r="F522" s="74" t="s">
        <v>2125</v>
      </c>
      <c r="G522" s="74" t="s">
        <v>1571</v>
      </c>
      <c r="H522" s="74">
        <v>100</v>
      </c>
      <c r="I522" s="74">
        <v>0</v>
      </c>
    </row>
    <row r="523" spans="1:9">
      <c r="A523" s="74" t="s">
        <v>1568</v>
      </c>
      <c r="B523" s="74" t="s">
        <v>2126</v>
      </c>
      <c r="C523" s="74" t="s">
        <v>119</v>
      </c>
      <c r="D523" s="74" t="s">
        <v>1748</v>
      </c>
      <c r="E523" s="74" t="s">
        <v>2075</v>
      </c>
      <c r="F523" s="74" t="s">
        <v>2075</v>
      </c>
      <c r="G523" s="74" t="s">
        <v>1571</v>
      </c>
      <c r="H523" s="74">
        <v>50</v>
      </c>
      <c r="I523" s="74">
        <v>0</v>
      </c>
    </row>
    <row r="524" spans="1:9">
      <c r="A524" s="74" t="s">
        <v>1568</v>
      </c>
      <c r="B524" s="74" t="s">
        <v>2127</v>
      </c>
      <c r="C524" s="74" t="s">
        <v>119</v>
      </c>
      <c r="D524" s="74" t="s">
        <v>1748</v>
      </c>
      <c r="E524" s="74" t="s">
        <v>2128</v>
      </c>
      <c r="F524" s="74" t="s">
        <v>2128</v>
      </c>
      <c r="G524" s="74" t="s">
        <v>1571</v>
      </c>
      <c r="H524" s="74">
        <v>50</v>
      </c>
      <c r="I524" s="74">
        <v>0</v>
      </c>
    </row>
    <row r="525" spans="1:9">
      <c r="A525" s="74" t="s">
        <v>1568</v>
      </c>
      <c r="B525" s="74" t="s">
        <v>2129</v>
      </c>
      <c r="C525" s="74" t="s">
        <v>115</v>
      </c>
      <c r="D525" s="74" t="s">
        <v>1875</v>
      </c>
      <c r="E525" s="74" t="s">
        <v>2026</v>
      </c>
      <c r="F525" s="74" t="s">
        <v>2026</v>
      </c>
      <c r="G525" s="74" t="s">
        <v>1571</v>
      </c>
      <c r="H525" s="74">
        <v>119</v>
      </c>
      <c r="I525" s="74">
        <v>0</v>
      </c>
    </row>
    <row r="526" spans="1:9">
      <c r="A526" s="74" t="s">
        <v>1568</v>
      </c>
      <c r="B526" s="74" t="s">
        <v>2130</v>
      </c>
      <c r="C526" s="74" t="s">
        <v>115</v>
      </c>
      <c r="D526" s="74" t="s">
        <v>1875</v>
      </c>
      <c r="E526" s="74" t="s">
        <v>2026</v>
      </c>
      <c r="F526" s="74" t="s">
        <v>2026</v>
      </c>
      <c r="G526" s="74" t="s">
        <v>1571</v>
      </c>
      <c r="H526" s="74">
        <v>113</v>
      </c>
      <c r="I526" s="74">
        <v>0</v>
      </c>
    </row>
    <row r="527" spans="1:9">
      <c r="A527" s="74" t="s">
        <v>1568</v>
      </c>
      <c r="B527" s="74" t="s">
        <v>2131</v>
      </c>
      <c r="C527" s="74" t="s">
        <v>119</v>
      </c>
      <c r="D527" s="74" t="s">
        <v>1748</v>
      </c>
      <c r="E527" s="74" t="s">
        <v>2030</v>
      </c>
      <c r="F527" s="74" t="s">
        <v>2030</v>
      </c>
      <c r="G527" s="74" t="s">
        <v>1573</v>
      </c>
      <c r="H527" s="74">
        <v>423</v>
      </c>
      <c r="I527" s="74">
        <v>0</v>
      </c>
    </row>
    <row r="528" spans="1:9">
      <c r="A528" s="74" t="s">
        <v>1568</v>
      </c>
      <c r="B528" s="74" t="s">
        <v>2132</v>
      </c>
      <c r="C528" s="74" t="s">
        <v>119</v>
      </c>
      <c r="D528" s="74" t="s">
        <v>1748</v>
      </c>
      <c r="E528" s="74" t="s">
        <v>2075</v>
      </c>
      <c r="F528" s="74" t="s">
        <v>2075</v>
      </c>
      <c r="G528" s="74" t="s">
        <v>1571</v>
      </c>
      <c r="H528" s="74">
        <v>13</v>
      </c>
      <c r="I528" s="74">
        <v>0</v>
      </c>
    </row>
    <row r="529" spans="1:9">
      <c r="A529" s="74" t="s">
        <v>1568</v>
      </c>
      <c r="B529" s="74" t="s">
        <v>2133</v>
      </c>
      <c r="C529" s="74" t="s">
        <v>113</v>
      </c>
      <c r="D529" s="74" t="s">
        <v>1590</v>
      </c>
      <c r="E529" s="74" t="s">
        <v>2066</v>
      </c>
      <c r="F529" s="74" t="s">
        <v>2066</v>
      </c>
      <c r="G529" s="74" t="s">
        <v>1571</v>
      </c>
      <c r="H529" s="74">
        <v>18</v>
      </c>
      <c r="I529" s="74">
        <v>0</v>
      </c>
    </row>
    <row r="530" spans="1:9">
      <c r="A530" s="74" t="s">
        <v>1568</v>
      </c>
      <c r="B530" s="74" t="s">
        <v>2134</v>
      </c>
      <c r="C530" s="74" t="s">
        <v>114</v>
      </c>
      <c r="D530" s="74" t="s">
        <v>1977</v>
      </c>
      <c r="E530" s="74" t="s">
        <v>2016</v>
      </c>
      <c r="F530" s="74" t="s">
        <v>2016</v>
      </c>
      <c r="G530" s="74" t="s">
        <v>1571</v>
      </c>
      <c r="H530" s="74">
        <v>320</v>
      </c>
      <c r="I530" s="74">
        <v>0</v>
      </c>
    </row>
    <row r="531" spans="1:9">
      <c r="A531" s="74" t="s">
        <v>1568</v>
      </c>
      <c r="B531" s="74" t="s">
        <v>2135</v>
      </c>
      <c r="C531" s="74" t="s">
        <v>114</v>
      </c>
      <c r="D531" s="74" t="s">
        <v>1977</v>
      </c>
      <c r="E531" s="74" t="s">
        <v>2016</v>
      </c>
      <c r="F531" s="74" t="s">
        <v>2016</v>
      </c>
      <c r="G531" s="74" t="s">
        <v>1571</v>
      </c>
      <c r="H531" s="74">
        <v>220</v>
      </c>
      <c r="I531" s="74">
        <v>0</v>
      </c>
    </row>
    <row r="532" spans="1:9">
      <c r="A532" s="74" t="s">
        <v>1568</v>
      </c>
      <c r="B532" s="74" t="s">
        <v>2136</v>
      </c>
      <c r="C532" s="74" t="s">
        <v>114</v>
      </c>
      <c r="D532" s="74" t="s">
        <v>1977</v>
      </c>
      <c r="E532" s="74" t="s">
        <v>2069</v>
      </c>
      <c r="F532" s="74" t="s">
        <v>2069</v>
      </c>
      <c r="G532" s="74" t="s">
        <v>1571</v>
      </c>
      <c r="H532" s="74">
        <v>180</v>
      </c>
      <c r="I532" s="74">
        <v>0</v>
      </c>
    </row>
    <row r="533" spans="1:9">
      <c r="A533" s="74" t="s">
        <v>1568</v>
      </c>
      <c r="B533" s="74" t="s">
        <v>2137</v>
      </c>
      <c r="C533" s="74" t="s">
        <v>105</v>
      </c>
      <c r="D533" s="74" t="s">
        <v>1848</v>
      </c>
      <c r="E533" s="74" t="s">
        <v>2022</v>
      </c>
      <c r="F533" s="74" t="s">
        <v>2022</v>
      </c>
      <c r="G533" s="74" t="s">
        <v>1571</v>
      </c>
      <c r="H533" s="74">
        <v>180</v>
      </c>
      <c r="I533" s="74">
        <v>0</v>
      </c>
    </row>
    <row r="534" spans="1:9">
      <c r="A534" s="74" t="s">
        <v>1568</v>
      </c>
      <c r="B534" s="74" t="s">
        <v>2138</v>
      </c>
      <c r="C534" s="74" t="s">
        <v>105</v>
      </c>
      <c r="D534" s="74" t="s">
        <v>1848</v>
      </c>
      <c r="E534" s="74" t="s">
        <v>2101</v>
      </c>
      <c r="F534" s="74" t="s">
        <v>2101</v>
      </c>
      <c r="G534" s="74" t="s">
        <v>1571</v>
      </c>
      <c r="H534" s="74">
        <v>67</v>
      </c>
      <c r="I534" s="74">
        <v>0</v>
      </c>
    </row>
    <row r="535" spans="1:9">
      <c r="A535" s="74" t="s">
        <v>1568</v>
      </c>
      <c r="B535" s="74" t="s">
        <v>2139</v>
      </c>
      <c r="C535" s="74" t="s">
        <v>119</v>
      </c>
      <c r="D535" s="74" t="s">
        <v>1748</v>
      </c>
      <c r="E535" s="74" t="s">
        <v>2030</v>
      </c>
      <c r="F535" s="74" t="s">
        <v>2030</v>
      </c>
      <c r="G535" s="74" t="s">
        <v>1575</v>
      </c>
      <c r="H535" s="74">
        <v>205</v>
      </c>
      <c r="I535" s="74">
        <v>6</v>
      </c>
    </row>
    <row r="536" spans="1:9">
      <c r="A536" s="74" t="s">
        <v>1568</v>
      </c>
      <c r="B536" s="74" t="s">
        <v>2140</v>
      </c>
      <c r="C536" s="74" t="s">
        <v>119</v>
      </c>
      <c r="D536" s="74" t="s">
        <v>1748</v>
      </c>
      <c r="E536" s="74" t="s">
        <v>2141</v>
      </c>
      <c r="F536" s="74" t="s">
        <v>2141</v>
      </c>
      <c r="G536" s="74" t="s">
        <v>1571</v>
      </c>
      <c r="H536" s="74">
        <v>51</v>
      </c>
      <c r="I536" s="74">
        <v>0</v>
      </c>
    </row>
    <row r="537" spans="1:9">
      <c r="A537" s="74" t="s">
        <v>1568</v>
      </c>
      <c r="B537" s="74" t="s">
        <v>2142</v>
      </c>
      <c r="C537" s="74" t="s">
        <v>111</v>
      </c>
      <c r="D537" s="74" t="s">
        <v>1517</v>
      </c>
      <c r="E537" s="74" t="s">
        <v>2018</v>
      </c>
      <c r="F537" s="74" t="s">
        <v>2018</v>
      </c>
      <c r="G537" s="74" t="s">
        <v>1583</v>
      </c>
      <c r="H537" s="74">
        <v>601</v>
      </c>
      <c r="I537" s="74">
        <v>10</v>
      </c>
    </row>
    <row r="538" spans="1:9">
      <c r="A538" s="74" t="s">
        <v>1568</v>
      </c>
      <c r="B538" s="74" t="s">
        <v>2143</v>
      </c>
      <c r="C538" s="74" t="s">
        <v>107</v>
      </c>
      <c r="D538" s="74" t="s">
        <v>1948</v>
      </c>
      <c r="E538" s="74" t="s">
        <v>2046</v>
      </c>
      <c r="F538" s="74" t="s">
        <v>2046</v>
      </c>
      <c r="G538" s="74" t="s">
        <v>1571</v>
      </c>
      <c r="H538" s="74">
        <v>29</v>
      </c>
      <c r="I538" s="74">
        <v>0</v>
      </c>
    </row>
    <row r="539" spans="1:9">
      <c r="A539" s="74" t="s">
        <v>1568</v>
      </c>
      <c r="B539" s="74" t="s">
        <v>2144</v>
      </c>
      <c r="C539" s="74" t="s">
        <v>105</v>
      </c>
      <c r="D539" s="74" t="s">
        <v>1848</v>
      </c>
      <c r="E539" s="74" t="s">
        <v>2048</v>
      </c>
      <c r="F539" s="74" t="s">
        <v>2048</v>
      </c>
      <c r="G539" s="74" t="s">
        <v>1571</v>
      </c>
      <c r="H539" s="74">
        <v>180</v>
      </c>
      <c r="I539" s="74">
        <v>0</v>
      </c>
    </row>
    <row r="540" spans="1:9">
      <c r="A540" s="74" t="s">
        <v>1568</v>
      </c>
      <c r="B540" s="74" t="s">
        <v>2145</v>
      </c>
      <c r="C540" s="74" t="s">
        <v>105</v>
      </c>
      <c r="D540" s="74" t="s">
        <v>1848</v>
      </c>
      <c r="E540" s="74" t="s">
        <v>2022</v>
      </c>
      <c r="F540" s="74" t="s">
        <v>2022</v>
      </c>
      <c r="G540" s="74" t="s">
        <v>1571</v>
      </c>
      <c r="H540" s="74">
        <v>30</v>
      </c>
      <c r="I540" s="74">
        <v>0</v>
      </c>
    </row>
    <row r="541" spans="1:9">
      <c r="A541" s="74" t="s">
        <v>1568</v>
      </c>
      <c r="B541" s="74" t="s">
        <v>2146</v>
      </c>
      <c r="C541" s="74" t="s">
        <v>119</v>
      </c>
      <c r="D541" s="74" t="s">
        <v>1748</v>
      </c>
      <c r="E541" s="74" t="s">
        <v>2103</v>
      </c>
      <c r="F541" s="74" t="s">
        <v>2103</v>
      </c>
      <c r="G541" s="74" t="s">
        <v>1571</v>
      </c>
      <c r="H541" s="74">
        <v>20</v>
      </c>
      <c r="I541" s="74">
        <v>0</v>
      </c>
    </row>
    <row r="542" spans="1:9">
      <c r="A542" s="74" t="s">
        <v>1568</v>
      </c>
      <c r="B542" s="74" t="s">
        <v>2147</v>
      </c>
      <c r="C542" s="74" t="s">
        <v>105</v>
      </c>
      <c r="D542" s="74" t="s">
        <v>1848</v>
      </c>
      <c r="E542" s="74" t="s">
        <v>2125</v>
      </c>
      <c r="F542" s="74" t="s">
        <v>2125</v>
      </c>
      <c r="G542" s="74" t="s">
        <v>1571</v>
      </c>
      <c r="H542" s="74">
        <v>94</v>
      </c>
      <c r="I542" s="74">
        <v>0</v>
      </c>
    </row>
    <row r="543" spans="1:9">
      <c r="A543" s="74" t="s">
        <v>1568</v>
      </c>
      <c r="B543" s="74" t="s">
        <v>2148</v>
      </c>
      <c r="C543" s="74" t="s">
        <v>117</v>
      </c>
      <c r="D543" s="74" t="s">
        <v>1736</v>
      </c>
      <c r="E543" s="74" t="s">
        <v>2092</v>
      </c>
      <c r="F543" s="74" t="s">
        <v>2092</v>
      </c>
      <c r="G543" s="74" t="s">
        <v>1571</v>
      </c>
      <c r="H543" s="74">
        <v>50</v>
      </c>
      <c r="I543" s="74">
        <v>0</v>
      </c>
    </row>
    <row r="544" spans="1:9">
      <c r="A544" s="74" t="s">
        <v>1568</v>
      </c>
      <c r="B544" s="74" t="s">
        <v>2149</v>
      </c>
      <c r="C544" s="74" t="s">
        <v>119</v>
      </c>
      <c r="D544" s="74" t="s">
        <v>1748</v>
      </c>
      <c r="E544" s="74" t="s">
        <v>2051</v>
      </c>
      <c r="F544" s="74" t="s">
        <v>2051</v>
      </c>
      <c r="G544" s="74" t="s">
        <v>1612</v>
      </c>
      <c r="H544" s="74">
        <v>49</v>
      </c>
      <c r="I544" s="74">
        <v>0</v>
      </c>
    </row>
    <row r="545" spans="1:9">
      <c r="A545" s="74" t="s">
        <v>1568</v>
      </c>
      <c r="B545" s="74" t="s">
        <v>2150</v>
      </c>
      <c r="C545" s="74" t="s">
        <v>105</v>
      </c>
      <c r="D545" s="74" t="s">
        <v>1848</v>
      </c>
      <c r="E545" s="74" t="s">
        <v>2088</v>
      </c>
      <c r="F545" s="74" t="s">
        <v>2088</v>
      </c>
      <c r="G545" s="74" t="s">
        <v>1571</v>
      </c>
      <c r="H545" s="74">
        <v>74</v>
      </c>
      <c r="I545" s="74">
        <v>0</v>
      </c>
    </row>
    <row r="546" spans="1:9">
      <c r="A546" s="74" t="s">
        <v>1568</v>
      </c>
      <c r="B546" s="74" t="s">
        <v>2151</v>
      </c>
      <c r="C546" s="74" t="s">
        <v>119</v>
      </c>
      <c r="D546" s="74" t="s">
        <v>1748</v>
      </c>
      <c r="E546" s="74" t="s">
        <v>2030</v>
      </c>
      <c r="F546" s="74" t="s">
        <v>2030</v>
      </c>
      <c r="G546" s="74" t="s">
        <v>1573</v>
      </c>
      <c r="H546" s="74">
        <v>690</v>
      </c>
      <c r="I546" s="74">
        <v>0</v>
      </c>
    </row>
    <row r="547" spans="1:9">
      <c r="A547" s="74" t="s">
        <v>1568</v>
      </c>
      <c r="B547" s="74" t="s">
        <v>2152</v>
      </c>
      <c r="C547" s="74" t="s">
        <v>113</v>
      </c>
      <c r="D547" s="74" t="s">
        <v>1590</v>
      </c>
      <c r="E547" s="74" t="s">
        <v>2000</v>
      </c>
      <c r="F547" s="74" t="s">
        <v>2000</v>
      </c>
      <c r="G547" s="74" t="s">
        <v>1612</v>
      </c>
      <c r="H547" s="74">
        <v>60</v>
      </c>
      <c r="I547" s="74">
        <v>0</v>
      </c>
    </row>
    <row r="548" spans="1:9">
      <c r="A548" s="74" t="s">
        <v>1568</v>
      </c>
      <c r="B548" s="74" t="s">
        <v>2153</v>
      </c>
      <c r="C548" s="74" t="s">
        <v>113</v>
      </c>
      <c r="D548" s="74" t="s">
        <v>1590</v>
      </c>
      <c r="E548" s="74" t="s">
        <v>2004</v>
      </c>
      <c r="F548" s="74" t="s">
        <v>2004</v>
      </c>
      <c r="G548" s="74" t="s">
        <v>1571</v>
      </c>
      <c r="H548" s="74">
        <v>120</v>
      </c>
      <c r="I548" s="74">
        <v>0</v>
      </c>
    </row>
    <row r="549" spans="1:9">
      <c r="A549" s="74" t="s">
        <v>1568</v>
      </c>
      <c r="B549" s="74" t="s">
        <v>2154</v>
      </c>
      <c r="C549" s="74" t="s">
        <v>113</v>
      </c>
      <c r="D549" s="74" t="s">
        <v>1590</v>
      </c>
      <c r="E549" s="74" t="s">
        <v>2155</v>
      </c>
      <c r="F549" s="74" t="s">
        <v>2155</v>
      </c>
      <c r="G549" s="74" t="s">
        <v>1575</v>
      </c>
      <c r="H549" s="74">
        <v>246</v>
      </c>
      <c r="I549" s="74">
        <v>9</v>
      </c>
    </row>
    <row r="550" spans="1:9">
      <c r="A550" s="74" t="s">
        <v>1568</v>
      </c>
      <c r="B550" s="74" t="s">
        <v>2156</v>
      </c>
      <c r="C550" s="74" t="s">
        <v>113</v>
      </c>
      <c r="D550" s="74" t="s">
        <v>1590</v>
      </c>
      <c r="E550" s="74" t="s">
        <v>2002</v>
      </c>
      <c r="F550" s="74" t="s">
        <v>2002</v>
      </c>
      <c r="G550" s="74" t="s">
        <v>1612</v>
      </c>
      <c r="H550" s="74">
        <v>37</v>
      </c>
      <c r="I550" s="74">
        <v>0</v>
      </c>
    </row>
    <row r="551" spans="1:9">
      <c r="A551" s="74" t="s">
        <v>1568</v>
      </c>
      <c r="B551" s="74" t="s">
        <v>2157</v>
      </c>
      <c r="C551" s="74" t="s">
        <v>116</v>
      </c>
      <c r="D551" s="74" t="s">
        <v>1717</v>
      </c>
      <c r="E551" s="74" t="s">
        <v>2158</v>
      </c>
      <c r="F551" s="74" t="s">
        <v>2158</v>
      </c>
      <c r="G551" s="74" t="s">
        <v>1575</v>
      </c>
      <c r="H551" s="74">
        <v>133</v>
      </c>
      <c r="I551" s="74">
        <v>0</v>
      </c>
    </row>
    <row r="552" spans="1:9">
      <c r="A552" s="74" t="s">
        <v>1568</v>
      </c>
      <c r="B552" s="74" t="s">
        <v>2159</v>
      </c>
      <c r="C552" s="74" t="s">
        <v>105</v>
      </c>
      <c r="D552" s="74" t="s">
        <v>1848</v>
      </c>
      <c r="E552" s="74" t="s">
        <v>2022</v>
      </c>
      <c r="F552" s="74" t="s">
        <v>2022</v>
      </c>
      <c r="G552" s="74" t="s">
        <v>1571</v>
      </c>
      <c r="H552" s="74">
        <v>83</v>
      </c>
      <c r="I552" s="74">
        <v>0</v>
      </c>
    </row>
    <row r="553" spans="1:9">
      <c r="A553" s="74" t="s">
        <v>1568</v>
      </c>
      <c r="B553" s="74" t="s">
        <v>1611</v>
      </c>
      <c r="C553" s="74" t="s">
        <v>113</v>
      </c>
      <c r="D553" s="74" t="s">
        <v>1590</v>
      </c>
      <c r="E553" s="74" t="s">
        <v>1608</v>
      </c>
      <c r="F553" s="74" t="s">
        <v>1608</v>
      </c>
      <c r="G553" s="74" t="s">
        <v>1612</v>
      </c>
      <c r="H553" s="74">
        <v>50</v>
      </c>
      <c r="I553" s="74">
        <v>0</v>
      </c>
    </row>
    <row r="554" spans="1:9">
      <c r="A554" s="74" t="s">
        <v>1568</v>
      </c>
      <c r="B554" s="74" t="s">
        <v>2160</v>
      </c>
      <c r="C554" s="74" t="s">
        <v>105</v>
      </c>
      <c r="D554" s="74" t="s">
        <v>1848</v>
      </c>
      <c r="E554" s="74" t="s">
        <v>2028</v>
      </c>
      <c r="F554" s="74" t="s">
        <v>2028</v>
      </c>
      <c r="G554" s="74" t="s">
        <v>1571</v>
      </c>
      <c r="H554" s="74">
        <v>25</v>
      </c>
      <c r="I554" s="74">
        <v>0</v>
      </c>
    </row>
    <row r="555" spans="1:9">
      <c r="A555" s="74" t="s">
        <v>1568</v>
      </c>
      <c r="B555" s="74" t="s">
        <v>2161</v>
      </c>
      <c r="C555" s="74" t="s">
        <v>119</v>
      </c>
      <c r="D555" s="74" t="s">
        <v>1748</v>
      </c>
      <c r="E555" s="74" t="s">
        <v>2141</v>
      </c>
      <c r="F555" s="74" t="s">
        <v>2141</v>
      </c>
      <c r="G555" s="74" t="s">
        <v>1571</v>
      </c>
      <c r="H555" s="74">
        <v>50</v>
      </c>
      <c r="I555" s="74">
        <v>0</v>
      </c>
    </row>
    <row r="556" spans="1:9">
      <c r="A556" s="74" t="s">
        <v>1568</v>
      </c>
      <c r="B556" s="74" t="s">
        <v>2162</v>
      </c>
      <c r="C556" s="74" t="s">
        <v>105</v>
      </c>
      <c r="D556" s="74" t="s">
        <v>1848</v>
      </c>
      <c r="E556" s="74" t="s">
        <v>2088</v>
      </c>
      <c r="F556" s="74" t="s">
        <v>2088</v>
      </c>
      <c r="G556" s="74" t="s">
        <v>1571</v>
      </c>
      <c r="H556" s="74">
        <v>80</v>
      </c>
      <c r="I556" s="74">
        <v>0</v>
      </c>
    </row>
    <row r="557" spans="1:9">
      <c r="A557" s="74" t="s">
        <v>1568</v>
      </c>
      <c r="B557" s="74" t="s">
        <v>2163</v>
      </c>
      <c r="C557" s="74" t="s">
        <v>117</v>
      </c>
      <c r="D557" s="74" t="s">
        <v>1736</v>
      </c>
      <c r="E557" s="74" t="s">
        <v>2164</v>
      </c>
      <c r="F557" s="74" t="s">
        <v>2164</v>
      </c>
      <c r="G557" s="74" t="s">
        <v>1571</v>
      </c>
      <c r="H557" s="74">
        <v>33</v>
      </c>
      <c r="I557" s="74">
        <v>0</v>
      </c>
    </row>
    <row r="558" spans="1:9">
      <c r="A558" s="74" t="s">
        <v>1568</v>
      </c>
      <c r="B558" s="74" t="s">
        <v>2165</v>
      </c>
      <c r="C558" s="74" t="s">
        <v>105</v>
      </c>
      <c r="D558" s="74" t="s">
        <v>1848</v>
      </c>
      <c r="E558" s="74" t="s">
        <v>2022</v>
      </c>
      <c r="F558" s="74" t="s">
        <v>2022</v>
      </c>
      <c r="G558" s="74" t="s">
        <v>1571</v>
      </c>
      <c r="H558" s="74">
        <v>20</v>
      </c>
      <c r="I558" s="74">
        <v>0</v>
      </c>
    </row>
    <row r="559" spans="1:9">
      <c r="A559" s="74" t="s">
        <v>1568</v>
      </c>
      <c r="B559" s="74" t="s">
        <v>2166</v>
      </c>
      <c r="C559" s="74" t="s">
        <v>105</v>
      </c>
      <c r="D559" s="74" t="s">
        <v>1848</v>
      </c>
      <c r="E559" s="74" t="s">
        <v>2101</v>
      </c>
      <c r="F559" s="74" t="s">
        <v>2101</v>
      </c>
      <c r="G559" s="74" t="s">
        <v>1580</v>
      </c>
      <c r="H559" s="74">
        <v>45</v>
      </c>
      <c r="I559" s="74">
        <v>0</v>
      </c>
    </row>
    <row r="560" spans="1:9">
      <c r="A560" s="74" t="s">
        <v>1568</v>
      </c>
      <c r="B560" s="74" t="s">
        <v>1576</v>
      </c>
      <c r="C560" s="74" t="s">
        <v>111</v>
      </c>
      <c r="D560" s="74" t="s">
        <v>1517</v>
      </c>
      <c r="E560" s="74" t="s">
        <v>1570</v>
      </c>
      <c r="F560" s="74" t="s">
        <v>1570</v>
      </c>
      <c r="G560" s="74" t="s">
        <v>1571</v>
      </c>
      <c r="H560" s="74">
        <v>70</v>
      </c>
      <c r="I560" s="74">
        <v>0</v>
      </c>
    </row>
    <row r="561" spans="1:9">
      <c r="A561" s="74" t="s">
        <v>1568</v>
      </c>
      <c r="B561" s="74" t="s">
        <v>2167</v>
      </c>
      <c r="C561" s="74" t="s">
        <v>119</v>
      </c>
      <c r="D561" s="74" t="s">
        <v>1748</v>
      </c>
      <c r="E561" s="74" t="s">
        <v>2030</v>
      </c>
      <c r="F561" s="74" t="s">
        <v>2030</v>
      </c>
      <c r="G561" s="74" t="s">
        <v>1571</v>
      </c>
      <c r="H561" s="74">
        <v>184</v>
      </c>
      <c r="I561" s="74">
        <v>0</v>
      </c>
    </row>
    <row r="562" spans="1:9">
      <c r="A562" s="74" t="s">
        <v>1568</v>
      </c>
      <c r="B562" s="74" t="s">
        <v>2168</v>
      </c>
      <c r="C562" s="74" t="s">
        <v>113</v>
      </c>
      <c r="D562" s="74" t="s">
        <v>1590</v>
      </c>
      <c r="E562" s="74" t="s">
        <v>2119</v>
      </c>
      <c r="F562" s="74" t="s">
        <v>2119</v>
      </c>
      <c r="G562" s="74" t="s">
        <v>1571</v>
      </c>
      <c r="H562" s="74">
        <v>200</v>
      </c>
      <c r="I562" s="74">
        <v>0</v>
      </c>
    </row>
    <row r="563" spans="1:9">
      <c r="A563" s="74" t="s">
        <v>1568</v>
      </c>
      <c r="B563" s="74" t="s">
        <v>2169</v>
      </c>
      <c r="C563" s="74" t="s">
        <v>113</v>
      </c>
      <c r="D563" s="74" t="s">
        <v>1590</v>
      </c>
      <c r="E563" s="74" t="s">
        <v>2040</v>
      </c>
      <c r="F563" s="74" t="s">
        <v>2040</v>
      </c>
      <c r="G563" s="74" t="s">
        <v>1571</v>
      </c>
      <c r="H563" s="74">
        <v>185</v>
      </c>
      <c r="I563" s="74">
        <v>0</v>
      </c>
    </row>
    <row r="564" spans="1:9">
      <c r="A564" s="74" t="s">
        <v>1568</v>
      </c>
      <c r="B564" s="74" t="s">
        <v>2170</v>
      </c>
      <c r="C564" s="74" t="s">
        <v>114</v>
      </c>
      <c r="D564" s="74" t="s">
        <v>1977</v>
      </c>
      <c r="E564" s="74" t="s">
        <v>2069</v>
      </c>
      <c r="F564" s="74" t="s">
        <v>2069</v>
      </c>
      <c r="G564" s="74" t="s">
        <v>1583</v>
      </c>
      <c r="H564" s="74">
        <v>510</v>
      </c>
      <c r="I564" s="74">
        <v>16</v>
      </c>
    </row>
    <row r="565" spans="1:9">
      <c r="A565" s="74" t="s">
        <v>1568</v>
      </c>
      <c r="B565" s="74" t="s">
        <v>2171</v>
      </c>
      <c r="C565" s="74" t="s">
        <v>119</v>
      </c>
      <c r="D565" s="74" t="s">
        <v>1748</v>
      </c>
      <c r="E565" s="74" t="s">
        <v>2030</v>
      </c>
      <c r="F565" s="74" t="s">
        <v>2030</v>
      </c>
      <c r="G565" s="74" t="s">
        <v>1571</v>
      </c>
      <c r="H565" s="74">
        <v>395</v>
      </c>
      <c r="I565" s="74">
        <v>0</v>
      </c>
    </row>
    <row r="566" spans="1:9">
      <c r="A566" s="74" t="s">
        <v>1568</v>
      </c>
      <c r="B566" s="74" t="s">
        <v>2172</v>
      </c>
      <c r="C566" s="74" t="s">
        <v>115</v>
      </c>
      <c r="D566" s="74" t="s">
        <v>1875</v>
      </c>
      <c r="E566" s="74" t="s">
        <v>2006</v>
      </c>
      <c r="F566" s="74" t="s">
        <v>2006</v>
      </c>
      <c r="G566" s="74" t="s">
        <v>1612</v>
      </c>
      <c r="H566" s="74">
        <v>77</v>
      </c>
      <c r="I566" s="74">
        <v>0</v>
      </c>
    </row>
    <row r="567" spans="1:9">
      <c r="A567" s="74" t="s">
        <v>1568</v>
      </c>
      <c r="B567" s="74" t="s">
        <v>2173</v>
      </c>
      <c r="C567" s="74" t="s">
        <v>105</v>
      </c>
      <c r="D567" s="74" t="s">
        <v>1848</v>
      </c>
      <c r="E567" s="74" t="s">
        <v>2088</v>
      </c>
      <c r="F567" s="74" t="s">
        <v>2088</v>
      </c>
      <c r="G567" s="74" t="s">
        <v>1571</v>
      </c>
      <c r="H567" s="74">
        <v>166</v>
      </c>
      <c r="I567" s="74">
        <v>0</v>
      </c>
    </row>
    <row r="568" spans="1:9">
      <c r="A568" s="74" t="s">
        <v>1568</v>
      </c>
      <c r="B568" s="74" t="s">
        <v>2174</v>
      </c>
      <c r="C568" s="74" t="s">
        <v>113</v>
      </c>
      <c r="D568" s="74" t="s">
        <v>1590</v>
      </c>
      <c r="E568" s="74" t="s">
        <v>2000</v>
      </c>
      <c r="F568" s="74" t="s">
        <v>2000</v>
      </c>
      <c r="G568" s="74" t="s">
        <v>1571</v>
      </c>
      <c r="H568" s="74">
        <v>338</v>
      </c>
      <c r="I568" s="74">
        <v>0</v>
      </c>
    </row>
    <row r="569" spans="1:9">
      <c r="A569" s="74" t="s">
        <v>1568</v>
      </c>
      <c r="B569" s="74" t="s">
        <v>2175</v>
      </c>
      <c r="C569" s="74" t="s">
        <v>111</v>
      </c>
      <c r="D569" s="74" t="s">
        <v>1517</v>
      </c>
      <c r="E569" s="74" t="s">
        <v>2018</v>
      </c>
      <c r="F569" s="74" t="s">
        <v>2018</v>
      </c>
      <c r="G569" s="74" t="s">
        <v>1575</v>
      </c>
      <c r="H569" s="74">
        <v>230</v>
      </c>
      <c r="I569" s="74">
        <v>0</v>
      </c>
    </row>
    <row r="570" spans="1:9">
      <c r="A570" s="74" t="s">
        <v>1568</v>
      </c>
      <c r="B570" s="74" t="s">
        <v>2176</v>
      </c>
      <c r="C570" s="74" t="s">
        <v>119</v>
      </c>
      <c r="D570" s="74" t="s">
        <v>1748</v>
      </c>
      <c r="E570" s="74" t="s">
        <v>2141</v>
      </c>
      <c r="F570" s="74" t="s">
        <v>2141</v>
      </c>
      <c r="G570" s="74" t="s">
        <v>1571</v>
      </c>
      <c r="H570" s="74">
        <v>71</v>
      </c>
      <c r="I570" s="74">
        <v>0</v>
      </c>
    </row>
    <row r="571" spans="1:9">
      <c r="A571" s="74" t="s">
        <v>1568</v>
      </c>
      <c r="B571" s="74" t="s">
        <v>2177</v>
      </c>
      <c r="C571" s="74" t="s">
        <v>115</v>
      </c>
      <c r="D571" s="74" t="s">
        <v>1875</v>
      </c>
      <c r="E571" s="74" t="s">
        <v>2006</v>
      </c>
      <c r="F571" s="74" t="s">
        <v>2006</v>
      </c>
      <c r="G571" s="74" t="s">
        <v>1571</v>
      </c>
      <c r="H571" s="74">
        <v>200</v>
      </c>
      <c r="I571" s="74">
        <v>0</v>
      </c>
    </row>
    <row r="572" spans="1:9">
      <c r="A572" s="74" t="s">
        <v>1568</v>
      </c>
      <c r="B572" s="74" t="s">
        <v>2178</v>
      </c>
      <c r="C572" s="74" t="s">
        <v>114</v>
      </c>
      <c r="D572" s="74" t="s">
        <v>1977</v>
      </c>
      <c r="E572" s="74" t="s">
        <v>2114</v>
      </c>
      <c r="F572" s="74" t="s">
        <v>2114</v>
      </c>
      <c r="G572" s="74" t="s">
        <v>1571</v>
      </c>
      <c r="H572" s="74">
        <v>132</v>
      </c>
      <c r="I572" s="74">
        <v>0</v>
      </c>
    </row>
    <row r="573" spans="1:9">
      <c r="A573" s="74" t="s">
        <v>1568</v>
      </c>
      <c r="B573" s="74" t="s">
        <v>2179</v>
      </c>
      <c r="C573" s="74" t="s">
        <v>115</v>
      </c>
      <c r="D573" s="74" t="s">
        <v>1875</v>
      </c>
      <c r="E573" s="74" t="s">
        <v>2006</v>
      </c>
      <c r="F573" s="74" t="s">
        <v>2006</v>
      </c>
      <c r="G573" s="74" t="s">
        <v>1571</v>
      </c>
      <c r="H573" s="74">
        <v>178</v>
      </c>
      <c r="I573" s="74">
        <v>0</v>
      </c>
    </row>
    <row r="574" spans="1:9">
      <c r="A574" s="74" t="s">
        <v>1568</v>
      </c>
      <c r="B574" s="74" t="s">
        <v>2180</v>
      </c>
      <c r="C574" s="74" t="s">
        <v>113</v>
      </c>
      <c r="D574" s="74" t="s">
        <v>1590</v>
      </c>
      <c r="E574" s="74" t="s">
        <v>2040</v>
      </c>
      <c r="F574" s="74" t="s">
        <v>2040</v>
      </c>
      <c r="G574" s="74" t="s">
        <v>1573</v>
      </c>
      <c r="H574" s="74">
        <v>320</v>
      </c>
      <c r="I574" s="74">
        <v>0</v>
      </c>
    </row>
    <row r="575" spans="1:9">
      <c r="A575" s="74" t="s">
        <v>1568</v>
      </c>
      <c r="B575" s="74" t="s">
        <v>2181</v>
      </c>
      <c r="C575" s="74" t="s">
        <v>105</v>
      </c>
      <c r="D575" s="74" t="s">
        <v>1848</v>
      </c>
      <c r="E575" s="74" t="s">
        <v>2020</v>
      </c>
      <c r="F575" s="74" t="s">
        <v>2020</v>
      </c>
      <c r="G575" s="74" t="s">
        <v>1571</v>
      </c>
      <c r="H575" s="74">
        <v>100</v>
      </c>
      <c r="I575" s="74">
        <v>0</v>
      </c>
    </row>
    <row r="576" spans="1:9">
      <c r="A576" s="74" t="s">
        <v>1568</v>
      </c>
      <c r="B576" s="74" t="s">
        <v>2182</v>
      </c>
      <c r="C576" s="74" t="s">
        <v>119</v>
      </c>
      <c r="D576" s="74" t="s">
        <v>1748</v>
      </c>
      <c r="E576" s="74" t="s">
        <v>2075</v>
      </c>
      <c r="F576" s="74" t="s">
        <v>2075</v>
      </c>
      <c r="G576" s="74" t="s">
        <v>1575</v>
      </c>
      <c r="H576" s="74">
        <v>275</v>
      </c>
      <c r="I576" s="74">
        <v>13</v>
      </c>
    </row>
    <row r="577" spans="1:9">
      <c r="A577" s="74" t="s">
        <v>1568</v>
      </c>
      <c r="B577" s="74" t="s">
        <v>2183</v>
      </c>
      <c r="C577" s="74" t="s">
        <v>111</v>
      </c>
      <c r="D577" s="74" t="s">
        <v>1517</v>
      </c>
      <c r="E577" s="74" t="s">
        <v>2014</v>
      </c>
      <c r="F577" s="74" t="s">
        <v>2014</v>
      </c>
      <c r="G577" s="74" t="s">
        <v>1575</v>
      </c>
      <c r="H577" s="74">
        <v>821</v>
      </c>
      <c r="I577" s="74">
        <v>0</v>
      </c>
    </row>
    <row r="578" spans="1:9">
      <c r="A578" s="74" t="s">
        <v>1568</v>
      </c>
      <c r="B578" s="74" t="s">
        <v>2184</v>
      </c>
      <c r="C578" s="74" t="s">
        <v>115</v>
      </c>
      <c r="D578" s="74" t="s">
        <v>1875</v>
      </c>
      <c r="E578" s="74" t="s">
        <v>2059</v>
      </c>
      <c r="F578" s="74" t="s">
        <v>2059</v>
      </c>
      <c r="G578" s="74" t="s">
        <v>1571</v>
      </c>
      <c r="H578" s="74">
        <v>14</v>
      </c>
      <c r="I578" s="74">
        <v>0</v>
      </c>
    </row>
    <row r="579" spans="1:9">
      <c r="A579" s="74" t="s">
        <v>1568</v>
      </c>
      <c r="B579" s="74" t="s">
        <v>2185</v>
      </c>
      <c r="C579" s="74" t="s">
        <v>119</v>
      </c>
      <c r="D579" s="74" t="s">
        <v>1748</v>
      </c>
      <c r="E579" s="74" t="s">
        <v>2128</v>
      </c>
      <c r="F579" s="74" t="s">
        <v>2128</v>
      </c>
      <c r="G579" s="74" t="s">
        <v>1612</v>
      </c>
      <c r="H579" s="74">
        <v>199</v>
      </c>
      <c r="I579" s="74">
        <v>0</v>
      </c>
    </row>
    <row r="580" spans="1:9">
      <c r="A580" s="74" t="s">
        <v>1568</v>
      </c>
      <c r="B580" s="74" t="s">
        <v>1577</v>
      </c>
      <c r="C580" s="74" t="s">
        <v>111</v>
      </c>
      <c r="D580" s="74" t="s">
        <v>1517</v>
      </c>
      <c r="E580" s="74" t="s">
        <v>1570</v>
      </c>
      <c r="F580" s="74" t="s">
        <v>1570</v>
      </c>
      <c r="G580" s="74" t="s">
        <v>1578</v>
      </c>
      <c r="H580" s="74">
        <v>845</v>
      </c>
      <c r="I580" s="74">
        <v>0</v>
      </c>
    </row>
    <row r="581" spans="1:9">
      <c r="A581" s="74" t="s">
        <v>1568</v>
      </c>
      <c r="B581" s="74" t="s">
        <v>2186</v>
      </c>
      <c r="C581" s="74" t="s">
        <v>114</v>
      </c>
      <c r="D581" s="74" t="s">
        <v>1977</v>
      </c>
      <c r="E581" s="74" t="s">
        <v>2069</v>
      </c>
      <c r="F581" s="74" t="s">
        <v>2069</v>
      </c>
      <c r="G581" s="74" t="s">
        <v>1571</v>
      </c>
      <c r="H581" s="74">
        <v>110</v>
      </c>
      <c r="I581" s="74">
        <v>0</v>
      </c>
    </row>
    <row r="582" spans="1:9">
      <c r="A582" s="74" t="s">
        <v>1568</v>
      </c>
      <c r="B582" s="74" t="s">
        <v>2187</v>
      </c>
      <c r="C582" s="74" t="s">
        <v>107</v>
      </c>
      <c r="D582" s="74" t="s">
        <v>1948</v>
      </c>
      <c r="E582" s="74" t="s">
        <v>2188</v>
      </c>
      <c r="F582" s="74" t="s">
        <v>2188</v>
      </c>
      <c r="G582" s="74" t="s">
        <v>1571</v>
      </c>
      <c r="H582" s="74">
        <v>38</v>
      </c>
      <c r="I582" s="74">
        <v>0</v>
      </c>
    </row>
    <row r="583" spans="1:9">
      <c r="A583" s="74" t="s">
        <v>1568</v>
      </c>
      <c r="B583" s="74" t="s">
        <v>2189</v>
      </c>
      <c r="C583" s="74" t="s">
        <v>117</v>
      </c>
      <c r="D583" s="74" t="s">
        <v>1736</v>
      </c>
      <c r="E583" s="74" t="s">
        <v>2164</v>
      </c>
      <c r="F583" s="74" t="s">
        <v>2164</v>
      </c>
      <c r="G583" s="74" t="s">
        <v>1571</v>
      </c>
      <c r="H583" s="74">
        <v>51</v>
      </c>
      <c r="I583" s="74">
        <v>0</v>
      </c>
    </row>
    <row r="584" spans="1:9">
      <c r="A584" s="74" t="s">
        <v>1568</v>
      </c>
      <c r="B584" s="74" t="s">
        <v>2190</v>
      </c>
      <c r="C584" s="74" t="s">
        <v>107</v>
      </c>
      <c r="D584" s="74" t="s">
        <v>1948</v>
      </c>
      <c r="E584" s="74" t="s">
        <v>2188</v>
      </c>
      <c r="F584" s="74" t="s">
        <v>2188</v>
      </c>
      <c r="G584" s="74" t="s">
        <v>1575</v>
      </c>
      <c r="H584" s="74">
        <v>450</v>
      </c>
      <c r="I584" s="74">
        <v>8</v>
      </c>
    </row>
    <row r="585" spans="1:9">
      <c r="A585" s="74" t="s">
        <v>1568</v>
      </c>
      <c r="B585" s="74" t="s">
        <v>2191</v>
      </c>
      <c r="C585" s="74" t="s">
        <v>105</v>
      </c>
      <c r="D585" s="74" t="s">
        <v>1848</v>
      </c>
      <c r="E585" s="74" t="s">
        <v>2022</v>
      </c>
      <c r="F585" s="74" t="s">
        <v>2022</v>
      </c>
      <c r="G585" s="74" t="s">
        <v>1571</v>
      </c>
      <c r="H585" s="74">
        <v>20</v>
      </c>
      <c r="I585" s="74">
        <v>0</v>
      </c>
    </row>
    <row r="586" spans="1:9">
      <c r="A586" s="74" t="s">
        <v>1568</v>
      </c>
      <c r="B586" s="74" t="s">
        <v>2192</v>
      </c>
      <c r="C586" s="74" t="s">
        <v>105</v>
      </c>
      <c r="D586" s="74" t="s">
        <v>1848</v>
      </c>
      <c r="E586" s="74" t="s">
        <v>2048</v>
      </c>
      <c r="F586" s="74" t="s">
        <v>2048</v>
      </c>
      <c r="G586" s="74" t="s">
        <v>1571</v>
      </c>
      <c r="H586" s="74">
        <v>15</v>
      </c>
      <c r="I586" s="74">
        <v>0</v>
      </c>
    </row>
    <row r="587" spans="1:9">
      <c r="A587" s="74" t="s">
        <v>1568</v>
      </c>
      <c r="B587" s="74" t="s">
        <v>2193</v>
      </c>
      <c r="C587" s="74" t="s">
        <v>116</v>
      </c>
      <c r="D587" s="74" t="s">
        <v>1717</v>
      </c>
      <c r="E587" s="74" t="s">
        <v>2056</v>
      </c>
      <c r="F587" s="74" t="s">
        <v>2056</v>
      </c>
      <c r="G587" s="74" t="s">
        <v>1575</v>
      </c>
      <c r="H587" s="74">
        <v>393</v>
      </c>
      <c r="I587" s="74">
        <v>5</v>
      </c>
    </row>
    <row r="588" spans="1:9">
      <c r="A588" s="74" t="s">
        <v>1568</v>
      </c>
      <c r="B588" s="74" t="s">
        <v>2194</v>
      </c>
      <c r="C588" s="74" t="s">
        <v>105</v>
      </c>
      <c r="D588" s="74" t="s">
        <v>1848</v>
      </c>
      <c r="E588" s="74" t="s">
        <v>2088</v>
      </c>
      <c r="F588" s="74" t="s">
        <v>2088</v>
      </c>
      <c r="G588" s="74" t="s">
        <v>1612</v>
      </c>
      <c r="H588" s="74">
        <v>57</v>
      </c>
      <c r="I588" s="74">
        <v>0</v>
      </c>
    </row>
    <row r="589" spans="1:9">
      <c r="A589" s="74" t="s">
        <v>1568</v>
      </c>
      <c r="B589" s="74" t="s">
        <v>2195</v>
      </c>
      <c r="C589" s="74" t="s">
        <v>105</v>
      </c>
      <c r="D589" s="74" t="s">
        <v>1848</v>
      </c>
      <c r="E589" s="74" t="s">
        <v>2048</v>
      </c>
      <c r="F589" s="74" t="s">
        <v>2048</v>
      </c>
      <c r="G589" s="74" t="s">
        <v>1612</v>
      </c>
      <c r="H589" s="74">
        <v>100</v>
      </c>
      <c r="I589" s="74">
        <v>0</v>
      </c>
    </row>
    <row r="590" spans="1:9">
      <c r="A590" s="74" t="s">
        <v>1568</v>
      </c>
      <c r="B590" s="74" t="s">
        <v>2196</v>
      </c>
      <c r="C590" s="74" t="s">
        <v>105</v>
      </c>
      <c r="D590" s="74" t="s">
        <v>1848</v>
      </c>
      <c r="E590" s="74" t="s">
        <v>2088</v>
      </c>
      <c r="F590" s="74" t="s">
        <v>2088</v>
      </c>
      <c r="G590" s="74" t="s">
        <v>1612</v>
      </c>
      <c r="H590" s="74">
        <v>80</v>
      </c>
      <c r="I590" s="74">
        <v>0</v>
      </c>
    </row>
    <row r="591" spans="1:9">
      <c r="A591" s="74" t="s">
        <v>1568</v>
      </c>
      <c r="B591" s="74" t="s">
        <v>2197</v>
      </c>
      <c r="C591" s="74" t="s">
        <v>113</v>
      </c>
      <c r="D591" s="74" t="s">
        <v>1590</v>
      </c>
      <c r="E591" s="74" t="s">
        <v>2119</v>
      </c>
      <c r="F591" s="74" t="s">
        <v>2119</v>
      </c>
      <c r="G591" s="74" t="s">
        <v>1575</v>
      </c>
      <c r="H591" s="74">
        <v>380</v>
      </c>
      <c r="I591" s="74">
        <v>0</v>
      </c>
    </row>
    <row r="592" spans="1:9">
      <c r="A592" s="74" t="s">
        <v>1568</v>
      </c>
      <c r="B592" s="74" t="s">
        <v>2198</v>
      </c>
      <c r="C592" s="74" t="s">
        <v>105</v>
      </c>
      <c r="D592" s="74" t="s">
        <v>1848</v>
      </c>
      <c r="E592" s="74" t="s">
        <v>2048</v>
      </c>
      <c r="F592" s="74" t="s">
        <v>2048</v>
      </c>
      <c r="G592" s="74" t="s">
        <v>1573</v>
      </c>
      <c r="H592" s="74">
        <v>400</v>
      </c>
      <c r="I592" s="74">
        <v>0</v>
      </c>
    </row>
    <row r="593" spans="1:9">
      <c r="A593" s="74" t="s">
        <v>1568</v>
      </c>
      <c r="B593" s="74" t="s">
        <v>2199</v>
      </c>
      <c r="C593" s="74" t="s">
        <v>113</v>
      </c>
      <c r="D593" s="74" t="s">
        <v>1590</v>
      </c>
      <c r="E593" s="74" t="s">
        <v>2040</v>
      </c>
      <c r="F593" s="74" t="s">
        <v>2040</v>
      </c>
      <c r="G593" s="74" t="s">
        <v>1571</v>
      </c>
      <c r="H593" s="74">
        <v>187</v>
      </c>
      <c r="I593" s="74">
        <v>0</v>
      </c>
    </row>
    <row r="594" spans="1:9">
      <c r="A594" s="74" t="s">
        <v>1568</v>
      </c>
      <c r="B594" s="74" t="s">
        <v>2200</v>
      </c>
      <c r="C594" s="74" t="s">
        <v>113</v>
      </c>
      <c r="D594" s="74" t="s">
        <v>1590</v>
      </c>
      <c r="E594" s="74" t="s">
        <v>2034</v>
      </c>
      <c r="F594" s="74" t="s">
        <v>2034</v>
      </c>
      <c r="G594" s="74" t="s">
        <v>1571</v>
      </c>
      <c r="H594" s="74">
        <v>208</v>
      </c>
      <c r="I594" s="74">
        <v>0</v>
      </c>
    </row>
    <row r="595" spans="1:9">
      <c r="A595" s="74" t="s">
        <v>1568</v>
      </c>
      <c r="B595" s="74" t="s">
        <v>2201</v>
      </c>
      <c r="C595" s="74" t="s">
        <v>113</v>
      </c>
      <c r="D595" s="74" t="s">
        <v>1590</v>
      </c>
      <c r="E595" s="74" t="s">
        <v>2004</v>
      </c>
      <c r="F595" s="74" t="s">
        <v>2004</v>
      </c>
      <c r="G595" s="74" t="s">
        <v>1583</v>
      </c>
      <c r="H595" s="74">
        <v>436</v>
      </c>
      <c r="I595" s="74">
        <v>8</v>
      </c>
    </row>
    <row r="596" spans="1:9">
      <c r="A596" s="74" t="s">
        <v>1568</v>
      </c>
      <c r="B596" s="74" t="s">
        <v>2202</v>
      </c>
      <c r="C596" s="74" t="s">
        <v>114</v>
      </c>
      <c r="D596" s="74" t="s">
        <v>1977</v>
      </c>
      <c r="E596" s="74" t="s">
        <v>2114</v>
      </c>
      <c r="F596" s="74" t="s">
        <v>2114</v>
      </c>
      <c r="G596" s="74" t="s">
        <v>1571</v>
      </c>
      <c r="H596" s="74">
        <v>246</v>
      </c>
      <c r="I596" s="74">
        <v>0</v>
      </c>
    </row>
    <row r="597" spans="1:9">
      <c r="A597" s="74" t="s">
        <v>1568</v>
      </c>
      <c r="B597" s="74" t="s">
        <v>2203</v>
      </c>
      <c r="C597" s="74" t="s">
        <v>107</v>
      </c>
      <c r="D597" s="74" t="s">
        <v>1948</v>
      </c>
      <c r="E597" s="74" t="s">
        <v>2042</v>
      </c>
      <c r="F597" s="74" t="s">
        <v>2042</v>
      </c>
      <c r="G597" s="74" t="s">
        <v>1571</v>
      </c>
      <c r="H597" s="74">
        <v>137</v>
      </c>
      <c r="I597" s="74">
        <v>0</v>
      </c>
    </row>
    <row r="598" spans="1:9">
      <c r="A598" s="74" t="s">
        <v>1568</v>
      </c>
      <c r="B598" s="74" t="s">
        <v>2204</v>
      </c>
      <c r="C598" s="74" t="s">
        <v>105</v>
      </c>
      <c r="D598" s="74" t="s">
        <v>1848</v>
      </c>
      <c r="E598" s="74" t="s">
        <v>2020</v>
      </c>
      <c r="F598" s="74" t="s">
        <v>2020</v>
      </c>
      <c r="G598" s="74" t="s">
        <v>1575</v>
      </c>
      <c r="H598" s="74">
        <v>293</v>
      </c>
      <c r="I598" s="74">
        <v>0</v>
      </c>
    </row>
    <row r="599" spans="1:9">
      <c r="A599" s="74" t="s">
        <v>1568</v>
      </c>
      <c r="B599" s="74" t="s">
        <v>2205</v>
      </c>
      <c r="C599" s="74" t="s">
        <v>115</v>
      </c>
      <c r="D599" s="74" t="s">
        <v>1875</v>
      </c>
      <c r="E599" s="74" t="s">
        <v>2026</v>
      </c>
      <c r="F599" s="74" t="s">
        <v>2026</v>
      </c>
      <c r="G599" s="74" t="s">
        <v>1575</v>
      </c>
      <c r="H599" s="74">
        <v>226</v>
      </c>
      <c r="I599" s="74">
        <v>2</v>
      </c>
    </row>
    <row r="600" spans="1:9">
      <c r="A600" s="74" t="s">
        <v>1568</v>
      </c>
      <c r="B600" s="74" t="s">
        <v>2206</v>
      </c>
      <c r="C600" s="74" t="s">
        <v>115</v>
      </c>
      <c r="D600" s="74" t="s">
        <v>1875</v>
      </c>
      <c r="E600" s="74" t="s">
        <v>2006</v>
      </c>
      <c r="F600" s="74" t="s">
        <v>2006</v>
      </c>
      <c r="G600" s="74" t="s">
        <v>1571</v>
      </c>
      <c r="H600" s="74">
        <v>83</v>
      </c>
      <c r="I600" s="74">
        <v>0</v>
      </c>
    </row>
    <row r="601" spans="1:9">
      <c r="A601" s="74" t="s">
        <v>1568</v>
      </c>
      <c r="B601" s="74" t="s">
        <v>2207</v>
      </c>
      <c r="C601" s="74" t="s">
        <v>111</v>
      </c>
      <c r="D601" s="74" t="s">
        <v>1517</v>
      </c>
      <c r="E601" s="74" t="s">
        <v>2061</v>
      </c>
      <c r="F601" s="74" t="s">
        <v>2061</v>
      </c>
      <c r="G601" s="74" t="s">
        <v>1571</v>
      </c>
      <c r="H601" s="74">
        <v>214</v>
      </c>
      <c r="I601" s="74">
        <v>0</v>
      </c>
    </row>
    <row r="602" spans="1:9">
      <c r="A602" s="74" t="s">
        <v>1568</v>
      </c>
      <c r="B602" s="74" t="s">
        <v>2208</v>
      </c>
      <c r="C602" s="74" t="s">
        <v>105</v>
      </c>
      <c r="D602" s="74" t="s">
        <v>1848</v>
      </c>
      <c r="E602" s="74" t="s">
        <v>2048</v>
      </c>
      <c r="F602" s="74" t="s">
        <v>2048</v>
      </c>
      <c r="G602" s="74" t="s">
        <v>1571</v>
      </c>
      <c r="H602" s="74">
        <v>260</v>
      </c>
      <c r="I602" s="74">
        <v>0</v>
      </c>
    </row>
    <row r="603" spans="1:9">
      <c r="A603" s="74" t="s">
        <v>1568</v>
      </c>
      <c r="B603" s="74" t="s">
        <v>2209</v>
      </c>
      <c r="C603" s="74" t="s">
        <v>105</v>
      </c>
      <c r="D603" s="74" t="s">
        <v>1848</v>
      </c>
      <c r="E603" s="74" t="s">
        <v>2088</v>
      </c>
      <c r="F603" s="74" t="s">
        <v>2088</v>
      </c>
      <c r="G603" s="74" t="s">
        <v>1573</v>
      </c>
      <c r="H603" s="74">
        <v>313</v>
      </c>
      <c r="I603" s="74">
        <v>0</v>
      </c>
    </row>
    <row r="604" spans="1:9">
      <c r="A604" s="74" t="s">
        <v>1568</v>
      </c>
      <c r="B604" s="74" t="s">
        <v>1579</v>
      </c>
      <c r="C604" s="74" t="s">
        <v>111</v>
      </c>
      <c r="D604" s="74" t="s">
        <v>1517</v>
      </c>
      <c r="E604" s="74" t="s">
        <v>1570</v>
      </c>
      <c r="F604" s="74" t="s">
        <v>1570</v>
      </c>
      <c r="G604" s="74" t="s">
        <v>1580</v>
      </c>
      <c r="H604" s="74">
        <v>61</v>
      </c>
      <c r="I604" s="74">
        <v>0</v>
      </c>
    </row>
    <row r="605" spans="1:9">
      <c r="A605" s="74" t="s">
        <v>1568</v>
      </c>
      <c r="B605" s="74" t="s">
        <v>2210</v>
      </c>
      <c r="C605" s="74" t="s">
        <v>114</v>
      </c>
      <c r="D605" s="74" t="s">
        <v>1977</v>
      </c>
      <c r="E605" s="74" t="s">
        <v>2008</v>
      </c>
      <c r="F605" s="74" t="s">
        <v>2008</v>
      </c>
      <c r="G605" s="74" t="s">
        <v>1575</v>
      </c>
      <c r="H605" s="74">
        <v>286</v>
      </c>
      <c r="I605" s="74">
        <v>4</v>
      </c>
    </row>
    <row r="606" spans="1:9">
      <c r="A606" s="74" t="s">
        <v>1568</v>
      </c>
      <c r="B606" s="74" t="s">
        <v>2211</v>
      </c>
      <c r="C606" s="74" t="s">
        <v>107</v>
      </c>
      <c r="D606" s="74" t="s">
        <v>1948</v>
      </c>
      <c r="E606" s="74" t="s">
        <v>2079</v>
      </c>
      <c r="F606" s="74" t="s">
        <v>2079</v>
      </c>
      <c r="G606" s="74" t="s">
        <v>1571</v>
      </c>
      <c r="H606" s="74">
        <v>63</v>
      </c>
      <c r="I606" s="74">
        <v>0</v>
      </c>
    </row>
    <row r="607" spans="1:9">
      <c r="A607" s="74" t="s">
        <v>1568</v>
      </c>
      <c r="B607" s="74" t="s">
        <v>2212</v>
      </c>
      <c r="C607" s="74" t="s">
        <v>114</v>
      </c>
      <c r="D607" s="74" t="s">
        <v>1977</v>
      </c>
      <c r="E607" s="74" t="s">
        <v>2114</v>
      </c>
      <c r="F607" s="74" t="s">
        <v>2114</v>
      </c>
      <c r="G607" s="74" t="s">
        <v>1571</v>
      </c>
      <c r="H607" s="74">
        <v>140</v>
      </c>
      <c r="I607" s="74">
        <v>0</v>
      </c>
    </row>
    <row r="608" spans="1:9">
      <c r="A608" s="74" t="s">
        <v>1568</v>
      </c>
      <c r="B608" s="74" t="s">
        <v>2213</v>
      </c>
      <c r="C608" s="74" t="s">
        <v>114</v>
      </c>
      <c r="D608" s="74" t="s">
        <v>1977</v>
      </c>
      <c r="E608" s="74" t="s">
        <v>2016</v>
      </c>
      <c r="F608" s="74" t="s">
        <v>2016</v>
      </c>
      <c r="G608" s="74" t="s">
        <v>1571</v>
      </c>
      <c r="H608" s="74">
        <v>55</v>
      </c>
      <c r="I608" s="74">
        <v>0</v>
      </c>
    </row>
    <row r="609" spans="1:9">
      <c r="A609" s="74" t="s">
        <v>1568</v>
      </c>
      <c r="B609" s="74" t="s">
        <v>2214</v>
      </c>
      <c r="C609" s="74" t="s">
        <v>115</v>
      </c>
      <c r="D609" s="74" t="s">
        <v>1875</v>
      </c>
      <c r="E609" s="74" t="s">
        <v>2059</v>
      </c>
      <c r="F609" s="74" t="s">
        <v>2059</v>
      </c>
      <c r="G609" s="74" t="s">
        <v>1571</v>
      </c>
      <c r="H609" s="74">
        <v>227</v>
      </c>
      <c r="I609" s="74">
        <v>0</v>
      </c>
    </row>
    <row r="610" spans="1:9">
      <c r="A610" s="74" t="s">
        <v>1568</v>
      </c>
      <c r="B610" s="74" t="s">
        <v>2215</v>
      </c>
      <c r="C610" s="74" t="s">
        <v>119</v>
      </c>
      <c r="D610" s="74" t="s">
        <v>1748</v>
      </c>
      <c r="E610" s="74" t="s">
        <v>2051</v>
      </c>
      <c r="F610" s="74" t="s">
        <v>2051</v>
      </c>
      <c r="G610" s="74" t="s">
        <v>1571</v>
      </c>
      <c r="H610" s="74">
        <v>81</v>
      </c>
      <c r="I610" s="74">
        <v>0</v>
      </c>
    </row>
    <row r="611" spans="1:9">
      <c r="A611" s="74" t="s">
        <v>1568</v>
      </c>
      <c r="B611" s="74" t="s">
        <v>2216</v>
      </c>
      <c r="C611" s="74" t="s">
        <v>107</v>
      </c>
      <c r="D611" s="74" t="s">
        <v>1948</v>
      </c>
      <c r="E611" s="74" t="s">
        <v>2037</v>
      </c>
      <c r="F611" s="74" t="s">
        <v>2037</v>
      </c>
      <c r="G611" s="74" t="s">
        <v>1571</v>
      </c>
      <c r="H611" s="74">
        <v>57</v>
      </c>
      <c r="I611" s="74">
        <v>0</v>
      </c>
    </row>
    <row r="612" spans="1:9">
      <c r="A612" s="74" t="s">
        <v>1568</v>
      </c>
      <c r="B612" s="74" t="s">
        <v>2217</v>
      </c>
      <c r="C612" s="74" t="s">
        <v>114</v>
      </c>
      <c r="D612" s="74" t="s">
        <v>1977</v>
      </c>
      <c r="E612" s="74" t="s">
        <v>2069</v>
      </c>
      <c r="F612" s="74" t="s">
        <v>2069</v>
      </c>
      <c r="G612" s="74" t="s">
        <v>1571</v>
      </c>
      <c r="H612" s="74">
        <v>74</v>
      </c>
      <c r="I612" s="74">
        <v>0</v>
      </c>
    </row>
    <row r="613" spans="1:9">
      <c r="A613" s="74" t="s">
        <v>1568</v>
      </c>
      <c r="B613" s="74" t="s">
        <v>1581</v>
      </c>
      <c r="C613" s="74" t="s">
        <v>111</v>
      </c>
      <c r="D613" s="74" t="s">
        <v>1517</v>
      </c>
      <c r="E613" s="74" t="s">
        <v>1570</v>
      </c>
      <c r="F613" s="74" t="s">
        <v>1570</v>
      </c>
      <c r="G613" s="74" t="s">
        <v>1571</v>
      </c>
      <c r="H613" s="74">
        <v>366</v>
      </c>
      <c r="I613" s="74">
        <v>4</v>
      </c>
    </row>
    <row r="614" spans="1:9">
      <c r="A614" s="74" t="s">
        <v>1568</v>
      </c>
      <c r="B614" s="74" t="s">
        <v>2218</v>
      </c>
      <c r="C614" s="74" t="s">
        <v>114</v>
      </c>
      <c r="D614" s="74" t="s">
        <v>1977</v>
      </c>
      <c r="E614" s="74" t="s">
        <v>2016</v>
      </c>
      <c r="F614" s="74" t="s">
        <v>2016</v>
      </c>
      <c r="G614" s="74" t="s">
        <v>1575</v>
      </c>
      <c r="H614" s="74">
        <v>380</v>
      </c>
      <c r="I614" s="74">
        <v>4</v>
      </c>
    </row>
    <row r="615" spans="1:9">
      <c r="A615" s="74" t="s">
        <v>1568</v>
      </c>
      <c r="B615" s="74" t="s">
        <v>2219</v>
      </c>
      <c r="C615" s="74" t="s">
        <v>113</v>
      </c>
      <c r="D615" s="74" t="s">
        <v>1590</v>
      </c>
      <c r="E615" s="74" t="s">
        <v>2066</v>
      </c>
      <c r="F615" s="74" t="s">
        <v>2066</v>
      </c>
      <c r="G615" s="74" t="s">
        <v>1571</v>
      </c>
      <c r="H615" s="74">
        <v>130</v>
      </c>
      <c r="I615" s="74">
        <v>0</v>
      </c>
    </row>
    <row r="616" spans="1:9">
      <c r="A616" s="74" t="s">
        <v>1568</v>
      </c>
      <c r="B616" s="74" t="s">
        <v>2220</v>
      </c>
      <c r="C616" s="74" t="s">
        <v>119</v>
      </c>
      <c r="D616" s="74" t="s">
        <v>1748</v>
      </c>
      <c r="E616" s="74" t="s">
        <v>2128</v>
      </c>
      <c r="F616" s="74" t="s">
        <v>2128</v>
      </c>
      <c r="G616" s="74" t="s">
        <v>1575</v>
      </c>
      <c r="H616" s="74">
        <v>275</v>
      </c>
      <c r="I616" s="74">
        <v>5</v>
      </c>
    </row>
    <row r="617" spans="1:9">
      <c r="A617" s="74" t="s">
        <v>1568</v>
      </c>
      <c r="B617" s="74" t="s">
        <v>2221</v>
      </c>
      <c r="C617" s="74" t="s">
        <v>119</v>
      </c>
      <c r="D617" s="74" t="s">
        <v>1748</v>
      </c>
      <c r="E617" s="74" t="s">
        <v>2030</v>
      </c>
      <c r="F617" s="74" t="s">
        <v>2030</v>
      </c>
      <c r="G617" s="74" t="s">
        <v>1571</v>
      </c>
      <c r="H617" s="74">
        <v>311</v>
      </c>
      <c r="I617" s="74">
        <v>0</v>
      </c>
    </row>
    <row r="618" spans="1:9">
      <c r="A618" s="74" t="s">
        <v>1568</v>
      </c>
      <c r="B618" s="74" t="s">
        <v>2222</v>
      </c>
      <c r="C618" s="74" t="s">
        <v>105</v>
      </c>
      <c r="D618" s="74" t="s">
        <v>1848</v>
      </c>
      <c r="E618" s="74" t="s">
        <v>2223</v>
      </c>
      <c r="F618" s="74" t="s">
        <v>2223</v>
      </c>
      <c r="G618" s="74" t="s">
        <v>1583</v>
      </c>
      <c r="H618" s="74">
        <v>642</v>
      </c>
      <c r="I618" s="74">
        <v>16</v>
      </c>
    </row>
    <row r="619" spans="1:9">
      <c r="A619" s="74" t="s">
        <v>1568</v>
      </c>
      <c r="B619" s="74" t="s">
        <v>2224</v>
      </c>
      <c r="C619" s="74" t="s">
        <v>119</v>
      </c>
      <c r="D619" s="74" t="s">
        <v>1748</v>
      </c>
      <c r="E619" s="74" t="s">
        <v>2141</v>
      </c>
      <c r="F619" s="74" t="s">
        <v>2141</v>
      </c>
      <c r="G619" s="74" t="s">
        <v>1571</v>
      </c>
      <c r="H619" s="74">
        <v>30</v>
      </c>
      <c r="I619" s="74">
        <v>0</v>
      </c>
    </row>
    <row r="620" spans="1:9">
      <c r="A620" s="74" t="s">
        <v>1568</v>
      </c>
      <c r="B620" s="74" t="s">
        <v>2225</v>
      </c>
      <c r="C620" s="74" t="s">
        <v>107</v>
      </c>
      <c r="D620" s="74" t="s">
        <v>1948</v>
      </c>
      <c r="E620" s="74" t="s">
        <v>2188</v>
      </c>
      <c r="F620" s="74" t="s">
        <v>2188</v>
      </c>
      <c r="G620" s="74" t="s">
        <v>1571</v>
      </c>
      <c r="H620" s="74">
        <v>78</v>
      </c>
      <c r="I620" s="74">
        <v>0</v>
      </c>
    </row>
    <row r="621" spans="1:9">
      <c r="A621" s="74" t="s">
        <v>1568</v>
      </c>
      <c r="B621" s="74" t="s">
        <v>2226</v>
      </c>
      <c r="C621" s="74" t="s">
        <v>111</v>
      </c>
      <c r="D621" s="74" t="s">
        <v>1517</v>
      </c>
      <c r="E621" s="74" t="s">
        <v>2061</v>
      </c>
      <c r="F621" s="74" t="s">
        <v>2061</v>
      </c>
      <c r="G621" s="74" t="s">
        <v>1571</v>
      </c>
      <c r="H621" s="74">
        <v>126</v>
      </c>
      <c r="I621" s="74">
        <v>0</v>
      </c>
    </row>
    <row r="622" spans="1:9">
      <c r="A622" s="74" t="s">
        <v>1568</v>
      </c>
      <c r="B622" s="74" t="s">
        <v>2227</v>
      </c>
      <c r="C622" s="74" t="s">
        <v>111</v>
      </c>
      <c r="D622" s="74" t="s">
        <v>1517</v>
      </c>
      <c r="E622" s="74" t="s">
        <v>2014</v>
      </c>
      <c r="F622" s="74" t="s">
        <v>2014</v>
      </c>
      <c r="G622" s="74" t="s">
        <v>1571</v>
      </c>
      <c r="H622" s="74">
        <v>297</v>
      </c>
      <c r="I622" s="74">
        <v>0</v>
      </c>
    </row>
    <row r="623" spans="1:9">
      <c r="A623" s="74" t="s">
        <v>1568</v>
      </c>
      <c r="B623" s="74" t="s">
        <v>2228</v>
      </c>
      <c r="C623" s="74" t="s">
        <v>115</v>
      </c>
      <c r="D623" s="74" t="s">
        <v>1875</v>
      </c>
      <c r="E623" s="74" t="s">
        <v>2006</v>
      </c>
      <c r="F623" s="74" t="s">
        <v>2006</v>
      </c>
      <c r="G623" s="74" t="s">
        <v>1583</v>
      </c>
      <c r="H623" s="74">
        <v>392</v>
      </c>
      <c r="I623" s="74">
        <v>0</v>
      </c>
    </row>
    <row r="624" spans="1:9">
      <c r="A624" s="74" t="s">
        <v>1568</v>
      </c>
      <c r="B624" s="74" t="s">
        <v>2229</v>
      </c>
      <c r="C624" s="74" t="s">
        <v>116</v>
      </c>
      <c r="D624" s="74" t="s">
        <v>1717</v>
      </c>
      <c r="E624" s="74" t="s">
        <v>2158</v>
      </c>
      <c r="F624" s="74" t="s">
        <v>2158</v>
      </c>
      <c r="G624" s="74" t="s">
        <v>1571</v>
      </c>
      <c r="H624" s="74">
        <v>59</v>
      </c>
      <c r="I624" s="74">
        <v>0</v>
      </c>
    </row>
    <row r="625" spans="1:9">
      <c r="A625" s="74" t="s">
        <v>1568</v>
      </c>
      <c r="B625" s="74" t="s">
        <v>1582</v>
      </c>
      <c r="C625" s="74" t="s">
        <v>111</v>
      </c>
      <c r="D625" s="74" t="s">
        <v>1517</v>
      </c>
      <c r="E625" s="74" t="s">
        <v>1570</v>
      </c>
      <c r="F625" s="74" t="s">
        <v>1570</v>
      </c>
      <c r="G625" s="74" t="s">
        <v>1583</v>
      </c>
      <c r="H625" s="74">
        <v>737</v>
      </c>
      <c r="I625" s="74">
        <v>14</v>
      </c>
    </row>
    <row r="626" spans="1:9">
      <c r="A626" s="74" t="s">
        <v>1568</v>
      </c>
      <c r="B626" s="74" t="s">
        <v>2230</v>
      </c>
      <c r="C626" s="74" t="s">
        <v>105</v>
      </c>
      <c r="D626" s="74" t="s">
        <v>1848</v>
      </c>
      <c r="E626" s="74" t="s">
        <v>2022</v>
      </c>
      <c r="F626" s="74" t="s">
        <v>2022</v>
      </c>
      <c r="G626" s="74" t="s">
        <v>1573</v>
      </c>
      <c r="H626" s="74">
        <v>440</v>
      </c>
      <c r="I626" s="74">
        <v>0</v>
      </c>
    </row>
    <row r="627" spans="1:9">
      <c r="A627" s="74" t="s">
        <v>1568</v>
      </c>
      <c r="B627" s="74" t="s">
        <v>2231</v>
      </c>
      <c r="C627" s="74" t="s">
        <v>116</v>
      </c>
      <c r="D627" s="74" t="s">
        <v>1717</v>
      </c>
      <c r="E627" s="74" t="s">
        <v>2056</v>
      </c>
      <c r="F627" s="74" t="s">
        <v>2056</v>
      </c>
      <c r="G627" s="74" t="s">
        <v>1573</v>
      </c>
      <c r="H627" s="74">
        <v>317</v>
      </c>
      <c r="I627" s="74">
        <v>0</v>
      </c>
    </row>
    <row r="628" spans="1:9">
      <c r="A628" s="74" t="s">
        <v>1568</v>
      </c>
      <c r="B628" s="74" t="s">
        <v>2232</v>
      </c>
      <c r="C628" s="74" t="s">
        <v>105</v>
      </c>
      <c r="D628" s="74" t="s">
        <v>1848</v>
      </c>
      <c r="E628" s="74" t="s">
        <v>2048</v>
      </c>
      <c r="F628" s="74" t="s">
        <v>2048</v>
      </c>
      <c r="G628" s="74" t="s">
        <v>1571</v>
      </c>
      <c r="H628" s="74">
        <v>122</v>
      </c>
      <c r="I628" s="74">
        <v>0</v>
      </c>
    </row>
    <row r="629" spans="1:9">
      <c r="A629" s="74" t="s">
        <v>1568</v>
      </c>
      <c r="B629" s="74" t="s">
        <v>2233</v>
      </c>
      <c r="C629" s="74" t="s">
        <v>105</v>
      </c>
      <c r="D629" s="74" t="s">
        <v>1848</v>
      </c>
      <c r="E629" s="74" t="s">
        <v>2088</v>
      </c>
      <c r="F629" s="74" t="s">
        <v>2088</v>
      </c>
      <c r="G629" s="74" t="s">
        <v>1571</v>
      </c>
      <c r="H629" s="74">
        <v>37</v>
      </c>
      <c r="I629" s="74">
        <v>0</v>
      </c>
    </row>
    <row r="630" spans="1:9">
      <c r="A630" s="74" t="s">
        <v>1568</v>
      </c>
      <c r="B630" s="74" t="s">
        <v>2234</v>
      </c>
      <c r="C630" s="74" t="s">
        <v>117</v>
      </c>
      <c r="D630" s="74" t="s">
        <v>1736</v>
      </c>
      <c r="E630" s="74" t="s">
        <v>2235</v>
      </c>
      <c r="F630" s="74" t="s">
        <v>2235</v>
      </c>
      <c r="G630" s="74" t="s">
        <v>1571</v>
      </c>
      <c r="H630" s="74">
        <v>69</v>
      </c>
      <c r="I630" s="74">
        <v>0</v>
      </c>
    </row>
    <row r="631" spans="1:9">
      <c r="A631" s="74" t="s">
        <v>1568</v>
      </c>
      <c r="B631" s="74" t="s">
        <v>2236</v>
      </c>
      <c r="C631" s="74" t="s">
        <v>115</v>
      </c>
      <c r="D631" s="74" t="s">
        <v>1875</v>
      </c>
      <c r="E631" s="74" t="s">
        <v>2006</v>
      </c>
      <c r="F631" s="74" t="s">
        <v>2006</v>
      </c>
      <c r="G631" s="74" t="s">
        <v>1575</v>
      </c>
      <c r="H631" s="74">
        <v>382</v>
      </c>
      <c r="I631" s="74">
        <v>0</v>
      </c>
    </row>
    <row r="632" spans="1:9">
      <c r="A632" s="74" t="s">
        <v>1568</v>
      </c>
      <c r="B632" s="74" t="s">
        <v>2237</v>
      </c>
      <c r="C632" s="74" t="s">
        <v>113</v>
      </c>
      <c r="D632" s="74" t="s">
        <v>1590</v>
      </c>
      <c r="E632" s="74" t="s">
        <v>2002</v>
      </c>
      <c r="F632" s="74" t="s">
        <v>2002</v>
      </c>
      <c r="G632" s="74" t="s">
        <v>1571</v>
      </c>
      <c r="H632" s="74">
        <v>349</v>
      </c>
      <c r="I632" s="74">
        <v>0</v>
      </c>
    </row>
    <row r="633" spans="1:9">
      <c r="A633" s="74" t="s">
        <v>1568</v>
      </c>
      <c r="B633" s="74" t="s">
        <v>2238</v>
      </c>
      <c r="C633" s="74" t="s">
        <v>114</v>
      </c>
      <c r="D633" s="74" t="s">
        <v>1977</v>
      </c>
      <c r="E633" s="74" t="s">
        <v>2016</v>
      </c>
      <c r="F633" s="74" t="s">
        <v>2016</v>
      </c>
      <c r="G633" s="74" t="s">
        <v>1571</v>
      </c>
      <c r="H633" s="74">
        <v>195</v>
      </c>
      <c r="I633" s="74">
        <v>0</v>
      </c>
    </row>
    <row r="634" spans="1:9">
      <c r="A634" s="74" t="s">
        <v>1568</v>
      </c>
      <c r="B634" s="74" t="s">
        <v>2072</v>
      </c>
      <c r="C634" s="74" t="s">
        <v>113</v>
      </c>
      <c r="D634" s="74" t="s">
        <v>1590</v>
      </c>
      <c r="E634" s="74" t="s">
        <v>2028</v>
      </c>
      <c r="F634" s="74" t="s">
        <v>2028</v>
      </c>
      <c r="G634" s="74" t="s">
        <v>1573</v>
      </c>
      <c r="H634" s="74">
        <v>79</v>
      </c>
      <c r="I634" s="74">
        <v>0</v>
      </c>
    </row>
    <row r="635" spans="1:9">
      <c r="A635" s="74" t="s">
        <v>1568</v>
      </c>
      <c r="B635" s="74" t="s">
        <v>2239</v>
      </c>
      <c r="C635" s="74" t="s">
        <v>105</v>
      </c>
      <c r="D635" s="74" t="s">
        <v>1848</v>
      </c>
      <c r="E635" s="74" t="s">
        <v>2020</v>
      </c>
      <c r="F635" s="74" t="s">
        <v>2020</v>
      </c>
      <c r="G635" s="74" t="s">
        <v>1571</v>
      </c>
      <c r="H635" s="74">
        <v>180</v>
      </c>
      <c r="I635" s="74">
        <v>0</v>
      </c>
    </row>
    <row r="636" spans="1:9">
      <c r="A636" s="74" t="s">
        <v>1568</v>
      </c>
      <c r="B636" s="74" t="s">
        <v>2240</v>
      </c>
      <c r="C636" s="74" t="s">
        <v>114</v>
      </c>
      <c r="D636" s="74" t="s">
        <v>1977</v>
      </c>
      <c r="E636" s="74" t="s">
        <v>2010</v>
      </c>
      <c r="F636" s="74" t="s">
        <v>2010</v>
      </c>
      <c r="G636" s="74" t="s">
        <v>1571</v>
      </c>
      <c r="H636" s="74">
        <v>91</v>
      </c>
      <c r="I636" s="74">
        <v>0</v>
      </c>
    </row>
    <row r="637" spans="1:9">
      <c r="A637" s="74" t="s">
        <v>1568</v>
      </c>
      <c r="B637" s="74" t="s">
        <v>2241</v>
      </c>
      <c r="C637" s="74" t="s">
        <v>114</v>
      </c>
      <c r="D637" s="74" t="s">
        <v>1977</v>
      </c>
      <c r="E637" s="74" t="s">
        <v>2069</v>
      </c>
      <c r="F637" s="74" t="s">
        <v>2069</v>
      </c>
      <c r="G637" s="74" t="s">
        <v>1573</v>
      </c>
      <c r="H637" s="74">
        <v>400</v>
      </c>
      <c r="I637" s="74">
        <v>0</v>
      </c>
    </row>
    <row r="638" spans="1:9">
      <c r="A638" s="74" t="s">
        <v>1568</v>
      </c>
      <c r="B638" s="74" t="s">
        <v>2242</v>
      </c>
      <c r="C638" s="74" t="s">
        <v>116</v>
      </c>
      <c r="D638" s="74" t="s">
        <v>1717</v>
      </c>
      <c r="E638" s="74" t="s">
        <v>2158</v>
      </c>
      <c r="F638" s="74" t="s">
        <v>2158</v>
      </c>
      <c r="G638" s="74" t="s">
        <v>1571</v>
      </c>
      <c r="H638" s="74">
        <v>40</v>
      </c>
      <c r="I638" s="74">
        <v>0</v>
      </c>
    </row>
    <row r="639" spans="1:9">
      <c r="A639" s="74" t="s">
        <v>1568</v>
      </c>
      <c r="B639" s="74" t="s">
        <v>2243</v>
      </c>
      <c r="C639" s="74" t="s">
        <v>119</v>
      </c>
      <c r="D639" s="74" t="s">
        <v>1748</v>
      </c>
      <c r="E639" s="74" t="s">
        <v>2128</v>
      </c>
      <c r="F639" s="74" t="s">
        <v>2128</v>
      </c>
      <c r="G639" s="74" t="s">
        <v>1571</v>
      </c>
      <c r="H639" s="74">
        <v>26</v>
      </c>
      <c r="I639" s="74">
        <v>0</v>
      </c>
    </row>
    <row r="640" spans="1:9">
      <c r="A640" s="74" t="s">
        <v>1568</v>
      </c>
      <c r="B640" s="74" t="s">
        <v>2244</v>
      </c>
      <c r="C640" s="74" t="s">
        <v>113</v>
      </c>
      <c r="D640" s="74" t="s">
        <v>1590</v>
      </c>
      <c r="E640" s="74" t="s">
        <v>2012</v>
      </c>
      <c r="F640" s="74" t="s">
        <v>2012</v>
      </c>
      <c r="G640" s="74" t="s">
        <v>1575</v>
      </c>
      <c r="H640" s="74">
        <v>309</v>
      </c>
      <c r="I640" s="74">
        <v>4</v>
      </c>
    </row>
    <row r="641" spans="1:9">
      <c r="A641" s="74" t="s">
        <v>1568</v>
      </c>
      <c r="B641" s="74" t="s">
        <v>2245</v>
      </c>
      <c r="C641" s="74" t="s">
        <v>115</v>
      </c>
      <c r="D641" s="74" t="s">
        <v>1875</v>
      </c>
      <c r="E641" s="74" t="s">
        <v>2059</v>
      </c>
      <c r="F641" s="74" t="s">
        <v>2059</v>
      </c>
      <c r="G641" s="74" t="s">
        <v>1612</v>
      </c>
      <c r="H641" s="74">
        <v>226</v>
      </c>
      <c r="I641" s="74">
        <v>0</v>
      </c>
    </row>
    <row r="642" spans="1:9">
      <c r="A642" s="74" t="s">
        <v>1568</v>
      </c>
      <c r="B642" s="74" t="s">
        <v>2246</v>
      </c>
      <c r="C642" s="74" t="s">
        <v>117</v>
      </c>
      <c r="D642" s="74" t="s">
        <v>1736</v>
      </c>
      <c r="E642" s="74" t="s">
        <v>2235</v>
      </c>
      <c r="F642" s="74" t="s">
        <v>2235</v>
      </c>
      <c r="G642" s="74" t="s">
        <v>1571</v>
      </c>
      <c r="H642" s="74">
        <v>164</v>
      </c>
      <c r="I642" s="74">
        <v>0</v>
      </c>
    </row>
    <row r="643" spans="1:9">
      <c r="A643" s="74" t="s">
        <v>1568</v>
      </c>
      <c r="B643" s="74" t="s">
        <v>2247</v>
      </c>
      <c r="C643" s="74" t="s">
        <v>116</v>
      </c>
      <c r="D643" s="74" t="s">
        <v>1717</v>
      </c>
      <c r="E643" s="74" t="s">
        <v>2158</v>
      </c>
      <c r="F643" s="74" t="s">
        <v>2158</v>
      </c>
      <c r="G643" s="74" t="s">
        <v>1571</v>
      </c>
      <c r="H643" s="74">
        <v>198</v>
      </c>
      <c r="I643" s="74">
        <v>0</v>
      </c>
    </row>
    <row r="644" spans="1:9">
      <c r="A644" s="74" t="s">
        <v>1568</v>
      </c>
      <c r="B644" s="74" t="s">
        <v>2248</v>
      </c>
      <c r="C644" s="74" t="s">
        <v>105</v>
      </c>
      <c r="D644" s="74" t="s">
        <v>1848</v>
      </c>
      <c r="E644" s="74" t="s">
        <v>2101</v>
      </c>
      <c r="F644" s="74" t="s">
        <v>2101</v>
      </c>
      <c r="G644" s="74" t="s">
        <v>1571</v>
      </c>
      <c r="H644" s="74">
        <v>205</v>
      </c>
      <c r="I644" s="74">
        <v>0</v>
      </c>
    </row>
    <row r="645" spans="1:9">
      <c r="A645" s="74" t="s">
        <v>1568</v>
      </c>
      <c r="B645" s="74" t="s">
        <v>2249</v>
      </c>
      <c r="C645" s="74" t="s">
        <v>113</v>
      </c>
      <c r="D645" s="74" t="s">
        <v>1590</v>
      </c>
      <c r="E645" s="74" t="s">
        <v>2119</v>
      </c>
      <c r="F645" s="74" t="s">
        <v>2119</v>
      </c>
      <c r="G645" s="74" t="s">
        <v>1612</v>
      </c>
      <c r="H645" s="74">
        <v>120</v>
      </c>
      <c r="I645" s="74">
        <v>0</v>
      </c>
    </row>
    <row r="646" spans="1:9">
      <c r="A646" s="74" t="s">
        <v>1568</v>
      </c>
      <c r="B646" s="74" t="s">
        <v>2250</v>
      </c>
      <c r="C646" s="74" t="s">
        <v>119</v>
      </c>
      <c r="D646" s="74" t="s">
        <v>1748</v>
      </c>
      <c r="E646" s="74" t="s">
        <v>2051</v>
      </c>
      <c r="F646" s="74" t="s">
        <v>2051</v>
      </c>
      <c r="G646" s="74" t="s">
        <v>1571</v>
      </c>
      <c r="H646" s="74">
        <v>10</v>
      </c>
      <c r="I646" s="74">
        <v>0</v>
      </c>
    </row>
    <row r="647" spans="1:9">
      <c r="A647" s="74" t="s">
        <v>1568</v>
      </c>
      <c r="B647" s="74" t="s">
        <v>2251</v>
      </c>
      <c r="C647" s="74" t="s">
        <v>114</v>
      </c>
      <c r="D647" s="74" t="s">
        <v>1977</v>
      </c>
      <c r="E647" s="74" t="s">
        <v>2010</v>
      </c>
      <c r="F647" s="74" t="s">
        <v>2010</v>
      </c>
      <c r="G647" s="74" t="s">
        <v>1571</v>
      </c>
      <c r="H647" s="74">
        <v>122</v>
      </c>
      <c r="I647" s="74">
        <v>0</v>
      </c>
    </row>
    <row r="648" spans="1:9">
      <c r="A648" s="74" t="s">
        <v>1568</v>
      </c>
      <c r="B648" s="74" t="s">
        <v>2252</v>
      </c>
      <c r="C648" s="74" t="s">
        <v>107</v>
      </c>
      <c r="D648" s="74" t="s">
        <v>1948</v>
      </c>
      <c r="E648" s="74" t="s">
        <v>2042</v>
      </c>
      <c r="F648" s="74" t="s">
        <v>2042</v>
      </c>
      <c r="G648" s="74" t="s">
        <v>1573</v>
      </c>
      <c r="H648" s="74">
        <v>760</v>
      </c>
      <c r="I648" s="74">
        <v>0</v>
      </c>
    </row>
    <row r="649" spans="1:9">
      <c r="A649" s="74" t="s">
        <v>1568</v>
      </c>
      <c r="B649" s="74" t="s">
        <v>2253</v>
      </c>
      <c r="C649" s="74" t="s">
        <v>115</v>
      </c>
      <c r="D649" s="74" t="s">
        <v>1875</v>
      </c>
      <c r="E649" s="74" t="s">
        <v>2006</v>
      </c>
      <c r="F649" s="74" t="s">
        <v>2006</v>
      </c>
      <c r="G649" s="74" t="s">
        <v>1571</v>
      </c>
      <c r="H649" s="74">
        <v>314</v>
      </c>
      <c r="I649" s="74">
        <v>0</v>
      </c>
    </row>
    <row r="650" spans="1:9">
      <c r="A650" s="74" t="s">
        <v>1568</v>
      </c>
      <c r="B650" s="74" t="s">
        <v>2254</v>
      </c>
      <c r="C650" s="74" t="s">
        <v>105</v>
      </c>
      <c r="D650" s="74" t="s">
        <v>1848</v>
      </c>
      <c r="E650" s="74" t="s">
        <v>2020</v>
      </c>
      <c r="F650" s="74" t="s">
        <v>2020</v>
      </c>
      <c r="G650" s="74" t="s">
        <v>1571</v>
      </c>
      <c r="H650" s="74">
        <v>146</v>
      </c>
      <c r="I650" s="74">
        <v>0</v>
      </c>
    </row>
    <row r="651" spans="1:9">
      <c r="A651" s="74" t="s">
        <v>1568</v>
      </c>
      <c r="B651" s="74" t="s">
        <v>2255</v>
      </c>
      <c r="C651" s="74" t="s">
        <v>114</v>
      </c>
      <c r="D651" s="74" t="s">
        <v>1977</v>
      </c>
      <c r="E651" s="74" t="s">
        <v>2016</v>
      </c>
      <c r="F651" s="74" t="s">
        <v>2016</v>
      </c>
      <c r="G651" s="74" t="s">
        <v>1573</v>
      </c>
      <c r="H651" s="74">
        <v>233</v>
      </c>
      <c r="I651" s="74">
        <v>0</v>
      </c>
    </row>
    <row r="652" spans="1:9">
      <c r="A652" s="74" t="s">
        <v>1568</v>
      </c>
      <c r="B652" s="74" t="s">
        <v>2256</v>
      </c>
      <c r="C652" s="74" t="s">
        <v>113</v>
      </c>
      <c r="D652" s="74" t="s">
        <v>1590</v>
      </c>
      <c r="E652" s="74" t="s">
        <v>2119</v>
      </c>
      <c r="F652" s="74" t="s">
        <v>2119</v>
      </c>
      <c r="G652" s="74" t="s">
        <v>1575</v>
      </c>
      <c r="H652" s="74">
        <v>146</v>
      </c>
      <c r="I652" s="74">
        <v>0</v>
      </c>
    </row>
    <row r="653" spans="1:9">
      <c r="A653" s="74" t="s">
        <v>1568</v>
      </c>
      <c r="B653" s="74" t="s">
        <v>2257</v>
      </c>
      <c r="C653" s="74" t="s">
        <v>119</v>
      </c>
      <c r="D653" s="74" t="s">
        <v>1748</v>
      </c>
      <c r="E653" s="74" t="s">
        <v>2075</v>
      </c>
      <c r="F653" s="74" t="s">
        <v>2075</v>
      </c>
      <c r="G653" s="74" t="s">
        <v>1612</v>
      </c>
      <c r="H653" s="74">
        <v>85</v>
      </c>
      <c r="I653" s="74">
        <v>0</v>
      </c>
    </row>
    <row r="654" spans="1:9">
      <c r="A654" s="74" t="s">
        <v>1568</v>
      </c>
      <c r="B654" s="74" t="s">
        <v>2258</v>
      </c>
      <c r="C654" s="74" t="s">
        <v>119</v>
      </c>
      <c r="D654" s="74" t="s">
        <v>1748</v>
      </c>
      <c r="E654" s="74" t="s">
        <v>2128</v>
      </c>
      <c r="F654" s="74" t="s">
        <v>2128</v>
      </c>
      <c r="G654" s="74" t="s">
        <v>1575</v>
      </c>
      <c r="H654" s="74">
        <v>331</v>
      </c>
      <c r="I654" s="74">
        <v>0</v>
      </c>
    </row>
    <row r="655" spans="1:9">
      <c r="A655" s="74" t="s">
        <v>1568</v>
      </c>
      <c r="B655" s="74" t="s">
        <v>2259</v>
      </c>
      <c r="C655" s="74" t="s">
        <v>113</v>
      </c>
      <c r="D655" s="74" t="s">
        <v>1590</v>
      </c>
      <c r="E655" s="74" t="s">
        <v>2119</v>
      </c>
      <c r="F655" s="74" t="s">
        <v>2119</v>
      </c>
      <c r="G655" s="74" t="s">
        <v>1571</v>
      </c>
      <c r="H655" s="74">
        <v>80</v>
      </c>
      <c r="I655" s="74">
        <v>0</v>
      </c>
    </row>
    <row r="656" spans="1:9">
      <c r="A656" s="74" t="s">
        <v>1568</v>
      </c>
      <c r="B656" s="74" t="s">
        <v>2260</v>
      </c>
      <c r="C656" s="74" t="s">
        <v>116</v>
      </c>
      <c r="D656" s="74" t="s">
        <v>1717</v>
      </c>
      <c r="E656" s="74" t="s">
        <v>2056</v>
      </c>
      <c r="F656" s="74" t="s">
        <v>2056</v>
      </c>
      <c r="G656" s="74" t="s">
        <v>1571</v>
      </c>
      <c r="H656" s="74">
        <v>56</v>
      </c>
      <c r="I656" s="74">
        <v>0</v>
      </c>
    </row>
    <row r="657" spans="1:9">
      <c r="A657" s="74" t="s">
        <v>1568</v>
      </c>
      <c r="B657" s="74" t="s">
        <v>2261</v>
      </c>
      <c r="C657" s="74" t="s">
        <v>113</v>
      </c>
      <c r="D657" s="74" t="s">
        <v>1590</v>
      </c>
      <c r="E657" s="74" t="s">
        <v>2004</v>
      </c>
      <c r="F657" s="74" t="s">
        <v>2004</v>
      </c>
      <c r="G657" s="74" t="s">
        <v>1571</v>
      </c>
      <c r="H657" s="74">
        <v>147</v>
      </c>
      <c r="I657" s="74">
        <v>0</v>
      </c>
    </row>
    <row r="658" spans="1:9">
      <c r="A658" s="74" t="s">
        <v>1568</v>
      </c>
      <c r="B658" s="74" t="s">
        <v>2262</v>
      </c>
      <c r="C658" s="74" t="s">
        <v>113</v>
      </c>
      <c r="D658" s="74" t="s">
        <v>1590</v>
      </c>
      <c r="E658" s="74" t="s">
        <v>2012</v>
      </c>
      <c r="F658" s="74" t="s">
        <v>2012</v>
      </c>
      <c r="G658" s="74" t="s">
        <v>1571</v>
      </c>
      <c r="H658" s="74">
        <v>297</v>
      </c>
      <c r="I658" s="74">
        <v>0</v>
      </c>
    </row>
    <row r="659" spans="1:9">
      <c r="A659" s="74" t="s">
        <v>1568</v>
      </c>
      <c r="B659" s="74" t="s">
        <v>2263</v>
      </c>
      <c r="C659" s="74" t="s">
        <v>117</v>
      </c>
      <c r="D659" s="74" t="s">
        <v>1736</v>
      </c>
      <c r="E659" s="74" t="s">
        <v>2264</v>
      </c>
      <c r="F659" s="74" t="s">
        <v>2264</v>
      </c>
      <c r="G659" s="74" t="s">
        <v>1571</v>
      </c>
      <c r="H659" s="74">
        <v>33</v>
      </c>
      <c r="I659" s="74">
        <v>2</v>
      </c>
    </row>
    <row r="660" spans="1:9">
      <c r="A660" s="74" t="s">
        <v>1568</v>
      </c>
      <c r="B660" s="74" t="s">
        <v>2265</v>
      </c>
      <c r="C660" s="74" t="s">
        <v>119</v>
      </c>
      <c r="D660" s="74" t="s">
        <v>1748</v>
      </c>
      <c r="E660" s="74" t="s">
        <v>2030</v>
      </c>
      <c r="F660" s="74" t="s">
        <v>2030</v>
      </c>
      <c r="G660" s="74" t="s">
        <v>1612</v>
      </c>
      <c r="H660" s="74">
        <v>349</v>
      </c>
      <c r="I660" s="74">
        <v>0</v>
      </c>
    </row>
    <row r="661" spans="1:9">
      <c r="A661" s="74" t="s">
        <v>1568</v>
      </c>
      <c r="B661" s="74" t="s">
        <v>2266</v>
      </c>
      <c r="C661" s="74" t="s">
        <v>107</v>
      </c>
      <c r="D661" s="74" t="s">
        <v>1948</v>
      </c>
      <c r="E661" s="74" t="s">
        <v>2042</v>
      </c>
      <c r="F661" s="74" t="s">
        <v>2042</v>
      </c>
      <c r="G661" s="74" t="s">
        <v>1583</v>
      </c>
      <c r="H661" s="74">
        <v>588</v>
      </c>
      <c r="I661" s="74">
        <v>9</v>
      </c>
    </row>
    <row r="662" spans="1:9">
      <c r="A662" s="74" t="s">
        <v>1568</v>
      </c>
      <c r="B662" s="74" t="s">
        <v>2267</v>
      </c>
      <c r="C662" s="74" t="s">
        <v>105</v>
      </c>
      <c r="D662" s="74" t="s">
        <v>1848</v>
      </c>
      <c r="E662" s="74" t="s">
        <v>2088</v>
      </c>
      <c r="F662" s="74" t="s">
        <v>2088</v>
      </c>
      <c r="G662" s="74" t="s">
        <v>1571</v>
      </c>
      <c r="H662" s="74">
        <v>23</v>
      </c>
      <c r="I662" s="74">
        <v>0</v>
      </c>
    </row>
    <row r="663" spans="1:9">
      <c r="A663" s="74" t="s">
        <v>1568</v>
      </c>
      <c r="B663" s="74" t="s">
        <v>2268</v>
      </c>
      <c r="C663" s="74" t="s">
        <v>116</v>
      </c>
      <c r="D663" s="74" t="s">
        <v>1717</v>
      </c>
      <c r="E663" s="74" t="s">
        <v>2056</v>
      </c>
      <c r="F663" s="74" t="s">
        <v>2056</v>
      </c>
      <c r="G663" s="74" t="s">
        <v>1571</v>
      </c>
      <c r="H663" s="74">
        <v>94</v>
      </c>
      <c r="I663" s="74">
        <v>32</v>
      </c>
    </row>
    <row r="664" spans="1:9">
      <c r="A664" s="74" t="s">
        <v>1568</v>
      </c>
      <c r="B664" s="74" t="s">
        <v>2269</v>
      </c>
      <c r="C664" s="74" t="s">
        <v>105</v>
      </c>
      <c r="D664" s="74" t="s">
        <v>1848</v>
      </c>
      <c r="E664" s="74" t="s">
        <v>2020</v>
      </c>
      <c r="F664" s="74" t="s">
        <v>2020</v>
      </c>
      <c r="G664" s="74" t="s">
        <v>1580</v>
      </c>
      <c r="H664" s="74">
        <v>182</v>
      </c>
      <c r="I664" s="74">
        <v>0</v>
      </c>
    </row>
    <row r="665" spans="1:9">
      <c r="A665" s="74" t="s">
        <v>1568</v>
      </c>
      <c r="B665" s="74" t="s">
        <v>2270</v>
      </c>
      <c r="C665" s="74" t="s">
        <v>105</v>
      </c>
      <c r="D665" s="74" t="s">
        <v>1848</v>
      </c>
      <c r="E665" s="74" t="s">
        <v>2020</v>
      </c>
      <c r="F665" s="74" t="s">
        <v>2020</v>
      </c>
      <c r="G665" s="74" t="s">
        <v>1571</v>
      </c>
      <c r="H665" s="74">
        <v>100</v>
      </c>
      <c r="I665" s="74">
        <v>0</v>
      </c>
    </row>
    <row r="666" spans="1:9">
      <c r="A666" s="74" t="s">
        <v>1568</v>
      </c>
      <c r="B666" s="74" t="s">
        <v>2271</v>
      </c>
      <c r="C666" s="74" t="s">
        <v>105</v>
      </c>
      <c r="D666" s="74" t="s">
        <v>1848</v>
      </c>
      <c r="E666" s="74" t="s">
        <v>2223</v>
      </c>
      <c r="F666" s="74" t="s">
        <v>2223</v>
      </c>
      <c r="G666" s="74" t="s">
        <v>1573</v>
      </c>
      <c r="H666" s="74">
        <v>163</v>
      </c>
      <c r="I666" s="74">
        <v>0</v>
      </c>
    </row>
    <row r="667" spans="1:9">
      <c r="A667" s="74" t="s">
        <v>1568</v>
      </c>
      <c r="B667" s="74" t="s">
        <v>2272</v>
      </c>
      <c r="C667" s="74" t="s">
        <v>113</v>
      </c>
      <c r="D667" s="74" t="s">
        <v>1590</v>
      </c>
      <c r="E667" s="74" t="s">
        <v>2040</v>
      </c>
      <c r="F667" s="74" t="s">
        <v>2040</v>
      </c>
      <c r="G667" s="74" t="s">
        <v>1571</v>
      </c>
      <c r="H667" s="74">
        <v>146</v>
      </c>
      <c r="I667" s="74">
        <v>0</v>
      </c>
    </row>
    <row r="668" spans="1:9">
      <c r="A668" s="74" t="s">
        <v>1568</v>
      </c>
      <c r="B668" s="74" t="s">
        <v>2273</v>
      </c>
      <c r="C668" s="74" t="s">
        <v>115</v>
      </c>
      <c r="D668" s="74" t="s">
        <v>1875</v>
      </c>
      <c r="E668" s="74" t="s">
        <v>2006</v>
      </c>
      <c r="F668" s="74" t="s">
        <v>2006</v>
      </c>
      <c r="G668" s="74" t="s">
        <v>1571</v>
      </c>
      <c r="H668" s="74">
        <v>50</v>
      </c>
      <c r="I668" s="74">
        <v>0</v>
      </c>
    </row>
    <row r="669" spans="1:9">
      <c r="A669" s="74" t="s">
        <v>1568</v>
      </c>
      <c r="B669" s="74" t="s">
        <v>2274</v>
      </c>
      <c r="C669" s="74" t="s">
        <v>105</v>
      </c>
      <c r="D669" s="74" t="s">
        <v>1848</v>
      </c>
      <c r="E669" s="74" t="s">
        <v>2022</v>
      </c>
      <c r="F669" s="74" t="s">
        <v>2022</v>
      </c>
      <c r="G669" s="74" t="s">
        <v>1571</v>
      </c>
      <c r="H669" s="74">
        <v>92</v>
      </c>
      <c r="I669" s="74">
        <v>0</v>
      </c>
    </row>
    <row r="670" spans="1:9">
      <c r="A670" s="74" t="s">
        <v>1568</v>
      </c>
      <c r="B670" s="74" t="s">
        <v>2275</v>
      </c>
      <c r="C670" s="74" t="s">
        <v>105</v>
      </c>
      <c r="D670" s="74" t="s">
        <v>1848</v>
      </c>
      <c r="E670" s="74" t="s">
        <v>2022</v>
      </c>
      <c r="F670" s="74" t="s">
        <v>2022</v>
      </c>
      <c r="G670" s="74" t="s">
        <v>1571</v>
      </c>
      <c r="H670" s="74">
        <v>25</v>
      </c>
      <c r="I670" s="74">
        <v>0</v>
      </c>
    </row>
    <row r="671" spans="1:9">
      <c r="A671" s="74" t="s">
        <v>1568</v>
      </c>
      <c r="B671" s="74" t="s">
        <v>2276</v>
      </c>
      <c r="C671" s="74" t="s">
        <v>119</v>
      </c>
      <c r="D671" s="74" t="s">
        <v>1748</v>
      </c>
      <c r="E671" s="74" t="s">
        <v>2030</v>
      </c>
      <c r="F671" s="74" t="s">
        <v>2030</v>
      </c>
      <c r="G671" s="74" t="s">
        <v>1571</v>
      </c>
      <c r="H671" s="74">
        <v>150</v>
      </c>
      <c r="I671" s="74">
        <v>0</v>
      </c>
    </row>
    <row r="672" spans="1:9">
      <c r="A672" s="74" t="s">
        <v>1568</v>
      </c>
      <c r="B672" s="74" t="s">
        <v>2277</v>
      </c>
      <c r="C672" s="74" t="s">
        <v>119</v>
      </c>
      <c r="D672" s="74" t="s">
        <v>1748</v>
      </c>
      <c r="E672" s="74" t="s">
        <v>2128</v>
      </c>
      <c r="F672" s="74" t="s">
        <v>2128</v>
      </c>
      <c r="G672" s="74" t="s">
        <v>1571</v>
      </c>
      <c r="H672" s="74">
        <v>86</v>
      </c>
      <c r="I672" s="74">
        <v>0</v>
      </c>
    </row>
    <row r="673" spans="1:9">
      <c r="A673" s="74" t="s">
        <v>1568</v>
      </c>
      <c r="B673" s="74" t="s">
        <v>2278</v>
      </c>
      <c r="C673" s="74" t="s">
        <v>105</v>
      </c>
      <c r="D673" s="74" t="s">
        <v>1848</v>
      </c>
      <c r="E673" s="74" t="s">
        <v>2101</v>
      </c>
      <c r="F673" s="74" t="s">
        <v>2101</v>
      </c>
      <c r="G673" s="74" t="s">
        <v>1583</v>
      </c>
      <c r="H673" s="74">
        <v>868</v>
      </c>
      <c r="I673" s="74">
        <v>16</v>
      </c>
    </row>
    <row r="674" spans="1:9">
      <c r="A674" s="74" t="s">
        <v>1568</v>
      </c>
      <c r="B674" s="74" t="s">
        <v>2279</v>
      </c>
      <c r="C674" s="74" t="s">
        <v>105</v>
      </c>
      <c r="D674" s="74" t="s">
        <v>1848</v>
      </c>
      <c r="E674" s="74" t="s">
        <v>2223</v>
      </c>
      <c r="F674" s="74" t="s">
        <v>2223</v>
      </c>
      <c r="G674" s="74" t="s">
        <v>1583</v>
      </c>
      <c r="H674" s="74">
        <v>249</v>
      </c>
      <c r="I674" s="74">
        <v>6</v>
      </c>
    </row>
    <row r="675" spans="1:9">
      <c r="A675" s="74" t="s">
        <v>1568</v>
      </c>
      <c r="B675" s="74" t="s">
        <v>2280</v>
      </c>
      <c r="C675" s="74" t="s">
        <v>119</v>
      </c>
      <c r="D675" s="74" t="s">
        <v>1748</v>
      </c>
      <c r="E675" s="74" t="s">
        <v>2051</v>
      </c>
      <c r="F675" s="74" t="s">
        <v>2051</v>
      </c>
      <c r="G675" s="74" t="s">
        <v>1571</v>
      </c>
      <c r="H675" s="74">
        <v>41</v>
      </c>
      <c r="I675" s="74">
        <v>0</v>
      </c>
    </row>
    <row r="676" spans="1:9">
      <c r="A676" s="74" t="s">
        <v>1568</v>
      </c>
      <c r="B676" s="74" t="s">
        <v>2281</v>
      </c>
      <c r="C676" s="74" t="s">
        <v>113</v>
      </c>
      <c r="D676" s="74" t="s">
        <v>1590</v>
      </c>
      <c r="E676" s="74" t="s">
        <v>2064</v>
      </c>
      <c r="F676" s="74" t="s">
        <v>2064</v>
      </c>
      <c r="G676" s="74" t="s">
        <v>1575</v>
      </c>
      <c r="H676" s="74">
        <v>458</v>
      </c>
      <c r="I676" s="74">
        <v>6</v>
      </c>
    </row>
    <row r="677" spans="1:9">
      <c r="A677" s="74" t="s">
        <v>1568</v>
      </c>
      <c r="B677" s="74" t="s">
        <v>2282</v>
      </c>
      <c r="C677" s="74" t="s">
        <v>115</v>
      </c>
      <c r="D677" s="74" t="s">
        <v>1875</v>
      </c>
      <c r="E677" s="74" t="s">
        <v>2026</v>
      </c>
      <c r="F677" s="74" t="s">
        <v>2026</v>
      </c>
      <c r="G677" s="74" t="s">
        <v>1571</v>
      </c>
      <c r="H677" s="74">
        <v>75</v>
      </c>
      <c r="I677" s="74">
        <v>0</v>
      </c>
    </row>
    <row r="678" spans="1:9">
      <c r="A678" s="74" t="s">
        <v>1568</v>
      </c>
      <c r="B678" s="74" t="s">
        <v>2283</v>
      </c>
      <c r="C678" s="74" t="s">
        <v>107</v>
      </c>
      <c r="D678" s="74" t="s">
        <v>1948</v>
      </c>
      <c r="E678" s="74" t="s">
        <v>2037</v>
      </c>
      <c r="F678" s="74" t="s">
        <v>2037</v>
      </c>
      <c r="G678" s="74" t="s">
        <v>1571</v>
      </c>
      <c r="H678" s="74">
        <v>71</v>
      </c>
      <c r="I678" s="74">
        <v>0</v>
      </c>
    </row>
    <row r="679" spans="1:9">
      <c r="A679" s="74" t="s">
        <v>1568</v>
      </c>
      <c r="B679" s="74" t="s">
        <v>1584</v>
      </c>
      <c r="C679" s="74" t="s">
        <v>111</v>
      </c>
      <c r="D679" s="74" t="s">
        <v>1517</v>
      </c>
      <c r="E679" s="74" t="s">
        <v>1570</v>
      </c>
      <c r="F679" s="74" t="s">
        <v>1570</v>
      </c>
      <c r="G679" s="74" t="s">
        <v>1578</v>
      </c>
      <c r="H679" s="74">
        <v>1422</v>
      </c>
      <c r="I679" s="74">
        <v>20</v>
      </c>
    </row>
    <row r="680" spans="1:9">
      <c r="A680" s="74" t="s">
        <v>1568</v>
      </c>
      <c r="B680" s="74" t="s">
        <v>2284</v>
      </c>
      <c r="C680" s="74" t="s">
        <v>105</v>
      </c>
      <c r="D680" s="74" t="s">
        <v>1848</v>
      </c>
      <c r="E680" s="74" t="s">
        <v>2022</v>
      </c>
      <c r="F680" s="74" t="s">
        <v>2022</v>
      </c>
      <c r="G680" s="74" t="s">
        <v>1571</v>
      </c>
      <c r="H680" s="74">
        <v>52</v>
      </c>
      <c r="I680" s="74">
        <v>0</v>
      </c>
    </row>
    <row r="681" spans="1:9">
      <c r="A681" s="74" t="s">
        <v>1568</v>
      </c>
      <c r="B681" s="74" t="s">
        <v>2285</v>
      </c>
      <c r="C681" s="74" t="s">
        <v>113</v>
      </c>
      <c r="D681" s="74" t="s">
        <v>1590</v>
      </c>
      <c r="E681" s="74" t="s">
        <v>2155</v>
      </c>
      <c r="F681" s="74" t="s">
        <v>2155</v>
      </c>
      <c r="G681" s="74" t="s">
        <v>1575</v>
      </c>
      <c r="H681" s="74">
        <v>822</v>
      </c>
      <c r="I681" s="74">
        <v>8</v>
      </c>
    </row>
    <row r="682" spans="1:9">
      <c r="A682" s="74" t="s">
        <v>1568</v>
      </c>
      <c r="B682" s="74" t="s">
        <v>1585</v>
      </c>
      <c r="C682" s="74" t="s">
        <v>111</v>
      </c>
      <c r="D682" s="74" t="s">
        <v>1517</v>
      </c>
      <c r="E682" s="74" t="s">
        <v>1570</v>
      </c>
      <c r="F682" s="74" t="s">
        <v>1570</v>
      </c>
      <c r="G682" s="74" t="s">
        <v>1571</v>
      </c>
      <c r="H682" s="74">
        <v>214</v>
      </c>
      <c r="I682" s="74">
        <v>0</v>
      </c>
    </row>
    <row r="683" spans="1:9">
      <c r="A683" s="74" t="s">
        <v>1568</v>
      </c>
      <c r="B683" s="74" t="s">
        <v>2286</v>
      </c>
      <c r="C683" s="74" t="s">
        <v>113</v>
      </c>
      <c r="D683" s="74" t="s">
        <v>1590</v>
      </c>
      <c r="E683" s="74" t="s">
        <v>2119</v>
      </c>
      <c r="F683" s="74" t="s">
        <v>2119</v>
      </c>
      <c r="G683" s="74" t="s">
        <v>1580</v>
      </c>
      <c r="H683" s="74">
        <v>175</v>
      </c>
      <c r="I683" s="74">
        <v>0</v>
      </c>
    </row>
    <row r="684" spans="1:9">
      <c r="A684" s="74" t="s">
        <v>1568</v>
      </c>
      <c r="B684" s="74" t="s">
        <v>2287</v>
      </c>
      <c r="C684" s="74" t="s">
        <v>113</v>
      </c>
      <c r="D684" s="74" t="s">
        <v>1590</v>
      </c>
      <c r="E684" s="74" t="s">
        <v>2064</v>
      </c>
      <c r="F684" s="74" t="s">
        <v>2064</v>
      </c>
      <c r="G684" s="74" t="s">
        <v>1571</v>
      </c>
      <c r="H684" s="74">
        <v>307</v>
      </c>
      <c r="I684" s="74">
        <v>0</v>
      </c>
    </row>
    <row r="685" spans="1:9">
      <c r="A685" s="74" t="s">
        <v>1568</v>
      </c>
      <c r="B685" s="74" t="s">
        <v>2288</v>
      </c>
      <c r="C685" s="74" t="s">
        <v>105</v>
      </c>
      <c r="D685" s="74" t="s">
        <v>1848</v>
      </c>
      <c r="E685" s="74" t="s">
        <v>2125</v>
      </c>
      <c r="F685" s="74" t="s">
        <v>2125</v>
      </c>
      <c r="G685" s="74" t="s">
        <v>1612</v>
      </c>
      <c r="H685" s="74">
        <v>120</v>
      </c>
      <c r="I685" s="74">
        <v>0</v>
      </c>
    </row>
    <row r="686" spans="1:9">
      <c r="A686" s="74" t="s">
        <v>1568</v>
      </c>
      <c r="B686" s="74" t="s">
        <v>2289</v>
      </c>
      <c r="C686" s="74" t="s">
        <v>105</v>
      </c>
      <c r="D686" s="74" t="s">
        <v>1848</v>
      </c>
      <c r="E686" s="74" t="s">
        <v>2028</v>
      </c>
      <c r="F686" s="74" t="s">
        <v>2028</v>
      </c>
      <c r="G686" s="74" t="s">
        <v>1571</v>
      </c>
      <c r="H686" s="74">
        <v>10</v>
      </c>
      <c r="I686" s="74">
        <v>0</v>
      </c>
    </row>
    <row r="687" spans="1:9">
      <c r="A687" s="74" t="s">
        <v>1568</v>
      </c>
      <c r="B687" s="74" t="s">
        <v>2290</v>
      </c>
      <c r="C687" s="74" t="s">
        <v>119</v>
      </c>
      <c r="D687" s="74" t="s">
        <v>1748</v>
      </c>
      <c r="E687" s="74" t="s">
        <v>2128</v>
      </c>
      <c r="F687" s="74" t="s">
        <v>2128</v>
      </c>
      <c r="G687" s="74" t="s">
        <v>1571</v>
      </c>
      <c r="H687" s="74">
        <v>85</v>
      </c>
      <c r="I687" s="74">
        <v>0</v>
      </c>
    </row>
    <row r="688" spans="1:9">
      <c r="A688" s="74" t="s">
        <v>1568</v>
      </c>
      <c r="B688" s="74" t="s">
        <v>2291</v>
      </c>
      <c r="C688" s="74" t="s">
        <v>116</v>
      </c>
      <c r="D688" s="74" t="s">
        <v>1717</v>
      </c>
      <c r="E688" s="74" t="s">
        <v>2054</v>
      </c>
      <c r="F688" s="74" t="s">
        <v>2054</v>
      </c>
      <c r="G688" s="74" t="s">
        <v>1573</v>
      </c>
      <c r="H688" s="74">
        <v>889</v>
      </c>
      <c r="I688" s="74">
        <v>0</v>
      </c>
    </row>
    <row r="689" spans="1:9">
      <c r="A689" s="74" t="s">
        <v>1568</v>
      </c>
      <c r="B689" s="74" t="s">
        <v>2292</v>
      </c>
      <c r="C689" s="74" t="s">
        <v>114</v>
      </c>
      <c r="D689" s="74" t="s">
        <v>1977</v>
      </c>
      <c r="E689" s="74" t="s">
        <v>2010</v>
      </c>
      <c r="F689" s="74" t="s">
        <v>2010</v>
      </c>
      <c r="G689" s="74" t="s">
        <v>1612</v>
      </c>
      <c r="H689" s="74">
        <v>62</v>
      </c>
      <c r="I689" s="74">
        <v>0</v>
      </c>
    </row>
    <row r="690" spans="1:9">
      <c r="A690" s="74" t="s">
        <v>1568</v>
      </c>
      <c r="B690" s="74" t="s">
        <v>2293</v>
      </c>
      <c r="C690" s="74" t="s">
        <v>119</v>
      </c>
      <c r="D690" s="74" t="s">
        <v>1748</v>
      </c>
      <c r="E690" s="74" t="s">
        <v>2051</v>
      </c>
      <c r="F690" s="74" t="s">
        <v>2051</v>
      </c>
      <c r="G690" s="74" t="s">
        <v>1612</v>
      </c>
      <c r="H690" s="74">
        <v>84</v>
      </c>
      <c r="I690" s="74">
        <v>0</v>
      </c>
    </row>
    <row r="691" spans="1:9">
      <c r="A691" s="74" t="s">
        <v>1568</v>
      </c>
      <c r="B691" s="74" t="s">
        <v>2294</v>
      </c>
      <c r="C691" s="74" t="s">
        <v>113</v>
      </c>
      <c r="D691" s="74" t="s">
        <v>1590</v>
      </c>
      <c r="E691" s="74" t="s">
        <v>2000</v>
      </c>
      <c r="F691" s="74" t="s">
        <v>2000</v>
      </c>
      <c r="G691" s="74" t="s">
        <v>1571</v>
      </c>
      <c r="H691" s="74">
        <v>363</v>
      </c>
      <c r="I691" s="74">
        <v>0</v>
      </c>
    </row>
    <row r="692" spans="1:9">
      <c r="A692" s="74" t="s">
        <v>1568</v>
      </c>
      <c r="B692" s="74" t="s">
        <v>2295</v>
      </c>
      <c r="C692" s="74" t="s">
        <v>105</v>
      </c>
      <c r="D692" s="74" t="s">
        <v>1848</v>
      </c>
      <c r="E692" s="74" t="s">
        <v>2125</v>
      </c>
      <c r="F692" s="74" t="s">
        <v>2125</v>
      </c>
      <c r="G692" s="74" t="s">
        <v>1571</v>
      </c>
      <c r="H692" s="74">
        <v>216</v>
      </c>
      <c r="I692" s="74">
        <v>0</v>
      </c>
    </row>
    <row r="693" spans="1:9">
      <c r="A693" s="74" t="s">
        <v>1568</v>
      </c>
      <c r="B693" s="74" t="s">
        <v>2296</v>
      </c>
      <c r="C693" s="74" t="s">
        <v>105</v>
      </c>
      <c r="D693" s="74" t="s">
        <v>1848</v>
      </c>
      <c r="E693" s="74" t="s">
        <v>2048</v>
      </c>
      <c r="F693" s="74" t="s">
        <v>2048</v>
      </c>
      <c r="G693" s="74" t="s">
        <v>1571</v>
      </c>
      <c r="H693" s="74">
        <v>22</v>
      </c>
      <c r="I693" s="74">
        <v>0</v>
      </c>
    </row>
    <row r="694" spans="1:9">
      <c r="A694" s="74" t="s">
        <v>1568</v>
      </c>
      <c r="B694" s="74" t="s">
        <v>2297</v>
      </c>
      <c r="C694" s="74" t="s">
        <v>105</v>
      </c>
      <c r="D694" s="74" t="s">
        <v>1848</v>
      </c>
      <c r="E694" s="74" t="s">
        <v>2020</v>
      </c>
      <c r="F694" s="74" t="s">
        <v>2020</v>
      </c>
      <c r="G694" s="74" t="s">
        <v>1571</v>
      </c>
      <c r="H694" s="74">
        <v>169</v>
      </c>
      <c r="I694" s="74">
        <v>0</v>
      </c>
    </row>
    <row r="695" spans="1:9">
      <c r="A695" s="74" t="s">
        <v>1568</v>
      </c>
      <c r="B695" s="74" t="s">
        <v>2298</v>
      </c>
      <c r="C695" s="74" t="s">
        <v>105</v>
      </c>
      <c r="D695" s="74" t="s">
        <v>1848</v>
      </c>
      <c r="E695" s="74" t="s">
        <v>2048</v>
      </c>
      <c r="F695" s="74" t="s">
        <v>2048</v>
      </c>
      <c r="G695" s="74" t="s">
        <v>1571</v>
      </c>
      <c r="H695" s="74">
        <v>60</v>
      </c>
      <c r="I695" s="74">
        <v>0</v>
      </c>
    </row>
    <row r="696" spans="1:9">
      <c r="A696" s="74" t="s">
        <v>1568</v>
      </c>
      <c r="B696" s="74" t="s">
        <v>2299</v>
      </c>
      <c r="C696" s="74" t="s">
        <v>119</v>
      </c>
      <c r="D696" s="74" t="s">
        <v>1748</v>
      </c>
      <c r="E696" s="74" t="s">
        <v>2030</v>
      </c>
      <c r="F696" s="74" t="s">
        <v>2030</v>
      </c>
      <c r="G696" s="74" t="s">
        <v>1575</v>
      </c>
      <c r="H696" s="74">
        <v>352</v>
      </c>
      <c r="I696" s="74">
        <v>4</v>
      </c>
    </row>
    <row r="697" spans="1:9">
      <c r="A697" s="74" t="s">
        <v>1568</v>
      </c>
      <c r="B697" s="74" t="s">
        <v>2300</v>
      </c>
      <c r="C697" s="74" t="s">
        <v>113</v>
      </c>
      <c r="D697" s="74" t="s">
        <v>1590</v>
      </c>
      <c r="E697" s="74" t="s">
        <v>2119</v>
      </c>
      <c r="F697" s="74" t="s">
        <v>2119</v>
      </c>
      <c r="G697" s="74" t="s">
        <v>1575</v>
      </c>
      <c r="H697" s="74">
        <v>454</v>
      </c>
      <c r="I697" s="74">
        <v>4</v>
      </c>
    </row>
    <row r="698" spans="1:9">
      <c r="A698" s="74" t="s">
        <v>1568</v>
      </c>
      <c r="B698" s="74" t="s">
        <v>2301</v>
      </c>
      <c r="C698" s="74" t="s">
        <v>113</v>
      </c>
      <c r="D698" s="74" t="s">
        <v>1590</v>
      </c>
      <c r="E698" s="74" t="s">
        <v>2119</v>
      </c>
      <c r="F698" s="74" t="s">
        <v>2119</v>
      </c>
      <c r="G698" s="74" t="s">
        <v>1580</v>
      </c>
      <c r="H698" s="74">
        <v>343</v>
      </c>
      <c r="I698" s="74">
        <v>0</v>
      </c>
    </row>
    <row r="699" spans="1:9">
      <c r="A699" s="74" t="s">
        <v>1568</v>
      </c>
      <c r="B699" s="74" t="s">
        <v>2302</v>
      </c>
      <c r="C699" s="74" t="s">
        <v>113</v>
      </c>
      <c r="D699" s="74" t="s">
        <v>1590</v>
      </c>
      <c r="E699" s="74" t="s">
        <v>2155</v>
      </c>
      <c r="F699" s="74" t="s">
        <v>2155</v>
      </c>
      <c r="G699" s="74" t="s">
        <v>1571</v>
      </c>
      <c r="H699" s="74">
        <v>56</v>
      </c>
      <c r="I699" s="74">
        <v>0</v>
      </c>
    </row>
    <row r="700" spans="1:9">
      <c r="A700" s="74" t="s">
        <v>1568</v>
      </c>
      <c r="B700" s="74" t="s">
        <v>2303</v>
      </c>
      <c r="C700" s="74" t="s">
        <v>113</v>
      </c>
      <c r="D700" s="74" t="s">
        <v>1590</v>
      </c>
      <c r="E700" s="74" t="s">
        <v>2119</v>
      </c>
      <c r="F700" s="74" t="s">
        <v>2119</v>
      </c>
      <c r="G700" s="74" t="s">
        <v>1571</v>
      </c>
      <c r="H700" s="74">
        <v>178</v>
      </c>
      <c r="I700" s="74">
        <v>0</v>
      </c>
    </row>
    <row r="701" spans="1:9">
      <c r="A701" s="74" t="s">
        <v>1568</v>
      </c>
      <c r="B701" s="74" t="s">
        <v>2304</v>
      </c>
      <c r="C701" s="74" t="s">
        <v>119</v>
      </c>
      <c r="D701" s="74" t="s">
        <v>1748</v>
      </c>
      <c r="E701" s="74" t="s">
        <v>2030</v>
      </c>
      <c r="F701" s="74" t="s">
        <v>2030</v>
      </c>
      <c r="G701" s="74" t="s">
        <v>1573</v>
      </c>
      <c r="H701" s="74">
        <v>300</v>
      </c>
      <c r="I701" s="74">
        <v>0</v>
      </c>
    </row>
    <row r="702" spans="1:9">
      <c r="A702" s="74" t="s">
        <v>1568</v>
      </c>
      <c r="B702" s="74" t="s">
        <v>2305</v>
      </c>
      <c r="C702" s="74" t="s">
        <v>105</v>
      </c>
      <c r="D702" s="74" t="s">
        <v>1848</v>
      </c>
      <c r="E702" s="74" t="s">
        <v>2028</v>
      </c>
      <c r="F702" s="74" t="s">
        <v>2028</v>
      </c>
      <c r="G702" s="74" t="s">
        <v>1571</v>
      </c>
      <c r="H702" s="74">
        <v>74</v>
      </c>
      <c r="I702" s="74">
        <v>0</v>
      </c>
    </row>
    <row r="703" spans="1:9">
      <c r="A703" s="74" t="s">
        <v>1568</v>
      </c>
      <c r="B703" s="74" t="s">
        <v>2306</v>
      </c>
      <c r="C703" s="74" t="s">
        <v>115</v>
      </c>
      <c r="D703" s="74" t="s">
        <v>1875</v>
      </c>
      <c r="E703" s="74" t="s">
        <v>2059</v>
      </c>
      <c r="F703" s="74" t="s">
        <v>2059</v>
      </c>
      <c r="G703" s="74" t="s">
        <v>1571</v>
      </c>
      <c r="H703" s="74">
        <v>40</v>
      </c>
      <c r="I703" s="74">
        <v>0</v>
      </c>
    </row>
    <row r="704" spans="1:9">
      <c r="A704" s="74" t="s">
        <v>1568</v>
      </c>
      <c r="B704" s="74" t="s">
        <v>2307</v>
      </c>
      <c r="C704" s="74" t="s">
        <v>111</v>
      </c>
      <c r="D704" s="74" t="s">
        <v>1517</v>
      </c>
      <c r="E704" s="74" t="s">
        <v>2018</v>
      </c>
      <c r="F704" s="74" t="s">
        <v>2018</v>
      </c>
      <c r="G704" s="74" t="s">
        <v>1580</v>
      </c>
      <c r="H704" s="74">
        <v>201</v>
      </c>
      <c r="I704" s="74">
        <v>0</v>
      </c>
    </row>
    <row r="705" spans="1:9">
      <c r="A705" s="74" t="s">
        <v>1568</v>
      </c>
      <c r="B705" s="74" t="s">
        <v>2308</v>
      </c>
      <c r="C705" s="74" t="s">
        <v>107</v>
      </c>
      <c r="D705" s="74" t="s">
        <v>1948</v>
      </c>
      <c r="E705" s="74" t="s">
        <v>2042</v>
      </c>
      <c r="F705" s="74" t="s">
        <v>2042</v>
      </c>
      <c r="G705" s="74" t="s">
        <v>1571</v>
      </c>
      <c r="H705" s="74">
        <v>180</v>
      </c>
      <c r="I705" s="74">
        <v>0</v>
      </c>
    </row>
    <row r="706" spans="1:9">
      <c r="A706" s="74" t="s">
        <v>1568</v>
      </c>
      <c r="B706" s="74" t="s">
        <v>2309</v>
      </c>
      <c r="C706" s="74" t="s">
        <v>115</v>
      </c>
      <c r="D706" s="74" t="s">
        <v>1875</v>
      </c>
      <c r="E706" s="74" t="s">
        <v>2026</v>
      </c>
      <c r="F706" s="74" t="s">
        <v>2026</v>
      </c>
      <c r="G706" s="74" t="s">
        <v>1612</v>
      </c>
      <c r="H706" s="74">
        <v>52</v>
      </c>
      <c r="I706" s="74">
        <v>0</v>
      </c>
    </row>
    <row r="707" spans="1:9">
      <c r="A707" s="74" t="s">
        <v>1568</v>
      </c>
      <c r="B707" s="74" t="s">
        <v>2310</v>
      </c>
      <c r="C707" s="74" t="s">
        <v>105</v>
      </c>
      <c r="D707" s="74" t="s">
        <v>1848</v>
      </c>
      <c r="E707" s="74" t="s">
        <v>2028</v>
      </c>
      <c r="F707" s="74" t="s">
        <v>2028</v>
      </c>
      <c r="G707" s="74" t="s">
        <v>1571</v>
      </c>
      <c r="H707" s="74">
        <v>141</v>
      </c>
      <c r="I707" s="74">
        <v>0</v>
      </c>
    </row>
    <row r="708" spans="1:9">
      <c r="A708" s="74" t="s">
        <v>1568</v>
      </c>
      <c r="B708" s="74" t="s">
        <v>2311</v>
      </c>
      <c r="C708" s="74" t="s">
        <v>107</v>
      </c>
      <c r="D708" s="74" t="s">
        <v>1948</v>
      </c>
      <c r="E708" s="74" t="s">
        <v>2037</v>
      </c>
      <c r="F708" s="74" t="s">
        <v>2037</v>
      </c>
      <c r="G708" s="74" t="s">
        <v>1575</v>
      </c>
      <c r="H708" s="74">
        <v>140</v>
      </c>
      <c r="I708" s="74">
        <v>5</v>
      </c>
    </row>
    <row r="709" spans="1:9">
      <c r="A709" s="74" t="s">
        <v>1568</v>
      </c>
      <c r="B709" s="74" t="s">
        <v>2312</v>
      </c>
      <c r="C709" s="74" t="s">
        <v>105</v>
      </c>
      <c r="D709" s="74" t="s">
        <v>1848</v>
      </c>
      <c r="E709" s="74" t="s">
        <v>2223</v>
      </c>
      <c r="F709" s="74" t="s">
        <v>2223</v>
      </c>
      <c r="G709" s="74" t="s">
        <v>1612</v>
      </c>
      <c r="H709" s="74">
        <v>160</v>
      </c>
      <c r="I709" s="74">
        <v>0</v>
      </c>
    </row>
    <row r="710" spans="1:9">
      <c r="A710" s="74" t="s">
        <v>1568</v>
      </c>
      <c r="B710" s="74" t="s">
        <v>2313</v>
      </c>
      <c r="C710" s="74" t="s">
        <v>116</v>
      </c>
      <c r="D710" s="74" t="s">
        <v>1717</v>
      </c>
      <c r="E710" s="74" t="s">
        <v>2056</v>
      </c>
      <c r="F710" s="74" t="s">
        <v>2056</v>
      </c>
      <c r="G710" s="74" t="s">
        <v>1571</v>
      </c>
      <c r="H710" s="74">
        <v>103</v>
      </c>
      <c r="I710" s="74">
        <v>0</v>
      </c>
    </row>
    <row r="711" spans="1:9">
      <c r="A711" s="74" t="s">
        <v>1568</v>
      </c>
      <c r="B711" s="74" t="s">
        <v>2314</v>
      </c>
      <c r="C711" s="74" t="s">
        <v>105</v>
      </c>
      <c r="D711" s="74" t="s">
        <v>1848</v>
      </c>
      <c r="E711" s="74" t="s">
        <v>2125</v>
      </c>
      <c r="F711" s="74" t="s">
        <v>2125</v>
      </c>
      <c r="G711" s="74" t="s">
        <v>1571</v>
      </c>
      <c r="H711" s="74">
        <v>223</v>
      </c>
      <c r="I711" s="74">
        <v>0</v>
      </c>
    </row>
    <row r="712" spans="1:9">
      <c r="A712" s="74" t="s">
        <v>1568</v>
      </c>
      <c r="B712" s="74" t="s">
        <v>2315</v>
      </c>
      <c r="C712" s="74" t="s">
        <v>114</v>
      </c>
      <c r="D712" s="74" t="s">
        <v>1977</v>
      </c>
      <c r="E712" s="74" t="s">
        <v>2016</v>
      </c>
      <c r="F712" s="74" t="s">
        <v>2016</v>
      </c>
      <c r="G712" s="74" t="s">
        <v>1571</v>
      </c>
      <c r="H712" s="74">
        <v>316</v>
      </c>
      <c r="I712" s="74">
        <v>0</v>
      </c>
    </row>
    <row r="713" spans="1:9">
      <c r="A713" s="74" t="s">
        <v>1568</v>
      </c>
      <c r="B713" s="74" t="s">
        <v>2316</v>
      </c>
      <c r="C713" s="74" t="s">
        <v>105</v>
      </c>
      <c r="D713" s="74" t="s">
        <v>1848</v>
      </c>
      <c r="E713" s="74" t="s">
        <v>2125</v>
      </c>
      <c r="F713" s="74" t="s">
        <v>2125</v>
      </c>
      <c r="G713" s="74" t="s">
        <v>1571</v>
      </c>
      <c r="H713" s="74">
        <v>100</v>
      </c>
      <c r="I713" s="74">
        <v>0</v>
      </c>
    </row>
    <row r="714" spans="1:9">
      <c r="A714" s="74" t="s">
        <v>1568</v>
      </c>
      <c r="B714" s="74" t="s">
        <v>2317</v>
      </c>
      <c r="C714" s="74" t="s">
        <v>105</v>
      </c>
      <c r="D714" s="74" t="s">
        <v>1848</v>
      </c>
      <c r="E714" s="74" t="s">
        <v>2022</v>
      </c>
      <c r="F714" s="74" t="s">
        <v>2022</v>
      </c>
      <c r="G714" s="74" t="s">
        <v>1571</v>
      </c>
      <c r="H714" s="74">
        <v>100</v>
      </c>
      <c r="I714" s="74">
        <v>0</v>
      </c>
    </row>
    <row r="715" spans="1:9">
      <c r="A715" s="74" t="s">
        <v>1568</v>
      </c>
      <c r="B715" s="74" t="s">
        <v>2318</v>
      </c>
      <c r="C715" s="74" t="s">
        <v>105</v>
      </c>
      <c r="D715" s="74" t="s">
        <v>1848</v>
      </c>
      <c r="E715" s="74" t="s">
        <v>2223</v>
      </c>
      <c r="F715" s="74" t="s">
        <v>2223</v>
      </c>
      <c r="G715" s="74" t="s">
        <v>1612</v>
      </c>
      <c r="H715" s="74">
        <v>255</v>
      </c>
      <c r="I715" s="74">
        <v>0</v>
      </c>
    </row>
    <row r="716" spans="1:9">
      <c r="A716" s="74" t="s">
        <v>1568</v>
      </c>
      <c r="B716" s="74" t="s">
        <v>2319</v>
      </c>
      <c r="C716" s="74" t="s">
        <v>105</v>
      </c>
      <c r="D716" s="74" t="s">
        <v>1848</v>
      </c>
      <c r="E716" s="74" t="s">
        <v>2028</v>
      </c>
      <c r="F716" s="74" t="s">
        <v>2028</v>
      </c>
      <c r="G716" s="74" t="s">
        <v>1571</v>
      </c>
      <c r="H716" s="74">
        <v>23</v>
      </c>
      <c r="I716" s="74">
        <v>0</v>
      </c>
    </row>
    <row r="717" spans="1:9">
      <c r="A717" s="74" t="s">
        <v>1568</v>
      </c>
      <c r="B717" s="74" t="s">
        <v>2320</v>
      </c>
      <c r="C717" s="74" t="s">
        <v>119</v>
      </c>
      <c r="D717" s="74" t="s">
        <v>1748</v>
      </c>
      <c r="E717" s="74" t="s">
        <v>2075</v>
      </c>
      <c r="F717" s="74" t="s">
        <v>2075</v>
      </c>
      <c r="G717" s="74" t="s">
        <v>1571</v>
      </c>
      <c r="H717" s="74">
        <v>90</v>
      </c>
      <c r="I717" s="74">
        <v>0</v>
      </c>
    </row>
    <row r="718" spans="1:9">
      <c r="A718" s="74" t="s">
        <v>1568</v>
      </c>
      <c r="B718" s="74" t="s">
        <v>2321</v>
      </c>
      <c r="C718" s="74" t="s">
        <v>105</v>
      </c>
      <c r="D718" s="74" t="s">
        <v>1848</v>
      </c>
      <c r="E718" s="74" t="s">
        <v>2223</v>
      </c>
      <c r="F718" s="74" t="s">
        <v>2223</v>
      </c>
      <c r="G718" s="74" t="s">
        <v>1575</v>
      </c>
      <c r="H718" s="74">
        <v>627</v>
      </c>
      <c r="I718" s="74">
        <v>6</v>
      </c>
    </row>
    <row r="719" spans="1:9">
      <c r="A719" s="74" t="s">
        <v>1568</v>
      </c>
      <c r="B719" s="74" t="s">
        <v>2322</v>
      </c>
      <c r="C719" s="74" t="s">
        <v>119</v>
      </c>
      <c r="D719" s="74" t="s">
        <v>1748</v>
      </c>
      <c r="E719" s="74" t="s">
        <v>2103</v>
      </c>
      <c r="F719" s="74" t="s">
        <v>2103</v>
      </c>
      <c r="G719" s="74" t="s">
        <v>1571</v>
      </c>
      <c r="H719" s="74">
        <v>14</v>
      </c>
      <c r="I719" s="74">
        <v>0</v>
      </c>
    </row>
    <row r="720" spans="1:9">
      <c r="A720" s="74" t="s">
        <v>1568</v>
      </c>
      <c r="B720" s="74" t="s">
        <v>2323</v>
      </c>
      <c r="C720" s="74" t="s">
        <v>116</v>
      </c>
      <c r="D720" s="74" t="s">
        <v>1717</v>
      </c>
      <c r="E720" s="74" t="s">
        <v>2056</v>
      </c>
      <c r="F720" s="74" t="s">
        <v>2056</v>
      </c>
      <c r="G720" s="74" t="s">
        <v>1571</v>
      </c>
      <c r="H720" s="74">
        <v>184</v>
      </c>
      <c r="I720" s="74">
        <v>0</v>
      </c>
    </row>
    <row r="721" spans="1:9">
      <c r="A721" s="74" t="s">
        <v>1568</v>
      </c>
      <c r="B721" s="74" t="s">
        <v>2324</v>
      </c>
      <c r="C721" s="74" t="s">
        <v>116</v>
      </c>
      <c r="D721" s="74" t="s">
        <v>1717</v>
      </c>
      <c r="E721" s="74" t="s">
        <v>2107</v>
      </c>
      <c r="F721" s="74" t="s">
        <v>2107</v>
      </c>
      <c r="G721" s="74" t="s">
        <v>1583</v>
      </c>
      <c r="H721" s="74">
        <v>377</v>
      </c>
      <c r="I721" s="74">
        <v>0</v>
      </c>
    </row>
    <row r="722" spans="1:9">
      <c r="A722" s="74" t="s">
        <v>1568</v>
      </c>
      <c r="B722" s="74" t="s">
        <v>2325</v>
      </c>
      <c r="C722" s="74" t="s">
        <v>113</v>
      </c>
      <c r="D722" s="74" t="s">
        <v>1590</v>
      </c>
      <c r="E722" s="74" t="s">
        <v>2119</v>
      </c>
      <c r="F722" s="74" t="s">
        <v>2119</v>
      </c>
      <c r="G722" s="74" t="s">
        <v>1612</v>
      </c>
      <c r="H722" s="74">
        <v>140</v>
      </c>
      <c r="I722" s="74">
        <v>0</v>
      </c>
    </row>
    <row r="723" spans="1:9">
      <c r="A723" s="74" t="s">
        <v>1568</v>
      </c>
      <c r="B723" s="74" t="s">
        <v>2326</v>
      </c>
      <c r="C723" s="74" t="s">
        <v>113</v>
      </c>
      <c r="D723" s="74" t="s">
        <v>1590</v>
      </c>
      <c r="E723" s="74" t="s">
        <v>2119</v>
      </c>
      <c r="F723" s="74" t="s">
        <v>2119</v>
      </c>
      <c r="G723" s="74" t="s">
        <v>1575</v>
      </c>
      <c r="H723" s="74">
        <v>671</v>
      </c>
      <c r="I723" s="74">
        <v>0</v>
      </c>
    </row>
    <row r="724" spans="1:9">
      <c r="A724" s="74" t="s">
        <v>1568</v>
      </c>
      <c r="B724" s="74" t="s">
        <v>2327</v>
      </c>
      <c r="C724" s="74" t="s">
        <v>114</v>
      </c>
      <c r="D724" s="74" t="s">
        <v>1977</v>
      </c>
      <c r="E724" s="74" t="s">
        <v>2010</v>
      </c>
      <c r="F724" s="74" t="s">
        <v>2010</v>
      </c>
      <c r="G724" s="74" t="s">
        <v>1571</v>
      </c>
      <c r="H724" s="74">
        <v>133</v>
      </c>
      <c r="I724" s="74">
        <v>4</v>
      </c>
    </row>
    <row r="725" spans="1:9">
      <c r="A725" s="74" t="s">
        <v>1568</v>
      </c>
      <c r="B725" s="74" t="s">
        <v>2328</v>
      </c>
      <c r="C725" s="74" t="s">
        <v>105</v>
      </c>
      <c r="D725" s="74" t="s">
        <v>1848</v>
      </c>
      <c r="E725" s="74" t="s">
        <v>2088</v>
      </c>
      <c r="F725" s="74" t="s">
        <v>2088</v>
      </c>
      <c r="G725" s="74" t="s">
        <v>1571</v>
      </c>
      <c r="H725" s="74">
        <v>19</v>
      </c>
      <c r="I725" s="74">
        <v>0</v>
      </c>
    </row>
    <row r="726" spans="1:9">
      <c r="A726" s="74" t="s">
        <v>1568</v>
      </c>
      <c r="B726" s="74" t="s">
        <v>2329</v>
      </c>
      <c r="C726" s="74" t="s">
        <v>105</v>
      </c>
      <c r="D726" s="74" t="s">
        <v>1848</v>
      </c>
      <c r="E726" s="74" t="s">
        <v>2223</v>
      </c>
      <c r="F726" s="74" t="s">
        <v>2223</v>
      </c>
      <c r="G726" s="74" t="s">
        <v>1612</v>
      </c>
      <c r="H726" s="74">
        <v>227</v>
      </c>
      <c r="I726" s="74">
        <v>0</v>
      </c>
    </row>
    <row r="727" spans="1:9">
      <c r="A727" s="74" t="s">
        <v>1568</v>
      </c>
      <c r="B727" s="74" t="s">
        <v>2330</v>
      </c>
      <c r="C727" s="74" t="s">
        <v>115</v>
      </c>
      <c r="D727" s="74" t="s">
        <v>1875</v>
      </c>
      <c r="E727" s="74" t="s">
        <v>2026</v>
      </c>
      <c r="F727" s="74" t="s">
        <v>2026</v>
      </c>
      <c r="G727" s="74" t="s">
        <v>1612</v>
      </c>
      <c r="H727" s="74">
        <v>106</v>
      </c>
      <c r="I727" s="74">
        <v>0</v>
      </c>
    </row>
    <row r="728" spans="1:9">
      <c r="A728" s="74" t="s">
        <v>1568</v>
      </c>
      <c r="B728" s="74" t="s">
        <v>2331</v>
      </c>
      <c r="C728" s="74" t="s">
        <v>105</v>
      </c>
      <c r="D728" s="74" t="s">
        <v>1848</v>
      </c>
      <c r="E728" s="74" t="s">
        <v>2088</v>
      </c>
      <c r="F728" s="74" t="s">
        <v>2088</v>
      </c>
      <c r="G728" s="74" t="s">
        <v>1612</v>
      </c>
      <c r="H728" s="74">
        <v>100</v>
      </c>
      <c r="I728" s="74">
        <v>0</v>
      </c>
    </row>
    <row r="729" spans="1:9">
      <c r="A729" s="74" t="s">
        <v>1568</v>
      </c>
      <c r="B729" s="74" t="s">
        <v>1613</v>
      </c>
      <c r="C729" s="74" t="s">
        <v>113</v>
      </c>
      <c r="D729" s="74" t="s">
        <v>1590</v>
      </c>
      <c r="E729" s="74" t="s">
        <v>1608</v>
      </c>
      <c r="F729" s="74" t="s">
        <v>1608</v>
      </c>
      <c r="G729" s="74" t="s">
        <v>1612</v>
      </c>
      <c r="H729" s="74">
        <v>148</v>
      </c>
      <c r="I729" s="74">
        <v>0</v>
      </c>
    </row>
    <row r="730" spans="1:9">
      <c r="A730" s="74" t="s">
        <v>1568</v>
      </c>
      <c r="B730" s="74" t="s">
        <v>2332</v>
      </c>
      <c r="C730" s="74" t="s">
        <v>107</v>
      </c>
      <c r="D730" s="74" t="s">
        <v>1948</v>
      </c>
      <c r="E730" s="74" t="s">
        <v>2079</v>
      </c>
      <c r="F730" s="74" t="s">
        <v>2079</v>
      </c>
      <c r="G730" s="74" t="s">
        <v>1571</v>
      </c>
      <c r="H730" s="74">
        <v>133</v>
      </c>
      <c r="I730" s="74">
        <v>0</v>
      </c>
    </row>
    <row r="731" spans="1:9">
      <c r="A731" s="74" t="s">
        <v>1568</v>
      </c>
      <c r="B731" s="74" t="s">
        <v>2333</v>
      </c>
      <c r="C731" s="74" t="s">
        <v>105</v>
      </c>
      <c r="D731" s="74" t="s">
        <v>1848</v>
      </c>
      <c r="E731" s="74" t="s">
        <v>2125</v>
      </c>
      <c r="F731" s="74" t="s">
        <v>2125</v>
      </c>
      <c r="G731" s="74" t="s">
        <v>1571</v>
      </c>
      <c r="H731" s="74">
        <v>166</v>
      </c>
      <c r="I731" s="74">
        <v>0</v>
      </c>
    </row>
    <row r="732" spans="1:9">
      <c r="A732" s="74" t="s">
        <v>1568</v>
      </c>
      <c r="B732" s="74" t="s">
        <v>2334</v>
      </c>
      <c r="C732" s="74" t="s">
        <v>115</v>
      </c>
      <c r="D732" s="74" t="s">
        <v>1875</v>
      </c>
      <c r="E732" s="74" t="s">
        <v>2006</v>
      </c>
      <c r="F732" s="74" t="s">
        <v>2006</v>
      </c>
      <c r="G732" s="74" t="s">
        <v>1612</v>
      </c>
      <c r="H732" s="74">
        <v>75</v>
      </c>
      <c r="I732" s="74">
        <v>0</v>
      </c>
    </row>
    <row r="733" spans="1:9">
      <c r="A733" s="74" t="s">
        <v>1568</v>
      </c>
      <c r="B733" s="74" t="s">
        <v>2335</v>
      </c>
      <c r="C733" s="74" t="s">
        <v>115</v>
      </c>
      <c r="D733" s="74" t="s">
        <v>1875</v>
      </c>
      <c r="E733" s="74" t="s">
        <v>2059</v>
      </c>
      <c r="F733" s="74" t="s">
        <v>2059</v>
      </c>
      <c r="G733" s="74" t="s">
        <v>1571</v>
      </c>
      <c r="H733" s="74">
        <v>136</v>
      </c>
      <c r="I733" s="74">
        <v>0</v>
      </c>
    </row>
    <row r="734" spans="1:9">
      <c r="A734" s="74" t="s">
        <v>1568</v>
      </c>
      <c r="B734" s="74" t="s">
        <v>2336</v>
      </c>
      <c r="C734" s="74" t="s">
        <v>117</v>
      </c>
      <c r="D734" s="74" t="s">
        <v>1736</v>
      </c>
      <c r="E734" s="74" t="s">
        <v>2092</v>
      </c>
      <c r="F734" s="74" t="s">
        <v>2092</v>
      </c>
      <c r="G734" s="74" t="s">
        <v>1571</v>
      </c>
      <c r="H734" s="74">
        <v>43</v>
      </c>
      <c r="I734" s="74">
        <v>0</v>
      </c>
    </row>
    <row r="735" spans="1:9">
      <c r="A735" s="74" t="s">
        <v>1568</v>
      </c>
      <c r="B735" s="74" t="s">
        <v>2337</v>
      </c>
      <c r="C735" s="74" t="s">
        <v>114</v>
      </c>
      <c r="D735" s="74" t="s">
        <v>1977</v>
      </c>
      <c r="E735" s="74" t="s">
        <v>2114</v>
      </c>
      <c r="F735" s="74" t="s">
        <v>2114</v>
      </c>
      <c r="G735" s="74" t="s">
        <v>1571</v>
      </c>
      <c r="H735" s="74">
        <v>74</v>
      </c>
      <c r="I735" s="74">
        <v>0</v>
      </c>
    </row>
    <row r="736" spans="1:9">
      <c r="A736" s="74" t="s">
        <v>1568</v>
      </c>
      <c r="B736" s="74" t="s">
        <v>2338</v>
      </c>
      <c r="C736" s="74" t="s">
        <v>107</v>
      </c>
      <c r="D736" s="74" t="s">
        <v>1948</v>
      </c>
      <c r="E736" s="74" t="s">
        <v>2042</v>
      </c>
      <c r="F736" s="74" t="s">
        <v>2042</v>
      </c>
      <c r="G736" s="74" t="s">
        <v>1578</v>
      </c>
      <c r="H736" s="74">
        <v>636</v>
      </c>
      <c r="I736" s="74">
        <v>37</v>
      </c>
    </row>
    <row r="737" spans="1:9">
      <c r="A737" s="74" t="s">
        <v>1568</v>
      </c>
      <c r="B737" s="74" t="s">
        <v>2339</v>
      </c>
      <c r="C737" s="74" t="s">
        <v>107</v>
      </c>
      <c r="D737" s="74" t="s">
        <v>1948</v>
      </c>
      <c r="E737" s="74" t="s">
        <v>2079</v>
      </c>
      <c r="F737" s="74" t="s">
        <v>2079</v>
      </c>
      <c r="G737" s="74" t="s">
        <v>1575</v>
      </c>
      <c r="H737" s="74">
        <v>344</v>
      </c>
      <c r="I737" s="74">
        <v>4</v>
      </c>
    </row>
    <row r="738" spans="1:9">
      <c r="A738" s="74" t="s">
        <v>1568</v>
      </c>
      <c r="B738" s="74" t="s">
        <v>2340</v>
      </c>
      <c r="C738" s="74" t="s">
        <v>113</v>
      </c>
      <c r="D738" s="74" t="s">
        <v>1590</v>
      </c>
      <c r="E738" s="74" t="s">
        <v>2119</v>
      </c>
      <c r="F738" s="74" t="s">
        <v>2119</v>
      </c>
      <c r="G738" s="74" t="s">
        <v>1575</v>
      </c>
      <c r="H738" s="74">
        <v>543</v>
      </c>
      <c r="I738" s="74">
        <v>3</v>
      </c>
    </row>
    <row r="739" spans="1:9">
      <c r="A739" s="74" t="s">
        <v>1568</v>
      </c>
      <c r="B739" s="74" t="s">
        <v>2341</v>
      </c>
      <c r="C739" s="74" t="s">
        <v>105</v>
      </c>
      <c r="D739" s="74" t="s">
        <v>1848</v>
      </c>
      <c r="E739" s="74" t="s">
        <v>2028</v>
      </c>
      <c r="F739" s="74" t="s">
        <v>2028</v>
      </c>
      <c r="G739" s="74" t="s">
        <v>1571</v>
      </c>
      <c r="H739" s="74">
        <v>113</v>
      </c>
      <c r="I739" s="74">
        <v>0</v>
      </c>
    </row>
    <row r="740" spans="1:9">
      <c r="A740" s="74" t="s">
        <v>1568</v>
      </c>
      <c r="B740" s="74" t="s">
        <v>2342</v>
      </c>
      <c r="C740" s="74" t="s">
        <v>105</v>
      </c>
      <c r="D740" s="74" t="s">
        <v>1848</v>
      </c>
      <c r="E740" s="74" t="s">
        <v>2022</v>
      </c>
      <c r="F740" s="74" t="s">
        <v>2022</v>
      </c>
      <c r="G740" s="74" t="s">
        <v>1571</v>
      </c>
      <c r="H740" s="74">
        <v>35</v>
      </c>
      <c r="I740" s="74">
        <v>0</v>
      </c>
    </row>
    <row r="741" spans="1:9">
      <c r="A741" s="74" t="s">
        <v>1568</v>
      </c>
      <c r="B741" s="74" t="s">
        <v>2343</v>
      </c>
      <c r="C741" s="74" t="s">
        <v>107</v>
      </c>
      <c r="D741" s="74" t="s">
        <v>1948</v>
      </c>
      <c r="E741" s="74" t="s">
        <v>2188</v>
      </c>
      <c r="F741" s="74" t="s">
        <v>2188</v>
      </c>
      <c r="G741" s="74" t="s">
        <v>1571</v>
      </c>
      <c r="H741" s="74">
        <v>28</v>
      </c>
      <c r="I741" s="74">
        <v>0</v>
      </c>
    </row>
    <row r="742" spans="1:9">
      <c r="A742" s="74" t="s">
        <v>1568</v>
      </c>
      <c r="B742" s="74" t="s">
        <v>2344</v>
      </c>
      <c r="C742" s="74" t="s">
        <v>105</v>
      </c>
      <c r="D742" s="74" t="s">
        <v>1848</v>
      </c>
      <c r="E742" s="74" t="s">
        <v>2088</v>
      </c>
      <c r="F742" s="74" t="s">
        <v>2088</v>
      </c>
      <c r="G742" s="74" t="s">
        <v>1571</v>
      </c>
      <c r="H742" s="74">
        <v>37</v>
      </c>
      <c r="I742" s="74">
        <v>0</v>
      </c>
    </row>
    <row r="743" spans="1:9">
      <c r="A743" s="74" t="s">
        <v>1568</v>
      </c>
      <c r="B743" s="74" t="s">
        <v>2345</v>
      </c>
      <c r="C743" s="74" t="s">
        <v>117</v>
      </c>
      <c r="D743" s="74" t="s">
        <v>1736</v>
      </c>
      <c r="E743" s="74" t="s">
        <v>2264</v>
      </c>
      <c r="F743" s="74" t="s">
        <v>2264</v>
      </c>
      <c r="G743" s="74" t="s">
        <v>1571</v>
      </c>
      <c r="H743" s="74">
        <v>40</v>
      </c>
      <c r="I743" s="74">
        <v>0</v>
      </c>
    </row>
    <row r="744" spans="1:9">
      <c r="A744" s="74" t="s">
        <v>1568</v>
      </c>
      <c r="B744" s="74" t="s">
        <v>2346</v>
      </c>
      <c r="C744" s="74" t="s">
        <v>105</v>
      </c>
      <c r="D744" s="74" t="s">
        <v>1848</v>
      </c>
      <c r="E744" s="74" t="s">
        <v>2223</v>
      </c>
      <c r="F744" s="74" t="s">
        <v>2223</v>
      </c>
      <c r="G744" s="74" t="s">
        <v>1571</v>
      </c>
      <c r="H744" s="74">
        <v>238</v>
      </c>
      <c r="I744" s="74">
        <v>5</v>
      </c>
    </row>
    <row r="745" spans="1:9">
      <c r="A745" s="74" t="s">
        <v>1568</v>
      </c>
      <c r="B745" s="74" t="s">
        <v>2347</v>
      </c>
      <c r="C745" s="74" t="s">
        <v>105</v>
      </c>
      <c r="D745" s="74" t="s">
        <v>1848</v>
      </c>
      <c r="E745" s="74" t="s">
        <v>2020</v>
      </c>
      <c r="F745" s="74" t="s">
        <v>2020</v>
      </c>
      <c r="G745" s="74" t="s">
        <v>1571</v>
      </c>
      <c r="H745" s="74">
        <v>120</v>
      </c>
      <c r="I745" s="74">
        <v>0</v>
      </c>
    </row>
    <row r="746" spans="1:9">
      <c r="A746" s="74" t="s">
        <v>1568</v>
      </c>
      <c r="B746" s="74" t="s">
        <v>2348</v>
      </c>
      <c r="C746" s="74" t="s">
        <v>117</v>
      </c>
      <c r="D746" s="74" t="s">
        <v>1736</v>
      </c>
      <c r="E746" s="74" t="s">
        <v>2094</v>
      </c>
      <c r="F746" s="74" t="s">
        <v>2094</v>
      </c>
      <c r="G746" s="74" t="s">
        <v>1571</v>
      </c>
      <c r="H746" s="74">
        <v>36</v>
      </c>
      <c r="I746" s="74">
        <v>0</v>
      </c>
    </row>
    <row r="747" spans="1:9">
      <c r="A747" s="74" t="s">
        <v>1568</v>
      </c>
      <c r="B747" s="74" t="s">
        <v>2349</v>
      </c>
      <c r="C747" s="74" t="s">
        <v>119</v>
      </c>
      <c r="D747" s="74" t="s">
        <v>1748</v>
      </c>
      <c r="E747" s="74" t="s">
        <v>2103</v>
      </c>
      <c r="F747" s="74" t="s">
        <v>2103</v>
      </c>
      <c r="G747" s="74" t="s">
        <v>1571</v>
      </c>
      <c r="H747" s="74">
        <v>29</v>
      </c>
      <c r="I747" s="74">
        <v>0</v>
      </c>
    </row>
    <row r="748" spans="1:9">
      <c r="A748" s="74" t="s">
        <v>1568</v>
      </c>
      <c r="B748" s="74" t="s">
        <v>2350</v>
      </c>
      <c r="C748" s="74" t="s">
        <v>105</v>
      </c>
      <c r="D748" s="74" t="s">
        <v>1848</v>
      </c>
      <c r="E748" s="74" t="s">
        <v>2020</v>
      </c>
      <c r="F748" s="74" t="s">
        <v>2020</v>
      </c>
      <c r="G748" s="74" t="s">
        <v>1571</v>
      </c>
      <c r="H748" s="74">
        <v>129</v>
      </c>
      <c r="I748" s="74">
        <v>0</v>
      </c>
    </row>
    <row r="749" spans="1:9">
      <c r="A749" s="74" t="s">
        <v>1568</v>
      </c>
      <c r="B749" s="74" t="s">
        <v>2351</v>
      </c>
      <c r="C749" s="74" t="s">
        <v>114</v>
      </c>
      <c r="D749" s="74" t="s">
        <v>1977</v>
      </c>
      <c r="E749" s="74" t="s">
        <v>2114</v>
      </c>
      <c r="F749" s="74" t="s">
        <v>2114</v>
      </c>
      <c r="G749" s="74" t="s">
        <v>1571</v>
      </c>
      <c r="H749" s="74">
        <v>178</v>
      </c>
      <c r="I749" s="74">
        <v>0</v>
      </c>
    </row>
    <row r="750" spans="1:9">
      <c r="A750" s="74" t="s">
        <v>1568</v>
      </c>
      <c r="B750" s="74" t="s">
        <v>1586</v>
      </c>
      <c r="C750" s="74" t="s">
        <v>111</v>
      </c>
      <c r="D750" s="74" t="s">
        <v>1517</v>
      </c>
      <c r="E750" s="74" t="s">
        <v>1570</v>
      </c>
      <c r="F750" s="74" t="s">
        <v>1570</v>
      </c>
      <c r="G750" s="74" t="s">
        <v>1571</v>
      </c>
      <c r="H750" s="74">
        <v>197</v>
      </c>
      <c r="I750" s="74">
        <v>0</v>
      </c>
    </row>
    <row r="751" spans="1:9">
      <c r="A751" s="74" t="s">
        <v>1568</v>
      </c>
      <c r="B751" s="74" t="s">
        <v>2352</v>
      </c>
      <c r="C751" s="74" t="s">
        <v>113</v>
      </c>
      <c r="D751" s="74" t="s">
        <v>1590</v>
      </c>
      <c r="E751" s="74" t="s">
        <v>2066</v>
      </c>
      <c r="F751" s="74" t="s">
        <v>2066</v>
      </c>
      <c r="G751" s="74" t="s">
        <v>1575</v>
      </c>
      <c r="H751" s="74">
        <v>500</v>
      </c>
      <c r="I751" s="74">
        <v>4</v>
      </c>
    </row>
    <row r="752" spans="1:9">
      <c r="A752" s="74" t="s">
        <v>1568</v>
      </c>
      <c r="B752" s="74" t="s">
        <v>2353</v>
      </c>
      <c r="C752" s="74" t="s">
        <v>114</v>
      </c>
      <c r="D752" s="74" t="s">
        <v>1977</v>
      </c>
      <c r="E752" s="74" t="s">
        <v>2114</v>
      </c>
      <c r="F752" s="74" t="s">
        <v>2114</v>
      </c>
      <c r="G752" s="74" t="s">
        <v>1571</v>
      </c>
      <c r="H752" s="74">
        <v>104</v>
      </c>
      <c r="I752" s="74">
        <v>0</v>
      </c>
    </row>
    <row r="753" spans="1:9">
      <c r="A753" s="74" t="s">
        <v>1568</v>
      </c>
      <c r="B753" s="74" t="s">
        <v>2354</v>
      </c>
      <c r="C753" s="74" t="s">
        <v>105</v>
      </c>
      <c r="D753" s="74" t="s">
        <v>1848</v>
      </c>
      <c r="E753" s="74" t="s">
        <v>2088</v>
      </c>
      <c r="F753" s="74" t="s">
        <v>2088</v>
      </c>
      <c r="G753" s="74" t="s">
        <v>1571</v>
      </c>
      <c r="H753" s="74">
        <v>80</v>
      </c>
      <c r="I753" s="74">
        <v>0</v>
      </c>
    </row>
    <row r="754" spans="1:9">
      <c r="A754" s="74" t="s">
        <v>1568</v>
      </c>
      <c r="B754" s="74" t="s">
        <v>2355</v>
      </c>
      <c r="C754" s="74" t="s">
        <v>111</v>
      </c>
      <c r="D754" s="74" t="s">
        <v>1517</v>
      </c>
      <c r="E754" s="74" t="s">
        <v>2014</v>
      </c>
      <c r="F754" s="74" t="s">
        <v>2014</v>
      </c>
      <c r="G754" s="74" t="s">
        <v>1575</v>
      </c>
      <c r="H754" s="74">
        <v>387</v>
      </c>
      <c r="I754" s="74">
        <v>5</v>
      </c>
    </row>
    <row r="755" spans="1:9">
      <c r="A755" s="74" t="s">
        <v>1568</v>
      </c>
      <c r="B755" s="74" t="s">
        <v>2356</v>
      </c>
      <c r="C755" s="74" t="s">
        <v>111</v>
      </c>
      <c r="D755" s="74" t="s">
        <v>1517</v>
      </c>
      <c r="E755" s="74" t="s">
        <v>2032</v>
      </c>
      <c r="F755" s="74" t="s">
        <v>2032</v>
      </c>
      <c r="G755" s="74" t="s">
        <v>1571</v>
      </c>
      <c r="H755" s="74">
        <v>268</v>
      </c>
      <c r="I755" s="74">
        <v>0</v>
      </c>
    </row>
    <row r="756" spans="1:9">
      <c r="A756" s="74" t="s">
        <v>1568</v>
      </c>
      <c r="B756" s="74" t="s">
        <v>2357</v>
      </c>
      <c r="C756" s="74" t="s">
        <v>119</v>
      </c>
      <c r="D756" s="74" t="s">
        <v>1748</v>
      </c>
      <c r="E756" s="74" t="s">
        <v>2030</v>
      </c>
      <c r="F756" s="74" t="s">
        <v>2030</v>
      </c>
      <c r="G756" s="74" t="s">
        <v>1571</v>
      </c>
      <c r="H756" s="74">
        <v>50</v>
      </c>
      <c r="I756" s="74">
        <v>0</v>
      </c>
    </row>
    <row r="757" spans="1:9">
      <c r="A757" s="74" t="s">
        <v>1568</v>
      </c>
      <c r="B757" s="74" t="s">
        <v>2358</v>
      </c>
      <c r="C757" s="74" t="s">
        <v>113</v>
      </c>
      <c r="D757" s="74" t="s">
        <v>1590</v>
      </c>
      <c r="E757" s="74" t="s">
        <v>2002</v>
      </c>
      <c r="F757" s="74" t="s">
        <v>2002</v>
      </c>
      <c r="G757" s="74" t="s">
        <v>1571</v>
      </c>
      <c r="H757" s="74">
        <v>204</v>
      </c>
      <c r="I757" s="74">
        <v>0</v>
      </c>
    </row>
    <row r="758" spans="1:9">
      <c r="A758" s="74" t="s">
        <v>1568</v>
      </c>
      <c r="B758" s="74" t="s">
        <v>2359</v>
      </c>
      <c r="C758" s="74" t="s">
        <v>119</v>
      </c>
      <c r="D758" s="74" t="s">
        <v>1748</v>
      </c>
      <c r="E758" s="74" t="s">
        <v>2075</v>
      </c>
      <c r="F758" s="74" t="s">
        <v>2075</v>
      </c>
      <c r="G758" s="74" t="s">
        <v>1571</v>
      </c>
      <c r="H758" s="74">
        <v>90</v>
      </c>
      <c r="I758" s="74">
        <v>0</v>
      </c>
    </row>
    <row r="759" spans="1:9">
      <c r="A759" s="74" t="s">
        <v>1568</v>
      </c>
      <c r="B759" s="74" t="s">
        <v>2360</v>
      </c>
      <c r="C759" s="74" t="s">
        <v>105</v>
      </c>
      <c r="D759" s="74" t="s">
        <v>1848</v>
      </c>
      <c r="E759" s="74" t="s">
        <v>2088</v>
      </c>
      <c r="F759" s="74" t="s">
        <v>2088</v>
      </c>
      <c r="G759" s="74" t="s">
        <v>1612</v>
      </c>
      <c r="H759" s="74">
        <v>60</v>
      </c>
      <c r="I759" s="74">
        <v>0</v>
      </c>
    </row>
    <row r="760" spans="1:9">
      <c r="A760" s="74" t="s">
        <v>1568</v>
      </c>
      <c r="B760" s="74" t="s">
        <v>2361</v>
      </c>
      <c r="C760" s="74" t="s">
        <v>105</v>
      </c>
      <c r="D760" s="74" t="s">
        <v>1848</v>
      </c>
      <c r="E760" s="74" t="s">
        <v>2101</v>
      </c>
      <c r="F760" s="74" t="s">
        <v>2101</v>
      </c>
      <c r="G760" s="74" t="s">
        <v>1612</v>
      </c>
      <c r="H760" s="74">
        <v>270</v>
      </c>
      <c r="I760" s="74">
        <v>0</v>
      </c>
    </row>
    <row r="761" spans="1:9">
      <c r="A761" s="74" t="s">
        <v>1568</v>
      </c>
      <c r="B761" s="74" t="s">
        <v>2362</v>
      </c>
      <c r="C761" s="74" t="s">
        <v>113</v>
      </c>
      <c r="D761" s="74" t="s">
        <v>1590</v>
      </c>
      <c r="E761" s="74" t="s">
        <v>2040</v>
      </c>
      <c r="F761" s="74" t="s">
        <v>2040</v>
      </c>
      <c r="G761" s="74" t="s">
        <v>1612</v>
      </c>
      <c r="H761" s="74">
        <v>54</v>
      </c>
      <c r="I761" s="74">
        <v>0</v>
      </c>
    </row>
    <row r="762" spans="1:9">
      <c r="A762" s="74" t="s">
        <v>1568</v>
      </c>
      <c r="B762" s="74" t="s">
        <v>2363</v>
      </c>
      <c r="C762" s="74" t="s">
        <v>115</v>
      </c>
      <c r="D762" s="74" t="s">
        <v>1875</v>
      </c>
      <c r="E762" s="74" t="s">
        <v>2059</v>
      </c>
      <c r="F762" s="74" t="s">
        <v>2059</v>
      </c>
      <c r="G762" s="74" t="s">
        <v>1583</v>
      </c>
      <c r="H762" s="74">
        <v>382</v>
      </c>
      <c r="I762" s="74">
        <v>7</v>
      </c>
    </row>
    <row r="763" spans="1:9">
      <c r="A763" s="74" t="s">
        <v>1568</v>
      </c>
      <c r="B763" s="74" t="s">
        <v>2364</v>
      </c>
      <c r="C763" s="74" t="s">
        <v>105</v>
      </c>
      <c r="D763" s="74" t="s">
        <v>1848</v>
      </c>
      <c r="E763" s="74" t="s">
        <v>2048</v>
      </c>
      <c r="F763" s="74" t="s">
        <v>2048</v>
      </c>
      <c r="G763" s="74" t="s">
        <v>1571</v>
      </c>
      <c r="H763" s="74">
        <v>70</v>
      </c>
      <c r="I763" s="74">
        <v>0</v>
      </c>
    </row>
    <row r="764" spans="1:9">
      <c r="A764" s="74" t="s">
        <v>1568</v>
      </c>
      <c r="B764" s="74" t="s">
        <v>2365</v>
      </c>
      <c r="C764" s="74" t="s">
        <v>116</v>
      </c>
      <c r="D764" s="74" t="s">
        <v>1717</v>
      </c>
      <c r="E764" s="74" t="s">
        <v>2158</v>
      </c>
      <c r="F764" s="74" t="s">
        <v>2158</v>
      </c>
      <c r="G764" s="74" t="s">
        <v>1571</v>
      </c>
      <c r="H764" s="74">
        <v>60</v>
      </c>
      <c r="I764" s="74">
        <v>0</v>
      </c>
    </row>
    <row r="765" spans="1:9">
      <c r="A765" s="74" t="s">
        <v>1568</v>
      </c>
      <c r="B765" s="74" t="s">
        <v>2366</v>
      </c>
      <c r="C765" s="74" t="s">
        <v>113</v>
      </c>
      <c r="D765" s="74" t="s">
        <v>1590</v>
      </c>
      <c r="E765" s="74" t="s">
        <v>2119</v>
      </c>
      <c r="F765" s="74" t="s">
        <v>2119</v>
      </c>
      <c r="G765" s="74" t="s">
        <v>1571</v>
      </c>
      <c r="H765" s="74">
        <v>240</v>
      </c>
      <c r="I765" s="74">
        <v>0</v>
      </c>
    </row>
    <row r="766" spans="1:9">
      <c r="A766" s="74" t="s">
        <v>1568</v>
      </c>
      <c r="B766" s="74" t="s">
        <v>2367</v>
      </c>
      <c r="C766" s="74" t="s">
        <v>105</v>
      </c>
      <c r="D766" s="74" t="s">
        <v>1848</v>
      </c>
      <c r="E766" s="74" t="s">
        <v>2020</v>
      </c>
      <c r="F766" s="74" t="s">
        <v>2020</v>
      </c>
      <c r="G766" s="74" t="s">
        <v>1571</v>
      </c>
      <c r="H766" s="74">
        <v>100</v>
      </c>
      <c r="I766" s="74">
        <v>0</v>
      </c>
    </row>
    <row r="767" spans="1:9">
      <c r="A767" s="74" t="s">
        <v>1568</v>
      </c>
      <c r="B767" s="74" t="s">
        <v>2368</v>
      </c>
      <c r="C767" s="74" t="s">
        <v>114</v>
      </c>
      <c r="D767" s="74" t="s">
        <v>1977</v>
      </c>
      <c r="E767" s="74" t="s">
        <v>2008</v>
      </c>
      <c r="F767" s="74" t="s">
        <v>2008</v>
      </c>
      <c r="G767" s="74" t="s">
        <v>1571</v>
      </c>
      <c r="H767" s="74">
        <v>120</v>
      </c>
      <c r="I767" s="74">
        <v>0</v>
      </c>
    </row>
    <row r="768" spans="1:9">
      <c r="A768" s="74" t="s">
        <v>1568</v>
      </c>
      <c r="B768" s="74" t="s">
        <v>2369</v>
      </c>
      <c r="C768" s="74" t="s">
        <v>105</v>
      </c>
      <c r="D768" s="74" t="s">
        <v>1848</v>
      </c>
      <c r="E768" s="74" t="s">
        <v>2020</v>
      </c>
      <c r="F768" s="74" t="s">
        <v>2020</v>
      </c>
      <c r="G768" s="74" t="s">
        <v>1575</v>
      </c>
      <c r="H768" s="74">
        <v>302</v>
      </c>
      <c r="I768" s="74">
        <v>0</v>
      </c>
    </row>
    <row r="769" spans="1:9">
      <c r="A769" s="74" t="s">
        <v>1568</v>
      </c>
      <c r="B769" s="74" t="s">
        <v>2370</v>
      </c>
      <c r="C769" s="74" t="s">
        <v>114</v>
      </c>
      <c r="D769" s="74" t="s">
        <v>1977</v>
      </c>
      <c r="E769" s="74" t="s">
        <v>2010</v>
      </c>
      <c r="F769" s="74" t="s">
        <v>2010</v>
      </c>
      <c r="G769" s="74" t="s">
        <v>1571</v>
      </c>
      <c r="H769" s="74">
        <v>59</v>
      </c>
      <c r="I769" s="74">
        <v>0</v>
      </c>
    </row>
    <row r="770" spans="1:9">
      <c r="A770" s="74" t="s">
        <v>1568</v>
      </c>
      <c r="B770" s="74" t="s">
        <v>2371</v>
      </c>
      <c r="C770" s="74" t="s">
        <v>115</v>
      </c>
      <c r="D770" s="74" t="s">
        <v>1875</v>
      </c>
      <c r="E770" s="74" t="s">
        <v>2006</v>
      </c>
      <c r="F770" s="74" t="s">
        <v>2006</v>
      </c>
      <c r="G770" s="74" t="s">
        <v>1571</v>
      </c>
      <c r="H770" s="74">
        <v>187</v>
      </c>
      <c r="I770" s="74">
        <v>0</v>
      </c>
    </row>
    <row r="771" spans="1:9">
      <c r="A771" s="74" t="s">
        <v>1568</v>
      </c>
      <c r="B771" s="74" t="s">
        <v>2372</v>
      </c>
      <c r="C771" s="74" t="s">
        <v>113</v>
      </c>
      <c r="D771" s="74" t="s">
        <v>1590</v>
      </c>
      <c r="E771" s="74" t="s">
        <v>2119</v>
      </c>
      <c r="F771" s="74" t="s">
        <v>2119</v>
      </c>
      <c r="G771" s="74" t="s">
        <v>1578</v>
      </c>
      <c r="H771" s="74">
        <v>846</v>
      </c>
      <c r="I771" s="74">
        <v>88</v>
      </c>
    </row>
    <row r="772" spans="1:9">
      <c r="A772" s="74" t="s">
        <v>1568</v>
      </c>
      <c r="B772" s="74" t="s">
        <v>2373</v>
      </c>
      <c r="C772" s="74" t="s">
        <v>119</v>
      </c>
      <c r="D772" s="74" t="s">
        <v>1748</v>
      </c>
      <c r="E772" s="74" t="s">
        <v>2051</v>
      </c>
      <c r="F772" s="74" t="s">
        <v>2051</v>
      </c>
      <c r="G772" s="74" t="s">
        <v>1571</v>
      </c>
      <c r="H772" s="74">
        <v>34</v>
      </c>
      <c r="I772" s="74">
        <v>0</v>
      </c>
    </row>
    <row r="773" spans="1:9">
      <c r="A773" s="74" t="s">
        <v>1568</v>
      </c>
      <c r="B773" s="74" t="s">
        <v>2374</v>
      </c>
      <c r="C773" s="74" t="s">
        <v>105</v>
      </c>
      <c r="D773" s="74" t="s">
        <v>1848</v>
      </c>
      <c r="E773" s="74" t="s">
        <v>2048</v>
      </c>
      <c r="F773" s="74" t="s">
        <v>2048</v>
      </c>
      <c r="G773" s="74" t="s">
        <v>1571</v>
      </c>
      <c r="H773" s="74">
        <v>70</v>
      </c>
      <c r="I773" s="74">
        <v>0</v>
      </c>
    </row>
    <row r="774" spans="1:9">
      <c r="A774" s="74" t="s">
        <v>1568</v>
      </c>
      <c r="B774" s="74" t="s">
        <v>2375</v>
      </c>
      <c r="C774" s="74" t="s">
        <v>117</v>
      </c>
      <c r="D774" s="74" t="s">
        <v>1736</v>
      </c>
      <c r="E774" s="74" t="s">
        <v>2094</v>
      </c>
      <c r="F774" s="74" t="s">
        <v>2094</v>
      </c>
      <c r="G774" s="74" t="s">
        <v>1575</v>
      </c>
      <c r="H774" s="74">
        <v>227</v>
      </c>
      <c r="I774" s="74">
        <v>5</v>
      </c>
    </row>
    <row r="775" spans="1:9">
      <c r="A775" s="74" t="s">
        <v>1568</v>
      </c>
      <c r="B775" s="74" t="s">
        <v>2376</v>
      </c>
      <c r="C775" s="74" t="s">
        <v>119</v>
      </c>
      <c r="D775" s="74" t="s">
        <v>1748</v>
      </c>
      <c r="E775" s="74" t="s">
        <v>2030</v>
      </c>
      <c r="F775" s="74" t="s">
        <v>2030</v>
      </c>
      <c r="G775" s="74" t="s">
        <v>1583</v>
      </c>
      <c r="H775" s="74">
        <v>272</v>
      </c>
      <c r="I775" s="74">
        <v>30</v>
      </c>
    </row>
    <row r="776" spans="1:9">
      <c r="A776" s="74" t="s">
        <v>1568</v>
      </c>
      <c r="B776" s="74" t="s">
        <v>2167</v>
      </c>
      <c r="C776" s="74" t="s">
        <v>105</v>
      </c>
      <c r="D776" s="74" t="s">
        <v>1848</v>
      </c>
      <c r="E776" s="74" t="s">
        <v>2030</v>
      </c>
      <c r="F776" s="74" t="s">
        <v>2030</v>
      </c>
      <c r="G776" s="74" t="s">
        <v>1571</v>
      </c>
      <c r="H776" s="74">
        <v>110</v>
      </c>
      <c r="I776" s="74">
        <v>0</v>
      </c>
    </row>
    <row r="777" spans="1:9">
      <c r="A777" s="74" t="s">
        <v>1568</v>
      </c>
      <c r="B777" s="74" t="s">
        <v>2377</v>
      </c>
      <c r="C777" s="74" t="s">
        <v>113</v>
      </c>
      <c r="D777" s="74" t="s">
        <v>1590</v>
      </c>
      <c r="E777" s="74" t="s">
        <v>2119</v>
      </c>
      <c r="F777" s="74" t="s">
        <v>2119</v>
      </c>
      <c r="G777" s="74" t="s">
        <v>1583</v>
      </c>
      <c r="H777" s="74">
        <v>692</v>
      </c>
      <c r="I777" s="74">
        <v>12</v>
      </c>
    </row>
    <row r="778" spans="1:9">
      <c r="A778" s="74" t="s">
        <v>1568</v>
      </c>
      <c r="B778" s="74" t="s">
        <v>2378</v>
      </c>
      <c r="C778" s="74" t="s">
        <v>113</v>
      </c>
      <c r="D778" s="74" t="s">
        <v>1590</v>
      </c>
      <c r="E778" s="74" t="s">
        <v>2004</v>
      </c>
      <c r="F778" s="74" t="s">
        <v>2004</v>
      </c>
      <c r="G778" s="74" t="s">
        <v>1575</v>
      </c>
      <c r="H778" s="74">
        <v>369</v>
      </c>
      <c r="I778" s="74">
        <v>9</v>
      </c>
    </row>
    <row r="779" spans="1:9">
      <c r="A779" s="74" t="s">
        <v>1568</v>
      </c>
      <c r="B779" s="74" t="s">
        <v>2379</v>
      </c>
      <c r="C779" s="74" t="s">
        <v>113</v>
      </c>
      <c r="D779" s="74" t="s">
        <v>1590</v>
      </c>
      <c r="E779" s="74" t="s">
        <v>2002</v>
      </c>
      <c r="F779" s="74" t="s">
        <v>2002</v>
      </c>
      <c r="G779" s="74" t="s">
        <v>1571</v>
      </c>
      <c r="H779" s="74">
        <v>234</v>
      </c>
      <c r="I779" s="74">
        <v>0</v>
      </c>
    </row>
    <row r="780" spans="1:9">
      <c r="A780" s="74" t="s">
        <v>1568</v>
      </c>
      <c r="B780" s="74" t="s">
        <v>2380</v>
      </c>
      <c r="C780" s="74" t="s">
        <v>111</v>
      </c>
      <c r="D780" s="74" t="s">
        <v>1517</v>
      </c>
      <c r="E780" s="74" t="s">
        <v>2014</v>
      </c>
      <c r="F780" s="74" t="s">
        <v>2014</v>
      </c>
      <c r="G780" s="74" t="s">
        <v>1575</v>
      </c>
      <c r="H780" s="74">
        <v>566</v>
      </c>
      <c r="I780" s="74">
        <v>6</v>
      </c>
    </row>
    <row r="781" spans="1:9">
      <c r="A781" s="74" t="s">
        <v>1568</v>
      </c>
      <c r="B781" s="74" t="s">
        <v>2381</v>
      </c>
      <c r="C781" s="74" t="s">
        <v>115</v>
      </c>
      <c r="D781" s="74" t="s">
        <v>1875</v>
      </c>
      <c r="E781" s="74" t="s">
        <v>2006</v>
      </c>
      <c r="F781" s="74" t="s">
        <v>2006</v>
      </c>
      <c r="G781" s="74" t="s">
        <v>1571</v>
      </c>
      <c r="H781" s="74">
        <v>90</v>
      </c>
      <c r="I781" s="74">
        <v>0</v>
      </c>
    </row>
    <row r="782" spans="1:9">
      <c r="A782" s="74" t="s">
        <v>1568</v>
      </c>
      <c r="B782" s="74" t="s">
        <v>1614</v>
      </c>
      <c r="C782" s="74" t="s">
        <v>113</v>
      </c>
      <c r="D782" s="74" t="s">
        <v>1590</v>
      </c>
      <c r="E782" s="74" t="s">
        <v>1608</v>
      </c>
      <c r="F782" s="74" t="s">
        <v>1608</v>
      </c>
      <c r="G782" s="74" t="s">
        <v>1573</v>
      </c>
      <c r="H782" s="74">
        <v>378</v>
      </c>
      <c r="I782" s="74">
        <v>0</v>
      </c>
    </row>
    <row r="783" spans="1:9">
      <c r="A783" s="74" t="s">
        <v>1568</v>
      </c>
      <c r="B783" s="74" t="s">
        <v>2382</v>
      </c>
      <c r="C783" s="74" t="s">
        <v>119</v>
      </c>
      <c r="D783" s="74" t="s">
        <v>1748</v>
      </c>
      <c r="E783" s="74" t="s">
        <v>2030</v>
      </c>
      <c r="F783" s="74" t="s">
        <v>2030</v>
      </c>
      <c r="G783" s="74" t="s">
        <v>1578</v>
      </c>
      <c r="H783" s="74">
        <v>1384</v>
      </c>
      <c r="I783" s="74">
        <v>105</v>
      </c>
    </row>
    <row r="784" spans="1:9">
      <c r="A784" s="74" t="s">
        <v>1568</v>
      </c>
      <c r="B784" s="74" t="s">
        <v>1615</v>
      </c>
      <c r="C784" s="74" t="s">
        <v>113</v>
      </c>
      <c r="D784" s="74" t="s">
        <v>1590</v>
      </c>
      <c r="E784" s="74" t="s">
        <v>1608</v>
      </c>
      <c r="F784" s="74" t="s">
        <v>1608</v>
      </c>
      <c r="G784" s="74" t="s">
        <v>1571</v>
      </c>
      <c r="H784" s="74">
        <v>431</v>
      </c>
      <c r="I784" s="74">
        <v>0</v>
      </c>
    </row>
    <row r="785" spans="1:9">
      <c r="A785" s="74" t="s">
        <v>1568</v>
      </c>
      <c r="B785" s="74" t="s">
        <v>2383</v>
      </c>
      <c r="C785" s="74" t="s">
        <v>107</v>
      </c>
      <c r="D785" s="74" t="s">
        <v>1948</v>
      </c>
      <c r="E785" s="74" t="s">
        <v>2188</v>
      </c>
      <c r="F785" s="74" t="s">
        <v>2188</v>
      </c>
      <c r="G785" s="74" t="s">
        <v>1571</v>
      </c>
      <c r="H785" s="74">
        <v>86</v>
      </c>
      <c r="I785" s="74">
        <v>0</v>
      </c>
    </row>
    <row r="786" spans="1:9">
      <c r="A786" s="74" t="s">
        <v>1568</v>
      </c>
      <c r="B786" s="74" t="s">
        <v>2384</v>
      </c>
      <c r="C786" s="74" t="s">
        <v>107</v>
      </c>
      <c r="D786" s="74" t="s">
        <v>1948</v>
      </c>
      <c r="E786" s="74" t="s">
        <v>2079</v>
      </c>
      <c r="F786" s="74" t="s">
        <v>2079</v>
      </c>
      <c r="G786" s="74" t="s">
        <v>1571</v>
      </c>
      <c r="H786" s="74">
        <v>54</v>
      </c>
      <c r="I786" s="74">
        <v>0</v>
      </c>
    </row>
    <row r="787" spans="1:9">
      <c r="A787" s="74" t="s">
        <v>1568</v>
      </c>
      <c r="B787" s="74" t="s">
        <v>1587</v>
      </c>
      <c r="C787" s="74" t="s">
        <v>111</v>
      </c>
      <c r="D787" s="74" t="s">
        <v>1517</v>
      </c>
      <c r="E787" s="74" t="s">
        <v>1570</v>
      </c>
      <c r="F787" s="74" t="s">
        <v>1570</v>
      </c>
      <c r="G787" s="74" t="s">
        <v>1580</v>
      </c>
      <c r="H787" s="74">
        <v>300</v>
      </c>
      <c r="I787" s="74">
        <v>0</v>
      </c>
    </row>
    <row r="788" spans="1:9">
      <c r="A788" s="74" t="s">
        <v>1568</v>
      </c>
      <c r="B788" s="74" t="s">
        <v>2385</v>
      </c>
      <c r="C788" s="74" t="s">
        <v>105</v>
      </c>
      <c r="D788" s="74" t="s">
        <v>1848</v>
      </c>
      <c r="E788" s="74" t="s">
        <v>2028</v>
      </c>
      <c r="F788" s="74" t="s">
        <v>2028</v>
      </c>
      <c r="G788" s="74" t="s">
        <v>1571</v>
      </c>
      <c r="H788" s="74">
        <v>48</v>
      </c>
      <c r="I788" s="74">
        <v>0</v>
      </c>
    </row>
    <row r="789" spans="1:9">
      <c r="A789" s="74" t="s">
        <v>1568</v>
      </c>
      <c r="B789" s="74" t="s">
        <v>2386</v>
      </c>
      <c r="C789" s="74" t="s">
        <v>113</v>
      </c>
      <c r="D789" s="74" t="s">
        <v>1590</v>
      </c>
      <c r="E789" s="74" t="s">
        <v>2119</v>
      </c>
      <c r="F789" s="74" t="s">
        <v>2119</v>
      </c>
      <c r="G789" s="74" t="s">
        <v>1573</v>
      </c>
      <c r="H789" s="74">
        <v>965</v>
      </c>
      <c r="I789" s="74">
        <v>0</v>
      </c>
    </row>
    <row r="790" spans="1:9">
      <c r="A790" s="74" t="s">
        <v>1568</v>
      </c>
      <c r="B790" s="74" t="s">
        <v>2387</v>
      </c>
      <c r="C790" s="74" t="s">
        <v>114</v>
      </c>
      <c r="D790" s="74" t="s">
        <v>1977</v>
      </c>
      <c r="E790" s="74" t="s">
        <v>2114</v>
      </c>
      <c r="F790" s="74" t="s">
        <v>2114</v>
      </c>
      <c r="G790" s="74" t="s">
        <v>1573</v>
      </c>
      <c r="H790" s="74">
        <v>354</v>
      </c>
      <c r="I790" s="74">
        <v>0</v>
      </c>
    </row>
    <row r="791" spans="1:9">
      <c r="A791" s="74" t="s">
        <v>1568</v>
      </c>
      <c r="B791" s="74" t="s">
        <v>2388</v>
      </c>
      <c r="C791" s="74" t="s">
        <v>105</v>
      </c>
      <c r="D791" s="74" t="s">
        <v>1848</v>
      </c>
      <c r="E791" s="74" t="s">
        <v>2048</v>
      </c>
      <c r="F791" s="74" t="s">
        <v>2048</v>
      </c>
      <c r="G791" s="74" t="s">
        <v>1571</v>
      </c>
      <c r="H791" s="74">
        <v>161</v>
      </c>
      <c r="I791" s="74">
        <v>0</v>
      </c>
    </row>
    <row r="792" spans="1:9">
      <c r="A792" s="74" t="s">
        <v>1568</v>
      </c>
      <c r="B792" s="74" t="s">
        <v>2389</v>
      </c>
      <c r="C792" s="74" t="s">
        <v>107</v>
      </c>
      <c r="D792" s="74" t="s">
        <v>1948</v>
      </c>
      <c r="E792" s="74" t="s">
        <v>2046</v>
      </c>
      <c r="F792" s="74" t="s">
        <v>2046</v>
      </c>
      <c r="G792" s="74" t="s">
        <v>1571</v>
      </c>
      <c r="H792" s="74">
        <v>23</v>
      </c>
      <c r="I792" s="74">
        <v>0</v>
      </c>
    </row>
    <row r="793" spans="1:9">
      <c r="A793" s="74" t="s">
        <v>1568</v>
      </c>
      <c r="B793" s="74" t="s">
        <v>2390</v>
      </c>
      <c r="C793" s="74" t="s">
        <v>107</v>
      </c>
      <c r="D793" s="74" t="s">
        <v>1948</v>
      </c>
      <c r="E793" s="74" t="s">
        <v>2046</v>
      </c>
      <c r="F793" s="74" t="s">
        <v>2046</v>
      </c>
      <c r="G793" s="74" t="s">
        <v>1571</v>
      </c>
      <c r="H793" s="74">
        <v>28</v>
      </c>
      <c r="I793" s="74">
        <v>0</v>
      </c>
    </row>
    <row r="794" spans="1:9">
      <c r="A794" s="74" t="s">
        <v>1568</v>
      </c>
      <c r="B794" s="74" t="s">
        <v>2391</v>
      </c>
      <c r="C794" s="74" t="s">
        <v>111</v>
      </c>
      <c r="D794" s="74" t="s">
        <v>1517</v>
      </c>
      <c r="E794" s="74" t="s">
        <v>2018</v>
      </c>
      <c r="F794" s="74" t="s">
        <v>2018</v>
      </c>
      <c r="G794" s="74" t="s">
        <v>1578</v>
      </c>
      <c r="H794" s="74">
        <v>1053</v>
      </c>
      <c r="I794" s="74">
        <v>0</v>
      </c>
    </row>
    <row r="795" spans="1:9">
      <c r="A795" s="74" t="s">
        <v>1568</v>
      </c>
      <c r="B795" s="74" t="s">
        <v>2392</v>
      </c>
      <c r="C795" s="74" t="s">
        <v>113</v>
      </c>
      <c r="D795" s="74" t="s">
        <v>1590</v>
      </c>
      <c r="E795" s="74" t="s">
        <v>2004</v>
      </c>
      <c r="F795" s="74" t="s">
        <v>2004</v>
      </c>
      <c r="G795" s="74" t="s">
        <v>1571</v>
      </c>
      <c r="H795" s="74">
        <v>400</v>
      </c>
      <c r="I795" s="74">
        <v>0</v>
      </c>
    </row>
    <row r="796" spans="1:9">
      <c r="A796" s="74" t="s">
        <v>1568</v>
      </c>
      <c r="B796" s="74" t="s">
        <v>2393</v>
      </c>
      <c r="C796" s="74" t="s">
        <v>119</v>
      </c>
      <c r="D796" s="74" t="s">
        <v>1748</v>
      </c>
      <c r="E796" s="74" t="s">
        <v>2030</v>
      </c>
      <c r="F796" s="74" t="s">
        <v>2030</v>
      </c>
      <c r="G796" s="74" t="s">
        <v>1571</v>
      </c>
      <c r="H796" s="74">
        <v>340</v>
      </c>
      <c r="I796" s="74">
        <v>0</v>
      </c>
    </row>
    <row r="797" spans="1:9">
      <c r="A797" s="74" t="s">
        <v>1568</v>
      </c>
      <c r="B797" s="74" t="s">
        <v>2394</v>
      </c>
      <c r="C797" s="74" t="s">
        <v>117</v>
      </c>
      <c r="D797" s="74" t="s">
        <v>1736</v>
      </c>
      <c r="E797" s="74" t="s">
        <v>2164</v>
      </c>
      <c r="F797" s="74" t="s">
        <v>2164</v>
      </c>
      <c r="G797" s="74" t="s">
        <v>1571</v>
      </c>
      <c r="H797" s="74">
        <v>29</v>
      </c>
      <c r="I797" s="74">
        <v>0</v>
      </c>
    </row>
    <row r="798" spans="1:9">
      <c r="A798" s="74" t="s">
        <v>1568</v>
      </c>
      <c r="B798" s="74" t="s">
        <v>2395</v>
      </c>
      <c r="C798" s="74" t="s">
        <v>114</v>
      </c>
      <c r="D798" s="74" t="s">
        <v>1977</v>
      </c>
      <c r="E798" s="74" t="s">
        <v>2008</v>
      </c>
      <c r="F798" s="74" t="s">
        <v>2008</v>
      </c>
      <c r="G798" s="74" t="s">
        <v>1575</v>
      </c>
      <c r="H798" s="74">
        <v>302</v>
      </c>
      <c r="I798" s="74">
        <v>4</v>
      </c>
    </row>
    <row r="799" spans="1:9">
      <c r="A799" s="74" t="s">
        <v>1568</v>
      </c>
      <c r="B799" s="74" t="s">
        <v>2396</v>
      </c>
      <c r="C799" s="74" t="s">
        <v>119</v>
      </c>
      <c r="D799" s="74" t="s">
        <v>1748</v>
      </c>
      <c r="E799" s="74" t="s">
        <v>2051</v>
      </c>
      <c r="F799" s="74" t="s">
        <v>2051</v>
      </c>
      <c r="G799" s="74" t="s">
        <v>1571</v>
      </c>
      <c r="H799" s="74">
        <v>50</v>
      </c>
      <c r="I799" s="74">
        <v>0</v>
      </c>
    </row>
    <row r="800" spans="1:9">
      <c r="A800" s="74" t="s">
        <v>1568</v>
      </c>
      <c r="B800" s="74" t="s">
        <v>1616</v>
      </c>
      <c r="C800" s="74" t="s">
        <v>113</v>
      </c>
      <c r="D800" s="74" t="s">
        <v>1590</v>
      </c>
      <c r="E800" s="74" t="s">
        <v>1608</v>
      </c>
      <c r="F800" s="74" t="s">
        <v>1608</v>
      </c>
      <c r="G800" s="74" t="s">
        <v>1573</v>
      </c>
      <c r="H800" s="74">
        <v>280</v>
      </c>
      <c r="I800" s="74">
        <v>0</v>
      </c>
    </row>
    <row r="801" spans="1:9">
      <c r="A801" s="74" t="s">
        <v>1568</v>
      </c>
      <c r="B801" s="74" t="s">
        <v>2397</v>
      </c>
      <c r="C801" s="74" t="s">
        <v>105</v>
      </c>
      <c r="D801" s="74" t="s">
        <v>1848</v>
      </c>
      <c r="E801" s="74" t="s">
        <v>2088</v>
      </c>
      <c r="F801" s="74" t="s">
        <v>2088</v>
      </c>
      <c r="G801" s="74" t="s">
        <v>1571</v>
      </c>
      <c r="H801" s="74">
        <v>25</v>
      </c>
      <c r="I801" s="74">
        <v>0</v>
      </c>
    </row>
    <row r="802" spans="1:9">
      <c r="A802" s="74" t="s">
        <v>1568</v>
      </c>
      <c r="B802" s="74" t="s">
        <v>2398</v>
      </c>
      <c r="C802" s="74" t="s">
        <v>116</v>
      </c>
      <c r="D802" s="74" t="s">
        <v>1717</v>
      </c>
      <c r="E802" s="74" t="s">
        <v>2054</v>
      </c>
      <c r="F802" s="74" t="s">
        <v>2054</v>
      </c>
      <c r="G802" s="74" t="s">
        <v>1583</v>
      </c>
      <c r="H802" s="74">
        <v>859</v>
      </c>
      <c r="I802" s="74">
        <v>16</v>
      </c>
    </row>
    <row r="803" spans="1:9">
      <c r="A803" s="74" t="s">
        <v>1568</v>
      </c>
      <c r="B803" s="74" t="s">
        <v>2399</v>
      </c>
      <c r="C803" s="74" t="s">
        <v>116</v>
      </c>
      <c r="D803" s="74" t="s">
        <v>1717</v>
      </c>
      <c r="E803" s="74" t="s">
        <v>2107</v>
      </c>
      <c r="F803" s="74" t="s">
        <v>2107</v>
      </c>
      <c r="G803" s="74" t="s">
        <v>1571</v>
      </c>
      <c r="H803" s="74">
        <v>50</v>
      </c>
      <c r="I803" s="74">
        <v>0</v>
      </c>
    </row>
    <row r="804" spans="1:9">
      <c r="A804" s="74" t="s">
        <v>1568</v>
      </c>
      <c r="B804" s="74" t="s">
        <v>2400</v>
      </c>
      <c r="C804" s="74" t="s">
        <v>107</v>
      </c>
      <c r="D804" s="74" t="s">
        <v>1948</v>
      </c>
      <c r="E804" s="74" t="s">
        <v>2037</v>
      </c>
      <c r="F804" s="74" t="s">
        <v>2037</v>
      </c>
      <c r="G804" s="74" t="s">
        <v>1571</v>
      </c>
      <c r="H804" s="74">
        <v>42</v>
      </c>
      <c r="I804" s="74">
        <v>0</v>
      </c>
    </row>
    <row r="805" spans="1:9">
      <c r="A805" s="74" t="s">
        <v>1568</v>
      </c>
      <c r="B805" s="74" t="s">
        <v>2401</v>
      </c>
      <c r="C805" s="74" t="s">
        <v>115</v>
      </c>
      <c r="D805" s="74" t="s">
        <v>1875</v>
      </c>
      <c r="E805" s="74" t="s">
        <v>2059</v>
      </c>
      <c r="F805" s="74" t="s">
        <v>2059</v>
      </c>
      <c r="G805" s="74" t="s">
        <v>1571</v>
      </c>
      <c r="H805" s="74">
        <v>153</v>
      </c>
      <c r="I805" s="74">
        <v>0</v>
      </c>
    </row>
    <row r="806" spans="1:9">
      <c r="A806" s="74" t="s">
        <v>1568</v>
      </c>
      <c r="B806" s="74" t="s">
        <v>2402</v>
      </c>
      <c r="C806" s="74" t="s">
        <v>111</v>
      </c>
      <c r="D806" s="74" t="s">
        <v>1517</v>
      </c>
      <c r="E806" s="74" t="s">
        <v>2014</v>
      </c>
      <c r="F806" s="74" t="s">
        <v>2014</v>
      </c>
      <c r="G806" s="74" t="s">
        <v>1583</v>
      </c>
      <c r="H806" s="74">
        <v>846</v>
      </c>
      <c r="I806" s="74">
        <v>10</v>
      </c>
    </row>
    <row r="807" spans="1:9">
      <c r="A807" s="74" t="s">
        <v>1568</v>
      </c>
      <c r="B807" s="74" t="s">
        <v>2403</v>
      </c>
      <c r="C807" s="74" t="s">
        <v>107</v>
      </c>
      <c r="D807" s="74" t="s">
        <v>1948</v>
      </c>
      <c r="E807" s="74" t="s">
        <v>2188</v>
      </c>
      <c r="F807" s="74" t="s">
        <v>2188</v>
      </c>
      <c r="G807" s="74" t="s">
        <v>1571</v>
      </c>
      <c r="H807" s="74">
        <v>55</v>
      </c>
      <c r="I807" s="74">
        <v>0</v>
      </c>
    </row>
    <row r="808" spans="1:9">
      <c r="A808" s="74" t="s">
        <v>1568</v>
      </c>
      <c r="B808" s="74" t="s">
        <v>2404</v>
      </c>
      <c r="C808" s="74" t="s">
        <v>114</v>
      </c>
      <c r="D808" s="74" t="s">
        <v>1977</v>
      </c>
      <c r="E808" s="74" t="s">
        <v>2069</v>
      </c>
      <c r="F808" s="74" t="s">
        <v>2069</v>
      </c>
      <c r="G808" s="74" t="s">
        <v>1571</v>
      </c>
      <c r="H808" s="74">
        <v>133</v>
      </c>
      <c r="I808" s="74">
        <v>0</v>
      </c>
    </row>
    <row r="809" spans="1:9">
      <c r="A809" s="74" t="s">
        <v>1568</v>
      </c>
      <c r="B809" s="74" t="s">
        <v>2405</v>
      </c>
      <c r="C809" s="74" t="s">
        <v>111</v>
      </c>
      <c r="D809" s="74" t="s">
        <v>1517</v>
      </c>
      <c r="E809" s="74" t="s">
        <v>2018</v>
      </c>
      <c r="F809" s="74" t="s">
        <v>2018</v>
      </c>
      <c r="G809" s="74" t="s">
        <v>1575</v>
      </c>
      <c r="H809" s="74">
        <v>322</v>
      </c>
      <c r="I809" s="74">
        <v>0</v>
      </c>
    </row>
    <row r="810" spans="1:9">
      <c r="A810" s="74" t="s">
        <v>1568</v>
      </c>
      <c r="B810" s="74" t="s">
        <v>2406</v>
      </c>
      <c r="C810" s="74" t="s">
        <v>114</v>
      </c>
      <c r="D810" s="74" t="s">
        <v>1977</v>
      </c>
      <c r="E810" s="74" t="s">
        <v>2008</v>
      </c>
      <c r="F810" s="74" t="s">
        <v>2008</v>
      </c>
      <c r="G810" s="74" t="s">
        <v>1571</v>
      </c>
      <c r="H810" s="74">
        <v>52</v>
      </c>
      <c r="I810" s="74">
        <v>0</v>
      </c>
    </row>
    <row r="811" spans="1:9">
      <c r="A811" s="74" t="s">
        <v>1568</v>
      </c>
      <c r="B811" s="74" t="s">
        <v>2407</v>
      </c>
      <c r="C811" s="74" t="s">
        <v>105</v>
      </c>
      <c r="D811" s="74" t="s">
        <v>1848</v>
      </c>
      <c r="E811" s="74" t="s">
        <v>2048</v>
      </c>
      <c r="F811" s="74" t="s">
        <v>2048</v>
      </c>
      <c r="G811" s="74" t="s">
        <v>1571</v>
      </c>
      <c r="H811" s="74">
        <v>163</v>
      </c>
      <c r="I811" s="74">
        <v>0</v>
      </c>
    </row>
    <row r="812" spans="1:9">
      <c r="A812" s="74" t="s">
        <v>1568</v>
      </c>
      <c r="B812" s="74" t="s">
        <v>2408</v>
      </c>
      <c r="C812" s="74" t="s">
        <v>119</v>
      </c>
      <c r="D812" s="74" t="s">
        <v>1748</v>
      </c>
      <c r="E812" s="74" t="s">
        <v>2030</v>
      </c>
      <c r="F812" s="74" t="s">
        <v>2030</v>
      </c>
      <c r="G812" s="74" t="s">
        <v>1612</v>
      </c>
      <c r="H812" s="74">
        <v>260</v>
      </c>
      <c r="I812" s="74">
        <v>0</v>
      </c>
    </row>
    <row r="813" spans="1:9">
      <c r="A813" s="74" t="s">
        <v>1568</v>
      </c>
      <c r="B813" s="74" t="s">
        <v>2409</v>
      </c>
      <c r="C813" s="74" t="s">
        <v>105</v>
      </c>
      <c r="D813" s="74" t="s">
        <v>1848</v>
      </c>
      <c r="E813" s="74" t="s">
        <v>2028</v>
      </c>
      <c r="F813" s="74" t="s">
        <v>2028</v>
      </c>
      <c r="G813" s="74" t="s">
        <v>1571</v>
      </c>
      <c r="H813" s="74">
        <v>20</v>
      </c>
      <c r="I813" s="74">
        <v>0</v>
      </c>
    </row>
    <row r="814" spans="1:9">
      <c r="A814" s="74" t="s">
        <v>1568</v>
      </c>
      <c r="B814" s="74" t="s">
        <v>2410</v>
      </c>
      <c r="C814" s="74" t="s">
        <v>117</v>
      </c>
      <c r="D814" s="74" t="s">
        <v>1736</v>
      </c>
      <c r="E814" s="74" t="s">
        <v>2092</v>
      </c>
      <c r="F814" s="74" t="s">
        <v>2092</v>
      </c>
      <c r="G814" s="74" t="s">
        <v>1573</v>
      </c>
      <c r="H814" s="74">
        <v>135</v>
      </c>
      <c r="I814" s="74">
        <v>0</v>
      </c>
    </row>
  </sheetData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CV235"/>
  <sheetViews>
    <sheetView workbookViewId="0">
      <selection activeCell="G25" sqref="G25"/>
    </sheetView>
  </sheetViews>
  <sheetFormatPr baseColWidth="10" defaultColWidth="8.6640625" defaultRowHeight="11"/>
  <cols>
    <col min="1" max="1" width="28.83203125" style="82" bestFit="1" customWidth="1"/>
    <col min="2" max="2" width="5.1640625" style="82" bestFit="1" customWidth="1"/>
    <col min="3" max="3" width="11" style="82" bestFit="1" customWidth="1"/>
    <col min="4" max="4" width="9.5" style="82" bestFit="1" customWidth="1"/>
    <col min="5" max="5" width="14.6640625" style="82" bestFit="1" customWidth="1"/>
    <col min="6" max="6" width="5.6640625" style="82" bestFit="1" customWidth="1"/>
    <col min="7" max="7" width="7.33203125" style="82" bestFit="1" customWidth="1"/>
    <col min="8" max="8" width="9.1640625" style="82" bestFit="1" customWidth="1"/>
    <col min="9" max="9" width="10.83203125" style="82" bestFit="1" customWidth="1"/>
    <col min="10" max="10" width="8.1640625" style="82" bestFit="1" customWidth="1"/>
    <col min="11" max="11" width="9" style="82" bestFit="1" customWidth="1"/>
    <col min="12" max="12" width="8.6640625" style="82" bestFit="1" customWidth="1"/>
    <col min="13" max="14" width="10" style="82" bestFit="1" customWidth="1"/>
    <col min="15" max="15" width="8" style="82" bestFit="1" customWidth="1"/>
    <col min="16" max="16" width="6.1640625" style="82" bestFit="1" customWidth="1"/>
    <col min="17" max="17" width="9.6640625" style="82" bestFit="1" customWidth="1"/>
    <col min="18" max="18" width="7.83203125" style="82" bestFit="1" customWidth="1"/>
    <col min="19" max="19" width="8.5" style="82" bestFit="1" customWidth="1"/>
    <col min="20" max="20" width="7.6640625" style="82" bestFit="1" customWidth="1"/>
    <col min="21" max="21" width="6.33203125" style="82" bestFit="1" customWidth="1"/>
    <col min="22" max="22" width="9.83203125" style="82" bestFit="1" customWidth="1"/>
    <col min="23" max="23" width="7.1640625" style="82" bestFit="1" customWidth="1"/>
    <col min="24" max="25" width="9.6640625" style="82" bestFit="1" customWidth="1"/>
    <col min="26" max="26" width="7" style="82" bestFit="1" customWidth="1"/>
    <col min="27" max="27" width="7.6640625" style="82" bestFit="1" customWidth="1"/>
    <col min="28" max="28" width="9.83203125" style="82" bestFit="1" customWidth="1"/>
    <col min="29" max="29" width="7.5" style="82" bestFit="1" customWidth="1"/>
    <col min="30" max="30" width="9" style="82" bestFit="1" customWidth="1"/>
    <col min="31" max="31" width="6.6640625" style="82" bestFit="1" customWidth="1"/>
    <col min="32" max="32" width="6.1640625" style="82" bestFit="1" customWidth="1"/>
    <col min="33" max="33" width="6.5" style="82" bestFit="1" customWidth="1"/>
    <col min="34" max="34" width="6.83203125" style="82" bestFit="1" customWidth="1"/>
    <col min="35" max="35" width="5.5" style="82" bestFit="1" customWidth="1"/>
    <col min="36" max="36" width="8" style="82" bestFit="1" customWidth="1"/>
    <col min="37" max="37" width="7.5" style="82" bestFit="1" customWidth="1"/>
    <col min="38" max="38" width="8" style="82" bestFit="1" customWidth="1"/>
    <col min="39" max="39" width="7.5" style="82" bestFit="1" customWidth="1"/>
    <col min="40" max="40" width="8" style="82" bestFit="1" customWidth="1"/>
    <col min="41" max="41" width="7.5" style="82" bestFit="1" customWidth="1"/>
    <col min="42" max="42" width="8" style="82" bestFit="1" customWidth="1"/>
    <col min="43" max="43" width="7.5" style="82" bestFit="1" customWidth="1"/>
    <col min="44" max="44" width="8" style="82" bestFit="1" customWidth="1"/>
    <col min="45" max="45" width="7.5" style="82" bestFit="1" customWidth="1"/>
    <col min="46" max="46" width="8" style="82" bestFit="1" customWidth="1"/>
    <col min="47" max="47" width="7.5" style="82" bestFit="1" customWidth="1"/>
    <col min="48" max="48" width="8" style="82" bestFit="1" customWidth="1"/>
    <col min="49" max="49" width="7.5" style="82" bestFit="1" customWidth="1"/>
    <col min="50" max="50" width="8" style="82" bestFit="1" customWidth="1"/>
    <col min="51" max="51" width="7.5" style="82" bestFit="1" customWidth="1"/>
    <col min="52" max="52" width="8" style="82" bestFit="1" customWidth="1"/>
    <col min="53" max="53" width="7.5" style="82" bestFit="1" customWidth="1"/>
    <col min="54" max="54" width="8" style="82" bestFit="1" customWidth="1"/>
    <col min="55" max="55" width="7.5" style="82" bestFit="1" customWidth="1"/>
    <col min="56" max="56" width="8" style="82" bestFit="1" customWidth="1"/>
    <col min="57" max="57" width="7.5" style="82" bestFit="1" customWidth="1"/>
    <col min="58" max="58" width="8" style="82" bestFit="1" customWidth="1"/>
    <col min="59" max="59" width="7.5" style="82" bestFit="1" customWidth="1"/>
    <col min="60" max="60" width="8" style="82" bestFit="1" customWidth="1"/>
    <col min="61" max="61" width="7.5" style="82" bestFit="1" customWidth="1"/>
    <col min="62" max="62" width="8" style="82" bestFit="1" customWidth="1"/>
    <col min="63" max="63" width="7.5" style="82" bestFit="1" customWidth="1"/>
    <col min="64" max="64" width="8" style="82" bestFit="1" customWidth="1"/>
    <col min="65" max="65" width="7.5" style="82" bestFit="1" customWidth="1"/>
    <col min="66" max="66" width="8" style="82" bestFit="1" customWidth="1"/>
    <col min="67" max="67" width="7.5" style="82" bestFit="1" customWidth="1"/>
    <col min="68" max="68" width="8" style="82" bestFit="1" customWidth="1"/>
    <col min="69" max="69" width="7.5" style="82" bestFit="1" customWidth="1"/>
    <col min="70" max="70" width="8" style="82" bestFit="1" customWidth="1"/>
    <col min="71" max="71" width="7.5" style="82" bestFit="1" customWidth="1"/>
    <col min="72" max="72" width="9.5" style="82" bestFit="1" customWidth="1"/>
    <col min="73" max="73" width="8" style="82" bestFit="1" customWidth="1"/>
    <col min="74" max="74" width="7.83203125" style="82" bestFit="1" customWidth="1"/>
    <col min="75" max="75" width="8.33203125" style="82" bestFit="1" customWidth="1"/>
    <col min="76" max="84" width="7.83203125" style="82" bestFit="1" customWidth="1"/>
    <col min="85" max="86" width="8.6640625" style="82" bestFit="1" customWidth="1"/>
    <col min="87" max="87" width="9.33203125" style="82" bestFit="1" customWidth="1"/>
    <col min="88" max="88" width="9.83203125" style="82" bestFit="1" customWidth="1"/>
    <col min="89" max="89" width="12.5" style="82" bestFit="1" customWidth="1"/>
    <col min="90" max="90" width="6.83203125" style="93" bestFit="1" customWidth="1"/>
    <col min="91" max="97" width="7.33203125" style="82" bestFit="1" customWidth="1"/>
    <col min="98" max="98" width="6.1640625" style="82" bestFit="1" customWidth="1"/>
    <col min="99" max="99" width="5.5" style="82" bestFit="1" customWidth="1"/>
    <col min="100" max="100" width="10.83203125" style="82" bestFit="1" customWidth="1"/>
    <col min="101" max="106" width="8.6640625" style="82" customWidth="1"/>
    <col min="107" max="16384" width="8.6640625" style="82"/>
  </cols>
  <sheetData>
    <row r="1" spans="1:100">
      <c r="A1" s="9" t="s">
        <v>120</v>
      </c>
      <c r="B1" s="32" t="s">
        <v>121</v>
      </c>
      <c r="C1" s="32" t="s">
        <v>122</v>
      </c>
      <c r="D1" s="32" t="s">
        <v>123</v>
      </c>
      <c r="E1" s="32" t="s">
        <v>124</v>
      </c>
      <c r="F1" s="32" t="s">
        <v>125</v>
      </c>
      <c r="G1" s="32" t="s">
        <v>126</v>
      </c>
      <c r="H1" s="32" t="s">
        <v>127</v>
      </c>
      <c r="I1" s="32" t="s">
        <v>128</v>
      </c>
      <c r="J1" s="32" t="s">
        <v>129</v>
      </c>
      <c r="K1" s="32" t="s">
        <v>130</v>
      </c>
      <c r="L1" s="32" t="s">
        <v>131</v>
      </c>
      <c r="M1" s="32" t="s">
        <v>132</v>
      </c>
      <c r="N1" s="32" t="s">
        <v>133</v>
      </c>
      <c r="O1" s="32" t="s">
        <v>134</v>
      </c>
      <c r="P1" s="32" t="s">
        <v>135</v>
      </c>
      <c r="Q1" s="32" t="s">
        <v>136</v>
      </c>
      <c r="R1" s="32" t="s">
        <v>137</v>
      </c>
      <c r="S1" s="32" t="s">
        <v>138</v>
      </c>
      <c r="T1" s="32" t="s">
        <v>139</v>
      </c>
      <c r="U1" s="32" t="s">
        <v>140</v>
      </c>
      <c r="V1" s="32" t="s">
        <v>141</v>
      </c>
      <c r="W1" s="32" t="s">
        <v>142</v>
      </c>
      <c r="X1" s="32" t="s">
        <v>143</v>
      </c>
      <c r="Y1" s="32" t="s">
        <v>144</v>
      </c>
      <c r="Z1" s="32" t="s">
        <v>145</v>
      </c>
      <c r="AA1" s="32" t="s">
        <v>146</v>
      </c>
      <c r="AB1" s="32" t="s">
        <v>147</v>
      </c>
      <c r="AC1" s="32" t="s">
        <v>148</v>
      </c>
      <c r="AD1" s="32" t="s">
        <v>149</v>
      </c>
      <c r="AE1" s="32" t="s">
        <v>150</v>
      </c>
      <c r="AF1" s="32" t="s">
        <v>151</v>
      </c>
      <c r="AG1" s="32" t="s">
        <v>152</v>
      </c>
      <c r="AH1" s="32" t="s">
        <v>153</v>
      </c>
      <c r="AI1" s="32" t="s">
        <v>154</v>
      </c>
      <c r="AJ1" s="32" t="s">
        <v>155</v>
      </c>
      <c r="AK1" s="32" t="s">
        <v>156</v>
      </c>
      <c r="AL1" s="32" t="s">
        <v>157</v>
      </c>
      <c r="AM1" s="32" t="s">
        <v>158</v>
      </c>
      <c r="AN1" s="32" t="s">
        <v>159</v>
      </c>
      <c r="AO1" s="32" t="s">
        <v>160</v>
      </c>
      <c r="AP1" s="32" t="s">
        <v>161</v>
      </c>
      <c r="AQ1" s="32" t="s">
        <v>162</v>
      </c>
      <c r="AR1" s="32" t="s">
        <v>163</v>
      </c>
      <c r="AS1" s="32" t="s">
        <v>164</v>
      </c>
      <c r="AT1" s="32" t="s">
        <v>165</v>
      </c>
      <c r="AU1" s="32" t="s">
        <v>164</v>
      </c>
      <c r="AV1" s="32" t="s">
        <v>166</v>
      </c>
      <c r="AW1" s="32" t="s">
        <v>167</v>
      </c>
      <c r="AX1" s="32" t="s">
        <v>168</v>
      </c>
      <c r="AY1" s="32" t="s">
        <v>169</v>
      </c>
      <c r="AZ1" s="32" t="s">
        <v>170</v>
      </c>
      <c r="BA1" s="32" t="s">
        <v>171</v>
      </c>
      <c r="BB1" s="32" t="s">
        <v>172</v>
      </c>
      <c r="BC1" s="32" t="s">
        <v>173</v>
      </c>
      <c r="BD1" s="32" t="s">
        <v>174</v>
      </c>
      <c r="BE1" s="32" t="s">
        <v>175</v>
      </c>
      <c r="BF1" s="32" t="s">
        <v>176</v>
      </c>
      <c r="BG1" s="32" t="s">
        <v>177</v>
      </c>
      <c r="BH1" s="32" t="s">
        <v>178</v>
      </c>
      <c r="BI1" s="32" t="s">
        <v>179</v>
      </c>
      <c r="BJ1" s="32" t="s">
        <v>180</v>
      </c>
      <c r="BK1" s="32" t="s">
        <v>181</v>
      </c>
      <c r="BL1" s="32" t="s">
        <v>182</v>
      </c>
      <c r="BM1" s="32" t="s">
        <v>179</v>
      </c>
      <c r="BN1" s="32" t="s">
        <v>183</v>
      </c>
      <c r="BO1" s="32" t="s">
        <v>184</v>
      </c>
      <c r="BP1" s="32" t="s">
        <v>185</v>
      </c>
      <c r="BQ1" s="32" t="s">
        <v>186</v>
      </c>
      <c r="BR1" s="32" t="s">
        <v>187</v>
      </c>
      <c r="BS1" s="32" t="s">
        <v>188</v>
      </c>
      <c r="BT1" s="32" t="s">
        <v>189</v>
      </c>
      <c r="BU1" s="32" t="s">
        <v>134</v>
      </c>
      <c r="BV1" s="32" t="s">
        <v>190</v>
      </c>
      <c r="BW1" s="32" t="s">
        <v>191</v>
      </c>
      <c r="BX1" s="32" t="s">
        <v>192</v>
      </c>
      <c r="BY1" s="32" t="s">
        <v>193</v>
      </c>
      <c r="BZ1" s="32" t="s">
        <v>194</v>
      </c>
      <c r="CA1" s="32" t="s">
        <v>195</v>
      </c>
      <c r="CB1" s="32" t="s">
        <v>196</v>
      </c>
      <c r="CC1" s="32" t="s">
        <v>197</v>
      </c>
      <c r="CD1" s="32" t="s">
        <v>198</v>
      </c>
      <c r="CE1" s="32" t="s">
        <v>199</v>
      </c>
      <c r="CF1" s="32" t="s">
        <v>200</v>
      </c>
      <c r="CG1" s="32" t="s">
        <v>201</v>
      </c>
      <c r="CH1" s="32" t="s">
        <v>202</v>
      </c>
      <c r="CI1" s="32" t="s">
        <v>203</v>
      </c>
      <c r="CJ1" s="32" t="s">
        <v>204</v>
      </c>
      <c r="CK1" s="33" t="s">
        <v>205</v>
      </c>
      <c r="CL1" s="94" t="s">
        <v>90</v>
      </c>
      <c r="CM1" s="34" t="s">
        <v>91</v>
      </c>
      <c r="CN1" s="34" t="s">
        <v>92</v>
      </c>
      <c r="CO1" s="34" t="s">
        <v>93</v>
      </c>
      <c r="CP1" s="34" t="s">
        <v>94</v>
      </c>
      <c r="CQ1" s="34" t="s">
        <v>95</v>
      </c>
      <c r="CR1" s="34" t="s">
        <v>96</v>
      </c>
      <c r="CS1" s="34" t="s">
        <v>97</v>
      </c>
      <c r="CT1" s="34" t="s">
        <v>98</v>
      </c>
      <c r="CU1" s="34" t="s">
        <v>206</v>
      </c>
      <c r="CV1" s="34" t="s">
        <v>207</v>
      </c>
    </row>
    <row r="2" spans="1:100">
      <c r="A2" s="82" t="str">
        <f ca="1">IF(ISERROR(OFFSET(Map!$E$2,MATCH(D2,Map!$B$3:$B$239,0),0)),OFFSET(Map!$E$2,MATCH(D2,Map!$C$3:$C$239,0),0),OFFSET(Map!$E$2,MATCH(D2,Map!$B$3:$B$239,0),0))</f>
        <v>City of Cape Town Metropolitan Municipality</v>
      </c>
      <c r="B2" s="82">
        <v>1</v>
      </c>
      <c r="C2" s="82" t="s">
        <v>62</v>
      </c>
      <c r="D2" s="82" t="s">
        <v>208</v>
      </c>
      <c r="E2" s="82" t="s">
        <v>118</v>
      </c>
      <c r="F2" s="82">
        <v>3740026</v>
      </c>
      <c r="G2" s="82">
        <v>24.8</v>
      </c>
      <c r="H2" s="82">
        <v>69.599999999999994</v>
      </c>
      <c r="I2" s="82">
        <f t="shared" ref="I2:I65" si="0">ROUND(F2*H2/100,0)</f>
        <v>2603058</v>
      </c>
      <c r="J2" s="82">
        <v>5.5</v>
      </c>
      <c r="K2" s="82">
        <v>43.6</v>
      </c>
      <c r="L2" s="82">
        <v>95.9</v>
      </c>
      <c r="M2" s="82">
        <v>2.57</v>
      </c>
      <c r="N2" s="82">
        <v>1530</v>
      </c>
      <c r="O2" s="82">
        <v>23.9</v>
      </c>
      <c r="P2" s="82">
        <f t="shared" ref="P2:P65" si="1">ROUND(F2*(H2/100)*(100-O2)/100,0)</f>
        <v>1980927</v>
      </c>
      <c r="Q2" s="82">
        <v>31.9</v>
      </c>
      <c r="R2" s="82">
        <v>1.8</v>
      </c>
      <c r="S2" s="82">
        <v>16.600000000000001</v>
      </c>
      <c r="T2" s="82">
        <v>29.8</v>
      </c>
      <c r="U2" s="82">
        <v>1068573</v>
      </c>
      <c r="V2" s="82">
        <v>34383</v>
      </c>
      <c r="W2" s="82">
        <v>3.3</v>
      </c>
      <c r="X2" s="82">
        <v>38.200000000000003</v>
      </c>
      <c r="Y2" s="82">
        <v>78.400000000000006</v>
      </c>
      <c r="Z2" s="82">
        <v>54.2</v>
      </c>
      <c r="AA2" s="82">
        <v>88.2</v>
      </c>
      <c r="AB2" s="82">
        <v>94.3</v>
      </c>
      <c r="AC2" s="82">
        <v>75</v>
      </c>
      <c r="AD2" s="82">
        <v>94</v>
      </c>
      <c r="AE2" s="82">
        <v>38.6</v>
      </c>
      <c r="AF2" s="82">
        <v>42.4</v>
      </c>
      <c r="AG2" s="82">
        <v>1.4</v>
      </c>
      <c r="AH2" s="82">
        <v>15.7</v>
      </c>
      <c r="AI2" s="82">
        <v>1.9</v>
      </c>
      <c r="AJ2" s="82">
        <v>5.0999999999999996</v>
      </c>
      <c r="AK2" s="82">
        <v>4.8</v>
      </c>
      <c r="AL2" s="82">
        <v>3.9</v>
      </c>
      <c r="AM2" s="82">
        <v>3.8</v>
      </c>
      <c r="AN2" s="82">
        <v>3.6</v>
      </c>
      <c r="AO2" s="82">
        <v>3.5</v>
      </c>
      <c r="AP2" s="82">
        <v>3.9</v>
      </c>
      <c r="AQ2" s="82">
        <v>4.0999999999999996</v>
      </c>
      <c r="AR2" s="82">
        <v>5.0999999999999996</v>
      </c>
      <c r="AS2" s="82">
        <v>5.2</v>
      </c>
      <c r="AT2" s="82">
        <v>5.4</v>
      </c>
      <c r="AU2" s="82">
        <v>5.3</v>
      </c>
      <c r="AV2" s="82">
        <v>4.5</v>
      </c>
      <c r="AW2" s="82">
        <v>4.3</v>
      </c>
      <c r="AX2" s="82">
        <v>3.9</v>
      </c>
      <c r="AY2" s="82">
        <v>3.8</v>
      </c>
      <c r="AZ2" s="82">
        <v>3.2</v>
      </c>
      <c r="BA2" s="82">
        <v>3.4</v>
      </c>
      <c r="BB2" s="82">
        <v>2.7</v>
      </c>
      <c r="BC2" s="82">
        <v>2.7</v>
      </c>
      <c r="BD2" s="82">
        <v>2.2999999999999998</v>
      </c>
      <c r="BE2" s="82">
        <v>2.6</v>
      </c>
      <c r="BF2" s="82">
        <v>1.7</v>
      </c>
      <c r="BG2" s="82">
        <v>2.1</v>
      </c>
      <c r="BH2" s="82">
        <v>1.3</v>
      </c>
      <c r="BI2" s="82">
        <v>1.6</v>
      </c>
      <c r="BJ2" s="82">
        <v>0.9</v>
      </c>
      <c r="BK2" s="82">
        <v>1.1000000000000001</v>
      </c>
      <c r="BL2" s="82">
        <v>0.6</v>
      </c>
      <c r="BM2" s="82">
        <v>0.9</v>
      </c>
      <c r="BN2" s="82">
        <v>0.4</v>
      </c>
      <c r="BO2" s="82">
        <v>0.6</v>
      </c>
      <c r="BP2" s="82">
        <v>0.2</v>
      </c>
      <c r="BQ2" s="82">
        <v>0.4</v>
      </c>
      <c r="BR2" s="82">
        <v>0.1</v>
      </c>
      <c r="BS2" s="82">
        <v>0.3</v>
      </c>
      <c r="BT2" s="82">
        <v>1294239</v>
      </c>
      <c r="BU2" s="82">
        <v>405989</v>
      </c>
      <c r="BV2" s="82">
        <v>81433</v>
      </c>
      <c r="BW2" s="82">
        <v>822549</v>
      </c>
      <c r="BX2" s="82">
        <v>13.7</v>
      </c>
      <c r="BY2" s="82">
        <v>2.7</v>
      </c>
      <c r="BZ2" s="82">
        <v>4</v>
      </c>
      <c r="CA2" s="82">
        <v>10.6</v>
      </c>
      <c r="CB2" s="82">
        <v>16</v>
      </c>
      <c r="CC2" s="82">
        <v>14.5</v>
      </c>
      <c r="CD2" s="82">
        <v>13</v>
      </c>
      <c r="CE2" s="82">
        <v>11.9</v>
      </c>
      <c r="CF2" s="82">
        <v>8.6999999999999993</v>
      </c>
      <c r="CG2" s="82">
        <v>3.6</v>
      </c>
      <c r="CH2" s="82">
        <v>0.9</v>
      </c>
      <c r="CI2" s="82">
        <v>0.5</v>
      </c>
      <c r="CJ2" s="82">
        <f t="shared" ref="CJ2:CJ65" si="2">SUM(BT2:BW2)</f>
        <v>2604210</v>
      </c>
      <c r="CK2" s="95">
        <f t="shared" ref="CK2:CK65" si="3">F2*(1+M2/100)^9</f>
        <v>4699566.7342045465</v>
      </c>
      <c r="CL2" s="95">
        <f ca="1">$CK2*SUM(OFFSET($AJ2,0,(COUNTA($CL$1:CL$1)-1)*4,1,4))/100</f>
        <v>827123.74522000016</v>
      </c>
      <c r="CM2" s="95">
        <f ca="1">$CK2*SUM(OFFSET($AJ2,0,(COUNTA($CL$1:CM$1)-1)*4,1,4))/100</f>
        <v>709634.57686488656</v>
      </c>
      <c r="CN2" s="95">
        <f ca="1">$CK2*SUM(OFFSET($AJ2,0,(COUNTA($CL$1:CN$1)-1)*4,1,4))/100</f>
        <v>986909.01418295468</v>
      </c>
      <c r="CO2" s="95">
        <f ca="1">$CK2*SUM(OFFSET($AJ2,0,(COUNTA($CL$1:CO$1)-1)*4,1,4))/100</f>
        <v>775428.51114375028</v>
      </c>
      <c r="CP2" s="95">
        <f ca="1">$CK2*SUM(OFFSET($AJ2,0,(COUNTA($CL$1:CP$1)-1)*4,1,4))/100</f>
        <v>563948.00810454565</v>
      </c>
      <c r="CQ2" s="95">
        <f ca="1">$CK2*SUM(OFFSET($AJ2,0,(COUNTA($CL$1:CQ$1)-1)*4,1,4))/100</f>
        <v>408862.30587579566</v>
      </c>
      <c r="CR2" s="95">
        <f ca="1">$CK2*SUM(OFFSET($AJ2,0,(COUNTA($CL$1:CR$1)-1)*4,1,4))/100</f>
        <v>230278.7699760228</v>
      </c>
      <c r="CS2" s="95">
        <f ca="1">$CK2*SUM(OFFSET($AJ2,0,(COUNTA($CL$1:CS$1)-1)*4,1,4))/100</f>
        <v>117489.16835511365</v>
      </c>
      <c r="CT2" s="95">
        <f ca="1">$CK2*SUM(OFFSET($AJ2,0,(COUNTA($CL$1:CT$1)-1)*4,1,4))/100</f>
        <v>46995.667342045468</v>
      </c>
      <c r="CU2" s="96">
        <f t="shared" ref="CU2:CU65" si="4">IF(N2 = 0,0,F2/N2)</f>
        <v>2444.4614379084969</v>
      </c>
      <c r="CV2" s="96">
        <f t="shared" ref="CV2:CV65" si="5">IF(CU2=0,0,CK2/CU2)</f>
        <v>1922.5366624009982</v>
      </c>
    </row>
    <row r="3" spans="1:100">
      <c r="A3" s="82" t="str">
        <f ca="1">IF(ISERROR(OFFSET(Map!$E$2,MATCH(D3,Map!$B$3:$B$239,0),0)),OFFSET(Map!$E$2,MATCH(D3,Map!$C$3:$C$239,0),0),OFFSET(Map!$E$2,MATCH(D3,Map!$B$3:$B$239,0),0))</f>
        <v>West Coast</v>
      </c>
      <c r="B3" s="82">
        <v>2</v>
      </c>
      <c r="C3" s="82" t="s">
        <v>62</v>
      </c>
      <c r="D3" s="82" t="s">
        <v>209</v>
      </c>
      <c r="E3" s="82" t="s">
        <v>210</v>
      </c>
      <c r="F3" s="82">
        <v>67147</v>
      </c>
      <c r="G3" s="82">
        <v>26.8</v>
      </c>
      <c r="H3" s="82">
        <v>66.900000000000006</v>
      </c>
      <c r="I3" s="82">
        <f t="shared" si="0"/>
        <v>44921</v>
      </c>
      <c r="J3" s="82">
        <v>6.3</v>
      </c>
      <c r="K3" s="82">
        <v>49.4</v>
      </c>
      <c r="L3" s="82">
        <v>100.3</v>
      </c>
      <c r="M3" s="82">
        <v>2.14</v>
      </c>
      <c r="N3" s="82">
        <v>5</v>
      </c>
      <c r="O3" s="82">
        <v>14</v>
      </c>
      <c r="P3" s="82">
        <f t="shared" si="1"/>
        <v>38632</v>
      </c>
      <c r="Q3" s="82">
        <v>19.3</v>
      </c>
      <c r="R3" s="82">
        <v>6.2</v>
      </c>
      <c r="S3" s="82">
        <v>6.9</v>
      </c>
      <c r="T3" s="82">
        <v>20.2</v>
      </c>
      <c r="U3" s="82">
        <v>18835</v>
      </c>
      <c r="V3" s="82">
        <v>2135</v>
      </c>
      <c r="W3" s="82">
        <v>3.4</v>
      </c>
      <c r="X3" s="82">
        <v>30.2</v>
      </c>
      <c r="Y3" s="82">
        <v>88.4</v>
      </c>
      <c r="Z3" s="82">
        <v>45.6</v>
      </c>
      <c r="AA3" s="82">
        <v>62.1</v>
      </c>
      <c r="AB3" s="82">
        <v>67.900000000000006</v>
      </c>
      <c r="AC3" s="82">
        <v>72.099999999999994</v>
      </c>
      <c r="AD3" s="82">
        <v>88.7</v>
      </c>
      <c r="AE3" s="82">
        <v>8.5</v>
      </c>
      <c r="AF3" s="82">
        <v>74.7</v>
      </c>
      <c r="AG3" s="82">
        <v>0.6</v>
      </c>
      <c r="AH3" s="82">
        <v>14.8</v>
      </c>
      <c r="AI3" s="82">
        <v>1.3</v>
      </c>
      <c r="AJ3" s="82">
        <v>4.9000000000000004</v>
      </c>
      <c r="AK3" s="82">
        <v>4.8</v>
      </c>
      <c r="AL3" s="82">
        <v>4.3</v>
      </c>
      <c r="AM3" s="82">
        <v>4.4000000000000004</v>
      </c>
      <c r="AN3" s="82">
        <v>4.3</v>
      </c>
      <c r="AO3" s="82">
        <v>4.0999999999999996</v>
      </c>
      <c r="AP3" s="82">
        <v>4.4000000000000004</v>
      </c>
      <c r="AQ3" s="82">
        <v>4.5</v>
      </c>
      <c r="AR3" s="82">
        <v>4.7</v>
      </c>
      <c r="AS3" s="82">
        <v>4.5</v>
      </c>
      <c r="AT3" s="82">
        <v>4.2</v>
      </c>
      <c r="AU3" s="82">
        <v>4.0999999999999996</v>
      </c>
      <c r="AV3" s="82">
        <v>3.7</v>
      </c>
      <c r="AW3" s="82">
        <v>3.5</v>
      </c>
      <c r="AX3" s="82">
        <v>3.4</v>
      </c>
      <c r="AY3" s="82">
        <v>3.3</v>
      </c>
      <c r="AZ3" s="82">
        <v>3.5</v>
      </c>
      <c r="BA3" s="82">
        <v>3.4</v>
      </c>
      <c r="BB3" s="82">
        <v>3.4</v>
      </c>
      <c r="BC3" s="82">
        <v>3.4</v>
      </c>
      <c r="BD3" s="82">
        <v>2.8</v>
      </c>
      <c r="BE3" s="82">
        <v>2.8</v>
      </c>
      <c r="BF3" s="82">
        <v>2.2000000000000002</v>
      </c>
      <c r="BG3" s="82">
        <v>2.1</v>
      </c>
      <c r="BH3" s="82">
        <v>1.5</v>
      </c>
      <c r="BI3" s="82">
        <v>1.6</v>
      </c>
      <c r="BJ3" s="82">
        <v>1.1000000000000001</v>
      </c>
      <c r="BK3" s="82">
        <v>1.3</v>
      </c>
      <c r="BL3" s="82">
        <v>0.7</v>
      </c>
      <c r="BM3" s="82">
        <v>0.8</v>
      </c>
      <c r="BN3" s="82">
        <v>0.4</v>
      </c>
      <c r="BO3" s="82">
        <v>0.7</v>
      </c>
      <c r="BP3" s="82">
        <v>0.3</v>
      </c>
      <c r="BQ3" s="82">
        <v>0.4</v>
      </c>
      <c r="BR3" s="82">
        <v>0.2</v>
      </c>
      <c r="BS3" s="82">
        <v>0.4</v>
      </c>
      <c r="BT3" s="82">
        <v>23806</v>
      </c>
      <c r="BU3" s="82">
        <v>3889</v>
      </c>
      <c r="BV3" s="82">
        <v>1301</v>
      </c>
      <c r="BW3" s="82">
        <v>15951</v>
      </c>
      <c r="BX3" s="82">
        <v>8.1999999999999993</v>
      </c>
      <c r="BY3" s="82">
        <v>1.9</v>
      </c>
      <c r="BZ3" s="82">
        <v>3.3</v>
      </c>
      <c r="CA3" s="82">
        <v>17.600000000000001</v>
      </c>
      <c r="CB3" s="82">
        <v>24.7</v>
      </c>
      <c r="CC3" s="82">
        <v>17.8</v>
      </c>
      <c r="CD3" s="82">
        <v>11.8</v>
      </c>
      <c r="CE3" s="82">
        <v>8.6</v>
      </c>
      <c r="CF3" s="82">
        <v>4.4000000000000004</v>
      </c>
      <c r="CG3" s="82">
        <v>1</v>
      </c>
      <c r="CH3" s="82">
        <v>0.4</v>
      </c>
      <c r="CI3" s="82">
        <v>0.2</v>
      </c>
      <c r="CJ3" s="82">
        <f t="shared" si="2"/>
        <v>44947</v>
      </c>
      <c r="CK3" s="82">
        <f t="shared" si="3"/>
        <v>81243.625516912085</v>
      </c>
      <c r="CL3" s="95">
        <f ca="1">$CK3*SUM(OFFSET($AJ3,0,(COUNTA($CL$1:CL$1)-1)*4,1,4))/100</f>
        <v>14948.827095111823</v>
      </c>
      <c r="CM3" s="95">
        <f ca="1">$CK3*SUM(OFFSET($AJ3,0,(COUNTA($CL$1:CM$1)-1)*4,1,4))/100</f>
        <v>14055.147214425788</v>
      </c>
      <c r="CN3" s="95">
        <f ca="1">$CK3*SUM(OFFSET($AJ3,0,(COUNTA($CL$1:CN$1)-1)*4,1,4))/100</f>
        <v>14217.634465459616</v>
      </c>
      <c r="CO3" s="95">
        <f ca="1">$CK3*SUM(OFFSET($AJ3,0,(COUNTA($CL$1:CO$1)-1)*4,1,4))/100</f>
        <v>11292.863946850779</v>
      </c>
      <c r="CP3" s="95">
        <f ca="1">$CK3*SUM(OFFSET($AJ3,0,(COUNTA($CL$1:CP$1)-1)*4,1,4))/100</f>
        <v>11130.376695816956</v>
      </c>
      <c r="CQ3" s="95">
        <f ca="1">$CK3*SUM(OFFSET($AJ3,0,(COUNTA($CL$1:CQ$1)-1)*4,1,4))/100</f>
        <v>8043.1189261742975</v>
      </c>
      <c r="CR3" s="95">
        <f ca="1">$CK3*SUM(OFFSET($AJ3,0,(COUNTA($CL$1:CR$1)-1)*4,1,4))/100</f>
        <v>4468.399403430165</v>
      </c>
      <c r="CS3" s="95">
        <f ca="1">$CK3*SUM(OFFSET($AJ3,0,(COUNTA($CL$1:CS$1)-1)*4,1,4))/100</f>
        <v>2112.3342634397141</v>
      </c>
      <c r="CT3" s="95">
        <f ca="1">$CK3*SUM(OFFSET($AJ3,0,(COUNTA($CL$1:CT$1)-1)*4,1,4))/100</f>
        <v>1056.167131719857</v>
      </c>
      <c r="CU3" s="96">
        <f t="shared" si="4"/>
        <v>13429.4</v>
      </c>
      <c r="CV3" s="96">
        <f t="shared" si="5"/>
        <v>6.0496839409736909</v>
      </c>
    </row>
    <row r="4" spans="1:100">
      <c r="A4" s="82" t="str">
        <f ca="1">IF(ISERROR(OFFSET(Map!$E$2,MATCH(D4,Map!$B$3:$B$239,0),0)),OFFSET(Map!$E$2,MATCH(D4,Map!$C$3:$C$239,0),0),OFFSET(Map!$E$2,MATCH(D4,Map!$B$3:$B$239,0),0))</f>
        <v>West Coast</v>
      </c>
      <c r="B4" s="82">
        <v>3</v>
      </c>
      <c r="C4" s="82" t="s">
        <v>62</v>
      </c>
      <c r="D4" s="82" t="s">
        <v>211</v>
      </c>
      <c r="E4" s="82" t="s">
        <v>212</v>
      </c>
      <c r="F4" s="82">
        <v>49768</v>
      </c>
      <c r="G4" s="82">
        <v>25.6</v>
      </c>
      <c r="H4" s="82">
        <v>68</v>
      </c>
      <c r="I4" s="82">
        <f t="shared" si="0"/>
        <v>33842</v>
      </c>
      <c r="J4" s="82">
        <v>6.4</v>
      </c>
      <c r="K4" s="82">
        <v>47</v>
      </c>
      <c r="L4" s="82">
        <v>100.9</v>
      </c>
      <c r="M4" s="82">
        <v>2.2999999999999998</v>
      </c>
      <c r="N4" s="82">
        <v>6</v>
      </c>
      <c r="O4" s="82">
        <v>10.5</v>
      </c>
      <c r="P4" s="82">
        <f t="shared" si="1"/>
        <v>30289</v>
      </c>
      <c r="Q4" s="82">
        <v>13.8</v>
      </c>
      <c r="R4" s="82">
        <v>7.7</v>
      </c>
      <c r="S4" s="82">
        <v>5.0999999999999996</v>
      </c>
      <c r="T4" s="82">
        <v>19.399999999999999</v>
      </c>
      <c r="U4" s="82">
        <v>13513</v>
      </c>
      <c r="V4" s="82">
        <v>2031</v>
      </c>
      <c r="W4" s="82">
        <v>3.5</v>
      </c>
      <c r="X4" s="82">
        <v>32</v>
      </c>
      <c r="Y4" s="82">
        <v>87.1</v>
      </c>
      <c r="Z4" s="82">
        <v>48.9</v>
      </c>
      <c r="AA4" s="82">
        <v>74.900000000000006</v>
      </c>
      <c r="AB4" s="82">
        <v>57.8</v>
      </c>
      <c r="AC4" s="82">
        <v>75.099999999999994</v>
      </c>
      <c r="AD4" s="82">
        <v>88.8</v>
      </c>
      <c r="AE4" s="82">
        <v>12.7</v>
      </c>
      <c r="AF4" s="82">
        <v>75.7</v>
      </c>
      <c r="AG4" s="82">
        <v>0.3</v>
      </c>
      <c r="AH4" s="82">
        <v>11</v>
      </c>
      <c r="AI4" s="82">
        <v>0.4</v>
      </c>
      <c r="AJ4" s="82">
        <v>4.8</v>
      </c>
      <c r="AK4" s="82">
        <v>4.3</v>
      </c>
      <c r="AL4" s="82">
        <v>4.2</v>
      </c>
      <c r="AM4" s="82">
        <v>4.0999999999999996</v>
      </c>
      <c r="AN4" s="82">
        <v>4.0999999999999996</v>
      </c>
      <c r="AO4" s="82">
        <v>4</v>
      </c>
      <c r="AP4" s="82">
        <v>4.0999999999999996</v>
      </c>
      <c r="AQ4" s="82">
        <v>4</v>
      </c>
      <c r="AR4" s="82">
        <v>4.7</v>
      </c>
      <c r="AS4" s="82">
        <v>4.5999999999999996</v>
      </c>
      <c r="AT4" s="82">
        <v>4.7</v>
      </c>
      <c r="AU4" s="82">
        <v>4.4000000000000004</v>
      </c>
      <c r="AV4" s="82">
        <v>3.9</v>
      </c>
      <c r="AW4" s="82">
        <v>3.7</v>
      </c>
      <c r="AX4" s="82">
        <v>3.5</v>
      </c>
      <c r="AY4" s="82">
        <v>3.7</v>
      </c>
      <c r="AZ4" s="82">
        <v>3.5</v>
      </c>
      <c r="BA4" s="82">
        <v>3.9</v>
      </c>
      <c r="BB4" s="82">
        <v>3.2</v>
      </c>
      <c r="BC4" s="82">
        <v>3.2</v>
      </c>
      <c r="BD4" s="82">
        <v>2.9</v>
      </c>
      <c r="BE4" s="82">
        <v>2.8</v>
      </c>
      <c r="BF4" s="82">
        <v>2</v>
      </c>
      <c r="BG4" s="82">
        <v>2.1</v>
      </c>
      <c r="BH4" s="82">
        <v>1.5</v>
      </c>
      <c r="BI4" s="82">
        <v>1.5</v>
      </c>
      <c r="BJ4" s="82">
        <v>1.3</v>
      </c>
      <c r="BK4" s="82">
        <v>1.1000000000000001</v>
      </c>
      <c r="BL4" s="82">
        <v>0.8</v>
      </c>
      <c r="BM4" s="82">
        <v>0.9</v>
      </c>
      <c r="BN4" s="82">
        <v>0.5</v>
      </c>
      <c r="BO4" s="82">
        <v>0.6</v>
      </c>
      <c r="BP4" s="82">
        <v>0.3</v>
      </c>
      <c r="BQ4" s="82">
        <v>0.4</v>
      </c>
      <c r="BR4" s="82">
        <v>0.2</v>
      </c>
      <c r="BS4" s="82">
        <v>0.3</v>
      </c>
      <c r="BT4" s="82">
        <v>18539</v>
      </c>
      <c r="BU4" s="82">
        <v>2186</v>
      </c>
      <c r="BV4" s="82">
        <v>655</v>
      </c>
      <c r="BW4" s="82">
        <v>12476</v>
      </c>
      <c r="BX4" s="82">
        <v>9.5</v>
      </c>
      <c r="BY4" s="82">
        <v>1.9</v>
      </c>
      <c r="BZ4" s="82">
        <v>3.2</v>
      </c>
      <c r="CA4" s="82">
        <v>17.8</v>
      </c>
      <c r="CB4" s="82">
        <v>25.4</v>
      </c>
      <c r="CC4" s="82">
        <v>21.1</v>
      </c>
      <c r="CD4" s="82">
        <v>10.6</v>
      </c>
      <c r="CE4" s="82">
        <v>6.4</v>
      </c>
      <c r="CF4" s="82">
        <v>3</v>
      </c>
      <c r="CG4" s="82">
        <v>0.8</v>
      </c>
      <c r="CH4" s="82">
        <v>0.3</v>
      </c>
      <c r="CI4" s="82">
        <v>0.2</v>
      </c>
      <c r="CJ4" s="82">
        <f t="shared" si="2"/>
        <v>33856</v>
      </c>
      <c r="CK4" s="82">
        <f t="shared" si="3"/>
        <v>61070.417885306779</v>
      </c>
      <c r="CL4" s="95">
        <f ca="1">$CK4*SUM(OFFSET($AJ4,0,(COUNTA($CL$1:CL$1)-1)*4,1,4))/100</f>
        <v>10626.252712043379</v>
      </c>
      <c r="CM4" s="95">
        <f ca="1">$CK4*SUM(OFFSET($AJ4,0,(COUNTA($CL$1:CM$1)-1)*4,1,4))/100</f>
        <v>9893.4076974196978</v>
      </c>
      <c r="CN4" s="95">
        <f ca="1">$CK4*SUM(OFFSET($AJ4,0,(COUNTA($CL$1:CN$1)-1)*4,1,4))/100</f>
        <v>11236.956890896447</v>
      </c>
      <c r="CO4" s="95">
        <f ca="1">$CK4*SUM(OFFSET($AJ4,0,(COUNTA($CL$1:CO$1)-1)*4,1,4))/100</f>
        <v>9038.4218470254036</v>
      </c>
      <c r="CP4" s="95">
        <f ca="1">$CK4*SUM(OFFSET($AJ4,0,(COUNTA($CL$1:CP$1)-1)*4,1,4))/100</f>
        <v>8427.7176681723358</v>
      </c>
      <c r="CQ4" s="95">
        <f ca="1">$CK4*SUM(OFFSET($AJ4,0,(COUNTA($CL$1:CQ$1)-1)*4,1,4))/100</f>
        <v>5984.9009527600638</v>
      </c>
      <c r="CR4" s="95">
        <f ca="1">$CK4*SUM(OFFSET($AJ4,0,(COUNTA($CL$1:CR$1)-1)*4,1,4))/100</f>
        <v>3297.8025658065662</v>
      </c>
      <c r="CS4" s="95">
        <f ca="1">$CK4*SUM(OFFSET($AJ4,0,(COUNTA($CL$1:CS$1)-1)*4,1,4))/100</f>
        <v>1709.9717007885899</v>
      </c>
      <c r="CT4" s="95">
        <f ca="1">$CK4*SUM(OFFSET($AJ4,0,(COUNTA($CL$1:CT$1)-1)*4,1,4))/100</f>
        <v>732.84501462368132</v>
      </c>
      <c r="CU4" s="96">
        <f t="shared" si="4"/>
        <v>8294.6666666666661</v>
      </c>
      <c r="CV4" s="96">
        <f t="shared" si="5"/>
        <v>7.3626126690210718</v>
      </c>
    </row>
    <row r="5" spans="1:100">
      <c r="A5" s="82" t="str">
        <f ca="1">IF(ISERROR(OFFSET(Map!$E$2,MATCH(D5,Map!$B$3:$B$239,0),0)),OFFSET(Map!$E$2,MATCH(D5,Map!$C$3:$C$239,0),0),OFFSET(Map!$E$2,MATCH(D5,Map!$B$3:$B$239,0),0))</f>
        <v>West Coast</v>
      </c>
      <c r="B5" s="82">
        <v>4</v>
      </c>
      <c r="C5" s="82" t="s">
        <v>62</v>
      </c>
      <c r="D5" s="82" t="s">
        <v>213</v>
      </c>
      <c r="E5" s="82" t="s">
        <v>214</v>
      </c>
      <c r="F5" s="82">
        <v>61897</v>
      </c>
      <c r="G5" s="82">
        <v>24.9</v>
      </c>
      <c r="H5" s="82">
        <v>68.099999999999994</v>
      </c>
      <c r="I5" s="82">
        <f t="shared" si="0"/>
        <v>42152</v>
      </c>
      <c r="J5" s="82">
        <v>7</v>
      </c>
      <c r="K5" s="82">
        <v>46.9</v>
      </c>
      <c r="L5" s="82">
        <v>94.4</v>
      </c>
      <c r="M5" s="82">
        <v>2.85</v>
      </c>
      <c r="N5" s="82">
        <v>14</v>
      </c>
      <c r="O5" s="82">
        <v>6.8</v>
      </c>
      <c r="P5" s="82">
        <f t="shared" si="1"/>
        <v>39286</v>
      </c>
      <c r="Q5" s="82">
        <v>9.6</v>
      </c>
      <c r="R5" s="82">
        <v>6.4</v>
      </c>
      <c r="S5" s="82">
        <v>7.7</v>
      </c>
      <c r="T5" s="82">
        <v>22.3</v>
      </c>
      <c r="U5" s="82">
        <v>16275</v>
      </c>
      <c r="V5" s="82">
        <v>1913</v>
      </c>
      <c r="W5" s="82">
        <v>3.5</v>
      </c>
      <c r="X5" s="82">
        <v>31.5</v>
      </c>
      <c r="Y5" s="82">
        <v>93.4</v>
      </c>
      <c r="Z5" s="82">
        <v>46.4</v>
      </c>
      <c r="AA5" s="82">
        <v>72.3</v>
      </c>
      <c r="AB5" s="82">
        <v>67</v>
      </c>
      <c r="AC5" s="82">
        <v>83.5</v>
      </c>
      <c r="AD5" s="82">
        <v>94.9</v>
      </c>
      <c r="AE5" s="82">
        <v>11.3</v>
      </c>
      <c r="AF5" s="82">
        <v>70.900000000000006</v>
      </c>
      <c r="AG5" s="82">
        <v>0.4</v>
      </c>
      <c r="AH5" s="82">
        <v>16.899999999999999</v>
      </c>
      <c r="AI5" s="82">
        <v>0.4</v>
      </c>
      <c r="AJ5" s="82">
        <v>4.4000000000000004</v>
      </c>
      <c r="AK5" s="82">
        <v>4.4000000000000004</v>
      </c>
      <c r="AL5" s="82">
        <v>4.0999999999999996</v>
      </c>
      <c r="AM5" s="82">
        <v>4</v>
      </c>
      <c r="AN5" s="82">
        <v>4</v>
      </c>
      <c r="AO5" s="82">
        <v>4</v>
      </c>
      <c r="AP5" s="82">
        <v>4.0999999999999996</v>
      </c>
      <c r="AQ5" s="82">
        <v>4.4000000000000004</v>
      </c>
      <c r="AR5" s="82">
        <v>4.2</v>
      </c>
      <c r="AS5" s="82">
        <v>4.8</v>
      </c>
      <c r="AT5" s="82">
        <v>4.2</v>
      </c>
      <c r="AU5" s="82">
        <v>4.4000000000000004</v>
      </c>
      <c r="AV5" s="82">
        <v>3.6</v>
      </c>
      <c r="AW5" s="82">
        <v>3.7</v>
      </c>
      <c r="AX5" s="82">
        <v>3.8</v>
      </c>
      <c r="AY5" s="82">
        <v>3.9</v>
      </c>
      <c r="AZ5" s="82">
        <v>3.6</v>
      </c>
      <c r="BA5" s="82">
        <v>3.7</v>
      </c>
      <c r="BB5" s="82">
        <v>3</v>
      </c>
      <c r="BC5" s="82">
        <v>3</v>
      </c>
      <c r="BD5" s="82">
        <v>2.6</v>
      </c>
      <c r="BE5" s="82">
        <v>2.7</v>
      </c>
      <c r="BF5" s="82">
        <v>2.2999999999999998</v>
      </c>
      <c r="BG5" s="82">
        <v>2.2000000000000002</v>
      </c>
      <c r="BH5" s="82">
        <v>1.7</v>
      </c>
      <c r="BI5" s="82">
        <v>1.8</v>
      </c>
      <c r="BJ5" s="82">
        <v>1.1000000000000001</v>
      </c>
      <c r="BK5" s="82">
        <v>1.3</v>
      </c>
      <c r="BL5" s="82">
        <v>0.9</v>
      </c>
      <c r="BM5" s="82">
        <v>1.2</v>
      </c>
      <c r="BN5" s="82">
        <v>0.5</v>
      </c>
      <c r="BO5" s="82">
        <v>0.7</v>
      </c>
      <c r="BP5" s="82">
        <v>0.2</v>
      </c>
      <c r="BQ5" s="82">
        <v>0.5</v>
      </c>
      <c r="BR5" s="82">
        <v>0.1</v>
      </c>
      <c r="BS5" s="82">
        <v>0.4</v>
      </c>
      <c r="BT5" s="82">
        <v>23761</v>
      </c>
      <c r="BU5" s="82">
        <v>1732</v>
      </c>
      <c r="BV5" s="82">
        <v>462</v>
      </c>
      <c r="BW5" s="82">
        <v>16183</v>
      </c>
      <c r="BX5" s="82">
        <v>9.3000000000000007</v>
      </c>
      <c r="BY5" s="82">
        <v>1.4</v>
      </c>
      <c r="BZ5" s="82">
        <v>1.9</v>
      </c>
      <c r="CA5" s="82">
        <v>13.5</v>
      </c>
      <c r="CB5" s="82">
        <v>22.3</v>
      </c>
      <c r="CC5" s="82">
        <v>22.4</v>
      </c>
      <c r="CD5" s="82">
        <v>14</v>
      </c>
      <c r="CE5" s="82">
        <v>9.1</v>
      </c>
      <c r="CF5" s="82">
        <v>4.4000000000000004</v>
      </c>
      <c r="CG5" s="82">
        <v>0.8</v>
      </c>
      <c r="CH5" s="82">
        <v>0.4</v>
      </c>
      <c r="CI5" s="82">
        <v>0.4</v>
      </c>
      <c r="CJ5" s="82">
        <f t="shared" si="2"/>
        <v>42138</v>
      </c>
      <c r="CK5" s="82">
        <f t="shared" si="3"/>
        <v>79709.165903584188</v>
      </c>
      <c r="CL5" s="95">
        <f ca="1">$CK5*SUM(OFFSET($AJ5,0,(COUNTA($CL$1:CL$1)-1)*4,1,4))/100</f>
        <v>13470.849037705728</v>
      </c>
      <c r="CM5" s="95">
        <f ca="1">$CK5*SUM(OFFSET($AJ5,0,(COUNTA($CL$1:CM$1)-1)*4,1,4))/100</f>
        <v>13152.012374091391</v>
      </c>
      <c r="CN5" s="95">
        <f ca="1">$CK5*SUM(OFFSET($AJ5,0,(COUNTA($CL$1:CN$1)-1)*4,1,4))/100</f>
        <v>14028.813199030817</v>
      </c>
      <c r="CO5" s="95">
        <f ca="1">$CK5*SUM(OFFSET($AJ5,0,(COUNTA($CL$1:CO$1)-1)*4,1,4))/100</f>
        <v>11956.374885537629</v>
      </c>
      <c r="CP5" s="95">
        <f ca="1">$CK5*SUM(OFFSET($AJ5,0,(COUNTA($CL$1:CP$1)-1)*4,1,4))/100</f>
        <v>10601.319065176698</v>
      </c>
      <c r="CQ5" s="95">
        <f ca="1">$CK5*SUM(OFFSET($AJ5,0,(COUNTA($CL$1:CQ$1)-1)*4,1,4))/100</f>
        <v>7811.4982585512507</v>
      </c>
      <c r="CR5" s="95">
        <f ca="1">$CK5*SUM(OFFSET($AJ5,0,(COUNTA($CL$1:CR$1)-1)*4,1,4))/100</f>
        <v>4702.8407883114669</v>
      </c>
      <c r="CS5" s="95">
        <f ca="1">$CK5*SUM(OFFSET($AJ5,0,(COUNTA($CL$1:CS$1)-1)*4,1,4))/100</f>
        <v>2630.4024748182778</v>
      </c>
      <c r="CT5" s="95">
        <f ca="1">$CK5*SUM(OFFSET($AJ5,0,(COUNTA($CL$1:CT$1)-1)*4,1,4))/100</f>
        <v>956.5099908430102</v>
      </c>
      <c r="CU5" s="96">
        <f t="shared" si="4"/>
        <v>4421.2142857142853</v>
      </c>
      <c r="CV5" s="96">
        <f t="shared" si="5"/>
        <v>18.028794976334535</v>
      </c>
    </row>
    <row r="6" spans="1:100">
      <c r="A6" s="82" t="str">
        <f ca="1">IF(ISERROR(OFFSET(Map!$E$2,MATCH(D6,Map!$B$3:$B$239,0),0)),OFFSET(Map!$E$2,MATCH(D6,Map!$C$3:$C$239,0),0),OFFSET(Map!$E$2,MATCH(D6,Map!$B$3:$B$239,0),0))</f>
        <v>West Coast</v>
      </c>
      <c r="B6" s="82">
        <v>5</v>
      </c>
      <c r="C6" s="82" t="s">
        <v>62</v>
      </c>
      <c r="D6" s="82" t="s">
        <v>215</v>
      </c>
      <c r="E6" s="82" t="s">
        <v>216</v>
      </c>
      <c r="F6" s="82">
        <v>99193</v>
      </c>
      <c r="G6" s="82">
        <v>25.3</v>
      </c>
      <c r="H6" s="82">
        <v>69.5</v>
      </c>
      <c r="I6" s="82">
        <f t="shared" si="0"/>
        <v>68939</v>
      </c>
      <c r="J6" s="82">
        <v>5.2</v>
      </c>
      <c r="K6" s="82">
        <v>44</v>
      </c>
      <c r="L6" s="82">
        <v>99.2</v>
      </c>
      <c r="M6" s="82">
        <v>3.45</v>
      </c>
      <c r="N6" s="82">
        <v>49</v>
      </c>
      <c r="O6" s="82">
        <v>23.4</v>
      </c>
      <c r="P6" s="82">
        <f t="shared" si="1"/>
        <v>52807</v>
      </c>
      <c r="Q6" s="82">
        <v>30.4</v>
      </c>
      <c r="R6" s="82">
        <v>2.4</v>
      </c>
      <c r="S6" s="82">
        <v>9.3000000000000007</v>
      </c>
      <c r="T6" s="82">
        <v>28.4</v>
      </c>
      <c r="U6" s="82">
        <v>28835</v>
      </c>
      <c r="V6" s="82">
        <v>1116</v>
      </c>
      <c r="W6" s="82">
        <v>3.2</v>
      </c>
      <c r="X6" s="82">
        <v>30.4</v>
      </c>
      <c r="Y6" s="82">
        <v>81.7</v>
      </c>
      <c r="Z6" s="82">
        <v>62.1</v>
      </c>
      <c r="AA6" s="82">
        <v>92.5</v>
      </c>
      <c r="AB6" s="82">
        <v>96.6</v>
      </c>
      <c r="AC6" s="82">
        <v>80.2</v>
      </c>
      <c r="AD6" s="82">
        <v>97</v>
      </c>
      <c r="AE6" s="82">
        <v>24.5</v>
      </c>
      <c r="AF6" s="82">
        <v>55.8</v>
      </c>
      <c r="AG6" s="82">
        <v>0.8</v>
      </c>
      <c r="AH6" s="82">
        <v>18</v>
      </c>
      <c r="AI6" s="82">
        <v>0.9</v>
      </c>
      <c r="AJ6" s="82">
        <v>5</v>
      </c>
      <c r="AK6" s="82">
        <v>4.8</v>
      </c>
      <c r="AL6" s="82">
        <v>3.9</v>
      </c>
      <c r="AM6" s="82">
        <v>3.9</v>
      </c>
      <c r="AN6" s="82">
        <v>3.8</v>
      </c>
      <c r="AO6" s="82">
        <v>3.8</v>
      </c>
      <c r="AP6" s="82">
        <v>3.9</v>
      </c>
      <c r="AQ6" s="82">
        <v>3.9</v>
      </c>
      <c r="AR6" s="82">
        <v>5.2</v>
      </c>
      <c r="AS6" s="82">
        <v>5.2</v>
      </c>
      <c r="AT6" s="82">
        <v>5.2</v>
      </c>
      <c r="AU6" s="82">
        <v>5.0999999999999996</v>
      </c>
      <c r="AV6" s="82">
        <v>4.0999999999999996</v>
      </c>
      <c r="AW6" s="82">
        <v>3.9</v>
      </c>
      <c r="AX6" s="82">
        <v>3.8</v>
      </c>
      <c r="AY6" s="82">
        <v>3.8</v>
      </c>
      <c r="AZ6" s="82">
        <v>3.6</v>
      </c>
      <c r="BA6" s="82">
        <v>3.5</v>
      </c>
      <c r="BB6" s="82">
        <v>2.9</v>
      </c>
      <c r="BC6" s="82">
        <v>2.9</v>
      </c>
      <c r="BD6" s="82">
        <v>2.5</v>
      </c>
      <c r="BE6" s="82">
        <v>2.7</v>
      </c>
      <c r="BF6" s="82">
        <v>1.9</v>
      </c>
      <c r="BG6" s="82">
        <v>2.1</v>
      </c>
      <c r="BH6" s="82">
        <v>1.5</v>
      </c>
      <c r="BI6" s="82">
        <v>1.5</v>
      </c>
      <c r="BJ6" s="82">
        <v>1</v>
      </c>
      <c r="BK6" s="82">
        <v>1.1000000000000001</v>
      </c>
      <c r="BL6" s="82">
        <v>0.7</v>
      </c>
      <c r="BM6" s="82">
        <v>0.8</v>
      </c>
      <c r="BN6" s="82">
        <v>0.4</v>
      </c>
      <c r="BO6" s="82">
        <v>0.5</v>
      </c>
      <c r="BP6" s="82">
        <v>0.2</v>
      </c>
      <c r="BQ6" s="82">
        <v>0.3</v>
      </c>
      <c r="BR6" s="82">
        <v>0.1</v>
      </c>
      <c r="BS6" s="82">
        <v>0.2</v>
      </c>
      <c r="BT6" s="82">
        <v>34359</v>
      </c>
      <c r="BU6" s="82">
        <v>10470</v>
      </c>
      <c r="BV6" s="82">
        <v>1909</v>
      </c>
      <c r="BW6" s="82">
        <v>22168</v>
      </c>
      <c r="BX6" s="82">
        <v>13.9</v>
      </c>
      <c r="BY6" s="82">
        <v>2.4</v>
      </c>
      <c r="BZ6" s="82">
        <v>4</v>
      </c>
      <c r="CA6" s="82">
        <v>10.7</v>
      </c>
      <c r="CB6" s="82">
        <v>17.399999999999999</v>
      </c>
      <c r="CC6" s="82">
        <v>16.7</v>
      </c>
      <c r="CD6" s="82">
        <v>15.2</v>
      </c>
      <c r="CE6" s="82">
        <v>11.5</v>
      </c>
      <c r="CF6" s="82">
        <v>6.1</v>
      </c>
      <c r="CG6" s="82">
        <v>1.5</v>
      </c>
      <c r="CH6" s="82">
        <v>0.4</v>
      </c>
      <c r="CI6" s="82">
        <v>0.3</v>
      </c>
      <c r="CJ6" s="82">
        <f t="shared" si="2"/>
        <v>68906</v>
      </c>
      <c r="CK6" s="82">
        <f t="shared" si="3"/>
        <v>134603.2296184155</v>
      </c>
      <c r="CL6" s="95">
        <f ca="1">$CK6*SUM(OFFSET($AJ6,0,(COUNTA($CL$1:CL$1)-1)*4,1,4))/100</f>
        <v>23690.168412841129</v>
      </c>
      <c r="CM6" s="95">
        <f ca="1">$CK6*SUM(OFFSET($AJ6,0,(COUNTA($CL$1:CM$1)-1)*4,1,4))/100</f>
        <v>20728.897361235988</v>
      </c>
      <c r="CN6" s="95">
        <f ca="1">$CK6*SUM(OFFSET($AJ6,0,(COUNTA($CL$1:CN$1)-1)*4,1,4))/100</f>
        <v>27862.868531012013</v>
      </c>
      <c r="CO6" s="95">
        <f ca="1">$CK6*SUM(OFFSET($AJ6,0,(COUNTA($CL$1:CO$1)-1)*4,1,4))/100</f>
        <v>20998.103820472821</v>
      </c>
      <c r="CP6" s="95">
        <f ca="1">$CK6*SUM(OFFSET($AJ6,0,(COUNTA($CL$1:CP$1)-1)*4,1,4))/100</f>
        <v>17363.8166207756</v>
      </c>
      <c r="CQ6" s="95">
        <f ca="1">$CK6*SUM(OFFSET($AJ6,0,(COUNTA($CL$1:CQ$1)-1)*4,1,4))/100</f>
        <v>12383.497124894224</v>
      </c>
      <c r="CR6" s="95">
        <f ca="1">$CK6*SUM(OFFSET($AJ6,0,(COUNTA($CL$1:CR$1)-1)*4,1,4))/100</f>
        <v>6864.7647105391898</v>
      </c>
      <c r="CS6" s="95">
        <f ca="1">$CK6*SUM(OFFSET($AJ6,0,(COUNTA($CL$1:CS$1)-1)*4,1,4))/100</f>
        <v>3230.4775108419722</v>
      </c>
      <c r="CT6" s="95">
        <f ca="1">$CK6*SUM(OFFSET($AJ6,0,(COUNTA($CL$1:CT$1)-1)*4,1,4))/100</f>
        <v>1076.825836947324</v>
      </c>
      <c r="CU6" s="96">
        <f t="shared" si="4"/>
        <v>2024.3469387755101</v>
      </c>
      <c r="CV6" s="96">
        <f t="shared" si="5"/>
        <v>66.492174360109686</v>
      </c>
    </row>
    <row r="7" spans="1:100">
      <c r="A7" s="82" t="str">
        <f ca="1">IF(ISERROR(OFFSET(Map!$E$2,MATCH(D7,Map!$B$3:$B$239,0),0)),OFFSET(Map!$E$2,MATCH(D7,Map!$C$3:$C$239,0),0),OFFSET(Map!$E$2,MATCH(D7,Map!$B$3:$B$239,0),0))</f>
        <v>West Coast</v>
      </c>
      <c r="B7" s="82">
        <v>6</v>
      </c>
      <c r="C7" s="82" t="s">
        <v>62</v>
      </c>
      <c r="D7" s="82" t="s">
        <v>217</v>
      </c>
      <c r="E7" s="82" t="s">
        <v>218</v>
      </c>
      <c r="F7" s="82">
        <v>113762</v>
      </c>
      <c r="G7" s="82">
        <v>25</v>
      </c>
      <c r="H7" s="82">
        <v>69.099999999999994</v>
      </c>
      <c r="I7" s="82">
        <f t="shared" si="0"/>
        <v>78610</v>
      </c>
      <c r="J7" s="82">
        <v>5.9</v>
      </c>
      <c r="K7" s="82">
        <v>44.7</v>
      </c>
      <c r="L7" s="82">
        <v>98.6</v>
      </c>
      <c r="M7" s="82">
        <v>4.5599999999999996</v>
      </c>
      <c r="N7" s="82">
        <v>31</v>
      </c>
      <c r="O7" s="82">
        <v>12.7</v>
      </c>
      <c r="P7" s="82">
        <f t="shared" si="1"/>
        <v>68626</v>
      </c>
      <c r="Q7" s="82">
        <v>17.899999999999999</v>
      </c>
      <c r="R7" s="82">
        <v>6</v>
      </c>
      <c r="S7" s="82">
        <v>9.5</v>
      </c>
      <c r="T7" s="82">
        <v>24.2</v>
      </c>
      <c r="U7" s="82">
        <v>29324</v>
      </c>
      <c r="V7" s="82">
        <v>2416</v>
      </c>
      <c r="W7" s="82">
        <v>3.5</v>
      </c>
      <c r="X7" s="82">
        <v>28.5</v>
      </c>
      <c r="Y7" s="82">
        <v>90.9</v>
      </c>
      <c r="Z7" s="82">
        <v>52.3</v>
      </c>
      <c r="AA7" s="82">
        <v>77.3</v>
      </c>
      <c r="AB7" s="82">
        <v>76.099999999999994</v>
      </c>
      <c r="AC7" s="82">
        <v>80.599999999999994</v>
      </c>
      <c r="AD7" s="82">
        <v>97.8</v>
      </c>
      <c r="AE7" s="82">
        <v>18.3</v>
      </c>
      <c r="AF7" s="82">
        <v>64.8</v>
      </c>
      <c r="AG7" s="82">
        <v>0.5</v>
      </c>
      <c r="AH7" s="82">
        <v>15.6</v>
      </c>
      <c r="AI7" s="82">
        <v>0.7</v>
      </c>
      <c r="AJ7" s="82">
        <v>4.5999999999999996</v>
      </c>
      <c r="AK7" s="82">
        <v>4.5</v>
      </c>
      <c r="AL7" s="82">
        <v>4</v>
      </c>
      <c r="AM7" s="82">
        <v>4</v>
      </c>
      <c r="AN7" s="82">
        <v>4</v>
      </c>
      <c r="AO7" s="82">
        <v>3.9</v>
      </c>
      <c r="AP7" s="82">
        <v>4</v>
      </c>
      <c r="AQ7" s="82">
        <v>4.3</v>
      </c>
      <c r="AR7" s="82">
        <v>4.9000000000000004</v>
      </c>
      <c r="AS7" s="82">
        <v>4.8</v>
      </c>
      <c r="AT7" s="82">
        <v>5</v>
      </c>
      <c r="AU7" s="82">
        <v>4.8</v>
      </c>
      <c r="AV7" s="82">
        <v>3.8</v>
      </c>
      <c r="AW7" s="82">
        <v>3.6</v>
      </c>
      <c r="AX7" s="82">
        <v>3.8</v>
      </c>
      <c r="AY7" s="82">
        <v>3.6</v>
      </c>
      <c r="AZ7" s="82">
        <v>3.8</v>
      </c>
      <c r="BA7" s="82">
        <v>3.8</v>
      </c>
      <c r="BB7" s="82">
        <v>3.2</v>
      </c>
      <c r="BC7" s="82">
        <v>3.2</v>
      </c>
      <c r="BD7" s="82">
        <v>2.5</v>
      </c>
      <c r="BE7" s="82">
        <v>2.6</v>
      </c>
      <c r="BF7" s="82">
        <v>1.9</v>
      </c>
      <c r="BG7" s="82">
        <v>2.1</v>
      </c>
      <c r="BH7" s="82">
        <v>1.6</v>
      </c>
      <c r="BI7" s="82">
        <v>1.7</v>
      </c>
      <c r="BJ7" s="82">
        <v>1</v>
      </c>
      <c r="BK7" s="82">
        <v>1.2</v>
      </c>
      <c r="BL7" s="82">
        <v>0.7</v>
      </c>
      <c r="BM7" s="82">
        <v>0.9</v>
      </c>
      <c r="BN7" s="82">
        <v>0.5</v>
      </c>
      <c r="BO7" s="82">
        <v>0.6</v>
      </c>
      <c r="BP7" s="82">
        <v>0.2</v>
      </c>
      <c r="BQ7" s="82">
        <v>0.4</v>
      </c>
      <c r="BR7" s="82">
        <v>0.1</v>
      </c>
      <c r="BS7" s="82">
        <v>0.3</v>
      </c>
      <c r="BT7" s="82">
        <v>40651</v>
      </c>
      <c r="BU7" s="82">
        <v>5928</v>
      </c>
      <c r="BV7" s="82">
        <v>1197</v>
      </c>
      <c r="BW7" s="82">
        <v>30854</v>
      </c>
      <c r="BX7" s="82">
        <v>10.5</v>
      </c>
      <c r="BY7" s="82">
        <v>1.7</v>
      </c>
      <c r="BZ7" s="82">
        <v>2.6</v>
      </c>
      <c r="CA7" s="82">
        <v>13.4</v>
      </c>
      <c r="CB7" s="82">
        <v>21.7</v>
      </c>
      <c r="CC7" s="82">
        <v>20.100000000000001</v>
      </c>
      <c r="CD7" s="82">
        <v>13</v>
      </c>
      <c r="CE7" s="82">
        <v>9.5</v>
      </c>
      <c r="CF7" s="82">
        <v>5.5</v>
      </c>
      <c r="CG7" s="82">
        <v>1.5</v>
      </c>
      <c r="CH7" s="82">
        <v>0.4</v>
      </c>
      <c r="CI7" s="82">
        <v>0.2</v>
      </c>
      <c r="CJ7" s="82">
        <f t="shared" si="2"/>
        <v>78630</v>
      </c>
      <c r="CK7" s="82">
        <f t="shared" si="3"/>
        <v>169936.78190182149</v>
      </c>
      <c r="CL7" s="95">
        <f ca="1">$CK7*SUM(OFFSET($AJ7,0,(COUNTA($CL$1:CL$1)-1)*4,1,4))/100</f>
        <v>29059.18970521148</v>
      </c>
      <c r="CM7" s="95">
        <f ca="1">$CK7*SUM(OFFSET($AJ7,0,(COUNTA($CL$1:CM$1)-1)*4,1,4))/100</f>
        <v>27529.758668095084</v>
      </c>
      <c r="CN7" s="95">
        <f ca="1">$CK7*SUM(OFFSET($AJ7,0,(COUNTA($CL$1:CN$1)-1)*4,1,4))/100</f>
        <v>33137.672470855192</v>
      </c>
      <c r="CO7" s="95">
        <f ca="1">$CK7*SUM(OFFSET($AJ7,0,(COUNTA($CL$1:CO$1)-1)*4,1,4))/100</f>
        <v>25150.64372146958</v>
      </c>
      <c r="CP7" s="95">
        <f ca="1">$CK7*SUM(OFFSET($AJ7,0,(COUNTA($CL$1:CP$1)-1)*4,1,4))/100</f>
        <v>23791.14946625501</v>
      </c>
      <c r="CQ7" s="95">
        <f ca="1">$CK7*SUM(OFFSET($AJ7,0,(COUNTA($CL$1:CQ$1)-1)*4,1,4))/100</f>
        <v>15464.247153065757</v>
      </c>
      <c r="CR7" s="95">
        <f ca="1">$CK7*SUM(OFFSET($AJ7,0,(COUNTA($CL$1:CR$1)-1)*4,1,4))/100</f>
        <v>9346.5230046001816</v>
      </c>
      <c r="CS7" s="95">
        <f ca="1">$CK7*SUM(OFFSET($AJ7,0,(COUNTA($CL$1:CS$1)-1)*4,1,4))/100</f>
        <v>4588.2931113491804</v>
      </c>
      <c r="CT7" s="95">
        <f ca="1">$CK7*SUM(OFFSET($AJ7,0,(COUNTA($CL$1:CT$1)-1)*4,1,4))/100</f>
        <v>1699.367819018215</v>
      </c>
      <c r="CU7" s="96">
        <f t="shared" si="4"/>
        <v>3669.7419354838707</v>
      </c>
      <c r="CV7" s="96">
        <f t="shared" si="5"/>
        <v>46.307556468385457</v>
      </c>
    </row>
    <row r="8" spans="1:100">
      <c r="A8" s="82" t="str">
        <f ca="1">IF(ISERROR(OFFSET(Map!$E$2,MATCH(D8,Map!$B$3:$B$239,0),0)),OFFSET(Map!$E$2,MATCH(D8,Map!$C$3:$C$239,0),0),OFFSET(Map!$E$2,MATCH(D8,Map!$B$3:$B$239,0),0))</f>
        <v>Cape Winelands</v>
      </c>
      <c r="B8" s="82">
        <v>7</v>
      </c>
      <c r="C8" s="82" t="s">
        <v>62</v>
      </c>
      <c r="D8" s="82" t="s">
        <v>219</v>
      </c>
      <c r="E8" s="82" t="s">
        <v>220</v>
      </c>
      <c r="F8" s="82">
        <v>115946</v>
      </c>
      <c r="G8" s="82">
        <v>25.4</v>
      </c>
      <c r="H8" s="82">
        <v>70.400000000000006</v>
      </c>
      <c r="I8" s="82">
        <f t="shared" si="0"/>
        <v>81626</v>
      </c>
      <c r="J8" s="82">
        <v>4.2</v>
      </c>
      <c r="K8" s="82">
        <v>42</v>
      </c>
      <c r="L8" s="82">
        <v>105.6</v>
      </c>
      <c r="M8" s="82">
        <v>2.64</v>
      </c>
      <c r="N8" s="82">
        <v>11</v>
      </c>
      <c r="O8" s="82">
        <v>7.6</v>
      </c>
      <c r="P8" s="82">
        <f t="shared" si="1"/>
        <v>75422</v>
      </c>
      <c r="Q8" s="82">
        <v>9.9</v>
      </c>
      <c r="R8" s="82">
        <v>6.6</v>
      </c>
      <c r="S8" s="82">
        <v>5.8</v>
      </c>
      <c r="T8" s="82">
        <v>18.2</v>
      </c>
      <c r="U8" s="82">
        <v>27419</v>
      </c>
      <c r="V8" s="82">
        <v>3189</v>
      </c>
      <c r="W8" s="82">
        <v>3.4</v>
      </c>
      <c r="X8" s="82">
        <v>28.9</v>
      </c>
      <c r="Y8" s="82">
        <v>86.2</v>
      </c>
      <c r="Z8" s="82">
        <v>34.5</v>
      </c>
      <c r="AA8" s="82">
        <v>86.9</v>
      </c>
      <c r="AB8" s="82">
        <v>69.900000000000006</v>
      </c>
      <c r="AC8" s="82">
        <v>78.8</v>
      </c>
      <c r="AD8" s="82">
        <v>93.4</v>
      </c>
      <c r="AE8" s="82">
        <v>25.3</v>
      </c>
      <c r="AF8" s="82">
        <v>65.900000000000006</v>
      </c>
      <c r="AG8" s="82">
        <v>0.2</v>
      </c>
      <c r="AH8" s="82">
        <v>7.7</v>
      </c>
      <c r="AI8" s="82">
        <v>0.8</v>
      </c>
      <c r="AJ8" s="82">
        <v>4.5</v>
      </c>
      <c r="AK8" s="82">
        <v>4.4000000000000004</v>
      </c>
      <c r="AL8" s="82">
        <v>4.0999999999999996</v>
      </c>
      <c r="AM8" s="82">
        <v>4</v>
      </c>
      <c r="AN8" s="82">
        <v>4.3</v>
      </c>
      <c r="AO8" s="82">
        <v>4.0999999999999996</v>
      </c>
      <c r="AP8" s="82">
        <v>4.3</v>
      </c>
      <c r="AQ8" s="82">
        <v>4.3</v>
      </c>
      <c r="AR8" s="82">
        <v>5.7</v>
      </c>
      <c r="AS8" s="82">
        <v>4.7</v>
      </c>
      <c r="AT8" s="82">
        <v>5.7</v>
      </c>
      <c r="AU8" s="82">
        <v>4.9000000000000004</v>
      </c>
      <c r="AV8" s="82">
        <v>4.7</v>
      </c>
      <c r="AW8" s="82">
        <v>3.9</v>
      </c>
      <c r="AX8" s="82">
        <v>4.3</v>
      </c>
      <c r="AY8" s="82">
        <v>3.8</v>
      </c>
      <c r="AZ8" s="82">
        <v>3.6</v>
      </c>
      <c r="BA8" s="82">
        <v>3.7</v>
      </c>
      <c r="BB8" s="82">
        <v>3</v>
      </c>
      <c r="BC8" s="82">
        <v>3</v>
      </c>
      <c r="BD8" s="82">
        <v>2.4</v>
      </c>
      <c r="BE8" s="82">
        <v>2.4</v>
      </c>
      <c r="BF8" s="82">
        <v>1.7</v>
      </c>
      <c r="BG8" s="82">
        <v>1.9</v>
      </c>
      <c r="BH8" s="82">
        <v>1.2</v>
      </c>
      <c r="BI8" s="82">
        <v>1.3</v>
      </c>
      <c r="BJ8" s="82">
        <v>0.8</v>
      </c>
      <c r="BK8" s="82">
        <v>0.9</v>
      </c>
      <c r="BL8" s="82">
        <v>0.5</v>
      </c>
      <c r="BM8" s="82">
        <v>0.6</v>
      </c>
      <c r="BN8" s="82">
        <v>0.3</v>
      </c>
      <c r="BO8" s="82">
        <v>0.4</v>
      </c>
      <c r="BP8" s="82">
        <v>0.1</v>
      </c>
      <c r="BQ8" s="82">
        <v>0.3</v>
      </c>
      <c r="BR8" s="82">
        <v>0.1</v>
      </c>
      <c r="BS8" s="82">
        <v>0.2</v>
      </c>
      <c r="BT8" s="82">
        <v>52062</v>
      </c>
      <c r="BU8" s="82">
        <v>4272</v>
      </c>
      <c r="BV8" s="82">
        <v>1067</v>
      </c>
      <c r="BW8" s="82">
        <v>24231</v>
      </c>
      <c r="BX8" s="82">
        <v>6.4</v>
      </c>
      <c r="BY8" s="82">
        <v>1.9</v>
      </c>
      <c r="BZ8" s="82">
        <v>4</v>
      </c>
      <c r="CA8" s="82">
        <v>18.5</v>
      </c>
      <c r="CB8" s="82">
        <v>25.8</v>
      </c>
      <c r="CC8" s="82">
        <v>20.9</v>
      </c>
      <c r="CD8" s="82">
        <v>10.4</v>
      </c>
      <c r="CE8" s="82">
        <v>6.8</v>
      </c>
      <c r="CF8" s="82">
        <v>3.9</v>
      </c>
      <c r="CG8" s="82">
        <v>0.9</v>
      </c>
      <c r="CH8" s="82">
        <v>0.3</v>
      </c>
      <c r="CI8" s="82">
        <v>0.2</v>
      </c>
      <c r="CJ8" s="82">
        <f t="shared" si="2"/>
        <v>81632</v>
      </c>
      <c r="CK8" s="82">
        <f t="shared" si="3"/>
        <v>146590.41045988401</v>
      </c>
      <c r="CL8" s="95">
        <f ca="1">$CK8*SUM(OFFSET($AJ8,0,(COUNTA($CL$1:CL$1)-1)*4,1,4))/100</f>
        <v>24920.36977818028</v>
      </c>
      <c r="CM8" s="95">
        <f ca="1">$CK8*SUM(OFFSET($AJ8,0,(COUNTA($CL$1:CM$1)-1)*4,1,4))/100</f>
        <v>24920.36977818028</v>
      </c>
      <c r="CN8" s="95">
        <f ca="1">$CK8*SUM(OFFSET($AJ8,0,(COUNTA($CL$1:CN$1)-1)*4,1,4))/100</f>
        <v>30783.986196575639</v>
      </c>
      <c r="CO8" s="95">
        <f ca="1">$CK8*SUM(OFFSET($AJ8,0,(COUNTA($CL$1:CO$1)-1)*4,1,4))/100</f>
        <v>24480.598546800626</v>
      </c>
      <c r="CP8" s="95">
        <f ca="1">$CK8*SUM(OFFSET($AJ8,0,(COUNTA($CL$1:CP$1)-1)*4,1,4))/100</f>
        <v>19496.524591164576</v>
      </c>
      <c r="CQ8" s="95">
        <f ca="1">$CK8*SUM(OFFSET($AJ8,0,(COUNTA($CL$1:CQ$1)-1)*4,1,4))/100</f>
        <v>12313.594478630255</v>
      </c>
      <c r="CR8" s="95">
        <f ca="1">$CK8*SUM(OFFSET($AJ8,0,(COUNTA($CL$1:CR$1)-1)*4,1,4))/100</f>
        <v>6156.7972393151276</v>
      </c>
      <c r="CS8" s="95">
        <f ca="1">$CK8*SUM(OFFSET($AJ8,0,(COUNTA($CL$1:CS$1)-1)*4,1,4))/100</f>
        <v>2638.6273882779124</v>
      </c>
      <c r="CT8" s="95">
        <f ca="1">$CK8*SUM(OFFSET($AJ8,0,(COUNTA($CL$1:CT$1)-1)*4,1,4))/100</f>
        <v>1026.132873219188</v>
      </c>
      <c r="CU8" s="96">
        <f t="shared" si="4"/>
        <v>10540.545454545454</v>
      </c>
      <c r="CV8" s="96">
        <f t="shared" si="5"/>
        <v>13.907288867737776</v>
      </c>
    </row>
    <row r="9" spans="1:100">
      <c r="A9" s="82" t="str">
        <f ca="1">IF(ISERROR(OFFSET(Map!$E$2,MATCH(D9,Map!$B$3:$B$239,0),0)),OFFSET(Map!$E$2,MATCH(D9,Map!$C$3:$C$239,0),0),OFFSET(Map!$E$2,MATCH(D9,Map!$B$3:$B$239,0),0))</f>
        <v>Cape Winelands</v>
      </c>
      <c r="B9" s="82">
        <v>8</v>
      </c>
      <c r="C9" s="82" t="s">
        <v>62</v>
      </c>
      <c r="D9" s="82" t="s">
        <v>221</v>
      </c>
      <c r="E9" s="82" t="s">
        <v>222</v>
      </c>
      <c r="F9" s="82">
        <v>251262</v>
      </c>
      <c r="G9" s="82">
        <v>25.6</v>
      </c>
      <c r="H9" s="82">
        <v>69.2</v>
      </c>
      <c r="I9" s="82">
        <f t="shared" si="0"/>
        <v>173873</v>
      </c>
      <c r="J9" s="82">
        <v>5.2</v>
      </c>
      <c r="K9" s="82">
        <v>44.5</v>
      </c>
      <c r="L9" s="82">
        <v>96.7</v>
      </c>
      <c r="M9" s="82">
        <v>2.56</v>
      </c>
      <c r="N9" s="82">
        <v>163</v>
      </c>
      <c r="O9" s="82">
        <v>17.600000000000001</v>
      </c>
      <c r="P9" s="82">
        <f t="shared" si="1"/>
        <v>143272</v>
      </c>
      <c r="Q9" s="82">
        <v>24.6</v>
      </c>
      <c r="R9" s="82">
        <v>3.3</v>
      </c>
      <c r="S9" s="82">
        <v>11.8</v>
      </c>
      <c r="T9" s="82">
        <v>27.4</v>
      </c>
      <c r="U9" s="82">
        <v>59774</v>
      </c>
      <c r="V9" s="82">
        <v>3645</v>
      </c>
      <c r="W9" s="82">
        <v>3.8</v>
      </c>
      <c r="X9" s="82">
        <v>33.6</v>
      </c>
      <c r="Y9" s="82">
        <v>85.1</v>
      </c>
      <c r="Z9" s="82">
        <v>46.3</v>
      </c>
      <c r="AA9" s="82">
        <v>90.2</v>
      </c>
      <c r="AB9" s="82">
        <v>86.1</v>
      </c>
      <c r="AC9" s="82">
        <v>80</v>
      </c>
      <c r="AD9" s="82">
        <v>95</v>
      </c>
      <c r="AE9" s="82">
        <v>22.7</v>
      </c>
      <c r="AF9" s="82">
        <v>62.5</v>
      </c>
      <c r="AG9" s="82">
        <v>0.4</v>
      </c>
      <c r="AH9" s="82">
        <v>13.5</v>
      </c>
      <c r="AI9" s="82">
        <v>0.9</v>
      </c>
      <c r="AJ9" s="82">
        <v>4.8</v>
      </c>
      <c r="AK9" s="82">
        <v>4.7</v>
      </c>
      <c r="AL9" s="82">
        <v>4</v>
      </c>
      <c r="AM9" s="82">
        <v>4</v>
      </c>
      <c r="AN9" s="82">
        <v>4.0999999999999996</v>
      </c>
      <c r="AO9" s="82">
        <v>4</v>
      </c>
      <c r="AP9" s="82">
        <v>4.5999999999999996</v>
      </c>
      <c r="AQ9" s="82">
        <v>4.5999999999999996</v>
      </c>
      <c r="AR9" s="82">
        <v>5.2</v>
      </c>
      <c r="AS9" s="82">
        <v>4.9000000000000004</v>
      </c>
      <c r="AT9" s="82">
        <v>4.7</v>
      </c>
      <c r="AU9" s="82">
        <v>4.5</v>
      </c>
      <c r="AV9" s="82">
        <v>3.5</v>
      </c>
      <c r="AW9" s="82">
        <v>3.5</v>
      </c>
      <c r="AX9" s="82">
        <v>3.6</v>
      </c>
      <c r="AY9" s="82">
        <v>3.6</v>
      </c>
      <c r="AZ9" s="82">
        <v>3.6</v>
      </c>
      <c r="BA9" s="82">
        <v>3.8</v>
      </c>
      <c r="BB9" s="82">
        <v>3.1</v>
      </c>
      <c r="BC9" s="82">
        <v>3.1</v>
      </c>
      <c r="BD9" s="82">
        <v>2.6</v>
      </c>
      <c r="BE9" s="82">
        <v>2.9</v>
      </c>
      <c r="BF9" s="82">
        <v>1.9</v>
      </c>
      <c r="BG9" s="82">
        <v>2.2000000000000002</v>
      </c>
      <c r="BH9" s="82">
        <v>1.4</v>
      </c>
      <c r="BI9" s="82">
        <v>1.6</v>
      </c>
      <c r="BJ9" s="82">
        <v>0.9</v>
      </c>
      <c r="BK9" s="82">
        <v>1.1000000000000001</v>
      </c>
      <c r="BL9" s="82">
        <v>0.6</v>
      </c>
      <c r="BM9" s="82">
        <v>0.8</v>
      </c>
      <c r="BN9" s="82">
        <v>0.4</v>
      </c>
      <c r="BO9" s="82">
        <v>0.6</v>
      </c>
      <c r="BP9" s="82">
        <v>0.2</v>
      </c>
      <c r="BQ9" s="82">
        <v>0.4</v>
      </c>
      <c r="BR9" s="82">
        <v>0.1</v>
      </c>
      <c r="BS9" s="82">
        <v>0.3</v>
      </c>
      <c r="BT9" s="82">
        <v>87336</v>
      </c>
      <c r="BU9" s="82">
        <v>18694</v>
      </c>
      <c r="BV9" s="82">
        <v>5705</v>
      </c>
      <c r="BW9" s="82">
        <v>62102</v>
      </c>
      <c r="BX9" s="82">
        <v>13</v>
      </c>
      <c r="BY9" s="82">
        <v>1.7</v>
      </c>
      <c r="BZ9" s="82">
        <v>3.1</v>
      </c>
      <c r="CA9" s="82">
        <v>10.7</v>
      </c>
      <c r="CB9" s="82">
        <v>17.2</v>
      </c>
      <c r="CC9" s="82">
        <v>18.399999999999999</v>
      </c>
      <c r="CD9" s="82">
        <v>13.9</v>
      </c>
      <c r="CE9" s="82">
        <v>11</v>
      </c>
      <c r="CF9" s="82">
        <v>7.4</v>
      </c>
      <c r="CG9" s="82">
        <v>2.5</v>
      </c>
      <c r="CH9" s="82">
        <v>0.7</v>
      </c>
      <c r="CI9" s="82">
        <v>0.4</v>
      </c>
      <c r="CJ9" s="82">
        <f t="shared" si="2"/>
        <v>173837</v>
      </c>
      <c r="CK9" s="82">
        <f t="shared" si="3"/>
        <v>315448.83071367914</v>
      </c>
      <c r="CL9" s="95">
        <f ca="1">$CK9*SUM(OFFSET($AJ9,0,(COUNTA($CL$1:CL$1)-1)*4,1,4))/100</f>
        <v>55203.545374893853</v>
      </c>
      <c r="CM9" s="95">
        <f ca="1">$CK9*SUM(OFFSET($AJ9,0,(COUNTA($CL$1:CM$1)-1)*4,1,4))/100</f>
        <v>54572.647713466482</v>
      </c>
      <c r="CN9" s="95">
        <f ca="1">$CK9*SUM(OFFSET($AJ9,0,(COUNTA($CL$1:CN$1)-1)*4,1,4))/100</f>
        <v>60881.624327740072</v>
      </c>
      <c r="CO9" s="95">
        <f ca="1">$CK9*SUM(OFFSET($AJ9,0,(COUNTA($CL$1:CO$1)-1)*4,1,4))/100</f>
        <v>44793.733961342434</v>
      </c>
      <c r="CP9" s="95">
        <f ca="1">$CK9*SUM(OFFSET($AJ9,0,(COUNTA($CL$1:CP$1)-1)*4,1,4))/100</f>
        <v>42901.040977060366</v>
      </c>
      <c r="CQ9" s="95">
        <f ca="1">$CK9*SUM(OFFSET($AJ9,0,(COUNTA($CL$1:CQ$1)-1)*4,1,4))/100</f>
        <v>30283.087748513204</v>
      </c>
      <c r="CR9" s="95">
        <f ca="1">$CK9*SUM(OFFSET($AJ9,0,(COUNTA($CL$1:CR$1)-1)*4,1,4))/100</f>
        <v>15772.441535683956</v>
      </c>
      <c r="CS9" s="95">
        <f ca="1">$CK9*SUM(OFFSET($AJ9,0,(COUNTA($CL$1:CS$1)-1)*4,1,4))/100</f>
        <v>7570.7719371282992</v>
      </c>
      <c r="CT9" s="95">
        <f ca="1">$CK9*SUM(OFFSET($AJ9,0,(COUNTA($CL$1:CT$1)-1)*4,1,4))/100</f>
        <v>3154.4883071367913</v>
      </c>
      <c r="CU9" s="96">
        <f t="shared" si="4"/>
        <v>1541.484662576687</v>
      </c>
      <c r="CV9" s="96">
        <f t="shared" si="5"/>
        <v>204.63961683951294</v>
      </c>
    </row>
    <row r="10" spans="1:100">
      <c r="A10" s="82" t="str">
        <f ca="1">IF(ISERROR(OFFSET(Map!$E$2,MATCH(D10,Map!$B$3:$B$239,0),0)),OFFSET(Map!$E$2,MATCH(D10,Map!$C$3:$C$239,0),0),OFFSET(Map!$E$2,MATCH(D10,Map!$B$3:$B$239,0),0))</f>
        <v>Cape Winelands</v>
      </c>
      <c r="B10" s="82">
        <v>9</v>
      </c>
      <c r="C10" s="82" t="s">
        <v>62</v>
      </c>
      <c r="D10" s="82" t="s">
        <v>223</v>
      </c>
      <c r="E10" s="82" t="s">
        <v>224</v>
      </c>
      <c r="F10" s="82">
        <v>155733</v>
      </c>
      <c r="G10" s="82">
        <v>22.8</v>
      </c>
      <c r="H10" s="82">
        <v>72.3</v>
      </c>
      <c r="I10" s="82">
        <f t="shared" si="0"/>
        <v>112595</v>
      </c>
      <c r="J10" s="82">
        <v>4.9000000000000004</v>
      </c>
      <c r="K10" s="82">
        <v>38.4</v>
      </c>
      <c r="L10" s="82">
        <v>95.8</v>
      </c>
      <c r="M10" s="82">
        <v>2.71</v>
      </c>
      <c r="N10" s="82">
        <v>187</v>
      </c>
      <c r="O10" s="82">
        <v>15.2</v>
      </c>
      <c r="P10" s="82">
        <f t="shared" si="1"/>
        <v>95481</v>
      </c>
      <c r="Q10" s="82">
        <v>21.5</v>
      </c>
      <c r="R10" s="82">
        <v>3.1</v>
      </c>
      <c r="S10" s="82">
        <v>17.3</v>
      </c>
      <c r="T10" s="82">
        <v>25.2</v>
      </c>
      <c r="U10" s="82">
        <v>43420</v>
      </c>
      <c r="V10" s="82">
        <v>2805</v>
      </c>
      <c r="W10" s="82">
        <v>3.3</v>
      </c>
      <c r="X10" s="82">
        <v>34.6</v>
      </c>
      <c r="Y10" s="82">
        <v>75.099999999999994</v>
      </c>
      <c r="Z10" s="82">
        <v>35.6</v>
      </c>
      <c r="AA10" s="82">
        <v>87.1</v>
      </c>
      <c r="AB10" s="82">
        <v>87</v>
      </c>
      <c r="AC10" s="82">
        <v>72.400000000000006</v>
      </c>
      <c r="AD10" s="82">
        <v>92.9</v>
      </c>
      <c r="AE10" s="82">
        <v>28.1</v>
      </c>
      <c r="AF10" s="82">
        <v>52.2</v>
      </c>
      <c r="AG10" s="82">
        <v>0.4</v>
      </c>
      <c r="AH10" s="82">
        <v>18.5</v>
      </c>
      <c r="AI10" s="82">
        <v>0.8</v>
      </c>
      <c r="AJ10" s="82">
        <v>4.3</v>
      </c>
      <c r="AK10" s="82">
        <v>4.3</v>
      </c>
      <c r="AL10" s="82">
        <v>3.6</v>
      </c>
      <c r="AM10" s="82">
        <v>3.6</v>
      </c>
      <c r="AN10" s="82">
        <v>3.5</v>
      </c>
      <c r="AO10" s="82">
        <v>3.5</v>
      </c>
      <c r="AP10" s="82">
        <v>4.7</v>
      </c>
      <c r="AQ10" s="82">
        <v>5.2</v>
      </c>
      <c r="AR10" s="82">
        <v>7.3</v>
      </c>
      <c r="AS10" s="82">
        <v>7.5</v>
      </c>
      <c r="AT10" s="82">
        <v>5.0999999999999996</v>
      </c>
      <c r="AU10" s="82">
        <v>5</v>
      </c>
      <c r="AV10" s="82">
        <v>3.9</v>
      </c>
      <c r="AW10" s="82">
        <v>3.7</v>
      </c>
      <c r="AX10" s="82">
        <v>3.3</v>
      </c>
      <c r="AY10" s="82">
        <v>3.4</v>
      </c>
      <c r="AZ10" s="82">
        <v>3.2</v>
      </c>
      <c r="BA10" s="82">
        <v>3.3</v>
      </c>
      <c r="BB10" s="82">
        <v>2.7</v>
      </c>
      <c r="BC10" s="82">
        <v>2.7</v>
      </c>
      <c r="BD10" s="82">
        <v>2.2000000000000002</v>
      </c>
      <c r="BE10" s="82">
        <v>2.4</v>
      </c>
      <c r="BF10" s="82">
        <v>1.7</v>
      </c>
      <c r="BG10" s="82">
        <v>2</v>
      </c>
      <c r="BH10" s="82">
        <v>1.3</v>
      </c>
      <c r="BI10" s="82">
        <v>1.4</v>
      </c>
      <c r="BJ10" s="82">
        <v>0.9</v>
      </c>
      <c r="BK10" s="82">
        <v>1</v>
      </c>
      <c r="BL10" s="82">
        <v>0.6</v>
      </c>
      <c r="BM10" s="82">
        <v>0.7</v>
      </c>
      <c r="BN10" s="82">
        <v>0.3</v>
      </c>
      <c r="BO10" s="82">
        <v>0.5</v>
      </c>
      <c r="BP10" s="82">
        <v>0.2</v>
      </c>
      <c r="BQ10" s="82">
        <v>0.3</v>
      </c>
      <c r="BR10" s="82">
        <v>0.1</v>
      </c>
      <c r="BS10" s="82">
        <v>0.3</v>
      </c>
      <c r="BT10" s="82">
        <v>56957</v>
      </c>
      <c r="BU10" s="82">
        <v>10178</v>
      </c>
      <c r="BV10" s="82">
        <v>2731</v>
      </c>
      <c r="BW10" s="82">
        <v>42666</v>
      </c>
      <c r="BX10" s="82">
        <v>20.6</v>
      </c>
      <c r="BY10" s="82">
        <v>2.1</v>
      </c>
      <c r="BZ10" s="82">
        <v>3.5</v>
      </c>
      <c r="CA10" s="82">
        <v>10.199999999999999</v>
      </c>
      <c r="CB10" s="82">
        <v>16.5</v>
      </c>
      <c r="CC10" s="82">
        <v>15.5</v>
      </c>
      <c r="CD10" s="82">
        <v>11.5</v>
      </c>
      <c r="CE10" s="82">
        <v>8.5</v>
      </c>
      <c r="CF10" s="82">
        <v>6.6</v>
      </c>
      <c r="CG10" s="82">
        <v>3.3</v>
      </c>
      <c r="CH10" s="82">
        <v>1</v>
      </c>
      <c r="CI10" s="82">
        <v>0.7</v>
      </c>
      <c r="CJ10" s="82">
        <f t="shared" si="2"/>
        <v>112532</v>
      </c>
      <c r="CK10" s="82">
        <f t="shared" si="3"/>
        <v>198104.89777296784</v>
      </c>
      <c r="CL10" s="95">
        <f ca="1">$CK10*SUM(OFFSET($AJ10,0,(COUNTA($CL$1:CL$1)-1)*4,1,4))/100</f>
        <v>31300.573848128919</v>
      </c>
      <c r="CM10" s="95">
        <f ca="1">$CK10*SUM(OFFSET($AJ10,0,(COUNTA($CL$1:CM$1)-1)*4,1,4))/100</f>
        <v>33479.727723631564</v>
      </c>
      <c r="CN10" s="95">
        <f ca="1">$CK10*SUM(OFFSET($AJ10,0,(COUNTA($CL$1:CN$1)-1)*4,1,4))/100</f>
        <v>49328.119545468988</v>
      </c>
      <c r="CO10" s="95">
        <f ca="1">$CK10*SUM(OFFSET($AJ10,0,(COUNTA($CL$1:CO$1)-1)*4,1,4))/100</f>
        <v>28329.000381534399</v>
      </c>
      <c r="CP10" s="95">
        <f ca="1">$CK10*SUM(OFFSET($AJ10,0,(COUNTA($CL$1:CP$1)-1)*4,1,4))/100</f>
        <v>23574.48283498317</v>
      </c>
      <c r="CQ10" s="95">
        <f ca="1">$CK10*SUM(OFFSET($AJ10,0,(COUNTA($CL$1:CQ$1)-1)*4,1,4))/100</f>
        <v>16442.706515156333</v>
      </c>
      <c r="CR10" s="95">
        <f ca="1">$CK10*SUM(OFFSET($AJ10,0,(COUNTA($CL$1:CR$1)-1)*4,1,4))/100</f>
        <v>9112.825297556521</v>
      </c>
      <c r="CS10" s="95">
        <f ca="1">$CK10*SUM(OFFSET($AJ10,0,(COUNTA($CL$1:CS$1)-1)*4,1,4))/100</f>
        <v>4160.2028532323238</v>
      </c>
      <c r="CT10" s="95">
        <f ca="1">$CK10*SUM(OFFSET($AJ10,0,(COUNTA($CL$1:CT$1)-1)*4,1,4))/100</f>
        <v>1782.9440799567103</v>
      </c>
      <c r="CU10" s="96">
        <f t="shared" si="4"/>
        <v>832.79679144385022</v>
      </c>
      <c r="CV10" s="96">
        <f t="shared" si="5"/>
        <v>237.87903580837067</v>
      </c>
    </row>
    <row r="11" spans="1:100">
      <c r="A11" s="82" t="str">
        <f ca="1">IF(ISERROR(OFFSET(Map!$E$2,MATCH(D11,Map!$B$3:$B$239,0),0)),OFFSET(Map!$E$2,MATCH(D11,Map!$C$3:$C$239,0),0),OFFSET(Map!$E$2,MATCH(D11,Map!$B$3:$B$239,0),0))</f>
        <v>Cape Winelands</v>
      </c>
      <c r="B11" s="82">
        <v>10</v>
      </c>
      <c r="C11" s="82" t="s">
        <v>62</v>
      </c>
      <c r="D11" s="82" t="s">
        <v>225</v>
      </c>
      <c r="E11" s="82" t="s">
        <v>226</v>
      </c>
      <c r="F11" s="82">
        <v>166825</v>
      </c>
      <c r="G11" s="82">
        <v>27.8</v>
      </c>
      <c r="H11" s="82">
        <v>66.900000000000006</v>
      </c>
      <c r="I11" s="82">
        <f t="shared" si="0"/>
        <v>111606</v>
      </c>
      <c r="J11" s="82">
        <v>5.3</v>
      </c>
      <c r="K11" s="82">
        <v>49.5</v>
      </c>
      <c r="L11" s="82">
        <v>94.5</v>
      </c>
      <c r="M11" s="82">
        <v>1.31</v>
      </c>
      <c r="N11" s="82">
        <v>44</v>
      </c>
      <c r="O11" s="82">
        <v>14.4</v>
      </c>
      <c r="P11" s="82">
        <f t="shared" si="1"/>
        <v>95535</v>
      </c>
      <c r="Q11" s="82">
        <v>20.2</v>
      </c>
      <c r="R11" s="82">
        <v>4.9000000000000004</v>
      </c>
      <c r="S11" s="82">
        <v>8.3000000000000007</v>
      </c>
      <c r="T11" s="82">
        <v>24.9</v>
      </c>
      <c r="U11" s="82">
        <v>42527</v>
      </c>
      <c r="V11" s="82">
        <v>2447</v>
      </c>
      <c r="W11" s="82">
        <v>3.7</v>
      </c>
      <c r="X11" s="82">
        <v>35.299999999999997</v>
      </c>
      <c r="Y11" s="82">
        <v>77.900000000000006</v>
      </c>
      <c r="Z11" s="82">
        <v>40.6</v>
      </c>
      <c r="AA11" s="82">
        <v>83.5</v>
      </c>
      <c r="AB11" s="82">
        <v>75.3</v>
      </c>
      <c r="AC11" s="82">
        <v>69.3</v>
      </c>
      <c r="AD11" s="82">
        <v>88.3</v>
      </c>
      <c r="AE11" s="82">
        <v>24.3</v>
      </c>
      <c r="AF11" s="82">
        <v>63.3</v>
      </c>
      <c r="AG11" s="82">
        <v>0.6</v>
      </c>
      <c r="AH11" s="82">
        <v>10.7</v>
      </c>
      <c r="AI11" s="82">
        <v>1.1000000000000001</v>
      </c>
      <c r="AJ11" s="82">
        <v>5.0999999999999996</v>
      </c>
      <c r="AK11" s="82">
        <v>4.9000000000000004</v>
      </c>
      <c r="AL11" s="82">
        <v>4.4000000000000004</v>
      </c>
      <c r="AM11" s="82">
        <v>4.4000000000000004</v>
      </c>
      <c r="AN11" s="82">
        <v>4.5</v>
      </c>
      <c r="AO11" s="82">
        <v>4.5</v>
      </c>
      <c r="AP11" s="82">
        <v>4.5999999999999996</v>
      </c>
      <c r="AQ11" s="82">
        <v>4.5999999999999996</v>
      </c>
      <c r="AR11" s="82">
        <v>4.5</v>
      </c>
      <c r="AS11" s="82">
        <v>4.5999999999999996</v>
      </c>
      <c r="AT11" s="82">
        <v>4.5</v>
      </c>
      <c r="AU11" s="82">
        <v>4.5</v>
      </c>
      <c r="AV11" s="82">
        <v>3.7</v>
      </c>
      <c r="AW11" s="82">
        <v>3.7</v>
      </c>
      <c r="AX11" s="82">
        <v>3.5</v>
      </c>
      <c r="AY11" s="82">
        <v>3.7</v>
      </c>
      <c r="AZ11" s="82">
        <v>3.4</v>
      </c>
      <c r="BA11" s="82">
        <v>3.6</v>
      </c>
      <c r="BB11" s="82">
        <v>2.8</v>
      </c>
      <c r="BC11" s="82">
        <v>2.8</v>
      </c>
      <c r="BD11" s="82">
        <v>2.2999999999999998</v>
      </c>
      <c r="BE11" s="82">
        <v>2.8</v>
      </c>
      <c r="BF11" s="82">
        <v>1.8</v>
      </c>
      <c r="BG11" s="82">
        <v>2.1</v>
      </c>
      <c r="BH11" s="82">
        <v>1.4</v>
      </c>
      <c r="BI11" s="82">
        <v>1.6</v>
      </c>
      <c r="BJ11" s="82">
        <v>0.9</v>
      </c>
      <c r="BK11" s="82">
        <v>1.1000000000000001</v>
      </c>
      <c r="BL11" s="82">
        <v>0.6</v>
      </c>
      <c r="BM11" s="82">
        <v>0.8</v>
      </c>
      <c r="BN11" s="82">
        <v>0.3</v>
      </c>
      <c r="BO11" s="82">
        <v>0.6</v>
      </c>
      <c r="BP11" s="82">
        <v>0.2</v>
      </c>
      <c r="BQ11" s="82">
        <v>0.3</v>
      </c>
      <c r="BR11" s="82">
        <v>0.1</v>
      </c>
      <c r="BS11" s="82">
        <v>0.3</v>
      </c>
      <c r="BT11" s="82">
        <v>58696</v>
      </c>
      <c r="BU11" s="82">
        <v>9911</v>
      </c>
      <c r="BV11" s="82">
        <v>1779</v>
      </c>
      <c r="BW11" s="82">
        <v>41183</v>
      </c>
      <c r="BX11" s="82">
        <v>12</v>
      </c>
      <c r="BY11" s="82">
        <v>1.7</v>
      </c>
      <c r="BZ11" s="82">
        <v>2.9</v>
      </c>
      <c r="CA11" s="82">
        <v>14.9</v>
      </c>
      <c r="CB11" s="82">
        <v>22.2</v>
      </c>
      <c r="CC11" s="82">
        <v>19</v>
      </c>
      <c r="CD11" s="82">
        <v>12.6</v>
      </c>
      <c r="CE11" s="82">
        <v>8.5</v>
      </c>
      <c r="CF11" s="82">
        <v>4.7</v>
      </c>
      <c r="CG11" s="82">
        <v>1</v>
      </c>
      <c r="CH11" s="82">
        <v>0.3</v>
      </c>
      <c r="CI11" s="82">
        <v>0.2</v>
      </c>
      <c r="CJ11" s="82">
        <f t="shared" si="2"/>
        <v>111569</v>
      </c>
      <c r="CK11" s="82">
        <f t="shared" si="3"/>
        <v>187556.43606858223</v>
      </c>
      <c r="CL11" s="95">
        <f ca="1">$CK11*SUM(OFFSET($AJ11,0,(COUNTA($CL$1:CL$1)-1)*4,1,4))/100</f>
        <v>35260.60998089346</v>
      </c>
      <c r="CM11" s="95">
        <f ca="1">$CK11*SUM(OFFSET($AJ11,0,(COUNTA($CL$1:CM$1)-1)*4,1,4))/100</f>
        <v>34135.271364481967</v>
      </c>
      <c r="CN11" s="95">
        <f ca="1">$CK11*SUM(OFFSET($AJ11,0,(COUNTA($CL$1:CN$1)-1)*4,1,4))/100</f>
        <v>33947.714928413385</v>
      </c>
      <c r="CO11" s="95">
        <f ca="1">$CK11*SUM(OFFSET($AJ11,0,(COUNTA($CL$1:CO$1)-1)*4,1,4))/100</f>
        <v>27383.239666013011</v>
      </c>
      <c r="CP11" s="95">
        <f ca="1">$CK11*SUM(OFFSET($AJ11,0,(COUNTA($CL$1:CP$1)-1)*4,1,4))/100</f>
        <v>23632.110944641361</v>
      </c>
      <c r="CQ11" s="95">
        <f ca="1">$CK11*SUM(OFFSET($AJ11,0,(COUNTA($CL$1:CQ$1)-1)*4,1,4))/100</f>
        <v>16880.079246172401</v>
      </c>
      <c r="CR11" s="95">
        <f ca="1">$CK11*SUM(OFFSET($AJ11,0,(COUNTA($CL$1:CR$1)-1)*4,1,4))/100</f>
        <v>9377.8218034291112</v>
      </c>
      <c r="CS11" s="95">
        <f ca="1">$CK11*SUM(OFFSET($AJ11,0,(COUNTA($CL$1:CS$1)-1)*4,1,4))/100</f>
        <v>4313.7980295773914</v>
      </c>
      <c r="CT11" s="95">
        <f ca="1">$CK11*SUM(OFFSET($AJ11,0,(COUNTA($CL$1:CT$1)-1)*4,1,4))/100</f>
        <v>1688.00792461724</v>
      </c>
      <c r="CU11" s="96">
        <f t="shared" si="4"/>
        <v>3791.4772727272725</v>
      </c>
      <c r="CV11" s="96">
        <f t="shared" si="5"/>
        <v>49.467904612723622</v>
      </c>
    </row>
    <row r="12" spans="1:100">
      <c r="A12" s="82" t="str">
        <f ca="1">IF(ISERROR(OFFSET(Map!$E$2,MATCH(D12,Map!$B$3:$B$239,0),0)),OFFSET(Map!$E$2,MATCH(D12,Map!$C$3:$C$239,0),0),OFFSET(Map!$E$2,MATCH(D12,Map!$B$3:$B$239,0),0))</f>
        <v>Cape Winelands</v>
      </c>
      <c r="B12" s="82">
        <v>11</v>
      </c>
      <c r="C12" s="82" t="s">
        <v>62</v>
      </c>
      <c r="D12" s="82" t="s">
        <v>227</v>
      </c>
      <c r="E12" s="82" t="s">
        <v>228</v>
      </c>
      <c r="F12" s="82">
        <v>97724</v>
      </c>
      <c r="G12" s="82">
        <v>28.4</v>
      </c>
      <c r="H12" s="82">
        <v>65.5</v>
      </c>
      <c r="I12" s="82">
        <f t="shared" si="0"/>
        <v>64009</v>
      </c>
      <c r="J12" s="82">
        <v>6.1</v>
      </c>
      <c r="K12" s="82">
        <v>52.6</v>
      </c>
      <c r="L12" s="82">
        <v>96.1</v>
      </c>
      <c r="M12" s="82">
        <v>1.79</v>
      </c>
      <c r="N12" s="82">
        <v>22</v>
      </c>
      <c r="O12" s="82">
        <v>11.3</v>
      </c>
      <c r="P12" s="82">
        <f t="shared" si="1"/>
        <v>56776</v>
      </c>
      <c r="Q12" s="82">
        <v>15.1</v>
      </c>
      <c r="R12" s="82">
        <v>6</v>
      </c>
      <c r="S12" s="82">
        <v>6.5</v>
      </c>
      <c r="T12" s="82">
        <v>21.5</v>
      </c>
      <c r="U12" s="82">
        <v>25125</v>
      </c>
      <c r="V12" s="82">
        <v>2979</v>
      </c>
      <c r="W12" s="82">
        <v>3.7</v>
      </c>
      <c r="X12" s="82">
        <v>31.1</v>
      </c>
      <c r="Y12" s="82">
        <v>90.7</v>
      </c>
      <c r="Z12" s="82">
        <v>46.8</v>
      </c>
      <c r="AA12" s="82">
        <v>83</v>
      </c>
      <c r="AB12" s="82">
        <v>71.7</v>
      </c>
      <c r="AC12" s="82">
        <v>80.3</v>
      </c>
      <c r="AD12" s="82">
        <v>94.2</v>
      </c>
      <c r="AE12" s="82">
        <v>16.3</v>
      </c>
      <c r="AF12" s="82">
        <v>70.3</v>
      </c>
      <c r="AG12" s="82">
        <v>0.3</v>
      </c>
      <c r="AH12" s="82">
        <v>12.3</v>
      </c>
      <c r="AI12" s="82">
        <v>0.9</v>
      </c>
      <c r="AJ12" s="82">
        <v>5</v>
      </c>
      <c r="AK12" s="82">
        <v>5</v>
      </c>
      <c r="AL12" s="82">
        <v>4.5999999999999996</v>
      </c>
      <c r="AM12" s="82">
        <v>4.5</v>
      </c>
      <c r="AN12" s="82">
        <v>4.7</v>
      </c>
      <c r="AO12" s="82">
        <v>4.5</v>
      </c>
      <c r="AP12" s="82">
        <v>4.4000000000000004</v>
      </c>
      <c r="AQ12" s="82">
        <v>4.4000000000000004</v>
      </c>
      <c r="AR12" s="82">
        <v>4.3</v>
      </c>
      <c r="AS12" s="82">
        <v>4.4000000000000004</v>
      </c>
      <c r="AT12" s="82">
        <v>4.2</v>
      </c>
      <c r="AU12" s="82">
        <v>4.2</v>
      </c>
      <c r="AV12" s="82">
        <v>3.5</v>
      </c>
      <c r="AW12" s="82">
        <v>3.4</v>
      </c>
      <c r="AX12" s="82">
        <v>3.3</v>
      </c>
      <c r="AY12" s="82">
        <v>3.6</v>
      </c>
      <c r="AZ12" s="82">
        <v>3.5</v>
      </c>
      <c r="BA12" s="82">
        <v>3.8</v>
      </c>
      <c r="BB12" s="82">
        <v>3</v>
      </c>
      <c r="BC12" s="82">
        <v>3</v>
      </c>
      <c r="BD12" s="82">
        <v>2.2999999999999998</v>
      </c>
      <c r="BE12" s="82">
        <v>2.7</v>
      </c>
      <c r="BF12" s="82">
        <v>1.9</v>
      </c>
      <c r="BG12" s="82">
        <v>2.1</v>
      </c>
      <c r="BH12" s="82">
        <v>1.4</v>
      </c>
      <c r="BI12" s="82">
        <v>1.6</v>
      </c>
      <c r="BJ12" s="82">
        <v>1.1000000000000001</v>
      </c>
      <c r="BK12" s="82">
        <v>1.2</v>
      </c>
      <c r="BL12" s="82">
        <v>0.7</v>
      </c>
      <c r="BM12" s="82">
        <v>0.9</v>
      </c>
      <c r="BN12" s="82">
        <v>0.4</v>
      </c>
      <c r="BO12" s="82">
        <v>0.7</v>
      </c>
      <c r="BP12" s="82">
        <v>0.3</v>
      </c>
      <c r="BQ12" s="82">
        <v>0.4</v>
      </c>
      <c r="BR12" s="82">
        <v>0.2</v>
      </c>
      <c r="BS12" s="82">
        <v>0.3</v>
      </c>
      <c r="BT12" s="82">
        <v>34713</v>
      </c>
      <c r="BU12" s="82">
        <v>4432</v>
      </c>
      <c r="BV12" s="82">
        <v>1110</v>
      </c>
      <c r="BW12" s="82">
        <v>23773</v>
      </c>
      <c r="BX12" s="82">
        <v>9.6999999999999993</v>
      </c>
      <c r="BY12" s="82">
        <v>2.2999999999999998</v>
      </c>
      <c r="BZ12" s="82">
        <v>4.4000000000000004</v>
      </c>
      <c r="CA12" s="82">
        <v>15.5</v>
      </c>
      <c r="CB12" s="82">
        <v>24.9</v>
      </c>
      <c r="CC12" s="82">
        <v>20</v>
      </c>
      <c r="CD12" s="82">
        <v>11</v>
      </c>
      <c r="CE12" s="82">
        <v>7.3</v>
      </c>
      <c r="CF12" s="82">
        <v>3.6</v>
      </c>
      <c r="CG12" s="82">
        <v>0.8</v>
      </c>
      <c r="CH12" s="82">
        <v>0.2</v>
      </c>
      <c r="CI12" s="82">
        <v>0.2</v>
      </c>
      <c r="CJ12" s="82">
        <f t="shared" si="2"/>
        <v>64028</v>
      </c>
      <c r="CK12" s="82">
        <f t="shared" si="3"/>
        <v>114642.92663560741</v>
      </c>
      <c r="CL12" s="95">
        <f ca="1">$CK12*SUM(OFFSET($AJ12,0,(COUNTA($CL$1:CL$1)-1)*4,1,4))/100</f>
        <v>21896.798987401016</v>
      </c>
      <c r="CM12" s="95">
        <f ca="1">$CK12*SUM(OFFSET($AJ12,0,(COUNTA($CL$1:CM$1)-1)*4,1,4))/100</f>
        <v>20635.726794409333</v>
      </c>
      <c r="CN12" s="95">
        <f ca="1">$CK12*SUM(OFFSET($AJ12,0,(COUNTA($CL$1:CN$1)-1)*4,1,4))/100</f>
        <v>19603.940454688865</v>
      </c>
      <c r="CO12" s="95">
        <f ca="1">$CK12*SUM(OFFSET($AJ12,0,(COUNTA($CL$1:CO$1)-1)*4,1,4))/100</f>
        <v>15820.72387571382</v>
      </c>
      <c r="CP12" s="95">
        <f ca="1">$CK12*SUM(OFFSET($AJ12,0,(COUNTA($CL$1:CP$1)-1)*4,1,4))/100</f>
        <v>15247.509242535785</v>
      </c>
      <c r="CQ12" s="95">
        <f ca="1">$CK12*SUM(OFFSET($AJ12,0,(COUNTA($CL$1:CQ$1)-1)*4,1,4))/100</f>
        <v>10317.863397204666</v>
      </c>
      <c r="CR12" s="95">
        <f ca="1">$CK12*SUM(OFFSET($AJ12,0,(COUNTA($CL$1:CR$1)-1)*4,1,4))/100</f>
        <v>6076.0751116871925</v>
      </c>
      <c r="CS12" s="95">
        <f ca="1">$CK12*SUM(OFFSET($AJ12,0,(COUNTA($CL$1:CS$1)-1)*4,1,4))/100</f>
        <v>3095.3590191613998</v>
      </c>
      <c r="CT12" s="95">
        <f ca="1">$CK12*SUM(OFFSET($AJ12,0,(COUNTA($CL$1:CT$1)-1)*4,1,4))/100</f>
        <v>1375.7151196272889</v>
      </c>
      <c r="CU12" s="96">
        <f t="shared" si="4"/>
        <v>4442</v>
      </c>
      <c r="CV12" s="96">
        <f t="shared" si="5"/>
        <v>25.808853362360964</v>
      </c>
    </row>
    <row r="13" spans="1:100">
      <c r="A13" s="82" t="str">
        <f ca="1">IF(ISERROR(OFFSET(Map!$E$2,MATCH(D13,Map!$B$3:$B$239,0),0)),OFFSET(Map!$E$2,MATCH(D13,Map!$C$3:$C$239,0),0),OFFSET(Map!$E$2,MATCH(D13,Map!$B$3:$B$239,0),0))</f>
        <v>Overberg</v>
      </c>
      <c r="B13" s="82">
        <v>12</v>
      </c>
      <c r="C13" s="82" t="s">
        <v>62</v>
      </c>
      <c r="D13" s="82" t="s">
        <v>229</v>
      </c>
      <c r="E13" s="82" t="s">
        <v>230</v>
      </c>
      <c r="F13" s="82">
        <v>108790</v>
      </c>
      <c r="G13" s="82">
        <v>25.5</v>
      </c>
      <c r="H13" s="82">
        <v>69.400000000000006</v>
      </c>
      <c r="I13" s="82">
        <f t="shared" si="0"/>
        <v>75500</v>
      </c>
      <c r="J13" s="82">
        <v>5.0999999999999996</v>
      </c>
      <c r="K13" s="82">
        <v>44.2</v>
      </c>
      <c r="L13" s="82">
        <v>104</v>
      </c>
      <c r="M13" s="82">
        <v>1.54</v>
      </c>
      <c r="N13" s="82">
        <v>34</v>
      </c>
      <c r="O13" s="82">
        <v>14.9</v>
      </c>
      <c r="P13" s="82">
        <f t="shared" si="1"/>
        <v>64251</v>
      </c>
      <c r="Q13" s="82">
        <v>19.8</v>
      </c>
      <c r="R13" s="82">
        <v>5</v>
      </c>
      <c r="S13" s="82">
        <v>7.3</v>
      </c>
      <c r="T13" s="82">
        <v>20.2</v>
      </c>
      <c r="U13" s="82">
        <v>28884</v>
      </c>
      <c r="V13" s="82">
        <v>2459</v>
      </c>
      <c r="W13" s="82">
        <v>3.5</v>
      </c>
      <c r="X13" s="82">
        <v>29.4</v>
      </c>
      <c r="Y13" s="82">
        <v>80.3</v>
      </c>
      <c r="Z13" s="82">
        <v>42.1</v>
      </c>
      <c r="AA13" s="82">
        <v>80.2</v>
      </c>
      <c r="AB13" s="82">
        <v>79.5</v>
      </c>
      <c r="AC13" s="82">
        <v>73.3</v>
      </c>
      <c r="AD13" s="82">
        <v>89</v>
      </c>
      <c r="AE13" s="82">
        <v>26.4</v>
      </c>
      <c r="AF13" s="82">
        <v>62.9</v>
      </c>
      <c r="AG13" s="82">
        <v>0.4</v>
      </c>
      <c r="AH13" s="82">
        <v>9.4</v>
      </c>
      <c r="AI13" s="82">
        <v>0.9</v>
      </c>
      <c r="AJ13" s="82">
        <v>4.7</v>
      </c>
      <c r="AK13" s="82">
        <v>4.5</v>
      </c>
      <c r="AL13" s="82">
        <v>4.2</v>
      </c>
      <c r="AM13" s="82">
        <v>4</v>
      </c>
      <c r="AN13" s="82">
        <v>4</v>
      </c>
      <c r="AO13" s="82">
        <v>4</v>
      </c>
      <c r="AP13" s="82">
        <v>4.0999999999999996</v>
      </c>
      <c r="AQ13" s="82">
        <v>4.2</v>
      </c>
      <c r="AR13" s="82">
        <v>4.9000000000000004</v>
      </c>
      <c r="AS13" s="82">
        <v>4.3</v>
      </c>
      <c r="AT13" s="82">
        <v>5.7</v>
      </c>
      <c r="AU13" s="82">
        <v>4.7</v>
      </c>
      <c r="AV13" s="82">
        <v>4.0999999999999996</v>
      </c>
      <c r="AW13" s="82">
        <v>3.7</v>
      </c>
      <c r="AX13" s="82">
        <v>4.0999999999999996</v>
      </c>
      <c r="AY13" s="82">
        <v>3.7</v>
      </c>
      <c r="AZ13" s="82">
        <v>3.8</v>
      </c>
      <c r="BA13" s="82">
        <v>3.6</v>
      </c>
      <c r="BB13" s="82">
        <v>3.2</v>
      </c>
      <c r="BC13" s="82">
        <v>3.2</v>
      </c>
      <c r="BD13" s="82">
        <v>2.6</v>
      </c>
      <c r="BE13" s="82">
        <v>2.6</v>
      </c>
      <c r="BF13" s="82">
        <v>1.8</v>
      </c>
      <c r="BG13" s="82">
        <v>1.9</v>
      </c>
      <c r="BH13" s="82">
        <v>1.5</v>
      </c>
      <c r="BI13" s="82">
        <v>1.6</v>
      </c>
      <c r="BJ13" s="82">
        <v>1</v>
      </c>
      <c r="BK13" s="82">
        <v>1.1000000000000001</v>
      </c>
      <c r="BL13" s="82">
        <v>0.6</v>
      </c>
      <c r="BM13" s="82">
        <v>0.7</v>
      </c>
      <c r="BN13" s="82">
        <v>0.4</v>
      </c>
      <c r="BO13" s="82">
        <v>0.5</v>
      </c>
      <c r="BP13" s="82">
        <v>0.2</v>
      </c>
      <c r="BQ13" s="82">
        <v>0.3</v>
      </c>
      <c r="BR13" s="82">
        <v>0.1</v>
      </c>
      <c r="BS13" s="82">
        <v>0.3</v>
      </c>
      <c r="BT13" s="82">
        <v>40568</v>
      </c>
      <c r="BU13" s="82">
        <v>7076</v>
      </c>
      <c r="BV13" s="82">
        <v>1968</v>
      </c>
      <c r="BW13" s="82">
        <v>25851</v>
      </c>
      <c r="BX13" s="82">
        <v>11.8</v>
      </c>
      <c r="BY13" s="82">
        <v>1.8</v>
      </c>
      <c r="BZ13" s="82">
        <v>3.4</v>
      </c>
      <c r="CA13" s="82">
        <v>17.7</v>
      </c>
      <c r="CB13" s="82">
        <v>22.9</v>
      </c>
      <c r="CC13" s="82">
        <v>19.100000000000001</v>
      </c>
      <c r="CD13" s="82">
        <v>11.4</v>
      </c>
      <c r="CE13" s="82">
        <v>7</v>
      </c>
      <c r="CF13" s="82">
        <v>3.6</v>
      </c>
      <c r="CG13" s="82">
        <v>0.9</v>
      </c>
      <c r="CH13" s="82">
        <v>0.2</v>
      </c>
      <c r="CI13" s="82">
        <v>0.2</v>
      </c>
      <c r="CJ13" s="82">
        <f t="shared" si="2"/>
        <v>75463</v>
      </c>
      <c r="CK13" s="82">
        <f t="shared" si="3"/>
        <v>124831.27558816927</v>
      </c>
      <c r="CL13" s="95">
        <f ca="1">$CK13*SUM(OFFSET($AJ13,0,(COUNTA($CL$1:CL$1)-1)*4,1,4))/100</f>
        <v>21720.641952341452</v>
      </c>
      <c r="CM13" s="95">
        <f ca="1">$CK13*SUM(OFFSET($AJ13,0,(COUNTA($CL$1:CM$1)-1)*4,1,4))/100</f>
        <v>20347.497920871592</v>
      </c>
      <c r="CN13" s="95">
        <f ca="1">$CK13*SUM(OFFSET($AJ13,0,(COUNTA($CL$1:CN$1)-1)*4,1,4))/100</f>
        <v>24466.930015281174</v>
      </c>
      <c r="CO13" s="95">
        <f ca="1">$CK13*SUM(OFFSET($AJ13,0,(COUNTA($CL$1:CO$1)-1)*4,1,4))/100</f>
        <v>19473.678991754405</v>
      </c>
      <c r="CP13" s="95">
        <f ca="1">$CK13*SUM(OFFSET($AJ13,0,(COUNTA($CL$1:CP$1)-1)*4,1,4))/100</f>
        <v>17226.716031167362</v>
      </c>
      <c r="CQ13" s="95">
        <f ca="1">$CK13*SUM(OFFSET($AJ13,0,(COUNTA($CL$1:CQ$1)-1)*4,1,4))/100</f>
        <v>11109.983527347065</v>
      </c>
      <c r="CR13" s="95">
        <f ca="1">$CK13*SUM(OFFSET($AJ13,0,(COUNTA($CL$1:CR$1)-1)*4,1,4))/100</f>
        <v>6491.226330584801</v>
      </c>
      <c r="CS13" s="95">
        <f ca="1">$CK13*SUM(OFFSET($AJ13,0,(COUNTA($CL$1:CS$1)-1)*4,1,4))/100</f>
        <v>2746.2880629397237</v>
      </c>
      <c r="CT13" s="95">
        <f ca="1">$CK13*SUM(OFFSET($AJ13,0,(COUNTA($CL$1:CT$1)-1)*4,1,4))/100</f>
        <v>1123.4814802935234</v>
      </c>
      <c r="CU13" s="96">
        <f t="shared" si="4"/>
        <v>3199.705882352941</v>
      </c>
      <c r="CV13" s="96">
        <f t="shared" si="5"/>
        <v>39.013359408013194</v>
      </c>
    </row>
    <row r="14" spans="1:100">
      <c r="A14" s="82" t="str">
        <f ca="1">IF(ISERROR(OFFSET(Map!$E$2,MATCH(D14,Map!$B$3:$B$239,0),0)),OFFSET(Map!$E$2,MATCH(D14,Map!$C$3:$C$239,0),0),OFFSET(Map!$E$2,MATCH(D14,Map!$B$3:$B$239,0),0))</f>
        <v>Overberg</v>
      </c>
      <c r="B14" s="82">
        <v>13</v>
      </c>
      <c r="C14" s="82" t="s">
        <v>62</v>
      </c>
      <c r="D14" s="82" t="s">
        <v>231</v>
      </c>
      <c r="E14" s="82" t="s">
        <v>232</v>
      </c>
      <c r="F14" s="82">
        <v>80432</v>
      </c>
      <c r="G14" s="82">
        <v>21.5</v>
      </c>
      <c r="H14" s="82">
        <v>65.599999999999994</v>
      </c>
      <c r="I14" s="82">
        <f t="shared" si="0"/>
        <v>52763</v>
      </c>
      <c r="J14" s="82">
        <v>12.9</v>
      </c>
      <c r="K14" s="82">
        <v>52.3</v>
      </c>
      <c r="L14" s="82">
        <v>97.9</v>
      </c>
      <c r="M14" s="82">
        <v>3.8</v>
      </c>
      <c r="N14" s="82">
        <v>47</v>
      </c>
      <c r="O14" s="82">
        <v>23.3</v>
      </c>
      <c r="P14" s="82">
        <f t="shared" si="1"/>
        <v>40470</v>
      </c>
      <c r="Q14" s="82">
        <v>31.1</v>
      </c>
      <c r="R14" s="82">
        <v>2.5</v>
      </c>
      <c r="S14" s="82">
        <v>16.8</v>
      </c>
      <c r="T14" s="82">
        <v>27.7</v>
      </c>
      <c r="U14" s="82">
        <v>28010</v>
      </c>
      <c r="V14" s="82">
        <v>1405</v>
      </c>
      <c r="W14" s="82">
        <v>2.6</v>
      </c>
      <c r="X14" s="82">
        <v>32.299999999999997</v>
      </c>
      <c r="Y14" s="82">
        <v>80.099999999999994</v>
      </c>
      <c r="Z14" s="82">
        <v>53.7</v>
      </c>
      <c r="AA14" s="82">
        <v>67.8</v>
      </c>
      <c r="AB14" s="82">
        <v>91.5</v>
      </c>
      <c r="AC14" s="82">
        <v>75.8</v>
      </c>
      <c r="AD14" s="82">
        <v>90.4</v>
      </c>
      <c r="AE14" s="82">
        <v>36.200000000000003</v>
      </c>
      <c r="AF14" s="82">
        <v>31</v>
      </c>
      <c r="AG14" s="82">
        <v>0.3</v>
      </c>
      <c r="AH14" s="82">
        <v>31.2</v>
      </c>
      <c r="AI14" s="82">
        <v>1.2</v>
      </c>
      <c r="AJ14" s="82">
        <v>4.2</v>
      </c>
      <c r="AK14" s="82">
        <v>4.2</v>
      </c>
      <c r="AL14" s="82">
        <v>3.4</v>
      </c>
      <c r="AM14" s="82">
        <v>3.3</v>
      </c>
      <c r="AN14" s="82">
        <v>3.2</v>
      </c>
      <c r="AO14" s="82">
        <v>3.2</v>
      </c>
      <c r="AP14" s="82">
        <v>3.1</v>
      </c>
      <c r="AQ14" s="82">
        <v>3.3</v>
      </c>
      <c r="AR14" s="82">
        <v>4.0999999999999996</v>
      </c>
      <c r="AS14" s="82">
        <v>4</v>
      </c>
      <c r="AT14" s="82">
        <v>5.2</v>
      </c>
      <c r="AU14" s="82">
        <v>5</v>
      </c>
      <c r="AV14" s="82">
        <v>4.5999999999999996</v>
      </c>
      <c r="AW14" s="82">
        <v>4.0999999999999996</v>
      </c>
      <c r="AX14" s="82">
        <v>3.8</v>
      </c>
      <c r="AY14" s="82">
        <v>3.4</v>
      </c>
      <c r="AZ14" s="82">
        <v>3.3</v>
      </c>
      <c r="BA14" s="82">
        <v>3.2</v>
      </c>
      <c r="BB14" s="82">
        <v>2.5</v>
      </c>
      <c r="BC14" s="82">
        <v>2.5</v>
      </c>
      <c r="BD14" s="82">
        <v>2.1</v>
      </c>
      <c r="BE14" s="82">
        <v>2.4</v>
      </c>
      <c r="BF14" s="82">
        <v>1.9</v>
      </c>
      <c r="BG14" s="82">
        <v>2.2999999999999998</v>
      </c>
      <c r="BH14" s="82">
        <v>2.2999999999999998</v>
      </c>
      <c r="BI14" s="82">
        <v>2.6</v>
      </c>
      <c r="BJ14" s="82">
        <v>2.1</v>
      </c>
      <c r="BK14" s="82">
        <v>2.4</v>
      </c>
      <c r="BL14" s="82">
        <v>1.7</v>
      </c>
      <c r="BM14" s="82">
        <v>2</v>
      </c>
      <c r="BN14" s="82">
        <v>1.1000000000000001</v>
      </c>
      <c r="BO14" s="82">
        <v>1.2</v>
      </c>
      <c r="BP14" s="82">
        <v>0.5</v>
      </c>
      <c r="BQ14" s="82">
        <v>0.8</v>
      </c>
      <c r="BR14" s="82">
        <v>0.3</v>
      </c>
      <c r="BS14" s="82">
        <v>0.7</v>
      </c>
      <c r="BT14" s="82">
        <v>27260</v>
      </c>
      <c r="BU14" s="82">
        <v>8293</v>
      </c>
      <c r="BV14" s="82">
        <v>1453</v>
      </c>
      <c r="BW14" s="82">
        <v>15797</v>
      </c>
      <c r="BX14" s="82">
        <v>16.399999999999999</v>
      </c>
      <c r="BY14" s="82">
        <v>2.9</v>
      </c>
      <c r="BZ14" s="82">
        <v>4.0999999999999996</v>
      </c>
      <c r="CA14" s="82">
        <v>12</v>
      </c>
      <c r="CB14" s="82">
        <v>17.399999999999999</v>
      </c>
      <c r="CC14" s="82">
        <v>15.6</v>
      </c>
      <c r="CD14" s="82">
        <v>13.7</v>
      </c>
      <c r="CE14" s="82">
        <v>10.3</v>
      </c>
      <c r="CF14" s="82">
        <v>5.2</v>
      </c>
      <c r="CG14" s="82">
        <v>1.7</v>
      </c>
      <c r="CH14" s="82">
        <v>0.4</v>
      </c>
      <c r="CI14" s="82">
        <v>0.3</v>
      </c>
      <c r="CJ14" s="82">
        <f t="shared" si="2"/>
        <v>52803</v>
      </c>
      <c r="CK14" s="82">
        <f t="shared" si="3"/>
        <v>112513.60747277112</v>
      </c>
      <c r="CL14" s="95">
        <f ca="1">$CK14*SUM(OFFSET($AJ14,0,(COUNTA($CL$1:CL$1)-1)*4,1,4))/100</f>
        <v>16989.554728388441</v>
      </c>
      <c r="CM14" s="95">
        <f ca="1">$CK14*SUM(OFFSET($AJ14,0,(COUNTA($CL$1:CM$1)-1)*4,1,4))/100</f>
        <v>14401.741756514704</v>
      </c>
      <c r="CN14" s="95">
        <f ca="1">$CK14*SUM(OFFSET($AJ14,0,(COUNTA($CL$1:CN$1)-1)*4,1,4))/100</f>
        <v>20589.990167517117</v>
      </c>
      <c r="CO14" s="95">
        <f ca="1">$CK14*SUM(OFFSET($AJ14,0,(COUNTA($CL$1:CO$1)-1)*4,1,4))/100</f>
        <v>17889.66358817061</v>
      </c>
      <c r="CP14" s="95">
        <f ca="1">$CK14*SUM(OFFSET($AJ14,0,(COUNTA($CL$1:CP$1)-1)*4,1,4))/100</f>
        <v>12939.06485936868</v>
      </c>
      <c r="CQ14" s="95">
        <f ca="1">$CK14*SUM(OFFSET($AJ14,0,(COUNTA($CL$1:CQ$1)-1)*4,1,4))/100</f>
        <v>9788.6838501310867</v>
      </c>
      <c r="CR14" s="95">
        <f ca="1">$CK14*SUM(OFFSET($AJ14,0,(COUNTA($CL$1:CR$1)-1)*4,1,4))/100</f>
        <v>10576.279102440485</v>
      </c>
      <c r="CS14" s="95">
        <f ca="1">$CK14*SUM(OFFSET($AJ14,0,(COUNTA($CL$1:CS$1)-1)*4,1,4))/100</f>
        <v>6750.8164483662686</v>
      </c>
      <c r="CT14" s="95">
        <f ca="1">$CK14*SUM(OFFSET($AJ14,0,(COUNTA($CL$1:CT$1)-1)*4,1,4))/100</f>
        <v>2587.8129718737355</v>
      </c>
      <c r="CU14" s="96">
        <f t="shared" si="4"/>
        <v>1711.3191489361702</v>
      </c>
      <c r="CV14" s="96">
        <f t="shared" si="5"/>
        <v>65.746712144671804</v>
      </c>
    </row>
    <row r="15" spans="1:100">
      <c r="A15" s="82" t="str">
        <f ca="1">IF(ISERROR(OFFSET(Map!$E$2,MATCH(D15,Map!$B$3:$B$239,0),0)),OFFSET(Map!$E$2,MATCH(D15,Map!$C$3:$C$239,0),0),OFFSET(Map!$E$2,MATCH(D15,Map!$B$3:$B$239,0),0))</f>
        <v>Overberg</v>
      </c>
      <c r="B15" s="82">
        <v>14</v>
      </c>
      <c r="C15" s="82" t="s">
        <v>62</v>
      </c>
      <c r="D15" s="82" t="s">
        <v>233</v>
      </c>
      <c r="E15" s="82" t="s">
        <v>234</v>
      </c>
      <c r="F15" s="82">
        <v>33038</v>
      </c>
      <c r="G15" s="82">
        <v>23.4</v>
      </c>
      <c r="H15" s="82">
        <v>67.599999999999994</v>
      </c>
      <c r="I15" s="82">
        <f t="shared" si="0"/>
        <v>22334</v>
      </c>
      <c r="J15" s="82">
        <v>8.9</v>
      </c>
      <c r="K15" s="82">
        <v>47.9</v>
      </c>
      <c r="L15" s="82">
        <v>96.6</v>
      </c>
      <c r="M15" s="82">
        <v>1.96</v>
      </c>
      <c r="N15" s="82">
        <v>10</v>
      </c>
      <c r="O15" s="82">
        <v>13.8</v>
      </c>
      <c r="P15" s="82">
        <f t="shared" si="1"/>
        <v>19252</v>
      </c>
      <c r="Q15" s="82">
        <v>19.5</v>
      </c>
      <c r="R15" s="82">
        <v>3.5</v>
      </c>
      <c r="S15" s="82">
        <v>12.9</v>
      </c>
      <c r="T15" s="82">
        <v>22.4</v>
      </c>
      <c r="U15" s="82">
        <v>10162</v>
      </c>
      <c r="V15" s="82">
        <v>1167</v>
      </c>
      <c r="W15" s="82">
        <v>3.2</v>
      </c>
      <c r="X15" s="82">
        <v>32.1</v>
      </c>
      <c r="Y15" s="82">
        <v>85.2</v>
      </c>
      <c r="Z15" s="82">
        <v>63.2</v>
      </c>
      <c r="AA15" s="82">
        <v>72</v>
      </c>
      <c r="AB15" s="82">
        <v>80</v>
      </c>
      <c r="AC15" s="82">
        <v>81.8</v>
      </c>
      <c r="AD15" s="82">
        <v>96.7</v>
      </c>
      <c r="AE15" s="82">
        <v>11.5</v>
      </c>
      <c r="AF15" s="82">
        <v>65.599999999999994</v>
      </c>
      <c r="AG15" s="82">
        <v>0.3</v>
      </c>
      <c r="AH15" s="82">
        <v>21.6</v>
      </c>
      <c r="AI15" s="82">
        <v>0.9</v>
      </c>
      <c r="AJ15" s="82">
        <v>4.0999999999999996</v>
      </c>
      <c r="AK15" s="82">
        <v>4</v>
      </c>
      <c r="AL15" s="82">
        <v>3.6</v>
      </c>
      <c r="AM15" s="82">
        <v>3.7</v>
      </c>
      <c r="AN15" s="82">
        <v>4.0999999999999996</v>
      </c>
      <c r="AO15" s="82">
        <v>3.9</v>
      </c>
      <c r="AP15" s="82">
        <v>3.8</v>
      </c>
      <c r="AQ15" s="82">
        <v>4.3</v>
      </c>
      <c r="AR15" s="82">
        <v>4.0999999999999996</v>
      </c>
      <c r="AS15" s="82">
        <v>4.0999999999999996</v>
      </c>
      <c r="AT15" s="82">
        <v>4.3</v>
      </c>
      <c r="AU15" s="82">
        <v>4.2</v>
      </c>
      <c r="AV15" s="82">
        <v>3.5</v>
      </c>
      <c r="AW15" s="82">
        <v>3.1</v>
      </c>
      <c r="AX15" s="82">
        <v>3.4</v>
      </c>
      <c r="AY15" s="82">
        <v>3.4</v>
      </c>
      <c r="AZ15" s="82">
        <v>3.7</v>
      </c>
      <c r="BA15" s="82">
        <v>3.8</v>
      </c>
      <c r="BB15" s="82">
        <v>3.3</v>
      </c>
      <c r="BC15" s="82">
        <v>3.3</v>
      </c>
      <c r="BD15" s="82">
        <v>3</v>
      </c>
      <c r="BE15" s="82">
        <v>3.1</v>
      </c>
      <c r="BF15" s="82">
        <v>2.2999999999999998</v>
      </c>
      <c r="BG15" s="82">
        <v>2.4</v>
      </c>
      <c r="BH15" s="82">
        <v>1.9</v>
      </c>
      <c r="BI15" s="82">
        <v>2.4</v>
      </c>
      <c r="BJ15" s="82">
        <v>1.6</v>
      </c>
      <c r="BK15" s="82">
        <v>1.8</v>
      </c>
      <c r="BL15" s="82">
        <v>1.1000000000000001</v>
      </c>
      <c r="BM15" s="82">
        <v>1.4</v>
      </c>
      <c r="BN15" s="82">
        <v>0.7</v>
      </c>
      <c r="BO15" s="82">
        <v>0.8</v>
      </c>
      <c r="BP15" s="82">
        <v>0.4</v>
      </c>
      <c r="BQ15" s="82">
        <v>0.6</v>
      </c>
      <c r="BR15" s="82">
        <v>0.2</v>
      </c>
      <c r="BS15" s="82">
        <v>0.4</v>
      </c>
      <c r="BT15" s="82">
        <v>12613</v>
      </c>
      <c r="BU15" s="82">
        <v>2017</v>
      </c>
      <c r="BV15" s="82">
        <v>1073</v>
      </c>
      <c r="BW15" s="82">
        <v>6642</v>
      </c>
      <c r="BX15" s="82">
        <v>9.6</v>
      </c>
      <c r="BY15" s="82">
        <v>1.3</v>
      </c>
      <c r="BZ15" s="82">
        <v>2.5</v>
      </c>
      <c r="CA15" s="82">
        <v>12.7</v>
      </c>
      <c r="CB15" s="82">
        <v>22.8</v>
      </c>
      <c r="CC15" s="82">
        <v>19.899999999999999</v>
      </c>
      <c r="CD15" s="82">
        <v>14.2</v>
      </c>
      <c r="CE15" s="82">
        <v>10.6</v>
      </c>
      <c r="CF15" s="82">
        <v>4.7</v>
      </c>
      <c r="CG15" s="82">
        <v>1.2</v>
      </c>
      <c r="CH15" s="82">
        <v>0.3</v>
      </c>
      <c r="CI15" s="82">
        <v>0.2</v>
      </c>
      <c r="CJ15" s="82">
        <f t="shared" si="2"/>
        <v>22345</v>
      </c>
      <c r="CK15" s="82">
        <f t="shared" si="3"/>
        <v>39344.333258370898</v>
      </c>
      <c r="CL15" s="95">
        <f ca="1">$CK15*SUM(OFFSET($AJ15,0,(COUNTA($CL$1:CL$1)-1)*4,1,4))/100</f>
        <v>6059.0273217891181</v>
      </c>
      <c r="CM15" s="95">
        <f ca="1">$CK15*SUM(OFFSET($AJ15,0,(COUNTA($CL$1:CM$1)-1)*4,1,4))/100</f>
        <v>6334.4376545977148</v>
      </c>
      <c r="CN15" s="95">
        <f ca="1">$CK15*SUM(OFFSET($AJ15,0,(COUNTA($CL$1:CN$1)-1)*4,1,4))/100</f>
        <v>6570.5036541479394</v>
      </c>
      <c r="CO15" s="95">
        <f ca="1">$CK15*SUM(OFFSET($AJ15,0,(COUNTA($CL$1:CO$1)-1)*4,1,4))/100</f>
        <v>5272.1406566217011</v>
      </c>
      <c r="CP15" s="95">
        <f ca="1">$CK15*SUM(OFFSET($AJ15,0,(COUNTA($CL$1:CP$1)-1)*4,1,4))/100</f>
        <v>5547.5509894302977</v>
      </c>
      <c r="CQ15" s="95">
        <f ca="1">$CK15*SUM(OFFSET($AJ15,0,(COUNTA($CL$1:CQ$1)-1)*4,1,4))/100</f>
        <v>4249.1879919040566</v>
      </c>
      <c r="CR15" s="95">
        <f ca="1">$CK15*SUM(OFFSET($AJ15,0,(COUNTA($CL$1:CR$1)-1)*4,1,4))/100</f>
        <v>3029.5136608945591</v>
      </c>
      <c r="CS15" s="95">
        <f ca="1">$CK15*SUM(OFFSET($AJ15,0,(COUNTA($CL$1:CS$1)-1)*4,1,4))/100</f>
        <v>1573.7733303348359</v>
      </c>
      <c r="CT15" s="95">
        <f ca="1">$CK15*SUM(OFFSET($AJ15,0,(COUNTA($CL$1:CT$1)-1)*4,1,4))/100</f>
        <v>629.50933213393432</v>
      </c>
      <c r="CU15" s="96">
        <f t="shared" si="4"/>
        <v>3303.8</v>
      </c>
      <c r="CV15" s="96">
        <f t="shared" si="5"/>
        <v>11.908812052294598</v>
      </c>
    </row>
    <row r="16" spans="1:100">
      <c r="A16" s="82" t="str">
        <f ca="1">IF(ISERROR(OFFSET(Map!$E$2,MATCH(D16,Map!$B$3:$B$239,0),0)),OFFSET(Map!$E$2,MATCH(D16,Map!$C$3:$C$239,0),0),OFFSET(Map!$E$2,MATCH(D16,Map!$B$3:$B$239,0),0))</f>
        <v>Overberg</v>
      </c>
      <c r="B16" s="82">
        <v>15</v>
      </c>
      <c r="C16" s="82" t="s">
        <v>62</v>
      </c>
      <c r="D16" s="82" t="s">
        <v>235</v>
      </c>
      <c r="E16" s="82" t="s">
        <v>236</v>
      </c>
      <c r="F16" s="82">
        <v>35916</v>
      </c>
      <c r="G16" s="82">
        <v>26.1</v>
      </c>
      <c r="H16" s="82">
        <v>66.599999999999994</v>
      </c>
      <c r="I16" s="82">
        <f t="shared" si="0"/>
        <v>23920</v>
      </c>
      <c r="J16" s="82">
        <v>7.3</v>
      </c>
      <c r="K16" s="82">
        <v>50.2</v>
      </c>
      <c r="L16" s="82">
        <v>99.3</v>
      </c>
      <c r="M16" s="82">
        <v>2.39</v>
      </c>
      <c r="N16" s="82">
        <v>9</v>
      </c>
      <c r="O16" s="82">
        <v>11.4</v>
      </c>
      <c r="P16" s="82">
        <f t="shared" si="1"/>
        <v>21193</v>
      </c>
      <c r="Q16" s="82">
        <v>15</v>
      </c>
      <c r="R16" s="82">
        <v>5.4</v>
      </c>
      <c r="S16" s="82">
        <v>10</v>
      </c>
      <c r="T16" s="82">
        <v>20.7</v>
      </c>
      <c r="U16" s="82">
        <v>10139</v>
      </c>
      <c r="V16" s="82">
        <v>1624</v>
      </c>
      <c r="W16" s="82">
        <v>3.4</v>
      </c>
      <c r="X16" s="82">
        <v>29.2</v>
      </c>
      <c r="Y16" s="82">
        <v>88.3</v>
      </c>
      <c r="Z16" s="82">
        <v>56.9</v>
      </c>
      <c r="AA16" s="82">
        <v>77.2</v>
      </c>
      <c r="AB16" s="82">
        <v>74.2</v>
      </c>
      <c r="AC16" s="82">
        <v>78.900000000000006</v>
      </c>
      <c r="AD16" s="82">
        <v>94</v>
      </c>
      <c r="AE16" s="82">
        <v>12.4</v>
      </c>
      <c r="AF16" s="82">
        <v>68.8</v>
      </c>
      <c r="AG16" s="82">
        <v>0.3</v>
      </c>
      <c r="AH16" s="82">
        <v>17.399999999999999</v>
      </c>
      <c r="AI16" s="82">
        <v>1.1000000000000001</v>
      </c>
      <c r="AJ16" s="82">
        <v>4.5999999999999996</v>
      </c>
      <c r="AK16" s="82">
        <v>4.7</v>
      </c>
      <c r="AL16" s="82">
        <v>4.2</v>
      </c>
      <c r="AM16" s="82">
        <v>4</v>
      </c>
      <c r="AN16" s="82">
        <v>4.4000000000000004</v>
      </c>
      <c r="AO16" s="82">
        <v>4.3</v>
      </c>
      <c r="AP16" s="82">
        <v>4.4000000000000004</v>
      </c>
      <c r="AQ16" s="82">
        <v>4.0999999999999996</v>
      </c>
      <c r="AR16" s="82">
        <v>4.4000000000000004</v>
      </c>
      <c r="AS16" s="82">
        <v>4.0999999999999996</v>
      </c>
      <c r="AT16" s="82">
        <v>4.0999999999999996</v>
      </c>
      <c r="AU16" s="82">
        <v>4.0999999999999996</v>
      </c>
      <c r="AV16" s="82">
        <v>3.6</v>
      </c>
      <c r="AW16" s="82">
        <v>3.3</v>
      </c>
      <c r="AX16" s="82">
        <v>3.5</v>
      </c>
      <c r="AY16" s="82">
        <v>3.7</v>
      </c>
      <c r="AZ16" s="82">
        <v>3.4</v>
      </c>
      <c r="BA16" s="82">
        <v>3.4</v>
      </c>
      <c r="BB16" s="82">
        <v>3.4</v>
      </c>
      <c r="BC16" s="82">
        <v>3.4</v>
      </c>
      <c r="BD16" s="82">
        <v>2.7</v>
      </c>
      <c r="BE16" s="82">
        <v>2.8</v>
      </c>
      <c r="BF16" s="82">
        <v>2.2999999999999998</v>
      </c>
      <c r="BG16" s="82">
        <v>2.1</v>
      </c>
      <c r="BH16" s="82">
        <v>1.8</v>
      </c>
      <c r="BI16" s="82">
        <v>1.8</v>
      </c>
      <c r="BJ16" s="82">
        <v>1.2</v>
      </c>
      <c r="BK16" s="82">
        <v>1.4</v>
      </c>
      <c r="BL16" s="82">
        <v>0.9</v>
      </c>
      <c r="BM16" s="82">
        <v>1.1000000000000001</v>
      </c>
      <c r="BN16" s="82">
        <v>0.6</v>
      </c>
      <c r="BO16" s="82">
        <v>0.7</v>
      </c>
      <c r="BP16" s="82">
        <v>0.3</v>
      </c>
      <c r="BQ16" s="82">
        <v>0.5</v>
      </c>
      <c r="BR16" s="82">
        <v>0.2</v>
      </c>
      <c r="BS16" s="82">
        <v>0.4</v>
      </c>
      <c r="BT16" s="82">
        <v>12620</v>
      </c>
      <c r="BU16" s="82">
        <v>1626</v>
      </c>
      <c r="BV16" s="82">
        <v>372</v>
      </c>
      <c r="BW16" s="82">
        <v>9288</v>
      </c>
      <c r="BX16" s="82">
        <v>7.9</v>
      </c>
      <c r="BY16" s="82">
        <v>1.3</v>
      </c>
      <c r="BZ16" s="82">
        <v>3.1</v>
      </c>
      <c r="CA16" s="82">
        <v>14.3</v>
      </c>
      <c r="CB16" s="82">
        <v>25.3</v>
      </c>
      <c r="CC16" s="82">
        <v>20.5</v>
      </c>
      <c r="CD16" s="82">
        <v>13.4</v>
      </c>
      <c r="CE16" s="82">
        <v>8.1999999999999993</v>
      </c>
      <c r="CF16" s="82">
        <v>4.4000000000000004</v>
      </c>
      <c r="CG16" s="82">
        <v>0.9</v>
      </c>
      <c r="CH16" s="82">
        <v>0.3</v>
      </c>
      <c r="CI16" s="82">
        <v>0.3</v>
      </c>
      <c r="CJ16" s="82">
        <f t="shared" si="2"/>
        <v>23906</v>
      </c>
      <c r="CK16" s="82">
        <f t="shared" si="3"/>
        <v>44422.791910498679</v>
      </c>
      <c r="CL16" s="95">
        <f ca="1">$CK16*SUM(OFFSET($AJ16,0,(COUNTA($CL$1:CL$1)-1)*4,1,4))/100</f>
        <v>7773.9885843372695</v>
      </c>
      <c r="CM16" s="95">
        <f ca="1">$CK16*SUM(OFFSET($AJ16,0,(COUNTA($CL$1:CM$1)-1)*4,1,4))/100</f>
        <v>7640.7202086057723</v>
      </c>
      <c r="CN16" s="95">
        <f ca="1">$CK16*SUM(OFFSET($AJ16,0,(COUNTA($CL$1:CN$1)-1)*4,1,4))/100</f>
        <v>7418.6062490532795</v>
      </c>
      <c r="CO16" s="95">
        <f ca="1">$CK16*SUM(OFFSET($AJ16,0,(COUNTA($CL$1:CO$1)-1)*4,1,4))/100</f>
        <v>6263.6136593803149</v>
      </c>
      <c r="CP16" s="95">
        <f ca="1">$CK16*SUM(OFFSET($AJ16,0,(COUNTA($CL$1:CP$1)-1)*4,1,4))/100</f>
        <v>6041.4996998278202</v>
      </c>
      <c r="CQ16" s="95">
        <f ca="1">$CK16*SUM(OFFSET($AJ16,0,(COUNTA($CL$1:CQ$1)-1)*4,1,4))/100</f>
        <v>4397.8563991393694</v>
      </c>
      <c r="CR16" s="95">
        <f ca="1">$CK16*SUM(OFFSET($AJ16,0,(COUNTA($CL$1:CR$1)-1)*4,1,4))/100</f>
        <v>2754.2130984509176</v>
      </c>
      <c r="CS16" s="95">
        <f ca="1">$CK16*SUM(OFFSET($AJ16,0,(COUNTA($CL$1:CS$1)-1)*4,1,4))/100</f>
        <v>1465.9521330464565</v>
      </c>
      <c r="CT16" s="95">
        <f ca="1">$CK16*SUM(OFFSET($AJ16,0,(COUNTA($CL$1:CT$1)-1)*4,1,4))/100</f>
        <v>621.91908674698152</v>
      </c>
      <c r="CU16" s="96">
        <f t="shared" si="4"/>
        <v>3990.6666666666665</v>
      </c>
      <c r="CV16" s="96">
        <f t="shared" si="5"/>
        <v>11.131671878674911</v>
      </c>
    </row>
    <row r="17" spans="1:100">
      <c r="A17" s="82" t="str">
        <f ca="1">IF(ISERROR(OFFSET(Map!$E$2,MATCH(D17,Map!$B$3:$B$239,0),0)),OFFSET(Map!$E$2,MATCH(D17,Map!$C$3:$C$239,0),0),OFFSET(Map!$E$2,MATCH(D17,Map!$B$3:$B$239,0),0))</f>
        <v>Garden Route</v>
      </c>
      <c r="B17" s="82">
        <v>16</v>
      </c>
      <c r="C17" s="82" t="s">
        <v>62</v>
      </c>
      <c r="D17" s="82" t="s">
        <v>237</v>
      </c>
      <c r="E17" s="82" t="s">
        <v>238</v>
      </c>
      <c r="F17" s="82">
        <v>24767</v>
      </c>
      <c r="G17" s="82">
        <v>28.7</v>
      </c>
      <c r="H17" s="82">
        <v>63.5</v>
      </c>
      <c r="I17" s="82">
        <f t="shared" si="0"/>
        <v>15727</v>
      </c>
      <c r="J17" s="82">
        <v>7.8</v>
      </c>
      <c r="K17" s="82">
        <v>57.5</v>
      </c>
      <c r="L17" s="82">
        <v>93.9</v>
      </c>
      <c r="M17" s="82">
        <v>0.33</v>
      </c>
      <c r="N17" s="82">
        <v>5</v>
      </c>
      <c r="O17" s="82">
        <v>17.3</v>
      </c>
      <c r="P17" s="82">
        <f t="shared" si="1"/>
        <v>13006</v>
      </c>
      <c r="Q17" s="82">
        <v>22.7</v>
      </c>
      <c r="R17" s="82">
        <v>6</v>
      </c>
      <c r="S17" s="82">
        <v>4.3</v>
      </c>
      <c r="T17" s="82">
        <v>18.5</v>
      </c>
      <c r="U17" s="82">
        <v>6212</v>
      </c>
      <c r="V17" s="82">
        <v>1596</v>
      </c>
      <c r="W17" s="82">
        <v>3.8</v>
      </c>
      <c r="X17" s="82">
        <v>31.7</v>
      </c>
      <c r="Y17" s="82">
        <v>96.3</v>
      </c>
      <c r="Z17" s="82">
        <v>54.8</v>
      </c>
      <c r="AA17" s="82">
        <v>71.099999999999994</v>
      </c>
      <c r="AB17" s="82">
        <v>66.099999999999994</v>
      </c>
      <c r="AC17" s="82">
        <v>76.400000000000006</v>
      </c>
      <c r="AD17" s="82">
        <v>89.7</v>
      </c>
      <c r="AE17" s="82">
        <v>4.7</v>
      </c>
      <c r="AF17" s="82">
        <v>84.6</v>
      </c>
      <c r="AG17" s="82">
        <v>0.3</v>
      </c>
      <c r="AH17" s="82">
        <v>9.9</v>
      </c>
      <c r="AI17" s="82">
        <v>0.5</v>
      </c>
      <c r="AJ17" s="82">
        <v>4.9000000000000004</v>
      </c>
      <c r="AK17" s="82">
        <v>5</v>
      </c>
      <c r="AL17" s="82">
        <v>4.5</v>
      </c>
      <c r="AM17" s="82">
        <v>4.5</v>
      </c>
      <c r="AN17" s="82">
        <v>4.9000000000000004</v>
      </c>
      <c r="AO17" s="82">
        <v>4.9000000000000004</v>
      </c>
      <c r="AP17" s="82">
        <v>4.4000000000000004</v>
      </c>
      <c r="AQ17" s="82">
        <v>4.5</v>
      </c>
      <c r="AR17" s="82">
        <v>4.3</v>
      </c>
      <c r="AS17" s="82">
        <v>3.9</v>
      </c>
      <c r="AT17" s="82">
        <v>3.4</v>
      </c>
      <c r="AU17" s="82">
        <v>3.8</v>
      </c>
      <c r="AV17" s="82">
        <v>2.8</v>
      </c>
      <c r="AW17" s="82">
        <v>3.1</v>
      </c>
      <c r="AX17" s="82">
        <v>3.1</v>
      </c>
      <c r="AY17" s="82">
        <v>3.3</v>
      </c>
      <c r="AZ17" s="82">
        <v>3.2</v>
      </c>
      <c r="BA17" s="82">
        <v>3.7</v>
      </c>
      <c r="BB17" s="82">
        <v>3</v>
      </c>
      <c r="BC17" s="82">
        <v>3</v>
      </c>
      <c r="BD17" s="82">
        <v>2.6</v>
      </c>
      <c r="BE17" s="82">
        <v>2.9</v>
      </c>
      <c r="BF17" s="82">
        <v>2.1</v>
      </c>
      <c r="BG17" s="82">
        <v>2.2999999999999998</v>
      </c>
      <c r="BH17" s="82">
        <v>1.8</v>
      </c>
      <c r="BI17" s="82">
        <v>1.9</v>
      </c>
      <c r="BJ17" s="82">
        <v>1.3</v>
      </c>
      <c r="BK17" s="82">
        <v>1.5</v>
      </c>
      <c r="BL17" s="82">
        <v>1</v>
      </c>
      <c r="BM17" s="82">
        <v>1.2</v>
      </c>
      <c r="BN17" s="82">
        <v>0.7</v>
      </c>
      <c r="BO17" s="82">
        <v>0.7</v>
      </c>
      <c r="BP17" s="82">
        <v>0.3</v>
      </c>
      <c r="BQ17" s="82">
        <v>0.5</v>
      </c>
      <c r="BR17" s="82">
        <v>0.3</v>
      </c>
      <c r="BS17" s="82">
        <v>0.4</v>
      </c>
      <c r="BT17" s="82">
        <v>6271</v>
      </c>
      <c r="BU17" s="82">
        <v>1316</v>
      </c>
      <c r="BV17" s="82">
        <v>372</v>
      </c>
      <c r="BW17" s="82">
        <v>7768</v>
      </c>
      <c r="BX17" s="82">
        <v>8</v>
      </c>
      <c r="BY17" s="82">
        <v>2.4</v>
      </c>
      <c r="BZ17" s="82">
        <v>4.7</v>
      </c>
      <c r="CA17" s="82">
        <v>20.100000000000001</v>
      </c>
      <c r="CB17" s="82">
        <v>28.1</v>
      </c>
      <c r="CC17" s="82">
        <v>18.600000000000001</v>
      </c>
      <c r="CD17" s="82">
        <v>9.3000000000000007</v>
      </c>
      <c r="CE17" s="82">
        <v>5.8</v>
      </c>
      <c r="CF17" s="82">
        <v>2.1</v>
      </c>
      <c r="CG17" s="82">
        <v>0.5</v>
      </c>
      <c r="CH17" s="82">
        <v>0.2</v>
      </c>
      <c r="CI17" s="82">
        <v>0.2</v>
      </c>
      <c r="CJ17" s="82">
        <f t="shared" si="2"/>
        <v>15727</v>
      </c>
      <c r="CK17" s="82">
        <f t="shared" si="3"/>
        <v>25512.364690328508</v>
      </c>
      <c r="CL17" s="95">
        <f ca="1">$CK17*SUM(OFFSET($AJ17,0,(COUNTA($CL$1:CL$1)-1)*4,1,4))/100</f>
        <v>4821.8369264720877</v>
      </c>
      <c r="CM17" s="95">
        <f ca="1">$CK17*SUM(OFFSET($AJ17,0,(COUNTA($CL$1:CM$1)-1)*4,1,4))/100</f>
        <v>4770.8121970914317</v>
      </c>
      <c r="CN17" s="95">
        <f ca="1">$CK17*SUM(OFFSET($AJ17,0,(COUNTA($CL$1:CN$1)-1)*4,1,4))/100</f>
        <v>3928.90416231059</v>
      </c>
      <c r="CO17" s="95">
        <f ca="1">$CK17*SUM(OFFSET($AJ17,0,(COUNTA($CL$1:CO$1)-1)*4,1,4))/100</f>
        <v>3138.0208569104066</v>
      </c>
      <c r="CP17" s="95">
        <f ca="1">$CK17*SUM(OFFSET($AJ17,0,(COUNTA($CL$1:CP$1)-1)*4,1,4))/100</f>
        <v>3291.0950450523774</v>
      </c>
      <c r="CQ17" s="95">
        <f ca="1">$CK17*SUM(OFFSET($AJ17,0,(COUNTA($CL$1:CQ$1)-1)*4,1,4))/100</f>
        <v>2525.724104342522</v>
      </c>
      <c r="CR17" s="95">
        <f ca="1">$CK17*SUM(OFFSET($AJ17,0,(COUNTA($CL$1:CR$1)-1)*4,1,4))/100</f>
        <v>1658.3037048713531</v>
      </c>
      <c r="CS17" s="95">
        <f ca="1">$CK17*SUM(OFFSET($AJ17,0,(COUNTA($CL$1:CS$1)-1)*4,1,4))/100</f>
        <v>918.44512885182644</v>
      </c>
      <c r="CT17" s="95">
        <f ca="1">$CK17*SUM(OFFSET($AJ17,0,(COUNTA($CL$1:CT$1)-1)*4,1,4))/100</f>
        <v>382.68547035492759</v>
      </c>
      <c r="CU17" s="96">
        <f t="shared" si="4"/>
        <v>4953.3999999999996</v>
      </c>
      <c r="CV17" s="96">
        <f t="shared" si="5"/>
        <v>5.150475368500123</v>
      </c>
    </row>
    <row r="18" spans="1:100">
      <c r="A18" s="82" t="str">
        <f ca="1">IF(ISERROR(OFFSET(Map!$E$2,MATCH(D18,Map!$B$3:$B$239,0),0)),OFFSET(Map!$E$2,MATCH(D18,Map!$C$3:$C$239,0),0),OFFSET(Map!$E$2,MATCH(D18,Map!$B$3:$B$239,0),0))</f>
        <v>Garden Route</v>
      </c>
      <c r="B18" s="82">
        <v>17</v>
      </c>
      <c r="C18" s="82" t="s">
        <v>62</v>
      </c>
      <c r="D18" s="82" t="s">
        <v>239</v>
      </c>
      <c r="E18" s="82" t="s">
        <v>240</v>
      </c>
      <c r="F18" s="82">
        <v>52642</v>
      </c>
      <c r="G18" s="82">
        <v>24.4</v>
      </c>
      <c r="H18" s="82">
        <v>64.599999999999994</v>
      </c>
      <c r="I18" s="82">
        <f t="shared" si="0"/>
        <v>34007</v>
      </c>
      <c r="J18" s="82">
        <v>11.1</v>
      </c>
      <c r="K18" s="82">
        <v>54.9</v>
      </c>
      <c r="L18" s="82">
        <v>94.1</v>
      </c>
      <c r="M18" s="82">
        <v>1.77</v>
      </c>
      <c r="N18" s="82">
        <v>9</v>
      </c>
      <c r="O18" s="82">
        <v>14.1</v>
      </c>
      <c r="P18" s="82">
        <f t="shared" si="1"/>
        <v>29212</v>
      </c>
      <c r="Q18" s="82">
        <v>18.899999999999999</v>
      </c>
      <c r="R18" s="82">
        <v>4.5999999999999996</v>
      </c>
      <c r="S18" s="82">
        <v>10.4</v>
      </c>
      <c r="T18" s="82">
        <v>23.5</v>
      </c>
      <c r="U18" s="82">
        <v>15873</v>
      </c>
      <c r="V18" s="82">
        <v>2668</v>
      </c>
      <c r="W18" s="82">
        <v>3.2</v>
      </c>
      <c r="X18" s="82">
        <v>34.1</v>
      </c>
      <c r="Y18" s="82">
        <v>93.8</v>
      </c>
      <c r="Z18" s="82">
        <v>60.3</v>
      </c>
      <c r="AA18" s="82">
        <v>80.7</v>
      </c>
      <c r="AB18" s="82">
        <v>78.7</v>
      </c>
      <c r="AC18" s="82">
        <v>81</v>
      </c>
      <c r="AD18" s="82">
        <v>94.9</v>
      </c>
      <c r="AE18" s="82">
        <v>7.4</v>
      </c>
      <c r="AF18" s="82">
        <v>68.5</v>
      </c>
      <c r="AG18" s="82">
        <v>0.4</v>
      </c>
      <c r="AH18" s="82">
        <v>23.2</v>
      </c>
      <c r="AI18" s="82">
        <v>0.4</v>
      </c>
      <c r="AJ18" s="82">
        <v>4.2</v>
      </c>
      <c r="AK18" s="82">
        <v>4.0999999999999996</v>
      </c>
      <c r="AL18" s="82">
        <v>4</v>
      </c>
      <c r="AM18" s="82">
        <v>3.9</v>
      </c>
      <c r="AN18" s="82">
        <v>4.2</v>
      </c>
      <c r="AO18" s="82">
        <v>4</v>
      </c>
      <c r="AP18" s="82">
        <v>3.7</v>
      </c>
      <c r="AQ18" s="82">
        <v>3.8</v>
      </c>
      <c r="AR18" s="82">
        <v>3.4</v>
      </c>
      <c r="AS18" s="82">
        <v>3.6</v>
      </c>
      <c r="AT18" s="82">
        <v>3.7</v>
      </c>
      <c r="AU18" s="82">
        <v>4</v>
      </c>
      <c r="AV18" s="82">
        <v>3</v>
      </c>
      <c r="AW18" s="82">
        <v>2.9</v>
      </c>
      <c r="AX18" s="82">
        <v>3.1</v>
      </c>
      <c r="AY18" s="82">
        <v>3.3</v>
      </c>
      <c r="AZ18" s="82">
        <v>3.5</v>
      </c>
      <c r="BA18" s="82">
        <v>3.9</v>
      </c>
      <c r="BB18" s="82">
        <v>3.3</v>
      </c>
      <c r="BC18" s="82">
        <v>3.3</v>
      </c>
      <c r="BD18" s="82">
        <v>2.7</v>
      </c>
      <c r="BE18" s="82">
        <v>3.1</v>
      </c>
      <c r="BF18" s="82">
        <v>2.5</v>
      </c>
      <c r="BG18" s="82">
        <v>2.7</v>
      </c>
      <c r="BH18" s="82">
        <v>2.2999999999999998</v>
      </c>
      <c r="BI18" s="82">
        <v>2.5</v>
      </c>
      <c r="BJ18" s="82">
        <v>1.9</v>
      </c>
      <c r="BK18" s="82">
        <v>2.2000000000000002</v>
      </c>
      <c r="BL18" s="82">
        <v>1.4</v>
      </c>
      <c r="BM18" s="82">
        <v>1.6</v>
      </c>
      <c r="BN18" s="82">
        <v>0.9</v>
      </c>
      <c r="BO18" s="82">
        <v>1.1000000000000001</v>
      </c>
      <c r="BP18" s="82">
        <v>0.5</v>
      </c>
      <c r="BQ18" s="82">
        <v>0.7</v>
      </c>
      <c r="BR18" s="82">
        <v>0.3</v>
      </c>
      <c r="BS18" s="82">
        <v>0.5</v>
      </c>
      <c r="BT18" s="82">
        <v>17052</v>
      </c>
      <c r="BU18" s="82">
        <v>2803</v>
      </c>
      <c r="BV18" s="82">
        <v>1458</v>
      </c>
      <c r="BW18" s="82">
        <v>12674</v>
      </c>
      <c r="BX18" s="82">
        <v>7.9</v>
      </c>
      <c r="BY18" s="82">
        <v>1.7</v>
      </c>
      <c r="BZ18" s="82">
        <v>3</v>
      </c>
      <c r="CA18" s="82">
        <v>14.1</v>
      </c>
      <c r="CB18" s="82">
        <v>22.5</v>
      </c>
      <c r="CC18" s="82">
        <v>22.5</v>
      </c>
      <c r="CD18" s="82">
        <v>14.3</v>
      </c>
      <c r="CE18" s="82">
        <v>9</v>
      </c>
      <c r="CF18" s="82">
        <v>3.6</v>
      </c>
      <c r="CG18" s="82">
        <v>0.9</v>
      </c>
      <c r="CH18" s="82">
        <v>0.3</v>
      </c>
      <c r="CI18" s="82">
        <v>0.3</v>
      </c>
      <c r="CJ18" s="82">
        <f t="shared" si="2"/>
        <v>33987</v>
      </c>
      <c r="CK18" s="82">
        <f t="shared" si="3"/>
        <v>61646.773542145296</v>
      </c>
      <c r="CL18" s="95">
        <f ca="1">$CK18*SUM(OFFSET($AJ18,0,(COUNTA($CL$1:CL$1)-1)*4,1,4))/100</f>
        <v>9986.777313827537</v>
      </c>
      <c r="CM18" s="95">
        <f ca="1">$CK18*SUM(OFFSET($AJ18,0,(COUNTA($CL$1:CM$1)-1)*4,1,4))/100</f>
        <v>9678.5434461168115</v>
      </c>
      <c r="CN18" s="95">
        <f ca="1">$CK18*SUM(OFFSET($AJ18,0,(COUNTA($CL$1:CN$1)-1)*4,1,4))/100</f>
        <v>9062.0757106953588</v>
      </c>
      <c r="CO18" s="95">
        <f ca="1">$CK18*SUM(OFFSET($AJ18,0,(COUNTA($CL$1:CO$1)-1)*4,1,4))/100</f>
        <v>7582.5531456838726</v>
      </c>
      <c r="CP18" s="95">
        <f ca="1">$CK18*SUM(OFFSET($AJ18,0,(COUNTA($CL$1:CP$1)-1)*4,1,4))/100</f>
        <v>8630.5482959003421</v>
      </c>
      <c r="CQ18" s="95">
        <f ca="1">$CK18*SUM(OFFSET($AJ18,0,(COUNTA($CL$1:CQ$1)-1)*4,1,4))/100</f>
        <v>6781.1450896359829</v>
      </c>
      <c r="CR18" s="95">
        <f ca="1">$CK18*SUM(OFFSET($AJ18,0,(COUNTA($CL$1:CR$1)-1)*4,1,4))/100</f>
        <v>5486.56284525093</v>
      </c>
      <c r="CS18" s="95">
        <f ca="1">$CK18*SUM(OFFSET($AJ18,0,(COUNTA($CL$1:CS$1)-1)*4,1,4))/100</f>
        <v>3082.3386771072646</v>
      </c>
      <c r="CT18" s="95">
        <f ca="1">$CK18*SUM(OFFSET($AJ18,0,(COUNTA($CL$1:CT$1)-1)*4,1,4))/100</f>
        <v>1232.9354708429059</v>
      </c>
      <c r="CU18" s="96">
        <f t="shared" si="4"/>
        <v>5849.1111111111113</v>
      </c>
      <c r="CV18" s="96">
        <f t="shared" si="5"/>
        <v>10.539511452439262</v>
      </c>
    </row>
    <row r="19" spans="1:100">
      <c r="A19" s="82" t="str">
        <f ca="1">IF(ISERROR(OFFSET(Map!$E$2,MATCH(D19,Map!$B$3:$B$239,0),0)),OFFSET(Map!$E$2,MATCH(D19,Map!$C$3:$C$239,0),0),OFFSET(Map!$E$2,MATCH(D19,Map!$B$3:$B$239,0),0))</f>
        <v>Garden Route</v>
      </c>
      <c r="B19" s="82">
        <v>18</v>
      </c>
      <c r="C19" s="82" t="s">
        <v>62</v>
      </c>
      <c r="D19" s="82" t="s">
        <v>241</v>
      </c>
      <c r="E19" s="82" t="s">
        <v>242</v>
      </c>
      <c r="F19" s="82">
        <v>89430</v>
      </c>
      <c r="G19" s="82">
        <v>23.1</v>
      </c>
      <c r="H19" s="82">
        <v>66.8</v>
      </c>
      <c r="I19" s="82">
        <f t="shared" si="0"/>
        <v>59739</v>
      </c>
      <c r="J19" s="82">
        <v>10.1</v>
      </c>
      <c r="K19" s="82">
        <v>49.7</v>
      </c>
      <c r="L19" s="82">
        <v>95.8</v>
      </c>
      <c r="M19" s="82">
        <v>2.2400000000000002</v>
      </c>
      <c r="N19" s="82">
        <v>44</v>
      </c>
      <c r="O19" s="82">
        <v>22.9</v>
      </c>
      <c r="P19" s="82">
        <f t="shared" si="1"/>
        <v>46059</v>
      </c>
      <c r="Q19" s="82">
        <v>29.9</v>
      </c>
      <c r="R19" s="82">
        <v>2.9</v>
      </c>
      <c r="S19" s="82">
        <v>13.5</v>
      </c>
      <c r="T19" s="82">
        <v>31.9</v>
      </c>
      <c r="U19" s="82">
        <v>28025</v>
      </c>
      <c r="V19" s="82">
        <v>2013</v>
      </c>
      <c r="W19" s="82">
        <v>3</v>
      </c>
      <c r="X19" s="82">
        <v>33.9</v>
      </c>
      <c r="Y19" s="82">
        <v>85.9</v>
      </c>
      <c r="Z19" s="82">
        <v>60.7</v>
      </c>
      <c r="AA19" s="82">
        <v>83.1</v>
      </c>
      <c r="AB19" s="82">
        <v>92.6</v>
      </c>
      <c r="AC19" s="82">
        <v>77.900000000000006</v>
      </c>
      <c r="AD19" s="82">
        <v>93.8</v>
      </c>
      <c r="AE19" s="82">
        <v>29.5</v>
      </c>
      <c r="AF19" s="82">
        <v>43.5</v>
      </c>
      <c r="AG19" s="82">
        <v>0.5</v>
      </c>
      <c r="AH19" s="82">
        <v>25.5</v>
      </c>
      <c r="AI19" s="82">
        <v>1.1000000000000001</v>
      </c>
      <c r="AJ19" s="82">
        <v>4.4000000000000004</v>
      </c>
      <c r="AK19" s="82">
        <v>4.0999999999999996</v>
      </c>
      <c r="AL19" s="82">
        <v>3.8</v>
      </c>
      <c r="AM19" s="82">
        <v>3.7</v>
      </c>
      <c r="AN19" s="82">
        <v>3.6</v>
      </c>
      <c r="AO19" s="82">
        <v>3.6</v>
      </c>
      <c r="AP19" s="82">
        <v>3.6</v>
      </c>
      <c r="AQ19" s="82">
        <v>3.8</v>
      </c>
      <c r="AR19" s="82">
        <v>4</v>
      </c>
      <c r="AS19" s="82">
        <v>4.2</v>
      </c>
      <c r="AT19" s="82">
        <v>4.5</v>
      </c>
      <c r="AU19" s="82">
        <v>4.5</v>
      </c>
      <c r="AV19" s="82">
        <v>3.8</v>
      </c>
      <c r="AW19" s="82">
        <v>3.7</v>
      </c>
      <c r="AX19" s="82">
        <v>3.5</v>
      </c>
      <c r="AY19" s="82">
        <v>3.6</v>
      </c>
      <c r="AZ19" s="82">
        <v>3.4</v>
      </c>
      <c r="BA19" s="82">
        <v>3.5</v>
      </c>
      <c r="BB19" s="82">
        <v>2.9</v>
      </c>
      <c r="BC19" s="82">
        <v>2.9</v>
      </c>
      <c r="BD19" s="82">
        <v>2.6</v>
      </c>
      <c r="BE19" s="82">
        <v>2.8</v>
      </c>
      <c r="BF19" s="82">
        <v>2.2000000000000002</v>
      </c>
      <c r="BG19" s="82">
        <v>2.6</v>
      </c>
      <c r="BH19" s="82">
        <v>2</v>
      </c>
      <c r="BI19" s="82">
        <v>2.4</v>
      </c>
      <c r="BJ19" s="82">
        <v>1.7</v>
      </c>
      <c r="BK19" s="82">
        <v>2</v>
      </c>
      <c r="BL19" s="82">
        <v>1.3</v>
      </c>
      <c r="BM19" s="82">
        <v>1.5</v>
      </c>
      <c r="BN19" s="82">
        <v>0.8</v>
      </c>
      <c r="BO19" s="82">
        <v>0.9</v>
      </c>
      <c r="BP19" s="82">
        <v>0.4</v>
      </c>
      <c r="BQ19" s="82">
        <v>0.6</v>
      </c>
      <c r="BR19" s="82">
        <v>0.3</v>
      </c>
      <c r="BS19" s="82">
        <v>0.5</v>
      </c>
      <c r="BT19" s="82">
        <v>26909</v>
      </c>
      <c r="BU19" s="82">
        <v>7992</v>
      </c>
      <c r="BV19" s="82">
        <v>2017</v>
      </c>
      <c r="BW19" s="82">
        <v>22809</v>
      </c>
      <c r="BX19" s="82">
        <v>17.399999999999999</v>
      </c>
      <c r="BY19" s="82">
        <v>2.8</v>
      </c>
      <c r="BZ19" s="82">
        <v>4.0999999999999996</v>
      </c>
      <c r="CA19" s="82">
        <v>12.5</v>
      </c>
      <c r="CB19" s="82">
        <v>16</v>
      </c>
      <c r="CC19" s="82">
        <v>15.4</v>
      </c>
      <c r="CD19" s="82">
        <v>13.2</v>
      </c>
      <c r="CE19" s="82">
        <v>10.5</v>
      </c>
      <c r="CF19" s="82">
        <v>5.5</v>
      </c>
      <c r="CG19" s="82">
        <v>1.7</v>
      </c>
      <c r="CH19" s="82">
        <v>0.5</v>
      </c>
      <c r="CI19" s="82">
        <v>0.4</v>
      </c>
      <c r="CJ19" s="82">
        <f t="shared" si="2"/>
        <v>59727</v>
      </c>
      <c r="CK19" s="82">
        <f t="shared" si="3"/>
        <v>109161.82760347366</v>
      </c>
      <c r="CL19" s="95">
        <f ca="1">$CK19*SUM(OFFSET($AJ19,0,(COUNTA($CL$1:CL$1)-1)*4,1,4))/100</f>
        <v>17465.892416555787</v>
      </c>
      <c r="CM19" s="95">
        <f ca="1">$CK19*SUM(OFFSET($AJ19,0,(COUNTA($CL$1:CM$1)-1)*4,1,4))/100</f>
        <v>15937.626830107156</v>
      </c>
      <c r="CN19" s="95">
        <f ca="1">$CK19*SUM(OFFSET($AJ19,0,(COUNTA($CL$1:CN$1)-1)*4,1,4))/100</f>
        <v>18775.83434779747</v>
      </c>
      <c r="CO19" s="95">
        <f ca="1">$CK19*SUM(OFFSET($AJ19,0,(COUNTA($CL$1:CO$1)-1)*4,1,4))/100</f>
        <v>15937.626830107156</v>
      </c>
      <c r="CP19" s="95">
        <f ca="1">$CK19*SUM(OFFSET($AJ19,0,(COUNTA($CL$1:CP$1)-1)*4,1,4))/100</f>
        <v>13863.552105641156</v>
      </c>
      <c r="CQ19" s="95">
        <f ca="1">$CK19*SUM(OFFSET($AJ19,0,(COUNTA($CL$1:CQ$1)-1)*4,1,4))/100</f>
        <v>11134.506415554315</v>
      </c>
      <c r="CR19" s="95">
        <f ca="1">$CK19*SUM(OFFSET($AJ19,0,(COUNTA($CL$1:CR$1)-1)*4,1,4))/100</f>
        <v>8842.1080358813688</v>
      </c>
      <c r="CS19" s="95">
        <f ca="1">$CK19*SUM(OFFSET($AJ19,0,(COUNTA($CL$1:CS$1)-1)*4,1,4))/100</f>
        <v>4912.2822421563151</v>
      </c>
      <c r="CT19" s="95">
        <f ca="1">$CK19*SUM(OFFSET($AJ19,0,(COUNTA($CL$1:CT$1)-1)*4,1,4))/100</f>
        <v>1964.9128968625259</v>
      </c>
      <c r="CU19" s="96">
        <f t="shared" si="4"/>
        <v>2032.5</v>
      </c>
      <c r="CV19" s="96">
        <f t="shared" si="5"/>
        <v>53.708156262471668</v>
      </c>
    </row>
    <row r="20" spans="1:100">
      <c r="A20" s="82" t="str">
        <f ca="1">IF(ISERROR(OFFSET(Map!$E$2,MATCH(D20,Map!$B$3:$B$239,0),0)),OFFSET(Map!$E$2,MATCH(D20,Map!$C$3:$C$239,0),0),OFFSET(Map!$E$2,MATCH(D20,Map!$B$3:$B$239,0),0))</f>
        <v>Garden Route</v>
      </c>
      <c r="B20" s="82">
        <v>19</v>
      </c>
      <c r="C20" s="82" t="s">
        <v>62</v>
      </c>
      <c r="D20" s="82" t="s">
        <v>243</v>
      </c>
      <c r="E20" s="82" t="s">
        <v>244</v>
      </c>
      <c r="F20" s="82">
        <v>193672</v>
      </c>
      <c r="G20" s="82">
        <v>26.3</v>
      </c>
      <c r="H20" s="82">
        <v>67.3</v>
      </c>
      <c r="I20" s="82">
        <f t="shared" si="0"/>
        <v>130341</v>
      </c>
      <c r="J20" s="82">
        <v>6.4</v>
      </c>
      <c r="K20" s="82">
        <v>48.6</v>
      </c>
      <c r="L20" s="82">
        <v>96.9</v>
      </c>
      <c r="M20" s="82">
        <v>2.59</v>
      </c>
      <c r="N20" s="82">
        <v>37</v>
      </c>
      <c r="O20" s="82">
        <v>20.7</v>
      </c>
      <c r="P20" s="82">
        <f t="shared" si="1"/>
        <v>103361</v>
      </c>
      <c r="Q20" s="82">
        <v>27.6</v>
      </c>
      <c r="R20" s="82">
        <v>3.9</v>
      </c>
      <c r="S20" s="82">
        <v>11.6</v>
      </c>
      <c r="T20" s="82">
        <v>29.1</v>
      </c>
      <c r="U20" s="82">
        <v>53551</v>
      </c>
      <c r="V20" s="82">
        <v>4074</v>
      </c>
      <c r="W20" s="82">
        <v>3.4</v>
      </c>
      <c r="X20" s="82">
        <v>33.200000000000003</v>
      </c>
      <c r="Y20" s="82">
        <v>83.9</v>
      </c>
      <c r="Z20" s="82">
        <v>49</v>
      </c>
      <c r="AA20" s="82">
        <v>82</v>
      </c>
      <c r="AB20" s="82">
        <v>88.1</v>
      </c>
      <c r="AC20" s="82">
        <v>70.3</v>
      </c>
      <c r="AD20" s="82">
        <v>91</v>
      </c>
      <c r="AE20" s="82">
        <v>28.2</v>
      </c>
      <c r="AF20" s="82">
        <v>50.4</v>
      </c>
      <c r="AG20" s="82">
        <v>0.5</v>
      </c>
      <c r="AH20" s="82">
        <v>19.7</v>
      </c>
      <c r="AI20" s="82">
        <v>1.2</v>
      </c>
      <c r="AJ20" s="82">
        <v>4.8</v>
      </c>
      <c r="AK20" s="82">
        <v>4.7</v>
      </c>
      <c r="AL20" s="82">
        <v>4.3</v>
      </c>
      <c r="AM20" s="82">
        <v>4.2</v>
      </c>
      <c r="AN20" s="82">
        <v>4.2</v>
      </c>
      <c r="AO20" s="82">
        <v>4.0999999999999996</v>
      </c>
      <c r="AP20" s="82">
        <v>4.3</v>
      </c>
      <c r="AQ20" s="82">
        <v>4.4000000000000004</v>
      </c>
      <c r="AR20" s="82">
        <v>4.4000000000000004</v>
      </c>
      <c r="AS20" s="82">
        <v>4.4000000000000004</v>
      </c>
      <c r="AT20" s="82">
        <v>4.5999999999999996</v>
      </c>
      <c r="AU20" s="82">
        <v>4.4000000000000004</v>
      </c>
      <c r="AV20" s="82">
        <v>3.8</v>
      </c>
      <c r="AW20" s="82">
        <v>3.7</v>
      </c>
      <c r="AX20" s="82">
        <v>3.6</v>
      </c>
      <c r="AY20" s="82">
        <v>3.8</v>
      </c>
      <c r="AZ20" s="82">
        <v>3.4</v>
      </c>
      <c r="BA20" s="82">
        <v>3.7</v>
      </c>
      <c r="BB20" s="82">
        <v>3</v>
      </c>
      <c r="BC20" s="82">
        <v>3</v>
      </c>
      <c r="BD20" s="82">
        <v>2.5</v>
      </c>
      <c r="BE20" s="82">
        <v>2.7</v>
      </c>
      <c r="BF20" s="82">
        <v>1.9</v>
      </c>
      <c r="BG20" s="82">
        <v>2.2000000000000002</v>
      </c>
      <c r="BH20" s="82">
        <v>1.6</v>
      </c>
      <c r="BI20" s="82">
        <v>1.8</v>
      </c>
      <c r="BJ20" s="82">
        <v>1.1000000000000001</v>
      </c>
      <c r="BK20" s="82">
        <v>1.2</v>
      </c>
      <c r="BL20" s="82">
        <v>0.8</v>
      </c>
      <c r="BM20" s="82">
        <v>1</v>
      </c>
      <c r="BN20" s="82">
        <v>0.5</v>
      </c>
      <c r="BO20" s="82">
        <v>0.6</v>
      </c>
      <c r="BP20" s="82">
        <v>0.3</v>
      </c>
      <c r="BQ20" s="82">
        <v>0.4</v>
      </c>
      <c r="BR20" s="82">
        <v>0.2</v>
      </c>
      <c r="BS20" s="82">
        <v>0.3</v>
      </c>
      <c r="BT20" s="82">
        <v>63110</v>
      </c>
      <c r="BU20" s="82">
        <v>16434</v>
      </c>
      <c r="BV20" s="82">
        <v>5140</v>
      </c>
      <c r="BW20" s="82">
        <v>45664</v>
      </c>
      <c r="BX20" s="82">
        <v>12.1</v>
      </c>
      <c r="BY20" s="82">
        <v>2.6</v>
      </c>
      <c r="BZ20" s="82">
        <v>4.4000000000000004</v>
      </c>
      <c r="CA20" s="82">
        <v>13.2</v>
      </c>
      <c r="CB20" s="82">
        <v>19.399999999999999</v>
      </c>
      <c r="CC20" s="82">
        <v>17.3</v>
      </c>
      <c r="CD20" s="82">
        <v>12.7</v>
      </c>
      <c r="CE20" s="82">
        <v>9.8000000000000007</v>
      </c>
      <c r="CF20" s="82">
        <v>6</v>
      </c>
      <c r="CG20" s="82">
        <v>1.7</v>
      </c>
      <c r="CH20" s="82">
        <v>0.5</v>
      </c>
      <c r="CI20" s="82">
        <v>0.3</v>
      </c>
      <c r="CJ20" s="82">
        <f t="shared" si="2"/>
        <v>130348</v>
      </c>
      <c r="CK20" s="82">
        <f t="shared" si="3"/>
        <v>243787.87722147306</v>
      </c>
      <c r="CL20" s="95">
        <f ca="1">$CK20*SUM(OFFSET($AJ20,0,(COUNTA($CL$1:CL$1)-1)*4,1,4))/100</f>
        <v>43881.817899865157</v>
      </c>
      <c r="CM20" s="95">
        <f ca="1">$CK20*SUM(OFFSET($AJ20,0,(COUNTA($CL$1:CM$1)-1)*4,1,4))/100</f>
        <v>41443.939127650418</v>
      </c>
      <c r="CN20" s="95">
        <f ca="1">$CK20*SUM(OFFSET($AJ20,0,(COUNTA($CL$1:CN$1)-1)*4,1,4))/100</f>
        <v>43394.242145422206</v>
      </c>
      <c r="CO20" s="95">
        <f ca="1">$CK20*SUM(OFFSET($AJ20,0,(COUNTA($CL$1:CO$1)-1)*4,1,4))/100</f>
        <v>36324.393705999486</v>
      </c>
      <c r="CP20" s="95">
        <f ca="1">$CK20*SUM(OFFSET($AJ20,0,(COUNTA($CL$1:CP$1)-1)*4,1,4))/100</f>
        <v>31936.21191601297</v>
      </c>
      <c r="CQ20" s="95">
        <f ca="1">$CK20*SUM(OFFSET($AJ20,0,(COUNTA($CL$1:CQ$1)-1)*4,1,4))/100</f>
        <v>22672.272581596993</v>
      </c>
      <c r="CR20" s="95">
        <f ca="1">$CK20*SUM(OFFSET($AJ20,0,(COUNTA($CL$1:CR$1)-1)*4,1,4))/100</f>
        <v>13895.909001623964</v>
      </c>
      <c r="CS20" s="95">
        <f ca="1">$CK20*SUM(OFFSET($AJ20,0,(COUNTA($CL$1:CS$1)-1)*4,1,4))/100</f>
        <v>7069.8484394227189</v>
      </c>
      <c r="CT20" s="95">
        <f ca="1">$CK20*SUM(OFFSET($AJ20,0,(COUNTA($CL$1:CT$1)-1)*4,1,4))/100</f>
        <v>2925.4545266576765</v>
      </c>
      <c r="CU20" s="96">
        <f t="shared" si="4"/>
        <v>5234.3783783783783</v>
      </c>
      <c r="CV20" s="96">
        <f t="shared" si="5"/>
        <v>46.574370364298936</v>
      </c>
    </row>
    <row r="21" spans="1:100">
      <c r="A21" s="82" t="str">
        <f ca="1">IF(ISERROR(OFFSET(Map!$E$2,MATCH(D21,Map!$B$3:$B$239,0),0)),OFFSET(Map!$E$2,MATCH(D21,Map!$C$3:$C$239,0),0),OFFSET(Map!$E$2,MATCH(D21,Map!$B$3:$B$239,0),0))</f>
        <v>Garden Route</v>
      </c>
      <c r="B21" s="82">
        <v>20</v>
      </c>
      <c r="C21" s="82" t="s">
        <v>62</v>
      </c>
      <c r="D21" s="82" t="s">
        <v>245</v>
      </c>
      <c r="E21" s="82" t="s">
        <v>246</v>
      </c>
      <c r="F21" s="82">
        <v>95933</v>
      </c>
      <c r="G21" s="82">
        <v>28.7</v>
      </c>
      <c r="H21" s="82">
        <v>64.2</v>
      </c>
      <c r="I21" s="82">
        <f t="shared" si="0"/>
        <v>61589</v>
      </c>
      <c r="J21" s="82">
        <v>7.2</v>
      </c>
      <c r="K21" s="82">
        <v>55.8</v>
      </c>
      <c r="L21" s="82">
        <v>91.8</v>
      </c>
      <c r="M21" s="82">
        <v>1.25</v>
      </c>
      <c r="N21" s="82">
        <v>27</v>
      </c>
      <c r="O21" s="82">
        <v>25.3</v>
      </c>
      <c r="P21" s="82">
        <f t="shared" si="1"/>
        <v>46007</v>
      </c>
      <c r="Q21" s="82">
        <v>35.9</v>
      </c>
      <c r="R21" s="82">
        <v>4.5</v>
      </c>
      <c r="S21" s="82">
        <v>6.7</v>
      </c>
      <c r="T21" s="82">
        <v>25.1</v>
      </c>
      <c r="U21" s="82">
        <v>21910</v>
      </c>
      <c r="V21" s="82">
        <v>2235</v>
      </c>
      <c r="W21" s="82">
        <v>4.2</v>
      </c>
      <c r="X21" s="82">
        <v>36.200000000000003</v>
      </c>
      <c r="Y21" s="82">
        <v>88.5</v>
      </c>
      <c r="Z21" s="82">
        <v>61.7</v>
      </c>
      <c r="AA21" s="82">
        <v>77.2</v>
      </c>
      <c r="AB21" s="82">
        <v>78</v>
      </c>
      <c r="AC21" s="82">
        <v>74.5</v>
      </c>
      <c r="AD21" s="82">
        <v>85.3</v>
      </c>
      <c r="AE21" s="82">
        <v>9.1</v>
      </c>
      <c r="AF21" s="82">
        <v>77.3</v>
      </c>
      <c r="AG21" s="82">
        <v>0.3</v>
      </c>
      <c r="AH21" s="82">
        <v>12.5</v>
      </c>
      <c r="AI21" s="82">
        <v>0.7</v>
      </c>
      <c r="AJ21" s="82">
        <v>5</v>
      </c>
      <c r="AK21" s="82">
        <v>4.8</v>
      </c>
      <c r="AL21" s="82">
        <v>4.7</v>
      </c>
      <c r="AM21" s="82">
        <v>4.5999999999999996</v>
      </c>
      <c r="AN21" s="82">
        <v>4.8</v>
      </c>
      <c r="AO21" s="82">
        <v>4.8</v>
      </c>
      <c r="AP21" s="82">
        <v>5</v>
      </c>
      <c r="AQ21" s="82">
        <v>4.7</v>
      </c>
      <c r="AR21" s="82">
        <v>4.2</v>
      </c>
      <c r="AS21" s="82">
        <v>4.2</v>
      </c>
      <c r="AT21" s="82">
        <v>3.6</v>
      </c>
      <c r="AU21" s="82">
        <v>3.9</v>
      </c>
      <c r="AV21" s="82">
        <v>2.9</v>
      </c>
      <c r="AW21" s="82">
        <v>3.3</v>
      </c>
      <c r="AX21" s="82">
        <v>3.2</v>
      </c>
      <c r="AY21" s="82">
        <v>3.6</v>
      </c>
      <c r="AZ21" s="82">
        <v>3.1</v>
      </c>
      <c r="BA21" s="82">
        <v>3.5</v>
      </c>
      <c r="BB21" s="82">
        <v>2.7</v>
      </c>
      <c r="BC21" s="82">
        <v>2.7</v>
      </c>
      <c r="BD21" s="82">
        <v>2.4</v>
      </c>
      <c r="BE21" s="82">
        <v>2.8</v>
      </c>
      <c r="BF21" s="82">
        <v>1.9</v>
      </c>
      <c r="BG21" s="82">
        <v>2.4</v>
      </c>
      <c r="BH21" s="82">
        <v>1.5</v>
      </c>
      <c r="BI21" s="82">
        <v>2</v>
      </c>
      <c r="BJ21" s="82">
        <v>1.1000000000000001</v>
      </c>
      <c r="BK21" s="82">
        <v>1.5</v>
      </c>
      <c r="BL21" s="82">
        <v>0.8</v>
      </c>
      <c r="BM21" s="82">
        <v>1.1000000000000001</v>
      </c>
      <c r="BN21" s="82">
        <v>0.5</v>
      </c>
      <c r="BO21" s="82">
        <v>0.7</v>
      </c>
      <c r="BP21" s="82">
        <v>0.3</v>
      </c>
      <c r="BQ21" s="82">
        <v>0.5</v>
      </c>
      <c r="BR21" s="82">
        <v>0.2</v>
      </c>
      <c r="BS21" s="82">
        <v>0.4</v>
      </c>
      <c r="BT21" s="82">
        <v>23281</v>
      </c>
      <c r="BU21" s="82">
        <v>7887</v>
      </c>
      <c r="BV21" s="82">
        <v>3187</v>
      </c>
      <c r="BW21" s="82">
        <v>27229</v>
      </c>
      <c r="BX21" s="82">
        <v>9</v>
      </c>
      <c r="BY21" s="82">
        <v>2.2999999999999998</v>
      </c>
      <c r="BZ21" s="82">
        <v>4.5</v>
      </c>
      <c r="CA21" s="82">
        <v>16.3</v>
      </c>
      <c r="CB21" s="82">
        <v>23.7</v>
      </c>
      <c r="CC21" s="82">
        <v>18.899999999999999</v>
      </c>
      <c r="CD21" s="82">
        <v>11.5</v>
      </c>
      <c r="CE21" s="82">
        <v>8.4</v>
      </c>
      <c r="CF21" s="82">
        <v>4.2</v>
      </c>
      <c r="CG21" s="82">
        <v>0.8</v>
      </c>
      <c r="CH21" s="82">
        <v>0.3</v>
      </c>
      <c r="CI21" s="82">
        <v>0.2</v>
      </c>
      <c r="CJ21" s="82">
        <f t="shared" si="2"/>
        <v>61584</v>
      </c>
      <c r="CK21" s="82">
        <f t="shared" si="3"/>
        <v>107281.12345894436</v>
      </c>
      <c r="CL21" s="95">
        <f ca="1">$CK21*SUM(OFFSET($AJ21,0,(COUNTA($CL$1:CL$1)-1)*4,1,4))/100</f>
        <v>20490.694580658375</v>
      </c>
      <c r="CM21" s="95">
        <f ca="1">$CK21*SUM(OFFSET($AJ21,0,(COUNTA($CL$1:CM$1)-1)*4,1,4))/100</f>
        <v>20705.256827576264</v>
      </c>
      <c r="CN21" s="95">
        <f ca="1">$CK21*SUM(OFFSET($AJ21,0,(COUNTA($CL$1:CN$1)-1)*4,1,4))/100</f>
        <v>17057.698629972154</v>
      </c>
      <c r="CO21" s="95">
        <f ca="1">$CK21*SUM(OFFSET($AJ21,0,(COUNTA($CL$1:CO$1)-1)*4,1,4))/100</f>
        <v>13946.546049662766</v>
      </c>
      <c r="CP21" s="95">
        <f ca="1">$CK21*SUM(OFFSET($AJ21,0,(COUNTA($CL$1:CP$1)-1)*4,1,4))/100</f>
        <v>12873.734815073323</v>
      </c>
      <c r="CQ21" s="95">
        <f ca="1">$CK21*SUM(OFFSET($AJ21,0,(COUNTA($CL$1:CQ$1)-1)*4,1,4))/100</f>
        <v>10191.706728599715</v>
      </c>
      <c r="CR21" s="95">
        <f ca="1">$CK21*SUM(OFFSET($AJ21,0,(COUNTA($CL$1:CR$1)-1)*4,1,4))/100</f>
        <v>6544.1485309956061</v>
      </c>
      <c r="CS21" s="95">
        <f ca="1">$CK21*SUM(OFFSET($AJ21,0,(COUNTA($CL$1:CS$1)-1)*4,1,4))/100</f>
        <v>3325.7148272272757</v>
      </c>
      <c r="CT21" s="95">
        <f ca="1">$CK21*SUM(OFFSET($AJ21,0,(COUNTA($CL$1:CT$1)-1)*4,1,4))/100</f>
        <v>1501.935728425221</v>
      </c>
      <c r="CU21" s="96">
        <f t="shared" si="4"/>
        <v>3553.0740740740739</v>
      </c>
      <c r="CV21" s="96">
        <f t="shared" si="5"/>
        <v>30.193888791046856</v>
      </c>
    </row>
    <row r="22" spans="1:100">
      <c r="A22" s="82" t="str">
        <f ca="1">IF(ISERROR(OFFSET(Map!$E$2,MATCH(D22,Map!$B$3:$B$239,0),0)),OFFSET(Map!$E$2,MATCH(D22,Map!$C$3:$C$239,0),0),OFFSET(Map!$E$2,MATCH(D22,Map!$B$3:$B$239,0),0))</f>
        <v>Garden Route</v>
      </c>
      <c r="B22" s="82">
        <v>21</v>
      </c>
      <c r="C22" s="82" t="s">
        <v>62</v>
      </c>
      <c r="D22" s="82" t="s">
        <v>247</v>
      </c>
      <c r="E22" s="82" t="s">
        <v>248</v>
      </c>
      <c r="F22" s="82">
        <v>49162</v>
      </c>
      <c r="G22" s="82">
        <v>25.2</v>
      </c>
      <c r="H22" s="82">
        <v>68.400000000000006</v>
      </c>
      <c r="I22" s="82">
        <f t="shared" si="0"/>
        <v>33627</v>
      </c>
      <c r="J22" s="82">
        <v>6.4</v>
      </c>
      <c r="K22" s="82">
        <v>46.1</v>
      </c>
      <c r="L22" s="82">
        <v>99.1</v>
      </c>
      <c r="M22" s="82">
        <v>5.22</v>
      </c>
      <c r="N22" s="82">
        <v>50</v>
      </c>
      <c r="O22" s="82">
        <v>30.1</v>
      </c>
      <c r="P22" s="82">
        <f t="shared" si="1"/>
        <v>23505</v>
      </c>
      <c r="Q22" s="82">
        <v>37.9</v>
      </c>
      <c r="R22" s="82">
        <v>2.4</v>
      </c>
      <c r="S22" s="82">
        <v>12.1</v>
      </c>
      <c r="T22" s="82">
        <v>28.2</v>
      </c>
      <c r="U22" s="82">
        <v>16645</v>
      </c>
      <c r="V22" s="82">
        <v>1605</v>
      </c>
      <c r="W22" s="82">
        <v>2.8</v>
      </c>
      <c r="X22" s="82">
        <v>33.5</v>
      </c>
      <c r="Y22" s="82">
        <v>72.2</v>
      </c>
      <c r="Z22" s="82">
        <v>45.9</v>
      </c>
      <c r="AA22" s="82">
        <v>75.599999999999994</v>
      </c>
      <c r="AB22" s="82">
        <v>87.7</v>
      </c>
      <c r="AC22" s="82">
        <v>58.5</v>
      </c>
      <c r="AD22" s="82">
        <v>94</v>
      </c>
      <c r="AE22" s="82">
        <v>45.2</v>
      </c>
      <c r="AF22" s="82">
        <v>31.2</v>
      </c>
      <c r="AG22" s="82">
        <v>0.5</v>
      </c>
      <c r="AH22" s="82">
        <v>16.899999999999999</v>
      </c>
      <c r="AI22" s="82">
        <v>6.1</v>
      </c>
      <c r="AJ22" s="82">
        <v>4.9000000000000004</v>
      </c>
      <c r="AK22" s="82">
        <v>4.5999999999999996</v>
      </c>
      <c r="AL22" s="82">
        <v>3.9</v>
      </c>
      <c r="AM22" s="82">
        <v>4.3</v>
      </c>
      <c r="AN22" s="82">
        <v>3.7</v>
      </c>
      <c r="AO22" s="82">
        <v>3.9</v>
      </c>
      <c r="AP22" s="82">
        <v>3.8</v>
      </c>
      <c r="AQ22" s="82">
        <v>3.7</v>
      </c>
      <c r="AR22" s="82">
        <v>4.2</v>
      </c>
      <c r="AS22" s="82">
        <v>4.3</v>
      </c>
      <c r="AT22" s="82">
        <v>5.0999999999999996</v>
      </c>
      <c r="AU22" s="82">
        <v>5.0999999999999996</v>
      </c>
      <c r="AV22" s="82">
        <v>4.9000000000000004</v>
      </c>
      <c r="AW22" s="82">
        <v>4.5</v>
      </c>
      <c r="AX22" s="82">
        <v>4.5</v>
      </c>
      <c r="AY22" s="82">
        <v>4.2</v>
      </c>
      <c r="AZ22" s="82">
        <v>3.6</v>
      </c>
      <c r="BA22" s="82">
        <v>3.6</v>
      </c>
      <c r="BB22" s="82">
        <v>3</v>
      </c>
      <c r="BC22" s="82">
        <v>3</v>
      </c>
      <c r="BD22" s="82">
        <v>2.2999999999999998</v>
      </c>
      <c r="BE22" s="82">
        <v>2.4</v>
      </c>
      <c r="BF22" s="82">
        <v>1.7</v>
      </c>
      <c r="BG22" s="82">
        <v>1.9</v>
      </c>
      <c r="BH22" s="82">
        <v>1.4</v>
      </c>
      <c r="BI22" s="82">
        <v>1.5</v>
      </c>
      <c r="BJ22" s="82">
        <v>1</v>
      </c>
      <c r="BK22" s="82">
        <v>1.4</v>
      </c>
      <c r="BL22" s="82">
        <v>0.9</v>
      </c>
      <c r="BM22" s="82">
        <v>0.9</v>
      </c>
      <c r="BN22" s="82">
        <v>0.5</v>
      </c>
      <c r="BO22" s="82">
        <v>0.6</v>
      </c>
      <c r="BP22" s="82">
        <v>0.2</v>
      </c>
      <c r="BQ22" s="82">
        <v>0.4</v>
      </c>
      <c r="BR22" s="82">
        <v>0.2</v>
      </c>
      <c r="BS22" s="82">
        <v>0.3</v>
      </c>
      <c r="BT22" s="82">
        <v>16493</v>
      </c>
      <c r="BU22" s="82">
        <v>7106</v>
      </c>
      <c r="BV22" s="82">
        <v>1493</v>
      </c>
      <c r="BW22" s="82">
        <v>8555</v>
      </c>
      <c r="BX22" s="82">
        <v>18.100000000000001</v>
      </c>
      <c r="BY22" s="82">
        <v>4.4000000000000004</v>
      </c>
      <c r="BZ22" s="82">
        <v>5.5</v>
      </c>
      <c r="CA22" s="82">
        <v>16.399999999999999</v>
      </c>
      <c r="CB22" s="82">
        <v>19.7</v>
      </c>
      <c r="CC22" s="82">
        <v>13.8</v>
      </c>
      <c r="CD22" s="82">
        <v>9</v>
      </c>
      <c r="CE22" s="82">
        <v>6.7</v>
      </c>
      <c r="CF22" s="82">
        <v>4</v>
      </c>
      <c r="CG22" s="82">
        <v>1.5</v>
      </c>
      <c r="CH22" s="82">
        <v>0.5</v>
      </c>
      <c r="CI22" s="82">
        <v>0.4</v>
      </c>
      <c r="CJ22" s="82">
        <f t="shared" si="2"/>
        <v>33647</v>
      </c>
      <c r="CK22" s="82">
        <f t="shared" si="3"/>
        <v>77716.676427701692</v>
      </c>
      <c r="CL22" s="95">
        <f ca="1">$CK22*SUM(OFFSET($AJ22,0,(COUNTA($CL$1:CL$1)-1)*4,1,4))/100</f>
        <v>13755.851727703201</v>
      </c>
      <c r="CM22" s="95">
        <f ca="1">$CK22*SUM(OFFSET($AJ22,0,(COUNTA($CL$1:CM$1)-1)*4,1,4))/100</f>
        <v>11735.218140582954</v>
      </c>
      <c r="CN22" s="95">
        <f ca="1">$CK22*SUM(OFFSET($AJ22,0,(COUNTA($CL$1:CN$1)-1)*4,1,4))/100</f>
        <v>14533.018491980218</v>
      </c>
      <c r="CO22" s="95">
        <f ca="1">$CK22*SUM(OFFSET($AJ22,0,(COUNTA($CL$1:CO$1)-1)*4,1,4))/100</f>
        <v>14066.718433414009</v>
      </c>
      <c r="CP22" s="95">
        <f ca="1">$CK22*SUM(OFFSET($AJ22,0,(COUNTA($CL$1:CP$1)-1)*4,1,4))/100</f>
        <v>10258.601288456623</v>
      </c>
      <c r="CQ22" s="95">
        <f ca="1">$CK22*SUM(OFFSET($AJ22,0,(COUNTA($CL$1:CQ$1)-1)*4,1,4))/100</f>
        <v>6450.4841434992395</v>
      </c>
      <c r="CR22" s="95">
        <f ca="1">$CK22*SUM(OFFSET($AJ22,0,(COUNTA($CL$1:CR$1)-1)*4,1,4))/100</f>
        <v>4118.9838506681899</v>
      </c>
      <c r="CS22" s="95">
        <f ca="1">$CK22*SUM(OFFSET($AJ22,0,(COUNTA($CL$1:CS$1)-1)*4,1,4))/100</f>
        <v>2253.7836164033488</v>
      </c>
      <c r="CT22" s="95">
        <f ca="1">$CK22*SUM(OFFSET($AJ22,0,(COUNTA($CL$1:CT$1)-1)*4,1,4))/100</f>
        <v>854.88344070471862</v>
      </c>
      <c r="CU22" s="96">
        <f t="shared" si="4"/>
        <v>983.24</v>
      </c>
      <c r="CV22" s="96">
        <f t="shared" si="5"/>
        <v>79.041410467130802</v>
      </c>
    </row>
    <row r="23" spans="1:100">
      <c r="A23" s="82" t="str">
        <f ca="1">IF(ISERROR(OFFSET(Map!$E$2,MATCH(D23,Map!$B$3:$B$239,0),0)),OFFSET(Map!$E$2,MATCH(D23,Map!$C$3:$C$239,0),0),OFFSET(Map!$E$2,MATCH(D23,Map!$B$3:$B$239,0),0))</f>
        <v>Garden Route</v>
      </c>
      <c r="B23" s="82">
        <v>22</v>
      </c>
      <c r="C23" s="82" t="s">
        <v>62</v>
      </c>
      <c r="D23" s="82" t="s">
        <v>249</v>
      </c>
      <c r="E23" s="82" t="s">
        <v>250</v>
      </c>
      <c r="F23" s="82">
        <v>68659</v>
      </c>
      <c r="G23" s="82">
        <v>24.8</v>
      </c>
      <c r="H23" s="82">
        <v>66.900000000000006</v>
      </c>
      <c r="I23" s="82">
        <f t="shared" si="0"/>
        <v>45933</v>
      </c>
      <c r="J23" s="82">
        <v>8.3000000000000007</v>
      </c>
      <c r="K23" s="82">
        <v>49.5</v>
      </c>
      <c r="L23" s="82">
        <v>97.9</v>
      </c>
      <c r="M23" s="82">
        <v>2.77</v>
      </c>
      <c r="N23" s="82">
        <v>62</v>
      </c>
      <c r="O23" s="82">
        <v>24.8</v>
      </c>
      <c r="P23" s="82">
        <f t="shared" si="1"/>
        <v>34542</v>
      </c>
      <c r="Q23" s="82">
        <v>32.299999999999997</v>
      </c>
      <c r="R23" s="82">
        <v>2.6</v>
      </c>
      <c r="S23" s="82">
        <v>12.6</v>
      </c>
      <c r="T23" s="82">
        <v>29.7</v>
      </c>
      <c r="U23" s="82">
        <v>21893</v>
      </c>
      <c r="V23" s="82">
        <v>1997</v>
      </c>
      <c r="W23" s="82">
        <v>2.9</v>
      </c>
      <c r="X23" s="82">
        <v>34.299999999999997</v>
      </c>
      <c r="Y23" s="82">
        <v>73.8</v>
      </c>
      <c r="Z23" s="82">
        <v>58.7</v>
      </c>
      <c r="AA23" s="82">
        <v>66.8</v>
      </c>
      <c r="AB23" s="82">
        <v>93</v>
      </c>
      <c r="AC23" s="82">
        <v>67.3</v>
      </c>
      <c r="AD23" s="82">
        <v>88.8</v>
      </c>
      <c r="AE23" s="82">
        <v>36.1</v>
      </c>
      <c r="AF23" s="82">
        <v>40.9</v>
      </c>
      <c r="AG23" s="82">
        <v>0.4</v>
      </c>
      <c r="AH23" s="82">
        <v>21</v>
      </c>
      <c r="AI23" s="82">
        <v>1.6</v>
      </c>
      <c r="AJ23" s="82">
        <v>4.9000000000000004</v>
      </c>
      <c r="AK23" s="82">
        <v>4.5999999999999996</v>
      </c>
      <c r="AL23" s="82">
        <v>4</v>
      </c>
      <c r="AM23" s="82">
        <v>3.8</v>
      </c>
      <c r="AN23" s="82">
        <v>3.6</v>
      </c>
      <c r="AO23" s="82">
        <v>3.9</v>
      </c>
      <c r="AP23" s="82">
        <v>3.6</v>
      </c>
      <c r="AQ23" s="82">
        <v>3.8</v>
      </c>
      <c r="AR23" s="82">
        <v>4.2</v>
      </c>
      <c r="AS23" s="82">
        <v>4.3</v>
      </c>
      <c r="AT23" s="82">
        <v>4.8</v>
      </c>
      <c r="AU23" s="82">
        <v>4.7</v>
      </c>
      <c r="AV23" s="82">
        <v>4.3</v>
      </c>
      <c r="AW23" s="82">
        <v>4</v>
      </c>
      <c r="AX23" s="82">
        <v>3.9</v>
      </c>
      <c r="AY23" s="82">
        <v>3.9</v>
      </c>
      <c r="AZ23" s="82">
        <v>3.6</v>
      </c>
      <c r="BA23" s="82">
        <v>3.4</v>
      </c>
      <c r="BB23" s="82">
        <v>2.7</v>
      </c>
      <c r="BC23" s="82">
        <v>2.7</v>
      </c>
      <c r="BD23" s="82">
        <v>2.2999999999999998</v>
      </c>
      <c r="BE23" s="82">
        <v>2.5</v>
      </c>
      <c r="BF23" s="82">
        <v>1.9</v>
      </c>
      <c r="BG23" s="82">
        <v>2.2000000000000002</v>
      </c>
      <c r="BH23" s="82">
        <v>1.7</v>
      </c>
      <c r="BI23" s="82">
        <v>2.1</v>
      </c>
      <c r="BJ23" s="82">
        <v>1.5</v>
      </c>
      <c r="BK23" s="82">
        <v>1.6</v>
      </c>
      <c r="BL23" s="82">
        <v>1.3</v>
      </c>
      <c r="BM23" s="82">
        <v>1.2</v>
      </c>
      <c r="BN23" s="82">
        <v>0.6</v>
      </c>
      <c r="BO23" s="82">
        <v>0.7</v>
      </c>
      <c r="BP23" s="82">
        <v>0.3</v>
      </c>
      <c r="BQ23" s="82">
        <v>0.4</v>
      </c>
      <c r="BR23" s="82">
        <v>0.3</v>
      </c>
      <c r="BS23" s="82">
        <v>0.4</v>
      </c>
      <c r="BT23" s="82">
        <v>21939</v>
      </c>
      <c r="BU23" s="82">
        <v>7248</v>
      </c>
      <c r="BV23" s="82">
        <v>1589</v>
      </c>
      <c r="BW23" s="82">
        <v>15146</v>
      </c>
      <c r="BX23" s="82">
        <v>16.399999999999999</v>
      </c>
      <c r="BY23" s="82">
        <v>3.3</v>
      </c>
      <c r="BZ23" s="82">
        <v>4.3</v>
      </c>
      <c r="CA23" s="82">
        <v>13.8</v>
      </c>
      <c r="CB23" s="82">
        <v>18.8</v>
      </c>
      <c r="CC23" s="82">
        <v>15</v>
      </c>
      <c r="CD23" s="82">
        <v>11.1</v>
      </c>
      <c r="CE23" s="82">
        <v>8.8000000000000007</v>
      </c>
      <c r="CF23" s="82">
        <v>5.6</v>
      </c>
      <c r="CG23" s="82">
        <v>1.9</v>
      </c>
      <c r="CH23" s="82">
        <v>0.6</v>
      </c>
      <c r="CI23" s="82">
        <v>0.4</v>
      </c>
      <c r="CJ23" s="82">
        <f t="shared" si="2"/>
        <v>45922</v>
      </c>
      <c r="CK23" s="82">
        <f t="shared" si="3"/>
        <v>87800.033680226756</v>
      </c>
      <c r="CL23" s="95">
        <f ca="1">$CK23*SUM(OFFSET($AJ23,0,(COUNTA($CL$1:CL$1)-1)*4,1,4))/100</f>
        <v>15189.405826679229</v>
      </c>
      <c r="CM23" s="95">
        <f ca="1">$CK23*SUM(OFFSET($AJ23,0,(COUNTA($CL$1:CM$1)-1)*4,1,4))/100</f>
        <v>13082.205018353787</v>
      </c>
      <c r="CN23" s="95">
        <f ca="1">$CK23*SUM(OFFSET($AJ23,0,(COUNTA($CL$1:CN$1)-1)*4,1,4))/100</f>
        <v>15804.006062440816</v>
      </c>
      <c r="CO23" s="95">
        <f ca="1">$CK23*SUM(OFFSET($AJ23,0,(COUNTA($CL$1:CO$1)-1)*4,1,4))/100</f>
        <v>14135.805422516509</v>
      </c>
      <c r="CP23" s="95">
        <f ca="1">$CK23*SUM(OFFSET($AJ23,0,(COUNTA($CL$1:CP$1)-1)*4,1,4))/100</f>
        <v>10887.204176348117</v>
      </c>
      <c r="CQ23" s="95">
        <f ca="1">$CK23*SUM(OFFSET($AJ23,0,(COUNTA($CL$1:CQ$1)-1)*4,1,4))/100</f>
        <v>7814.2029975401792</v>
      </c>
      <c r="CR23" s="95">
        <f ca="1">$CK23*SUM(OFFSET($AJ23,0,(COUNTA($CL$1:CR$1)-1)*4,1,4))/100</f>
        <v>6058.2023239356467</v>
      </c>
      <c r="CS23" s="95">
        <f ca="1">$CK23*SUM(OFFSET($AJ23,0,(COUNTA($CL$1:CS$1)-1)*4,1,4))/100</f>
        <v>3336.4012798486165</v>
      </c>
      <c r="CT23" s="95">
        <f ca="1">$CK23*SUM(OFFSET($AJ23,0,(COUNTA($CL$1:CT$1)-1)*4,1,4))/100</f>
        <v>1229.2004715231744</v>
      </c>
      <c r="CU23" s="96">
        <f t="shared" si="4"/>
        <v>1107.4032258064517</v>
      </c>
      <c r="CV23" s="96">
        <f t="shared" si="5"/>
        <v>79.284610730917407</v>
      </c>
    </row>
    <row r="24" spans="1:100">
      <c r="A24" s="82" t="str">
        <f ca="1">IF(ISERROR(OFFSET(Map!$E$2,MATCH(D24,Map!$B$3:$B$239,0),0)),OFFSET(Map!$E$2,MATCH(D24,Map!$C$3:$C$239,0),0),OFFSET(Map!$E$2,MATCH(D24,Map!$B$3:$B$239,0),0))</f>
        <v>Central Karoo</v>
      </c>
      <c r="B24" s="82">
        <v>23</v>
      </c>
      <c r="C24" s="82" t="s">
        <v>62</v>
      </c>
      <c r="D24" s="82" t="s">
        <v>251</v>
      </c>
      <c r="E24" s="82" t="s">
        <v>252</v>
      </c>
      <c r="F24" s="82">
        <v>8289</v>
      </c>
      <c r="G24" s="82">
        <v>26.5</v>
      </c>
      <c r="H24" s="82">
        <v>66.3</v>
      </c>
      <c r="I24" s="82">
        <f t="shared" si="0"/>
        <v>5496</v>
      </c>
      <c r="J24" s="82">
        <v>7.2</v>
      </c>
      <c r="K24" s="82">
        <v>50.9</v>
      </c>
      <c r="L24" s="82">
        <v>99.5</v>
      </c>
      <c r="M24" s="82">
        <v>2.16</v>
      </c>
      <c r="N24" s="82">
        <v>1</v>
      </c>
      <c r="O24" s="82">
        <v>17.899999999999999</v>
      </c>
      <c r="P24" s="82">
        <f t="shared" si="1"/>
        <v>4512</v>
      </c>
      <c r="Q24" s="82">
        <v>22</v>
      </c>
      <c r="R24" s="82">
        <v>11.7</v>
      </c>
      <c r="S24" s="82">
        <v>8.6999999999999993</v>
      </c>
      <c r="T24" s="82">
        <v>16.7</v>
      </c>
      <c r="U24" s="82">
        <v>2408</v>
      </c>
      <c r="V24" s="82">
        <v>490</v>
      </c>
      <c r="W24" s="82">
        <v>3.3</v>
      </c>
      <c r="X24" s="82">
        <v>31</v>
      </c>
      <c r="Y24" s="82">
        <v>96.6</v>
      </c>
      <c r="Z24" s="82">
        <v>36.200000000000003</v>
      </c>
      <c r="AA24" s="82">
        <v>68.099999999999994</v>
      </c>
      <c r="AB24" s="82">
        <v>59.5</v>
      </c>
      <c r="AC24" s="82">
        <v>66.3</v>
      </c>
      <c r="AD24" s="82">
        <v>79.400000000000006</v>
      </c>
      <c r="AE24" s="82">
        <v>7</v>
      </c>
      <c r="AF24" s="82">
        <v>79</v>
      </c>
      <c r="AG24" s="82">
        <v>0.2</v>
      </c>
      <c r="AH24" s="82">
        <v>13.3</v>
      </c>
      <c r="AI24" s="82">
        <v>0.5</v>
      </c>
      <c r="AJ24" s="82">
        <v>4.9000000000000004</v>
      </c>
      <c r="AK24" s="82">
        <v>4.8</v>
      </c>
      <c r="AL24" s="82">
        <v>4.3</v>
      </c>
      <c r="AM24" s="82">
        <v>4.2</v>
      </c>
      <c r="AN24" s="82">
        <v>4.2</v>
      </c>
      <c r="AO24" s="82">
        <v>4</v>
      </c>
      <c r="AP24" s="82">
        <v>3.9</v>
      </c>
      <c r="AQ24" s="82">
        <v>4.0999999999999996</v>
      </c>
      <c r="AR24" s="82">
        <v>3.6</v>
      </c>
      <c r="AS24" s="82">
        <v>3.3</v>
      </c>
      <c r="AT24" s="82">
        <v>4</v>
      </c>
      <c r="AU24" s="82">
        <v>3.5</v>
      </c>
      <c r="AV24" s="82">
        <v>3.7</v>
      </c>
      <c r="AW24" s="82">
        <v>3.5</v>
      </c>
      <c r="AX24" s="82">
        <v>3.6</v>
      </c>
      <c r="AY24" s="82">
        <v>4</v>
      </c>
      <c r="AZ24" s="82">
        <v>3.7</v>
      </c>
      <c r="BA24" s="82">
        <v>3.9</v>
      </c>
      <c r="BB24" s="82">
        <v>3.1</v>
      </c>
      <c r="BC24" s="82">
        <v>3.1</v>
      </c>
      <c r="BD24" s="82">
        <v>3</v>
      </c>
      <c r="BE24" s="82">
        <v>2.9</v>
      </c>
      <c r="BF24" s="82">
        <v>2.2999999999999998</v>
      </c>
      <c r="BG24" s="82">
        <v>2.7</v>
      </c>
      <c r="BH24" s="82">
        <v>2</v>
      </c>
      <c r="BI24" s="82">
        <v>2</v>
      </c>
      <c r="BJ24" s="82">
        <v>1.4</v>
      </c>
      <c r="BK24" s="82">
        <v>1.4</v>
      </c>
      <c r="BL24" s="82">
        <v>0.9</v>
      </c>
      <c r="BM24" s="82">
        <v>0.9</v>
      </c>
      <c r="BN24" s="82">
        <v>0.5</v>
      </c>
      <c r="BO24" s="82">
        <v>0.7</v>
      </c>
      <c r="BP24" s="82">
        <v>0.4</v>
      </c>
      <c r="BQ24" s="82">
        <v>0.4</v>
      </c>
      <c r="BR24" s="82">
        <v>0.2</v>
      </c>
      <c r="BS24" s="82">
        <v>0.4</v>
      </c>
      <c r="BT24" s="82">
        <v>2935</v>
      </c>
      <c r="BU24" s="82">
        <v>638</v>
      </c>
      <c r="BV24" s="82">
        <v>211</v>
      </c>
      <c r="BW24" s="82">
        <v>1708</v>
      </c>
      <c r="BX24" s="82">
        <v>5.3</v>
      </c>
      <c r="BY24" s="82">
        <v>2</v>
      </c>
      <c r="BZ24" s="82">
        <v>2.9</v>
      </c>
      <c r="CA24" s="82">
        <v>20.9</v>
      </c>
      <c r="CB24" s="82">
        <v>25.4</v>
      </c>
      <c r="CC24" s="82">
        <v>21.8</v>
      </c>
      <c r="CD24" s="82">
        <v>11</v>
      </c>
      <c r="CE24" s="82">
        <v>6.6</v>
      </c>
      <c r="CF24" s="82">
        <v>2.9</v>
      </c>
      <c r="CG24" s="82">
        <v>0.7</v>
      </c>
      <c r="CH24" s="82">
        <v>0.5</v>
      </c>
      <c r="CI24" s="82">
        <v>0</v>
      </c>
      <c r="CJ24" s="82">
        <f t="shared" si="2"/>
        <v>5492</v>
      </c>
      <c r="CK24" s="82">
        <f t="shared" si="3"/>
        <v>10046.854156344485</v>
      </c>
      <c r="CL24" s="95">
        <f ca="1">$CK24*SUM(OFFSET($AJ24,0,(COUNTA($CL$1:CL$1)-1)*4,1,4))/100</f>
        <v>1828.527456454696</v>
      </c>
      <c r="CM24" s="95">
        <f ca="1">$CK24*SUM(OFFSET($AJ24,0,(COUNTA($CL$1:CM$1)-1)*4,1,4))/100</f>
        <v>1627.5903733278067</v>
      </c>
      <c r="CN24" s="95">
        <f ca="1">$CK24*SUM(OFFSET($AJ24,0,(COUNTA($CL$1:CN$1)-1)*4,1,4))/100</f>
        <v>1446.7469985136058</v>
      </c>
      <c r="CO24" s="95">
        <f ca="1">$CK24*SUM(OFFSET($AJ24,0,(COUNTA($CL$1:CO$1)-1)*4,1,4))/100</f>
        <v>1486.9344151389837</v>
      </c>
      <c r="CP24" s="95">
        <f ca="1">$CK24*SUM(OFFSET($AJ24,0,(COUNTA($CL$1:CP$1)-1)*4,1,4))/100</f>
        <v>1386.4658735755388</v>
      </c>
      <c r="CQ24" s="95">
        <f ca="1">$CK24*SUM(OFFSET($AJ24,0,(COUNTA($CL$1:CQ$1)-1)*4,1,4))/100</f>
        <v>1095.1071030415487</v>
      </c>
      <c r="CR24" s="95">
        <f ca="1">$CK24*SUM(OFFSET($AJ24,0,(COUNTA($CL$1:CR$1)-1)*4,1,4))/100</f>
        <v>683.18608263142505</v>
      </c>
      <c r="CS24" s="95">
        <f ca="1">$CK24*SUM(OFFSET($AJ24,0,(COUNTA($CL$1:CS$1)-1)*4,1,4))/100</f>
        <v>301.40562469033455</v>
      </c>
      <c r="CT24" s="95">
        <f ca="1">$CK24*SUM(OFFSET($AJ24,0,(COUNTA($CL$1:CT$1)-1)*4,1,4))/100</f>
        <v>140.65595818882278</v>
      </c>
      <c r="CU24" s="96">
        <f t="shared" si="4"/>
        <v>8289</v>
      </c>
      <c r="CV24" s="96">
        <f t="shared" si="5"/>
        <v>1.2120707149649517</v>
      </c>
    </row>
    <row r="25" spans="1:100">
      <c r="A25" s="82" t="str">
        <f ca="1">IF(ISERROR(OFFSET(Map!$E$2,MATCH(D25,Map!$B$3:$B$239,0),0)),OFFSET(Map!$E$2,MATCH(D25,Map!$C$3:$C$239,0),0),OFFSET(Map!$E$2,MATCH(D25,Map!$B$3:$B$239,0),0))</f>
        <v>Central Karoo</v>
      </c>
      <c r="B25" s="82">
        <v>24</v>
      </c>
      <c r="C25" s="82" t="s">
        <v>62</v>
      </c>
      <c r="D25" s="82" t="s">
        <v>253</v>
      </c>
      <c r="E25" s="82" t="s">
        <v>254</v>
      </c>
      <c r="F25" s="82">
        <v>13136</v>
      </c>
      <c r="G25" s="82">
        <v>29.6</v>
      </c>
      <c r="H25" s="82">
        <v>64</v>
      </c>
      <c r="I25" s="82">
        <f t="shared" si="0"/>
        <v>8407</v>
      </c>
      <c r="J25" s="82">
        <v>6.4</v>
      </c>
      <c r="K25" s="82">
        <v>56.2</v>
      </c>
      <c r="L25" s="82">
        <v>97.8</v>
      </c>
      <c r="M25" s="82">
        <v>2.23</v>
      </c>
      <c r="N25" s="82">
        <v>2</v>
      </c>
      <c r="O25" s="82">
        <v>19.399999999999999</v>
      </c>
      <c r="P25" s="82">
        <f t="shared" si="1"/>
        <v>6776</v>
      </c>
      <c r="Q25" s="82">
        <v>25.4</v>
      </c>
      <c r="R25" s="82">
        <v>9.1</v>
      </c>
      <c r="S25" s="82">
        <v>8.5</v>
      </c>
      <c r="T25" s="82">
        <v>16.899999999999999</v>
      </c>
      <c r="U25" s="82">
        <v>3578</v>
      </c>
      <c r="V25" s="82">
        <v>590</v>
      </c>
      <c r="W25" s="82">
        <v>3.6</v>
      </c>
      <c r="X25" s="82">
        <v>44.9</v>
      </c>
      <c r="Y25" s="82">
        <v>93.9</v>
      </c>
      <c r="Z25" s="82">
        <v>56.8</v>
      </c>
      <c r="AA25" s="82">
        <v>63.6</v>
      </c>
      <c r="AB25" s="82">
        <v>73.400000000000006</v>
      </c>
      <c r="AC25" s="82">
        <v>69.7</v>
      </c>
      <c r="AD25" s="82">
        <v>86.4</v>
      </c>
      <c r="AE25" s="82">
        <v>2.8</v>
      </c>
      <c r="AF25" s="82">
        <v>84.5</v>
      </c>
      <c r="AG25" s="82">
        <v>0.3</v>
      </c>
      <c r="AH25" s="82">
        <v>11.8</v>
      </c>
      <c r="AI25" s="82">
        <v>0.6</v>
      </c>
      <c r="AJ25" s="82">
        <v>5</v>
      </c>
      <c r="AK25" s="82">
        <v>5</v>
      </c>
      <c r="AL25" s="82">
        <v>4.5999999999999996</v>
      </c>
      <c r="AM25" s="82">
        <v>5.3</v>
      </c>
      <c r="AN25" s="82">
        <v>5</v>
      </c>
      <c r="AO25" s="82">
        <v>4.8</v>
      </c>
      <c r="AP25" s="82">
        <v>4.5</v>
      </c>
      <c r="AQ25" s="82">
        <v>4.0999999999999996</v>
      </c>
      <c r="AR25" s="82">
        <v>4.4000000000000004</v>
      </c>
      <c r="AS25" s="82">
        <v>4.2</v>
      </c>
      <c r="AT25" s="82">
        <v>3.7</v>
      </c>
      <c r="AU25" s="82">
        <v>4</v>
      </c>
      <c r="AV25" s="82">
        <v>3.6</v>
      </c>
      <c r="AW25" s="82">
        <v>3.2</v>
      </c>
      <c r="AX25" s="82">
        <v>3.3</v>
      </c>
      <c r="AY25" s="82">
        <v>3.2</v>
      </c>
      <c r="AZ25" s="82">
        <v>3.3</v>
      </c>
      <c r="BA25" s="82">
        <v>3.5</v>
      </c>
      <c r="BB25" s="82">
        <v>3.5</v>
      </c>
      <c r="BC25" s="82">
        <v>3.5</v>
      </c>
      <c r="BD25" s="82">
        <v>2.5</v>
      </c>
      <c r="BE25" s="82">
        <v>2.6</v>
      </c>
      <c r="BF25" s="82">
        <v>1.9</v>
      </c>
      <c r="BG25" s="82">
        <v>2.1</v>
      </c>
      <c r="BH25" s="82">
        <v>1.5</v>
      </c>
      <c r="BI25" s="82">
        <v>1.7</v>
      </c>
      <c r="BJ25" s="82">
        <v>1.2</v>
      </c>
      <c r="BK25" s="82">
        <v>1.1000000000000001</v>
      </c>
      <c r="BL25" s="82">
        <v>0.9</v>
      </c>
      <c r="BM25" s="82">
        <v>1.1000000000000001</v>
      </c>
      <c r="BN25" s="82">
        <v>0.5</v>
      </c>
      <c r="BO25" s="82">
        <v>0.6</v>
      </c>
      <c r="BP25" s="82">
        <v>0.2</v>
      </c>
      <c r="BQ25" s="82">
        <v>0.4</v>
      </c>
      <c r="BR25" s="82">
        <v>0.2</v>
      </c>
      <c r="BS25" s="82">
        <v>0.3</v>
      </c>
      <c r="BT25" s="82">
        <v>3513</v>
      </c>
      <c r="BU25" s="82">
        <v>844</v>
      </c>
      <c r="BV25" s="82">
        <v>497</v>
      </c>
      <c r="BW25" s="82">
        <v>3555</v>
      </c>
      <c r="BX25" s="82">
        <v>6.3</v>
      </c>
      <c r="BY25" s="82">
        <v>3.3</v>
      </c>
      <c r="BZ25" s="82">
        <v>6.1</v>
      </c>
      <c r="CA25" s="82">
        <v>19.600000000000001</v>
      </c>
      <c r="CB25" s="82">
        <v>26.7</v>
      </c>
      <c r="CC25" s="82">
        <v>17.100000000000001</v>
      </c>
      <c r="CD25" s="82">
        <v>9.4</v>
      </c>
      <c r="CE25" s="82">
        <v>6.5</v>
      </c>
      <c r="CF25" s="82">
        <v>3.6</v>
      </c>
      <c r="CG25" s="82">
        <v>0.6</v>
      </c>
      <c r="CH25" s="82">
        <v>0.3</v>
      </c>
      <c r="CI25" s="82">
        <v>0.3</v>
      </c>
      <c r="CJ25" s="82">
        <f t="shared" si="2"/>
        <v>8409</v>
      </c>
      <c r="CK25" s="82">
        <f t="shared" si="3"/>
        <v>16020.216721585317</v>
      </c>
      <c r="CL25" s="95">
        <f ca="1">$CK25*SUM(OFFSET($AJ25,0,(COUNTA($CL$1:CL$1)-1)*4,1,4))/100</f>
        <v>3188.0231275954779</v>
      </c>
      <c r="CM25" s="95">
        <f ca="1">$CK25*SUM(OFFSET($AJ25,0,(COUNTA($CL$1:CM$1)-1)*4,1,4))/100</f>
        <v>2947.7198767716977</v>
      </c>
      <c r="CN25" s="95">
        <f ca="1">$CK25*SUM(OFFSET($AJ25,0,(COUNTA($CL$1:CN$1)-1)*4,1,4))/100</f>
        <v>2611.2953256184064</v>
      </c>
      <c r="CO25" s="95">
        <f ca="1">$CK25*SUM(OFFSET($AJ25,0,(COUNTA($CL$1:CO$1)-1)*4,1,4))/100</f>
        <v>2130.6888239708474</v>
      </c>
      <c r="CP25" s="95">
        <f ca="1">$CK25*SUM(OFFSET($AJ25,0,(COUNTA($CL$1:CP$1)-1)*4,1,4))/100</f>
        <v>2210.7899075787736</v>
      </c>
      <c r="CQ25" s="95">
        <f ca="1">$CK25*SUM(OFFSET($AJ25,0,(COUNTA($CL$1:CQ$1)-1)*4,1,4))/100</f>
        <v>1457.8397216642638</v>
      </c>
      <c r="CR25" s="95">
        <f ca="1">$CK25*SUM(OFFSET($AJ25,0,(COUNTA($CL$1:CR$1)-1)*4,1,4))/100</f>
        <v>881.11191968719243</v>
      </c>
      <c r="CS25" s="95">
        <f ca="1">$CK25*SUM(OFFSET($AJ25,0,(COUNTA($CL$1:CS$1)-1)*4,1,4))/100</f>
        <v>496.6267183691449</v>
      </c>
      <c r="CT25" s="95">
        <f ca="1">$CK25*SUM(OFFSET($AJ25,0,(COUNTA($CL$1:CT$1)-1)*4,1,4))/100</f>
        <v>176.22238393743851</v>
      </c>
      <c r="CU25" s="96">
        <f t="shared" si="4"/>
        <v>6568</v>
      </c>
      <c r="CV25" s="96">
        <f t="shared" si="5"/>
        <v>2.4391316567578132</v>
      </c>
    </row>
    <row r="26" spans="1:100">
      <c r="A26" s="82" t="str">
        <f ca="1">IF(ISERROR(OFFSET(Map!$E$2,MATCH(D26,Map!$B$3:$B$239,0),0)),OFFSET(Map!$E$2,MATCH(D26,Map!$C$3:$C$239,0),0),OFFSET(Map!$E$2,MATCH(D26,Map!$B$3:$B$239,0),0))</f>
        <v>Central Karoo</v>
      </c>
      <c r="B26" s="82">
        <v>25</v>
      </c>
      <c r="C26" s="82" t="s">
        <v>62</v>
      </c>
      <c r="D26" s="82" t="s">
        <v>255</v>
      </c>
      <c r="E26" s="82" t="s">
        <v>256</v>
      </c>
      <c r="F26" s="82">
        <v>49586</v>
      </c>
      <c r="G26" s="82">
        <v>31.5</v>
      </c>
      <c r="H26" s="82">
        <v>62.6</v>
      </c>
      <c r="I26" s="82">
        <f t="shared" si="0"/>
        <v>31041</v>
      </c>
      <c r="J26" s="82">
        <v>5.9</v>
      </c>
      <c r="K26" s="82">
        <v>59.7</v>
      </c>
      <c r="L26" s="82">
        <v>94.8</v>
      </c>
      <c r="M26" s="82">
        <v>1.36</v>
      </c>
      <c r="N26" s="82">
        <v>2</v>
      </c>
      <c r="O26" s="82">
        <v>25.5</v>
      </c>
      <c r="P26" s="82">
        <f t="shared" si="1"/>
        <v>23125</v>
      </c>
      <c r="Q26" s="82">
        <v>34.5</v>
      </c>
      <c r="R26" s="82">
        <v>10.1</v>
      </c>
      <c r="S26" s="82">
        <v>6.5</v>
      </c>
      <c r="T26" s="82">
        <v>23.6</v>
      </c>
      <c r="U26" s="82">
        <v>13089</v>
      </c>
      <c r="V26" s="82">
        <v>1593</v>
      </c>
      <c r="W26" s="82">
        <v>3.6</v>
      </c>
      <c r="X26" s="82">
        <v>37.700000000000003</v>
      </c>
      <c r="Y26" s="82">
        <v>97.9</v>
      </c>
      <c r="Z26" s="82">
        <v>60.7</v>
      </c>
      <c r="AA26" s="82">
        <v>83.2</v>
      </c>
      <c r="AB26" s="82">
        <v>83.7</v>
      </c>
      <c r="AC26" s="82">
        <v>81.3</v>
      </c>
      <c r="AD26" s="82">
        <v>92</v>
      </c>
      <c r="AE26" s="82">
        <v>16.3</v>
      </c>
      <c r="AF26" s="82">
        <v>73.5</v>
      </c>
      <c r="AG26" s="82">
        <v>0.5</v>
      </c>
      <c r="AH26" s="82">
        <v>9.1999999999999993</v>
      </c>
      <c r="AI26" s="82">
        <v>0.5</v>
      </c>
      <c r="AJ26" s="82">
        <v>5.8</v>
      </c>
      <c r="AK26" s="82">
        <v>5.4</v>
      </c>
      <c r="AL26" s="82">
        <v>5.0999999999999996</v>
      </c>
      <c r="AM26" s="82">
        <v>5.0999999999999996</v>
      </c>
      <c r="AN26" s="82">
        <v>5</v>
      </c>
      <c r="AO26" s="82">
        <v>5.0999999999999996</v>
      </c>
      <c r="AP26" s="82">
        <v>4.5</v>
      </c>
      <c r="AQ26" s="82">
        <v>4.3</v>
      </c>
      <c r="AR26" s="82">
        <v>3.9</v>
      </c>
      <c r="AS26" s="82">
        <v>4.0999999999999996</v>
      </c>
      <c r="AT26" s="82">
        <v>3.7</v>
      </c>
      <c r="AU26" s="82">
        <v>3.8</v>
      </c>
      <c r="AV26" s="82">
        <v>3.1</v>
      </c>
      <c r="AW26" s="82">
        <v>3.4</v>
      </c>
      <c r="AX26" s="82">
        <v>3.2</v>
      </c>
      <c r="AY26" s="82">
        <v>3.4</v>
      </c>
      <c r="AZ26" s="82">
        <v>3.2</v>
      </c>
      <c r="BA26" s="82">
        <v>3.4</v>
      </c>
      <c r="BB26" s="82">
        <v>2.8</v>
      </c>
      <c r="BC26" s="82">
        <v>2.8</v>
      </c>
      <c r="BD26" s="82">
        <v>2.5</v>
      </c>
      <c r="BE26" s="82">
        <v>2.8</v>
      </c>
      <c r="BF26" s="82">
        <v>2</v>
      </c>
      <c r="BG26" s="82">
        <v>2.2000000000000002</v>
      </c>
      <c r="BH26" s="82">
        <v>1.5</v>
      </c>
      <c r="BI26" s="82">
        <v>1.7</v>
      </c>
      <c r="BJ26" s="82">
        <v>1</v>
      </c>
      <c r="BK26" s="82">
        <v>1.2</v>
      </c>
      <c r="BL26" s="82">
        <v>0.7</v>
      </c>
      <c r="BM26" s="82">
        <v>1</v>
      </c>
      <c r="BN26" s="82">
        <v>0.4</v>
      </c>
      <c r="BO26" s="82">
        <v>0.6</v>
      </c>
      <c r="BP26" s="82">
        <v>0.2</v>
      </c>
      <c r="BQ26" s="82">
        <v>0.3</v>
      </c>
      <c r="BR26" s="82">
        <v>0.2</v>
      </c>
      <c r="BS26" s="82">
        <v>0.3</v>
      </c>
      <c r="BT26" s="82">
        <v>11012</v>
      </c>
      <c r="BU26" s="82">
        <v>3772</v>
      </c>
      <c r="BV26" s="82">
        <v>2572</v>
      </c>
      <c r="BW26" s="82">
        <v>13695</v>
      </c>
      <c r="BX26" s="82">
        <v>9.5</v>
      </c>
      <c r="BY26" s="82">
        <v>3.3</v>
      </c>
      <c r="BZ26" s="82">
        <v>5.8</v>
      </c>
      <c r="CA26" s="82">
        <v>21.7</v>
      </c>
      <c r="CB26" s="82">
        <v>23.8</v>
      </c>
      <c r="CC26" s="82">
        <v>15.3</v>
      </c>
      <c r="CD26" s="82">
        <v>9.5</v>
      </c>
      <c r="CE26" s="82">
        <v>6.9</v>
      </c>
      <c r="CF26" s="82">
        <v>3.2</v>
      </c>
      <c r="CG26" s="82">
        <v>0.7</v>
      </c>
      <c r="CH26" s="82">
        <v>0.2</v>
      </c>
      <c r="CI26" s="82">
        <v>0.2</v>
      </c>
      <c r="CJ26" s="82">
        <f t="shared" si="2"/>
        <v>31051</v>
      </c>
      <c r="CK26" s="82">
        <f t="shared" si="3"/>
        <v>55996.191866961257</v>
      </c>
      <c r="CL26" s="95">
        <f ca="1">$CK26*SUM(OFFSET($AJ26,0,(COUNTA($CL$1:CL$1)-1)*4,1,4))/100</f>
        <v>11983.185059529707</v>
      </c>
      <c r="CM26" s="95">
        <f ca="1">$CK26*SUM(OFFSET($AJ26,0,(COUNTA($CL$1:CM$1)-1)*4,1,4))/100</f>
        <v>10583.280262855678</v>
      </c>
      <c r="CN26" s="95">
        <f ca="1">$CK26*SUM(OFFSET($AJ26,0,(COUNTA($CL$1:CN$1)-1)*4,1,4))/100</f>
        <v>8679.4097393789943</v>
      </c>
      <c r="CO26" s="95">
        <f ca="1">$CK26*SUM(OFFSET($AJ26,0,(COUNTA($CL$1:CO$1)-1)*4,1,4))/100</f>
        <v>7335.501134571924</v>
      </c>
      <c r="CP26" s="95">
        <f ca="1">$CK26*SUM(OFFSET($AJ26,0,(COUNTA($CL$1:CP$1)-1)*4,1,4))/100</f>
        <v>6831.5354077692728</v>
      </c>
      <c r="CQ26" s="95">
        <f ca="1">$CK26*SUM(OFFSET($AJ26,0,(COUNTA($CL$1:CQ$1)-1)*4,1,4))/100</f>
        <v>5319.6382273613199</v>
      </c>
      <c r="CR26" s="95">
        <f ca="1">$CK26*SUM(OFFSET($AJ26,0,(COUNTA($CL$1:CR$1)-1)*4,1,4))/100</f>
        <v>3023.7943608159085</v>
      </c>
      <c r="CS26" s="95">
        <f ca="1">$CK26*SUM(OFFSET($AJ26,0,(COUNTA($CL$1:CS$1)-1)*4,1,4))/100</f>
        <v>1511.8971804079542</v>
      </c>
      <c r="CT26" s="95">
        <f ca="1">$CK26*SUM(OFFSET($AJ26,0,(COUNTA($CL$1:CT$1)-1)*4,1,4))/100</f>
        <v>559.9619186696126</v>
      </c>
      <c r="CU26" s="96">
        <f t="shared" si="4"/>
        <v>24793</v>
      </c>
      <c r="CV26" s="96">
        <f t="shared" si="5"/>
        <v>2.2585484558932465</v>
      </c>
    </row>
    <row r="27" spans="1:100">
      <c r="A27" s="82" t="str">
        <f ca="1">IF(ISERROR(OFFSET(Map!$E$2,MATCH(D27,Map!$B$3:$B$239,0),0)),OFFSET(Map!$E$2,MATCH(D27,Map!$C$3:$C$239,0),0),OFFSET(Map!$E$2,MATCH(D27,Map!$B$3:$B$239,0),0))</f>
        <v>Buffalo City Metropolitan Municipality</v>
      </c>
      <c r="B27" s="82">
        <v>26</v>
      </c>
      <c r="C27" s="82" t="s">
        <v>54</v>
      </c>
      <c r="D27" s="82" t="s">
        <v>257</v>
      </c>
      <c r="E27" s="82" t="s">
        <v>104</v>
      </c>
      <c r="F27" s="82">
        <v>755200</v>
      </c>
      <c r="G27" s="82">
        <v>26.4</v>
      </c>
      <c r="H27" s="82">
        <v>67.599999999999994</v>
      </c>
      <c r="I27" s="82">
        <f t="shared" si="0"/>
        <v>510515</v>
      </c>
      <c r="J27" s="82">
        <v>6</v>
      </c>
      <c r="K27" s="82">
        <v>47.9</v>
      </c>
      <c r="L27" s="82">
        <v>90.4</v>
      </c>
      <c r="M27" s="82">
        <v>0.69</v>
      </c>
      <c r="N27" s="82">
        <v>298</v>
      </c>
      <c r="O27" s="82">
        <v>35.1</v>
      </c>
      <c r="P27" s="82">
        <f t="shared" si="1"/>
        <v>331324</v>
      </c>
      <c r="Q27" s="82">
        <v>45.1</v>
      </c>
      <c r="R27" s="82">
        <v>4.9000000000000004</v>
      </c>
      <c r="S27" s="82">
        <v>13.8</v>
      </c>
      <c r="T27" s="82">
        <v>27.1</v>
      </c>
      <c r="U27" s="82">
        <v>223568</v>
      </c>
      <c r="V27" s="82">
        <v>43624</v>
      </c>
      <c r="W27" s="82">
        <v>3.2</v>
      </c>
      <c r="X27" s="82">
        <v>45.8</v>
      </c>
      <c r="Y27" s="82">
        <v>72.5</v>
      </c>
      <c r="Z27" s="82">
        <v>49.8</v>
      </c>
      <c r="AA27" s="82">
        <v>68.8</v>
      </c>
      <c r="AB27" s="82">
        <v>70.400000000000006</v>
      </c>
      <c r="AC27" s="82">
        <v>52.6</v>
      </c>
      <c r="AD27" s="82">
        <v>80.900000000000006</v>
      </c>
      <c r="AE27" s="82">
        <v>85.1</v>
      </c>
      <c r="AF27" s="82">
        <v>6</v>
      </c>
      <c r="AG27" s="82">
        <v>0.8</v>
      </c>
      <c r="AH27" s="82">
        <v>7.7</v>
      </c>
      <c r="AI27" s="82">
        <v>0.3</v>
      </c>
      <c r="AJ27" s="82">
        <v>5.2</v>
      </c>
      <c r="AK27" s="82">
        <v>5.0999999999999996</v>
      </c>
      <c r="AL27" s="82">
        <v>4.4000000000000004</v>
      </c>
      <c r="AM27" s="82">
        <v>4.3</v>
      </c>
      <c r="AN27" s="82">
        <v>3.8</v>
      </c>
      <c r="AO27" s="82">
        <v>3.6</v>
      </c>
      <c r="AP27" s="82">
        <v>4.4000000000000004</v>
      </c>
      <c r="AQ27" s="82">
        <v>4.5999999999999996</v>
      </c>
      <c r="AR27" s="82">
        <v>5</v>
      </c>
      <c r="AS27" s="82">
        <v>5.2</v>
      </c>
      <c r="AT27" s="82">
        <v>4.5</v>
      </c>
      <c r="AU27" s="82">
        <v>4.8</v>
      </c>
      <c r="AV27" s="82">
        <v>3.8</v>
      </c>
      <c r="AW27" s="82">
        <v>4</v>
      </c>
      <c r="AX27" s="82">
        <v>3.3</v>
      </c>
      <c r="AY27" s="82">
        <v>3.7</v>
      </c>
      <c r="AZ27" s="82">
        <v>2.9</v>
      </c>
      <c r="BA27" s="82">
        <v>3.5</v>
      </c>
      <c r="BB27" s="82">
        <v>2.6</v>
      </c>
      <c r="BC27" s="82">
        <v>2.6</v>
      </c>
      <c r="BD27" s="82">
        <v>2.2999999999999998</v>
      </c>
      <c r="BE27" s="82">
        <v>3</v>
      </c>
      <c r="BF27" s="82">
        <v>1.9</v>
      </c>
      <c r="BG27" s="82">
        <v>2.2999999999999998</v>
      </c>
      <c r="BH27" s="82">
        <v>1.3</v>
      </c>
      <c r="BI27" s="82">
        <v>1.6</v>
      </c>
      <c r="BJ27" s="82">
        <v>0.8</v>
      </c>
      <c r="BK27" s="82">
        <v>1.3</v>
      </c>
      <c r="BL27" s="82">
        <v>0.7</v>
      </c>
      <c r="BM27" s="82">
        <v>1.1000000000000001</v>
      </c>
      <c r="BN27" s="82">
        <v>0.3</v>
      </c>
      <c r="BO27" s="82">
        <v>0.7</v>
      </c>
      <c r="BP27" s="82">
        <v>0.2</v>
      </c>
      <c r="BQ27" s="82">
        <v>0.4</v>
      </c>
      <c r="BR27" s="82">
        <v>0.1</v>
      </c>
      <c r="BS27" s="82">
        <v>0.4</v>
      </c>
      <c r="BT27" s="82">
        <v>185215</v>
      </c>
      <c r="BU27" s="82">
        <v>100008</v>
      </c>
      <c r="BV27" s="82">
        <v>31557</v>
      </c>
      <c r="BW27" s="82">
        <v>193921</v>
      </c>
      <c r="BX27" s="82">
        <v>17</v>
      </c>
      <c r="BY27" s="82">
        <v>5.2</v>
      </c>
      <c r="BZ27" s="82">
        <v>7</v>
      </c>
      <c r="CA27" s="82">
        <v>18.5</v>
      </c>
      <c r="CB27" s="82">
        <v>17</v>
      </c>
      <c r="CC27" s="82">
        <v>11.1</v>
      </c>
      <c r="CD27" s="82">
        <v>8.9</v>
      </c>
      <c r="CE27" s="82">
        <v>7.9</v>
      </c>
      <c r="CF27" s="82">
        <v>4.9000000000000004</v>
      </c>
      <c r="CG27" s="82">
        <v>1.5</v>
      </c>
      <c r="CH27" s="82">
        <v>0.4</v>
      </c>
      <c r="CI27" s="82">
        <v>0.3</v>
      </c>
      <c r="CJ27" s="82">
        <f t="shared" si="2"/>
        <v>510701</v>
      </c>
      <c r="CK27" s="82">
        <f t="shared" si="3"/>
        <v>803413.35933629703</v>
      </c>
      <c r="CL27" s="95">
        <f ca="1">$CK27*SUM(OFFSET($AJ27,0,(COUNTA($CL$1:CL$1)-1)*4,1,4))/100</f>
        <v>152648.53827389644</v>
      </c>
      <c r="CM27" s="95">
        <f ca="1">$CK27*SUM(OFFSET($AJ27,0,(COUNTA($CL$1:CM$1)-1)*4,1,4))/100</f>
        <v>131759.7909311527</v>
      </c>
      <c r="CN27" s="95">
        <f ca="1">$CK27*SUM(OFFSET($AJ27,0,(COUNTA($CL$1:CN$1)-1)*4,1,4))/100</f>
        <v>156665.60507057791</v>
      </c>
      <c r="CO27" s="95">
        <f ca="1">$CK27*SUM(OFFSET($AJ27,0,(COUNTA($CL$1:CO$1)-1)*4,1,4))/100</f>
        <v>118905.17718177197</v>
      </c>
      <c r="CP27" s="95">
        <f ca="1">$CK27*SUM(OFFSET($AJ27,0,(COUNTA($CL$1:CP$1)-1)*4,1,4))/100</f>
        <v>93195.949683010447</v>
      </c>
      <c r="CQ27" s="95">
        <f ca="1">$CK27*SUM(OFFSET($AJ27,0,(COUNTA($CL$1:CQ$1)-1)*4,1,4))/100</f>
        <v>76324.26913694822</v>
      </c>
      <c r="CR27" s="95">
        <f ca="1">$CK27*SUM(OFFSET($AJ27,0,(COUNTA($CL$1:CR$1)-1)*4,1,4))/100</f>
        <v>40170.66796681485</v>
      </c>
      <c r="CS27" s="95">
        <f ca="1">$CK27*SUM(OFFSET($AJ27,0,(COUNTA($CL$1:CS$1)-1)*4,1,4))/100</f>
        <v>22495.574061416311</v>
      </c>
      <c r="CT27" s="95">
        <f ca="1">$CK27*SUM(OFFSET($AJ27,0,(COUNTA($CL$1:CT$1)-1)*4,1,4))/100</f>
        <v>8837.5469526992674</v>
      </c>
      <c r="CU27" s="96">
        <f t="shared" si="4"/>
        <v>2534.2281879194629</v>
      </c>
      <c r="CV27" s="96">
        <f t="shared" si="5"/>
        <v>317.02486901776552</v>
      </c>
    </row>
    <row r="28" spans="1:100">
      <c r="A28" s="82" t="str">
        <f ca="1">IF(ISERROR(OFFSET(Map!$E$2,MATCH(D28,Map!$B$3:$B$239,0),0)),OFFSET(Map!$E$2,MATCH(D28,Map!$C$3:$C$239,0),0),OFFSET(Map!$E$2,MATCH(D28,Map!$B$3:$B$239,0),0))</f>
        <v>Sarah Baartman</v>
      </c>
      <c r="B28" s="82">
        <v>27</v>
      </c>
      <c r="C28" s="82" t="s">
        <v>54</v>
      </c>
      <c r="D28" s="82" t="s">
        <v>258</v>
      </c>
      <c r="E28" s="82" t="s">
        <v>259</v>
      </c>
      <c r="F28" s="82">
        <v>50993</v>
      </c>
      <c r="G28" s="82">
        <v>29.8</v>
      </c>
      <c r="H28" s="82">
        <v>63.3</v>
      </c>
      <c r="I28" s="82">
        <f t="shared" si="0"/>
        <v>32279</v>
      </c>
      <c r="J28" s="82">
        <v>6.9</v>
      </c>
      <c r="K28" s="82">
        <v>58</v>
      </c>
      <c r="L28" s="82">
        <v>94.9</v>
      </c>
      <c r="M28" s="82">
        <v>1.08</v>
      </c>
      <c r="N28" s="82">
        <v>4</v>
      </c>
      <c r="O28" s="82">
        <v>30.1</v>
      </c>
      <c r="P28" s="82">
        <f t="shared" si="1"/>
        <v>22563</v>
      </c>
      <c r="Q28" s="82">
        <v>39.4</v>
      </c>
      <c r="R28" s="82">
        <v>9</v>
      </c>
      <c r="S28" s="82">
        <v>9.5</v>
      </c>
      <c r="T28" s="82">
        <v>19.600000000000001</v>
      </c>
      <c r="U28" s="82">
        <v>12400</v>
      </c>
      <c r="V28" s="82">
        <v>1733</v>
      </c>
      <c r="W28" s="82">
        <v>3.8</v>
      </c>
      <c r="X28" s="82">
        <v>39.200000000000003</v>
      </c>
      <c r="Y28" s="82">
        <v>94.2</v>
      </c>
      <c r="Z28" s="82">
        <v>56.4</v>
      </c>
      <c r="AA28" s="82">
        <v>82.1</v>
      </c>
      <c r="AB28" s="82">
        <v>83.1</v>
      </c>
      <c r="AC28" s="82">
        <v>55.1</v>
      </c>
      <c r="AD28" s="82">
        <v>94.1</v>
      </c>
      <c r="AE28" s="82">
        <v>24.8</v>
      </c>
      <c r="AF28" s="82">
        <v>64.8</v>
      </c>
      <c r="AG28" s="82">
        <v>0.4</v>
      </c>
      <c r="AH28" s="82">
        <v>9.6</v>
      </c>
      <c r="AI28" s="82">
        <v>0.4</v>
      </c>
      <c r="AJ28" s="82">
        <v>5.0999999999999996</v>
      </c>
      <c r="AK28" s="82">
        <v>5.0999999999999996</v>
      </c>
      <c r="AL28" s="82">
        <v>4.9000000000000004</v>
      </c>
      <c r="AM28" s="82">
        <v>4.9000000000000004</v>
      </c>
      <c r="AN28" s="82">
        <v>4.8</v>
      </c>
      <c r="AO28" s="82">
        <v>4.8</v>
      </c>
      <c r="AP28" s="82">
        <v>5.0999999999999996</v>
      </c>
      <c r="AQ28" s="82">
        <v>4.9000000000000004</v>
      </c>
      <c r="AR28" s="82">
        <v>4.5</v>
      </c>
      <c r="AS28" s="82">
        <v>4.4000000000000004</v>
      </c>
      <c r="AT28" s="82">
        <v>3.9</v>
      </c>
      <c r="AU28" s="82">
        <v>3.7</v>
      </c>
      <c r="AV28" s="82">
        <v>3.2</v>
      </c>
      <c r="AW28" s="82">
        <v>3.3</v>
      </c>
      <c r="AX28" s="82">
        <v>2.9</v>
      </c>
      <c r="AY28" s="82">
        <v>3.2</v>
      </c>
      <c r="AZ28" s="82">
        <v>3</v>
      </c>
      <c r="BA28" s="82">
        <v>3.1</v>
      </c>
      <c r="BB28" s="82">
        <v>2.6</v>
      </c>
      <c r="BC28" s="82">
        <v>2.6</v>
      </c>
      <c r="BD28" s="82">
        <v>2.2999999999999998</v>
      </c>
      <c r="BE28" s="82">
        <v>2.6</v>
      </c>
      <c r="BF28" s="82">
        <v>1.9</v>
      </c>
      <c r="BG28" s="82">
        <v>2.2000000000000002</v>
      </c>
      <c r="BH28" s="82">
        <v>1.6</v>
      </c>
      <c r="BI28" s="82">
        <v>1.8</v>
      </c>
      <c r="BJ28" s="82">
        <v>1.1000000000000001</v>
      </c>
      <c r="BK28" s="82">
        <v>1.4</v>
      </c>
      <c r="BL28" s="82">
        <v>0.8</v>
      </c>
      <c r="BM28" s="82">
        <v>1.1000000000000001</v>
      </c>
      <c r="BN28" s="82">
        <v>0.5</v>
      </c>
      <c r="BO28" s="82">
        <v>0.8</v>
      </c>
      <c r="BP28" s="82">
        <v>0.3</v>
      </c>
      <c r="BQ28" s="82">
        <v>0.5</v>
      </c>
      <c r="BR28" s="82">
        <v>0.2</v>
      </c>
      <c r="BS28" s="82">
        <v>0.4</v>
      </c>
      <c r="BT28" s="82">
        <v>12295</v>
      </c>
      <c r="BU28" s="82">
        <v>5297</v>
      </c>
      <c r="BV28" s="82">
        <v>1191</v>
      </c>
      <c r="BW28" s="82">
        <v>13498</v>
      </c>
      <c r="BX28" s="82">
        <v>10.8</v>
      </c>
      <c r="BY28" s="82">
        <v>3</v>
      </c>
      <c r="BZ28" s="82">
        <v>5.5</v>
      </c>
      <c r="CA28" s="82">
        <v>19.899999999999999</v>
      </c>
      <c r="CB28" s="82">
        <v>23.5</v>
      </c>
      <c r="CC28" s="82">
        <v>16</v>
      </c>
      <c r="CD28" s="82">
        <v>9.5</v>
      </c>
      <c r="CE28" s="82">
        <v>7</v>
      </c>
      <c r="CF28" s="82">
        <v>3.2</v>
      </c>
      <c r="CG28" s="82">
        <v>0.9</v>
      </c>
      <c r="CH28" s="82">
        <v>0.3</v>
      </c>
      <c r="CI28" s="82">
        <v>0.3</v>
      </c>
      <c r="CJ28" s="82">
        <f t="shared" si="2"/>
        <v>32281</v>
      </c>
      <c r="CK28" s="82">
        <f t="shared" si="3"/>
        <v>56169.125476127752</v>
      </c>
      <c r="CL28" s="95">
        <f ca="1">$CK28*SUM(OFFSET($AJ28,0,(COUNTA($CL$1:CL$1)-1)*4,1,4))/100</f>
        <v>11233.825095225549</v>
      </c>
      <c r="CM28" s="95">
        <f ca="1">$CK28*SUM(OFFSET($AJ28,0,(COUNTA($CL$1:CM$1)-1)*4,1,4))/100</f>
        <v>11009.148593321041</v>
      </c>
      <c r="CN28" s="95">
        <f ca="1">$CK28*SUM(OFFSET($AJ28,0,(COUNTA($CL$1:CN$1)-1)*4,1,4))/100</f>
        <v>9267.9057035610786</v>
      </c>
      <c r="CO28" s="95">
        <f ca="1">$CK28*SUM(OFFSET($AJ28,0,(COUNTA($CL$1:CO$1)-1)*4,1,4))/100</f>
        <v>7077.3098099920981</v>
      </c>
      <c r="CP28" s="95">
        <f ca="1">$CK28*SUM(OFFSET($AJ28,0,(COUNTA($CL$1:CP$1)-1)*4,1,4))/100</f>
        <v>6347.1111788024355</v>
      </c>
      <c r="CQ28" s="95">
        <f ca="1">$CK28*SUM(OFFSET($AJ28,0,(COUNTA($CL$1:CQ$1)-1)*4,1,4))/100</f>
        <v>5055.2212928514973</v>
      </c>
      <c r="CR28" s="95">
        <f ca="1">$CK28*SUM(OFFSET($AJ28,0,(COUNTA($CL$1:CR$1)-1)*4,1,4))/100</f>
        <v>3313.978403091538</v>
      </c>
      <c r="CS28" s="95">
        <f ca="1">$CK28*SUM(OFFSET($AJ28,0,(COUNTA($CL$1:CS$1)-1)*4,1,4))/100</f>
        <v>1797.4120152360881</v>
      </c>
      <c r="CT28" s="95">
        <f ca="1">$CK28*SUM(OFFSET($AJ28,0,(COUNTA($CL$1:CT$1)-1)*4,1,4))/100</f>
        <v>786.36775666578842</v>
      </c>
      <c r="CU28" s="96">
        <f t="shared" si="4"/>
        <v>12748.25</v>
      </c>
      <c r="CV28" s="96">
        <f t="shared" si="5"/>
        <v>4.4060263546861531</v>
      </c>
    </row>
    <row r="29" spans="1:100">
      <c r="A29" s="82" t="str">
        <f ca="1">IF(ISERROR(OFFSET(Map!$E$2,MATCH(D29,Map!$B$3:$B$239,0),0)),OFFSET(Map!$E$2,MATCH(D29,Map!$C$3:$C$239,0),0),OFFSET(Map!$E$2,MATCH(D29,Map!$B$3:$B$239,0),0))</f>
        <v>Sarah Baartman</v>
      </c>
      <c r="B29" s="82">
        <v>28</v>
      </c>
      <c r="C29" s="82" t="s">
        <v>54</v>
      </c>
      <c r="D29" s="82" t="s">
        <v>260</v>
      </c>
      <c r="E29" s="82" t="s">
        <v>261</v>
      </c>
      <c r="F29" s="82">
        <v>36002</v>
      </c>
      <c r="G29" s="82">
        <v>29.2</v>
      </c>
      <c r="H29" s="82">
        <v>63.8</v>
      </c>
      <c r="I29" s="82">
        <f t="shared" si="0"/>
        <v>22969</v>
      </c>
      <c r="J29" s="82">
        <v>7</v>
      </c>
      <c r="K29" s="82">
        <v>56.8</v>
      </c>
      <c r="L29" s="82">
        <v>96.5</v>
      </c>
      <c r="M29" s="82">
        <v>0.17</v>
      </c>
      <c r="N29" s="82">
        <v>3</v>
      </c>
      <c r="O29" s="82">
        <v>30.7</v>
      </c>
      <c r="P29" s="82">
        <f t="shared" si="1"/>
        <v>15918</v>
      </c>
      <c r="Q29" s="82">
        <v>40</v>
      </c>
      <c r="R29" s="82">
        <v>10.5</v>
      </c>
      <c r="S29" s="82">
        <v>6.3</v>
      </c>
      <c r="T29" s="82">
        <v>18.899999999999999</v>
      </c>
      <c r="U29" s="82">
        <v>9761</v>
      </c>
      <c r="V29" s="82">
        <v>1733</v>
      </c>
      <c r="W29" s="82">
        <v>3.5</v>
      </c>
      <c r="X29" s="82">
        <v>39.299999999999997</v>
      </c>
      <c r="Y29" s="82">
        <v>95.9</v>
      </c>
      <c r="Z29" s="82">
        <v>52.2</v>
      </c>
      <c r="AA29" s="82">
        <v>80.5</v>
      </c>
      <c r="AB29" s="82">
        <v>80.3</v>
      </c>
      <c r="AC29" s="82">
        <v>51.4</v>
      </c>
      <c r="AD29" s="82">
        <v>86.9</v>
      </c>
      <c r="AE29" s="82">
        <v>59</v>
      </c>
      <c r="AF29" s="82">
        <v>33</v>
      </c>
      <c r="AG29" s="82">
        <v>0.3</v>
      </c>
      <c r="AH29" s="82">
        <v>6.8</v>
      </c>
      <c r="AI29" s="82">
        <v>0.8</v>
      </c>
      <c r="AJ29" s="82">
        <v>6</v>
      </c>
      <c r="AK29" s="82">
        <v>5</v>
      </c>
      <c r="AL29" s="82">
        <v>4.8</v>
      </c>
      <c r="AM29" s="82">
        <v>4.8</v>
      </c>
      <c r="AN29" s="82">
        <v>4.5999999999999996</v>
      </c>
      <c r="AO29" s="82">
        <v>4.0999999999999996</v>
      </c>
      <c r="AP29" s="82">
        <v>4.3</v>
      </c>
      <c r="AQ29" s="82">
        <v>4.5</v>
      </c>
      <c r="AR29" s="82">
        <v>4</v>
      </c>
      <c r="AS29" s="82">
        <v>4</v>
      </c>
      <c r="AT29" s="82">
        <v>3.9</v>
      </c>
      <c r="AU29" s="82">
        <v>3.8</v>
      </c>
      <c r="AV29" s="82">
        <v>3.2</v>
      </c>
      <c r="AW29" s="82">
        <v>3.2</v>
      </c>
      <c r="AX29" s="82">
        <v>3.3</v>
      </c>
      <c r="AY29" s="82">
        <v>3.5</v>
      </c>
      <c r="AZ29" s="82">
        <v>2.9</v>
      </c>
      <c r="BA29" s="82">
        <v>3.3</v>
      </c>
      <c r="BB29" s="82">
        <v>2.8</v>
      </c>
      <c r="BC29" s="82">
        <v>2.8</v>
      </c>
      <c r="BD29" s="82">
        <v>2.7</v>
      </c>
      <c r="BE29" s="82">
        <v>2.9</v>
      </c>
      <c r="BF29" s="82">
        <v>2.1</v>
      </c>
      <c r="BG29" s="82">
        <v>2.5</v>
      </c>
      <c r="BH29" s="82">
        <v>1.6</v>
      </c>
      <c r="BI29" s="82">
        <v>2</v>
      </c>
      <c r="BJ29" s="82">
        <v>1.1000000000000001</v>
      </c>
      <c r="BK29" s="82">
        <v>1.4</v>
      </c>
      <c r="BL29" s="82">
        <v>0.9</v>
      </c>
      <c r="BM29" s="82">
        <v>1.3</v>
      </c>
      <c r="BN29" s="82">
        <v>0.4</v>
      </c>
      <c r="BO29" s="82">
        <v>0.7</v>
      </c>
      <c r="BP29" s="82">
        <v>0.2</v>
      </c>
      <c r="BQ29" s="82">
        <v>0.4</v>
      </c>
      <c r="BR29" s="82">
        <v>0.2</v>
      </c>
      <c r="BS29" s="82">
        <v>0.3</v>
      </c>
      <c r="BT29" s="82">
        <v>7434</v>
      </c>
      <c r="BU29" s="82">
        <v>3300</v>
      </c>
      <c r="BV29" s="82">
        <v>1294</v>
      </c>
      <c r="BW29" s="82">
        <v>10935</v>
      </c>
      <c r="BX29" s="82">
        <v>12.2</v>
      </c>
      <c r="BY29" s="82">
        <v>4.5999999999999996</v>
      </c>
      <c r="BZ29" s="82">
        <v>7.1</v>
      </c>
      <c r="CA29" s="82">
        <v>24.8</v>
      </c>
      <c r="CB29" s="82">
        <v>24</v>
      </c>
      <c r="CC29" s="82">
        <v>12.2</v>
      </c>
      <c r="CD29" s="82">
        <v>7.1</v>
      </c>
      <c r="CE29" s="82">
        <v>4.9000000000000004</v>
      </c>
      <c r="CF29" s="82">
        <v>2.2000000000000002</v>
      </c>
      <c r="CG29" s="82">
        <v>0.5</v>
      </c>
      <c r="CH29" s="82">
        <v>0.2</v>
      </c>
      <c r="CI29" s="82">
        <v>0.2</v>
      </c>
      <c r="CJ29" s="82">
        <f t="shared" si="2"/>
        <v>22963</v>
      </c>
      <c r="CK29" s="82">
        <f t="shared" si="3"/>
        <v>36556.59114376911</v>
      </c>
      <c r="CL29" s="95">
        <f ca="1">$CK29*SUM(OFFSET($AJ29,0,(COUNTA($CL$1:CL$1)-1)*4,1,4))/100</f>
        <v>7530.657775616437</v>
      </c>
      <c r="CM29" s="95">
        <f ca="1">$CK29*SUM(OFFSET($AJ29,0,(COUNTA($CL$1:CM$1)-1)*4,1,4))/100</f>
        <v>6397.4034501595943</v>
      </c>
      <c r="CN29" s="95">
        <f ca="1">$CK29*SUM(OFFSET($AJ29,0,(COUNTA($CL$1:CN$1)-1)*4,1,4))/100</f>
        <v>5739.3848095717503</v>
      </c>
      <c r="CO29" s="95">
        <f ca="1">$CK29*SUM(OFFSET($AJ29,0,(COUNTA($CL$1:CO$1)-1)*4,1,4))/100</f>
        <v>4825.4700309775226</v>
      </c>
      <c r="CP29" s="95">
        <f ca="1">$CK29*SUM(OFFSET($AJ29,0,(COUNTA($CL$1:CP$1)-1)*4,1,4))/100</f>
        <v>4313.677754964755</v>
      </c>
      <c r="CQ29" s="95">
        <f ca="1">$CK29*SUM(OFFSET($AJ29,0,(COUNTA($CL$1:CQ$1)-1)*4,1,4))/100</f>
        <v>3728.7722966644487</v>
      </c>
      <c r="CR29" s="95">
        <f ca="1">$CK29*SUM(OFFSET($AJ29,0,(COUNTA($CL$1:CR$1)-1)*4,1,4))/100</f>
        <v>2229.9520597699156</v>
      </c>
      <c r="CS29" s="95">
        <f ca="1">$CK29*SUM(OFFSET($AJ29,0,(COUNTA($CL$1:CS$1)-1)*4,1,4))/100</f>
        <v>1206.3675077443806</v>
      </c>
      <c r="CT29" s="95">
        <f ca="1">$CK29*SUM(OFFSET($AJ29,0,(COUNTA($CL$1:CT$1)-1)*4,1,4))/100</f>
        <v>402.1225025814602</v>
      </c>
      <c r="CU29" s="96">
        <f t="shared" si="4"/>
        <v>12000.666666666666</v>
      </c>
      <c r="CV29" s="96">
        <f t="shared" si="5"/>
        <v>3.0462133612384683</v>
      </c>
    </row>
    <row r="30" spans="1:100">
      <c r="A30" s="82" t="str">
        <f ca="1">IF(ISERROR(OFFSET(Map!$E$2,MATCH(D30,Map!$B$3:$B$239,0),0)),OFFSET(Map!$E$2,MATCH(D30,Map!$C$3:$C$239,0),0),OFFSET(Map!$E$2,MATCH(D30,Map!$B$3:$B$239,0),0))</f>
        <v>Sarah Baartman</v>
      </c>
      <c r="B30" s="82">
        <v>29</v>
      </c>
      <c r="C30" s="82" t="s">
        <v>54</v>
      </c>
      <c r="D30" s="82" t="s">
        <v>262</v>
      </c>
      <c r="E30" s="82" t="s">
        <v>263</v>
      </c>
      <c r="F30" s="82">
        <v>10537</v>
      </c>
      <c r="G30" s="82">
        <v>31.1</v>
      </c>
      <c r="H30" s="82">
        <v>62</v>
      </c>
      <c r="I30" s="82">
        <f t="shared" si="0"/>
        <v>6533</v>
      </c>
      <c r="J30" s="82">
        <v>7</v>
      </c>
      <c r="K30" s="82">
        <v>61.4</v>
      </c>
      <c r="L30" s="82">
        <v>92.2</v>
      </c>
      <c r="M30" s="82">
        <v>0.16</v>
      </c>
      <c r="N30" s="82">
        <v>2</v>
      </c>
      <c r="O30" s="82">
        <v>18.3</v>
      </c>
      <c r="P30" s="82">
        <f t="shared" si="1"/>
        <v>5337</v>
      </c>
      <c r="Q30" s="82">
        <v>22.7</v>
      </c>
      <c r="R30" s="82">
        <v>12.6</v>
      </c>
      <c r="S30" s="82">
        <v>5.4</v>
      </c>
      <c r="T30" s="82">
        <v>15.4</v>
      </c>
      <c r="U30" s="82">
        <v>2915</v>
      </c>
      <c r="V30" s="82">
        <v>564</v>
      </c>
      <c r="W30" s="82">
        <v>3.5</v>
      </c>
      <c r="X30" s="82">
        <v>41.4</v>
      </c>
      <c r="Y30" s="82">
        <v>97.2</v>
      </c>
      <c r="Z30" s="82">
        <v>52.7</v>
      </c>
      <c r="AA30" s="82">
        <v>69</v>
      </c>
      <c r="AB30" s="82">
        <v>79</v>
      </c>
      <c r="AC30" s="82">
        <v>42.1</v>
      </c>
      <c r="AD30" s="82">
        <v>88.5</v>
      </c>
      <c r="AE30" s="82">
        <v>37.200000000000003</v>
      </c>
      <c r="AF30" s="82">
        <v>54.6</v>
      </c>
      <c r="AG30" s="82">
        <v>0.2</v>
      </c>
      <c r="AH30" s="82">
        <v>7.6</v>
      </c>
      <c r="AI30" s="82">
        <v>0.5</v>
      </c>
      <c r="AJ30" s="82">
        <v>5.6</v>
      </c>
      <c r="AK30" s="82">
        <v>5.4</v>
      </c>
      <c r="AL30" s="82">
        <v>5.0999999999999996</v>
      </c>
      <c r="AM30" s="82">
        <v>5.7</v>
      </c>
      <c r="AN30" s="82">
        <v>4.8</v>
      </c>
      <c r="AO30" s="82">
        <v>4.5</v>
      </c>
      <c r="AP30" s="82">
        <v>4</v>
      </c>
      <c r="AQ30" s="82">
        <v>4.4000000000000004</v>
      </c>
      <c r="AR30" s="82">
        <v>3.9</v>
      </c>
      <c r="AS30" s="82">
        <v>4</v>
      </c>
      <c r="AT30" s="82">
        <v>3.6</v>
      </c>
      <c r="AU30" s="82">
        <v>3.2</v>
      </c>
      <c r="AV30" s="82">
        <v>3.3</v>
      </c>
      <c r="AW30" s="82">
        <v>3.5</v>
      </c>
      <c r="AX30" s="82">
        <v>3.2</v>
      </c>
      <c r="AY30" s="82">
        <v>3.4</v>
      </c>
      <c r="AZ30" s="82">
        <v>2.7</v>
      </c>
      <c r="BA30" s="82">
        <v>3.1</v>
      </c>
      <c r="BB30" s="82">
        <v>3</v>
      </c>
      <c r="BC30" s="82">
        <v>3</v>
      </c>
      <c r="BD30" s="82">
        <v>2.9</v>
      </c>
      <c r="BE30" s="82">
        <v>3.1</v>
      </c>
      <c r="BF30" s="82">
        <v>1.9</v>
      </c>
      <c r="BG30" s="82">
        <v>2.4</v>
      </c>
      <c r="BH30" s="82">
        <v>1.4</v>
      </c>
      <c r="BI30" s="82">
        <v>1.7</v>
      </c>
      <c r="BJ30" s="82">
        <v>1.3</v>
      </c>
      <c r="BK30" s="82">
        <v>1.4</v>
      </c>
      <c r="BL30" s="82">
        <v>0.7</v>
      </c>
      <c r="BM30" s="82">
        <v>1.1000000000000001</v>
      </c>
      <c r="BN30" s="82">
        <v>0.4</v>
      </c>
      <c r="BO30" s="82">
        <v>0.8</v>
      </c>
      <c r="BP30" s="82">
        <v>0.3</v>
      </c>
      <c r="BQ30" s="82">
        <v>0.5</v>
      </c>
      <c r="BR30" s="82">
        <v>0.1</v>
      </c>
      <c r="BS30" s="82">
        <v>0.3</v>
      </c>
      <c r="BT30" s="82">
        <v>2673</v>
      </c>
      <c r="BU30" s="82">
        <v>599</v>
      </c>
      <c r="BV30" s="82">
        <v>472</v>
      </c>
      <c r="BW30" s="82">
        <v>2785</v>
      </c>
      <c r="BX30" s="82">
        <v>10.8</v>
      </c>
      <c r="BY30" s="82">
        <v>4.5999999999999996</v>
      </c>
      <c r="BZ30" s="82">
        <v>9.3000000000000007</v>
      </c>
      <c r="CA30" s="82">
        <v>29.9</v>
      </c>
      <c r="CB30" s="82">
        <v>22.3</v>
      </c>
      <c r="CC30" s="82">
        <v>11.1</v>
      </c>
      <c r="CD30" s="82">
        <v>6.2</v>
      </c>
      <c r="CE30" s="82">
        <v>4.5</v>
      </c>
      <c r="CF30" s="82">
        <v>1.1000000000000001</v>
      </c>
      <c r="CG30" s="82">
        <v>0.2</v>
      </c>
      <c r="CH30" s="82">
        <v>0.1</v>
      </c>
      <c r="CI30" s="82">
        <v>0.1</v>
      </c>
      <c r="CJ30" s="82">
        <f t="shared" si="2"/>
        <v>6529</v>
      </c>
      <c r="CK30" s="82">
        <f t="shared" si="3"/>
        <v>10689.707524037272</v>
      </c>
      <c r="CL30" s="95">
        <f ca="1">$CK30*SUM(OFFSET($AJ30,0,(COUNTA($CL$1:CL$1)-1)*4,1,4))/100</f>
        <v>2330.3562402401253</v>
      </c>
      <c r="CM30" s="95">
        <f ca="1">$CK30*SUM(OFFSET($AJ30,0,(COUNTA($CL$1:CM$1)-1)*4,1,4))/100</f>
        <v>1892.0782317545975</v>
      </c>
      <c r="CN30" s="95">
        <f ca="1">$CK30*SUM(OFFSET($AJ30,0,(COUNTA($CL$1:CN$1)-1)*4,1,4))/100</f>
        <v>1571.3870060334789</v>
      </c>
      <c r="CO30" s="95">
        <f ca="1">$CK30*SUM(OFFSET($AJ30,0,(COUNTA($CL$1:CO$1)-1)*4,1,4))/100</f>
        <v>1432.4208082209946</v>
      </c>
      <c r="CP30" s="95">
        <f ca="1">$CK30*SUM(OFFSET($AJ30,0,(COUNTA($CL$1:CP$1)-1)*4,1,4))/100</f>
        <v>1261.3854878363982</v>
      </c>
      <c r="CQ30" s="95">
        <f ca="1">$CK30*SUM(OFFSET($AJ30,0,(COUNTA($CL$1:CQ$1)-1)*4,1,4))/100</f>
        <v>1101.0398749758392</v>
      </c>
      <c r="CR30" s="95">
        <f ca="1">$CK30*SUM(OFFSET($AJ30,0,(COUNTA($CL$1:CR$1)-1)*4,1,4))/100</f>
        <v>620.00303639416165</v>
      </c>
      <c r="CS30" s="95">
        <f ca="1">$CK30*SUM(OFFSET($AJ30,0,(COUNTA($CL$1:CS$1)-1)*4,1,4))/100</f>
        <v>320.69122572111814</v>
      </c>
      <c r="CT30" s="95">
        <f ca="1">$CK30*SUM(OFFSET($AJ30,0,(COUNTA($CL$1:CT$1)-1)*4,1,4))/100</f>
        <v>128.27649028844726</v>
      </c>
      <c r="CU30" s="96">
        <f t="shared" si="4"/>
        <v>5268.5</v>
      </c>
      <c r="CV30" s="96">
        <f t="shared" si="5"/>
        <v>2.0289850097821529</v>
      </c>
    </row>
    <row r="31" spans="1:100">
      <c r="A31" s="82" t="str">
        <f ca="1">IF(ISERROR(OFFSET(Map!$E$2,MATCH(D31,Map!$B$3:$B$239,0),0)),OFFSET(Map!$E$2,MATCH(D31,Map!$C$3:$C$239,0),0),OFFSET(Map!$E$2,MATCH(D31,Map!$B$3:$B$239,0),0))</f>
        <v>Sarah Baartman</v>
      </c>
      <c r="B31" s="82">
        <v>30</v>
      </c>
      <c r="C31" s="82" t="s">
        <v>54</v>
      </c>
      <c r="D31" s="82" t="s">
        <v>264</v>
      </c>
      <c r="E31" s="82" t="s">
        <v>265</v>
      </c>
      <c r="F31" s="82">
        <v>80390</v>
      </c>
      <c r="G31" s="82">
        <v>24.4</v>
      </c>
      <c r="H31" s="82">
        <v>69.400000000000006</v>
      </c>
      <c r="I31" s="82">
        <f t="shared" si="0"/>
        <v>55791</v>
      </c>
      <c r="J31" s="82">
        <v>6.2</v>
      </c>
      <c r="K31" s="82">
        <v>44.1</v>
      </c>
      <c r="L31" s="82">
        <v>90.4</v>
      </c>
      <c r="M31" s="82">
        <v>0.65</v>
      </c>
      <c r="N31" s="82">
        <v>18</v>
      </c>
      <c r="O31" s="82">
        <v>32.5</v>
      </c>
      <c r="P31" s="82">
        <f t="shared" si="1"/>
        <v>37659</v>
      </c>
      <c r="Q31" s="82">
        <v>42.3</v>
      </c>
      <c r="R31" s="82">
        <v>6.3</v>
      </c>
      <c r="S31" s="82">
        <v>11.9</v>
      </c>
      <c r="T31" s="82">
        <v>22.7</v>
      </c>
      <c r="U31" s="82">
        <v>21388</v>
      </c>
      <c r="V31" s="82">
        <v>3098</v>
      </c>
      <c r="W31" s="82">
        <v>3.4</v>
      </c>
      <c r="X31" s="82">
        <v>44.5</v>
      </c>
      <c r="Y31" s="82">
        <v>85.4</v>
      </c>
      <c r="Z31" s="82">
        <v>48.3</v>
      </c>
      <c r="AA31" s="82">
        <v>71.900000000000006</v>
      </c>
      <c r="AB31" s="82">
        <v>88.9</v>
      </c>
      <c r="AC31" s="82">
        <v>49.8</v>
      </c>
      <c r="AD31" s="82">
        <v>89.5</v>
      </c>
      <c r="AE31" s="82">
        <v>78</v>
      </c>
      <c r="AF31" s="82">
        <v>12.1</v>
      </c>
      <c r="AG31" s="82">
        <v>0.7</v>
      </c>
      <c r="AH31" s="82">
        <v>8.6999999999999993</v>
      </c>
      <c r="AI31" s="82">
        <v>0.6</v>
      </c>
      <c r="AJ31" s="82">
        <v>4.5999999999999996</v>
      </c>
      <c r="AK31" s="82">
        <v>4.4000000000000004</v>
      </c>
      <c r="AL31" s="82">
        <v>4</v>
      </c>
      <c r="AM31" s="82">
        <v>4</v>
      </c>
      <c r="AN31" s="82">
        <v>3.8</v>
      </c>
      <c r="AO31" s="82">
        <v>3.6</v>
      </c>
      <c r="AP31" s="82">
        <v>4.5999999999999996</v>
      </c>
      <c r="AQ31" s="82">
        <v>5</v>
      </c>
      <c r="AR31" s="82">
        <v>5.9</v>
      </c>
      <c r="AS31" s="82">
        <v>6.5</v>
      </c>
      <c r="AT31" s="82">
        <v>4.7</v>
      </c>
      <c r="AU31" s="82">
        <v>4.5999999999999996</v>
      </c>
      <c r="AV31" s="82">
        <v>3.6</v>
      </c>
      <c r="AW31" s="82">
        <v>3.3</v>
      </c>
      <c r="AX31" s="82">
        <v>3.1</v>
      </c>
      <c r="AY31" s="82">
        <v>3.5</v>
      </c>
      <c r="AZ31" s="82">
        <v>3</v>
      </c>
      <c r="BA31" s="82">
        <v>3.5</v>
      </c>
      <c r="BB31" s="82">
        <v>2.6</v>
      </c>
      <c r="BC31" s="82">
        <v>2.6</v>
      </c>
      <c r="BD31" s="82">
        <v>2.2999999999999998</v>
      </c>
      <c r="BE31" s="82">
        <v>2.9</v>
      </c>
      <c r="BF31" s="82">
        <v>1.8</v>
      </c>
      <c r="BG31" s="82">
        <v>2.2000000000000002</v>
      </c>
      <c r="BH31" s="82">
        <v>1.2</v>
      </c>
      <c r="BI31" s="82">
        <v>1.7</v>
      </c>
      <c r="BJ31" s="82">
        <v>0.8</v>
      </c>
      <c r="BK31" s="82">
        <v>1.2</v>
      </c>
      <c r="BL31" s="82">
        <v>0.7</v>
      </c>
      <c r="BM31" s="82">
        <v>1.1000000000000001</v>
      </c>
      <c r="BN31" s="82">
        <v>0.4</v>
      </c>
      <c r="BO31" s="82">
        <v>0.7</v>
      </c>
      <c r="BP31" s="82">
        <v>0.2</v>
      </c>
      <c r="BQ31" s="82">
        <v>0.4</v>
      </c>
      <c r="BR31" s="82">
        <v>0.2</v>
      </c>
      <c r="BS31" s="82">
        <v>0.5</v>
      </c>
      <c r="BT31" s="82">
        <v>19234</v>
      </c>
      <c r="BU31" s="82">
        <v>9260</v>
      </c>
      <c r="BV31" s="82">
        <v>3195</v>
      </c>
      <c r="BW31" s="82">
        <v>24088</v>
      </c>
      <c r="BX31" s="82">
        <v>12.7</v>
      </c>
      <c r="BY31" s="82">
        <v>4.2</v>
      </c>
      <c r="BZ31" s="82">
        <v>5.9</v>
      </c>
      <c r="CA31" s="82">
        <v>19.5</v>
      </c>
      <c r="CB31" s="82">
        <v>20.5</v>
      </c>
      <c r="CC31" s="82">
        <v>14.2</v>
      </c>
      <c r="CD31" s="82">
        <v>10.199999999999999</v>
      </c>
      <c r="CE31" s="82">
        <v>7</v>
      </c>
      <c r="CF31" s="82">
        <v>4.0999999999999996</v>
      </c>
      <c r="CG31" s="82">
        <v>1.2</v>
      </c>
      <c r="CH31" s="82">
        <v>0.4</v>
      </c>
      <c r="CI31" s="82">
        <v>0.3</v>
      </c>
      <c r="CJ31" s="82">
        <f t="shared" si="2"/>
        <v>55777</v>
      </c>
      <c r="CK31" s="82">
        <f t="shared" si="3"/>
        <v>85216.96086590107</v>
      </c>
      <c r="CL31" s="95">
        <f ca="1">$CK31*SUM(OFFSET($AJ31,0,(COUNTA($CL$1:CL$1)-1)*4,1,4))/100</f>
        <v>14486.883347203182</v>
      </c>
      <c r="CM31" s="95">
        <f ca="1">$CK31*SUM(OFFSET($AJ31,0,(COUNTA($CL$1:CM$1)-1)*4,1,4))/100</f>
        <v>14486.883347203182</v>
      </c>
      <c r="CN31" s="95">
        <f ca="1">$CK31*SUM(OFFSET($AJ31,0,(COUNTA($CL$1:CN$1)-1)*4,1,4))/100</f>
        <v>18492.080507900537</v>
      </c>
      <c r="CO31" s="95">
        <f ca="1">$CK31*SUM(OFFSET($AJ31,0,(COUNTA($CL$1:CO$1)-1)*4,1,4))/100</f>
        <v>11504.289716896645</v>
      </c>
      <c r="CP31" s="95">
        <f ca="1">$CK31*SUM(OFFSET($AJ31,0,(COUNTA($CL$1:CP$1)-1)*4,1,4))/100</f>
        <v>9970.3844213104239</v>
      </c>
      <c r="CQ31" s="95">
        <f ca="1">$CK31*SUM(OFFSET($AJ31,0,(COUNTA($CL$1:CQ$1)-1)*4,1,4))/100</f>
        <v>7839.9603996628975</v>
      </c>
      <c r="CR31" s="95">
        <f ca="1">$CK31*SUM(OFFSET($AJ31,0,(COUNTA($CL$1:CR$1)-1)*4,1,4))/100</f>
        <v>4175.6310824291522</v>
      </c>
      <c r="CS31" s="95">
        <f ca="1">$CK31*SUM(OFFSET($AJ31,0,(COUNTA($CL$1:CS$1)-1)*4,1,4))/100</f>
        <v>2471.2918651111313</v>
      </c>
      <c r="CT31" s="95">
        <f ca="1">$CK31*SUM(OFFSET($AJ31,0,(COUNTA($CL$1:CT$1)-1)*4,1,4))/100</f>
        <v>1107.8204912567139</v>
      </c>
      <c r="CU31" s="96">
        <f t="shared" si="4"/>
        <v>4466.1111111111113</v>
      </c>
      <c r="CV31" s="96">
        <f t="shared" si="5"/>
        <v>19.080797307951478</v>
      </c>
    </row>
    <row r="32" spans="1:100">
      <c r="A32" s="82" t="str">
        <f ca="1">IF(ISERROR(OFFSET(Map!$E$2,MATCH(D32,Map!$B$3:$B$239,0),0)),OFFSET(Map!$E$2,MATCH(D32,Map!$C$3:$C$239,0),0),OFFSET(Map!$E$2,MATCH(D32,Map!$B$3:$B$239,0),0))</f>
        <v>Sarah Baartman</v>
      </c>
      <c r="B32" s="82">
        <v>31</v>
      </c>
      <c r="C32" s="82" t="s">
        <v>54</v>
      </c>
      <c r="D32" s="82" t="s">
        <v>266</v>
      </c>
      <c r="E32" s="82" t="s">
        <v>267</v>
      </c>
      <c r="F32" s="82">
        <v>61176</v>
      </c>
      <c r="G32" s="82">
        <v>25.2</v>
      </c>
      <c r="H32" s="82">
        <v>64.8</v>
      </c>
      <c r="I32" s="82">
        <f t="shared" si="0"/>
        <v>39642</v>
      </c>
      <c r="J32" s="82">
        <v>9.9</v>
      </c>
      <c r="K32" s="82">
        <v>54.3</v>
      </c>
      <c r="L32" s="82">
        <v>90.3</v>
      </c>
      <c r="M32" s="82">
        <v>1.1200000000000001</v>
      </c>
      <c r="N32" s="82">
        <v>33</v>
      </c>
      <c r="O32" s="82">
        <v>30.3</v>
      </c>
      <c r="P32" s="82">
        <f t="shared" si="1"/>
        <v>27631</v>
      </c>
      <c r="Q32" s="82">
        <v>39</v>
      </c>
      <c r="R32" s="82">
        <v>9.6999999999999993</v>
      </c>
      <c r="S32" s="82">
        <v>9.9</v>
      </c>
      <c r="T32" s="82">
        <v>20.100000000000001</v>
      </c>
      <c r="U32" s="82">
        <v>19331</v>
      </c>
      <c r="V32" s="82">
        <v>3320</v>
      </c>
      <c r="W32" s="82">
        <v>3</v>
      </c>
      <c r="X32" s="82">
        <v>42.6</v>
      </c>
      <c r="Y32" s="82">
        <v>83.6</v>
      </c>
      <c r="Z32" s="82">
        <v>42.3</v>
      </c>
      <c r="AA32" s="82">
        <v>35.5</v>
      </c>
      <c r="AB32" s="82">
        <v>78.5</v>
      </c>
      <c r="AC32" s="82">
        <v>36.1</v>
      </c>
      <c r="AD32" s="82">
        <v>86.3</v>
      </c>
      <c r="AE32" s="82">
        <v>77.7</v>
      </c>
      <c r="AF32" s="82">
        <v>7.3</v>
      </c>
      <c r="AG32" s="82">
        <v>0.2</v>
      </c>
      <c r="AH32" s="82">
        <v>14.2</v>
      </c>
      <c r="AI32" s="82">
        <v>0.5</v>
      </c>
      <c r="AJ32" s="82">
        <v>4.9000000000000004</v>
      </c>
      <c r="AK32" s="82">
        <v>4.5999999999999996</v>
      </c>
      <c r="AL32" s="82">
        <v>4.2</v>
      </c>
      <c r="AM32" s="82">
        <v>4.0999999999999996</v>
      </c>
      <c r="AN32" s="82">
        <v>3.7</v>
      </c>
      <c r="AO32" s="82">
        <v>3.7</v>
      </c>
      <c r="AP32" s="82">
        <v>4</v>
      </c>
      <c r="AQ32" s="82">
        <v>4</v>
      </c>
      <c r="AR32" s="82">
        <v>4.2</v>
      </c>
      <c r="AS32" s="82">
        <v>3.9</v>
      </c>
      <c r="AT32" s="82">
        <v>4.0999999999999996</v>
      </c>
      <c r="AU32" s="82">
        <v>4.2</v>
      </c>
      <c r="AV32" s="82">
        <v>3.3</v>
      </c>
      <c r="AW32" s="82">
        <v>3.7</v>
      </c>
      <c r="AX32" s="82">
        <v>3.3</v>
      </c>
      <c r="AY32" s="82">
        <v>3.6</v>
      </c>
      <c r="AZ32" s="82">
        <v>2.9</v>
      </c>
      <c r="BA32" s="82">
        <v>3.7</v>
      </c>
      <c r="BB32" s="82">
        <v>2.6</v>
      </c>
      <c r="BC32" s="82">
        <v>2.6</v>
      </c>
      <c r="BD32" s="82">
        <v>2.4</v>
      </c>
      <c r="BE32" s="82">
        <v>3.1</v>
      </c>
      <c r="BF32" s="82">
        <v>2</v>
      </c>
      <c r="BG32" s="82">
        <v>2.5</v>
      </c>
      <c r="BH32" s="82">
        <v>1.7</v>
      </c>
      <c r="BI32" s="82">
        <v>2.2000000000000002</v>
      </c>
      <c r="BJ32" s="82">
        <v>1.3</v>
      </c>
      <c r="BK32" s="82">
        <v>1.7</v>
      </c>
      <c r="BL32" s="82">
        <v>1.2</v>
      </c>
      <c r="BM32" s="82">
        <v>1.6</v>
      </c>
      <c r="BN32" s="82">
        <v>0.7</v>
      </c>
      <c r="BO32" s="82">
        <v>1</v>
      </c>
      <c r="BP32" s="82">
        <v>0.5</v>
      </c>
      <c r="BQ32" s="82">
        <v>0.7</v>
      </c>
      <c r="BR32" s="82">
        <v>0.4</v>
      </c>
      <c r="BS32" s="82">
        <v>0.8</v>
      </c>
      <c r="BT32" s="82">
        <v>15184</v>
      </c>
      <c r="BU32" s="82">
        <v>6593</v>
      </c>
      <c r="BV32" s="82">
        <v>2823</v>
      </c>
      <c r="BW32" s="82">
        <v>15050</v>
      </c>
      <c r="BX32" s="82">
        <v>15.3</v>
      </c>
      <c r="BY32" s="82">
        <v>5</v>
      </c>
      <c r="BZ32" s="82">
        <v>6.7</v>
      </c>
      <c r="CA32" s="82">
        <v>21.3</v>
      </c>
      <c r="CB32" s="82">
        <v>21.5</v>
      </c>
      <c r="CC32" s="82">
        <v>12.2</v>
      </c>
      <c r="CD32" s="82">
        <v>7.7</v>
      </c>
      <c r="CE32" s="82">
        <v>6</v>
      </c>
      <c r="CF32" s="82">
        <v>2.8</v>
      </c>
      <c r="CG32" s="82">
        <v>0.9</v>
      </c>
      <c r="CH32" s="82">
        <v>0.3</v>
      </c>
      <c r="CI32" s="82">
        <v>0.3</v>
      </c>
      <c r="CJ32" s="82">
        <f t="shared" si="2"/>
        <v>39650</v>
      </c>
      <c r="CK32" s="82">
        <f t="shared" si="3"/>
        <v>67626.144107645116</v>
      </c>
      <c r="CL32" s="95">
        <f ca="1">$CK32*SUM(OFFSET($AJ32,0,(COUNTA($CL$1:CL$1)-1)*4,1,4))/100</f>
        <v>12037.453651160828</v>
      </c>
      <c r="CM32" s="95">
        <f ca="1">$CK32*SUM(OFFSET($AJ32,0,(COUNTA($CL$1:CM$1)-1)*4,1,4))/100</f>
        <v>10414.426192577348</v>
      </c>
      <c r="CN32" s="95">
        <f ca="1">$CK32*SUM(OFFSET($AJ32,0,(COUNTA($CL$1:CN$1)-1)*4,1,4))/100</f>
        <v>11090.687633653797</v>
      </c>
      <c r="CO32" s="95">
        <f ca="1">$CK32*SUM(OFFSET($AJ32,0,(COUNTA($CL$1:CO$1)-1)*4,1,4))/100</f>
        <v>9400.0340309626717</v>
      </c>
      <c r="CP32" s="95">
        <f ca="1">$CK32*SUM(OFFSET($AJ32,0,(COUNTA($CL$1:CP$1)-1)*4,1,4))/100</f>
        <v>7979.8850047021233</v>
      </c>
      <c r="CQ32" s="95">
        <f ca="1">$CK32*SUM(OFFSET($AJ32,0,(COUNTA($CL$1:CQ$1)-1)*4,1,4))/100</f>
        <v>6762.6144107645123</v>
      </c>
      <c r="CR32" s="95">
        <f ca="1">$CK32*SUM(OFFSET($AJ32,0,(COUNTA($CL$1:CR$1)-1)*4,1,4))/100</f>
        <v>4666.203943427513</v>
      </c>
      <c r="CS32" s="95">
        <f ca="1">$CK32*SUM(OFFSET($AJ32,0,(COUNTA($CL$1:CS$1)-1)*4,1,4))/100</f>
        <v>3043.1764848440303</v>
      </c>
      <c r="CT32" s="95">
        <f ca="1">$CK32*SUM(OFFSET($AJ32,0,(COUNTA($CL$1:CT$1)-1)*4,1,4))/100</f>
        <v>1623.0274585834829</v>
      </c>
      <c r="CU32" s="96">
        <f t="shared" si="4"/>
        <v>1853.8181818181818</v>
      </c>
      <c r="CV32" s="96">
        <f t="shared" si="5"/>
        <v>36.47938334563046</v>
      </c>
    </row>
    <row r="33" spans="1:100">
      <c r="A33" s="82" t="str">
        <f ca="1">IF(ISERROR(OFFSET(Map!$E$2,MATCH(D33,Map!$B$3:$B$239,0),0)),OFFSET(Map!$E$2,MATCH(D33,Map!$C$3:$C$239,0),0),OFFSET(Map!$E$2,MATCH(D33,Map!$B$3:$B$239,0),0))</f>
        <v>Sarah Baartman</v>
      </c>
      <c r="B33" s="82">
        <v>32</v>
      </c>
      <c r="C33" s="82" t="s">
        <v>54</v>
      </c>
      <c r="D33" s="82" t="s">
        <v>268</v>
      </c>
      <c r="E33" s="82" t="s">
        <v>269</v>
      </c>
      <c r="F33" s="82">
        <v>54504</v>
      </c>
      <c r="G33" s="82">
        <v>26.7</v>
      </c>
      <c r="H33" s="82">
        <v>68</v>
      </c>
      <c r="I33" s="82">
        <f t="shared" si="0"/>
        <v>37063</v>
      </c>
      <c r="J33" s="82">
        <v>5.2</v>
      </c>
      <c r="K33" s="82">
        <v>47</v>
      </c>
      <c r="L33" s="82">
        <v>103.8</v>
      </c>
      <c r="M33" s="82">
        <v>2.16</v>
      </c>
      <c r="N33" s="82">
        <v>9</v>
      </c>
      <c r="O33" s="82">
        <v>15</v>
      </c>
      <c r="P33" s="82">
        <f t="shared" si="1"/>
        <v>31503</v>
      </c>
      <c r="Q33" s="82">
        <v>18.8</v>
      </c>
      <c r="R33" s="82">
        <v>8.8000000000000007</v>
      </c>
      <c r="S33" s="82">
        <v>3.8</v>
      </c>
      <c r="T33" s="82">
        <v>15.2</v>
      </c>
      <c r="U33" s="82">
        <v>14749</v>
      </c>
      <c r="V33" s="82">
        <v>2414</v>
      </c>
      <c r="W33" s="82">
        <v>3.5</v>
      </c>
      <c r="X33" s="82">
        <v>34.9</v>
      </c>
      <c r="Y33" s="82">
        <v>84.6</v>
      </c>
      <c r="Z33" s="82">
        <v>44.3</v>
      </c>
      <c r="AA33" s="82">
        <v>53.5</v>
      </c>
      <c r="AB33" s="82">
        <v>61.2</v>
      </c>
      <c r="AC33" s="82">
        <v>32.299999999999997</v>
      </c>
      <c r="AD33" s="82">
        <v>79.8</v>
      </c>
      <c r="AE33" s="82">
        <v>71.8</v>
      </c>
      <c r="AF33" s="82">
        <v>21.4</v>
      </c>
      <c r="AG33" s="82">
        <v>0.2</v>
      </c>
      <c r="AH33" s="82">
        <v>5.9</v>
      </c>
      <c r="AI33" s="82">
        <v>0.8</v>
      </c>
      <c r="AJ33" s="82">
        <v>5.3</v>
      </c>
      <c r="AK33" s="82">
        <v>5.0999999999999996</v>
      </c>
      <c r="AL33" s="82">
        <v>4.3</v>
      </c>
      <c r="AM33" s="82">
        <v>4.5</v>
      </c>
      <c r="AN33" s="82">
        <v>3.8</v>
      </c>
      <c r="AO33" s="82">
        <v>3.6</v>
      </c>
      <c r="AP33" s="82">
        <v>4.4000000000000004</v>
      </c>
      <c r="AQ33" s="82">
        <v>4</v>
      </c>
      <c r="AR33" s="82">
        <v>5.4</v>
      </c>
      <c r="AS33" s="82">
        <v>4.4000000000000004</v>
      </c>
      <c r="AT33" s="82">
        <v>5.5</v>
      </c>
      <c r="AU33" s="82">
        <v>4.5</v>
      </c>
      <c r="AV33" s="82">
        <v>4.3</v>
      </c>
      <c r="AW33" s="82">
        <v>3.7</v>
      </c>
      <c r="AX33" s="82">
        <v>4.0999999999999996</v>
      </c>
      <c r="AY33" s="82">
        <v>3.7</v>
      </c>
      <c r="AZ33" s="82">
        <v>3.5</v>
      </c>
      <c r="BA33" s="82">
        <v>3.5</v>
      </c>
      <c r="BB33" s="82">
        <v>2.8</v>
      </c>
      <c r="BC33" s="82">
        <v>2.8</v>
      </c>
      <c r="BD33" s="82">
        <v>2.2999999999999998</v>
      </c>
      <c r="BE33" s="82">
        <v>2.6</v>
      </c>
      <c r="BF33" s="82">
        <v>1.7</v>
      </c>
      <c r="BG33" s="82">
        <v>2</v>
      </c>
      <c r="BH33" s="82">
        <v>1.2</v>
      </c>
      <c r="BI33" s="82">
        <v>1.4</v>
      </c>
      <c r="BJ33" s="82">
        <v>0.8</v>
      </c>
      <c r="BK33" s="82">
        <v>1</v>
      </c>
      <c r="BL33" s="82">
        <v>0.7</v>
      </c>
      <c r="BM33" s="82">
        <v>0.9</v>
      </c>
      <c r="BN33" s="82">
        <v>0.3</v>
      </c>
      <c r="BO33" s="82">
        <v>0.5</v>
      </c>
      <c r="BP33" s="82">
        <v>0.2</v>
      </c>
      <c r="BQ33" s="82">
        <v>0.3</v>
      </c>
      <c r="BR33" s="82">
        <v>0.2</v>
      </c>
      <c r="BS33" s="82">
        <v>0.3</v>
      </c>
      <c r="BT33" s="82">
        <v>16085</v>
      </c>
      <c r="BU33" s="82">
        <v>2845</v>
      </c>
      <c r="BV33" s="82">
        <v>1145</v>
      </c>
      <c r="BW33" s="82">
        <v>17014</v>
      </c>
      <c r="BX33" s="82">
        <v>11.7</v>
      </c>
      <c r="BY33" s="82">
        <v>3.7</v>
      </c>
      <c r="BZ33" s="82">
        <v>6.6</v>
      </c>
      <c r="CA33" s="82">
        <v>25.3</v>
      </c>
      <c r="CB33" s="82">
        <v>26.7</v>
      </c>
      <c r="CC33" s="82">
        <v>15.3</v>
      </c>
      <c r="CD33" s="82">
        <v>5.4</v>
      </c>
      <c r="CE33" s="82">
        <v>2.9</v>
      </c>
      <c r="CF33" s="82">
        <v>1.6</v>
      </c>
      <c r="CG33" s="82">
        <v>0.3</v>
      </c>
      <c r="CH33" s="82">
        <v>0.1</v>
      </c>
      <c r="CI33" s="82">
        <v>0.3</v>
      </c>
      <c r="CJ33" s="82">
        <f t="shared" si="2"/>
        <v>37089</v>
      </c>
      <c r="CK33" s="82">
        <f t="shared" si="3"/>
        <v>66062.702248449728</v>
      </c>
      <c r="CL33" s="95">
        <f ca="1">$CK33*SUM(OFFSET($AJ33,0,(COUNTA($CL$1:CL$1)-1)*4,1,4))/100</f>
        <v>12684.038831702348</v>
      </c>
      <c r="CM33" s="95">
        <f ca="1">$CK33*SUM(OFFSET($AJ33,0,(COUNTA($CL$1:CM$1)-1)*4,1,4))/100</f>
        <v>10437.906955255057</v>
      </c>
      <c r="CN33" s="95">
        <f ca="1">$CK33*SUM(OFFSET($AJ33,0,(COUNTA($CL$1:CN$1)-1)*4,1,4))/100</f>
        <v>13080.415045193047</v>
      </c>
      <c r="CO33" s="95">
        <f ca="1">$CK33*SUM(OFFSET($AJ33,0,(COUNTA($CL$1:CO$1)-1)*4,1,4))/100</f>
        <v>10437.906955255057</v>
      </c>
      <c r="CP33" s="95">
        <f ca="1">$CK33*SUM(OFFSET($AJ33,0,(COUNTA($CL$1:CP$1)-1)*4,1,4))/100</f>
        <v>8323.9004833046674</v>
      </c>
      <c r="CQ33" s="95">
        <f ca="1">$CK33*SUM(OFFSET($AJ33,0,(COUNTA($CL$1:CQ$1)-1)*4,1,4))/100</f>
        <v>5681.3923933666783</v>
      </c>
      <c r="CR33" s="95">
        <f ca="1">$CK33*SUM(OFFSET($AJ33,0,(COUNTA($CL$1:CR$1)-1)*4,1,4))/100</f>
        <v>2906.7588989317878</v>
      </c>
      <c r="CS33" s="95">
        <f ca="1">$CK33*SUM(OFFSET($AJ33,0,(COUNTA($CL$1:CS$1)-1)*4,1,4))/100</f>
        <v>1585.5048539627937</v>
      </c>
      <c r="CT33" s="95">
        <f ca="1">$CK33*SUM(OFFSET($AJ33,0,(COUNTA($CL$1:CT$1)-1)*4,1,4))/100</f>
        <v>660.62702248449727</v>
      </c>
      <c r="CU33" s="96">
        <f t="shared" si="4"/>
        <v>6056</v>
      </c>
      <c r="CV33" s="96">
        <f t="shared" si="5"/>
        <v>10.908636434684565</v>
      </c>
    </row>
    <row r="34" spans="1:100">
      <c r="A34" s="82" t="str">
        <f ca="1">IF(ISERROR(OFFSET(Map!$E$2,MATCH(D34,Map!$B$3:$B$239,0),0)),OFFSET(Map!$E$2,MATCH(D34,Map!$C$3:$C$239,0),0),OFFSET(Map!$E$2,MATCH(D34,Map!$B$3:$B$239,0),0))</f>
        <v>Sarah Baartman</v>
      </c>
      <c r="B34" s="82">
        <v>33</v>
      </c>
      <c r="C34" s="82" t="s">
        <v>54</v>
      </c>
      <c r="D34" s="82" t="s">
        <v>270</v>
      </c>
      <c r="E34" s="82" t="s">
        <v>271</v>
      </c>
      <c r="F34" s="82">
        <v>17761</v>
      </c>
      <c r="G34" s="82">
        <v>31.1</v>
      </c>
      <c r="H34" s="82">
        <v>62.4</v>
      </c>
      <c r="I34" s="82">
        <f t="shared" si="0"/>
        <v>11083</v>
      </c>
      <c r="J34" s="82">
        <v>6.5</v>
      </c>
      <c r="K34" s="82">
        <v>60.2</v>
      </c>
      <c r="L34" s="82">
        <v>96.2</v>
      </c>
      <c r="M34" s="82">
        <v>0.5</v>
      </c>
      <c r="N34" s="82">
        <v>2</v>
      </c>
      <c r="O34" s="82">
        <v>29.4</v>
      </c>
      <c r="P34" s="82">
        <f t="shared" si="1"/>
        <v>7825</v>
      </c>
      <c r="Q34" s="82">
        <v>37.9</v>
      </c>
      <c r="R34" s="82">
        <v>8</v>
      </c>
      <c r="S34" s="82">
        <v>4.7</v>
      </c>
      <c r="T34" s="82">
        <v>16.399999999999999</v>
      </c>
      <c r="U34" s="82">
        <v>4610</v>
      </c>
      <c r="V34" s="82">
        <v>949</v>
      </c>
      <c r="W34" s="82">
        <v>3.8</v>
      </c>
      <c r="X34" s="82">
        <v>35.799999999999997</v>
      </c>
      <c r="Y34" s="82">
        <v>97.4</v>
      </c>
      <c r="Z34" s="82">
        <v>58.6</v>
      </c>
      <c r="AA34" s="82">
        <v>73</v>
      </c>
      <c r="AB34" s="82">
        <v>75.900000000000006</v>
      </c>
      <c r="AC34" s="82">
        <v>70.400000000000006</v>
      </c>
      <c r="AD34" s="82">
        <v>89.2</v>
      </c>
      <c r="AE34" s="82">
        <v>12</v>
      </c>
      <c r="AF34" s="82">
        <v>80.3</v>
      </c>
      <c r="AG34" s="82">
        <v>0.2</v>
      </c>
      <c r="AH34" s="82">
        <v>7</v>
      </c>
      <c r="AI34" s="82">
        <v>0.6</v>
      </c>
      <c r="AJ34" s="82">
        <v>5.6</v>
      </c>
      <c r="AK34" s="82">
        <v>5.7</v>
      </c>
      <c r="AL34" s="82">
        <v>5.3</v>
      </c>
      <c r="AM34" s="82">
        <v>5.0999999999999996</v>
      </c>
      <c r="AN34" s="82">
        <v>4.5999999999999996</v>
      </c>
      <c r="AO34" s="82">
        <v>4.8</v>
      </c>
      <c r="AP34" s="82">
        <v>4.4000000000000004</v>
      </c>
      <c r="AQ34" s="82">
        <v>4</v>
      </c>
      <c r="AR34" s="82">
        <v>4</v>
      </c>
      <c r="AS34" s="82">
        <v>4</v>
      </c>
      <c r="AT34" s="82">
        <v>3.5</v>
      </c>
      <c r="AU34" s="82">
        <v>3.8</v>
      </c>
      <c r="AV34" s="82">
        <v>3.2</v>
      </c>
      <c r="AW34" s="82">
        <v>3.4</v>
      </c>
      <c r="AX34" s="82">
        <v>3.2</v>
      </c>
      <c r="AY34" s="82">
        <v>3.2</v>
      </c>
      <c r="AZ34" s="82">
        <v>3.1</v>
      </c>
      <c r="BA34" s="82">
        <v>3.2</v>
      </c>
      <c r="BB34" s="82">
        <v>3</v>
      </c>
      <c r="BC34" s="82">
        <v>3</v>
      </c>
      <c r="BD34" s="82">
        <v>2.6</v>
      </c>
      <c r="BE34" s="82">
        <v>2.7</v>
      </c>
      <c r="BF34" s="82">
        <v>2.2000000000000002</v>
      </c>
      <c r="BG34" s="82">
        <v>2.6</v>
      </c>
      <c r="BH34" s="82">
        <v>1.5</v>
      </c>
      <c r="BI34" s="82">
        <v>1.7</v>
      </c>
      <c r="BJ34" s="82">
        <v>1.2</v>
      </c>
      <c r="BK34" s="82">
        <v>1.4</v>
      </c>
      <c r="BL34" s="82">
        <v>0.8</v>
      </c>
      <c r="BM34" s="82">
        <v>1.1000000000000001</v>
      </c>
      <c r="BN34" s="82">
        <v>0.5</v>
      </c>
      <c r="BO34" s="82">
        <v>0.6</v>
      </c>
      <c r="BP34" s="82">
        <v>0.3</v>
      </c>
      <c r="BQ34" s="82">
        <v>0.3</v>
      </c>
      <c r="BR34" s="82">
        <v>0.2</v>
      </c>
      <c r="BS34" s="82">
        <v>0.3</v>
      </c>
      <c r="BT34" s="82">
        <v>4075</v>
      </c>
      <c r="BU34" s="82">
        <v>1696</v>
      </c>
      <c r="BV34" s="82">
        <v>720</v>
      </c>
      <c r="BW34" s="82">
        <v>4595</v>
      </c>
      <c r="BX34" s="82">
        <v>7.8</v>
      </c>
      <c r="BY34" s="82">
        <v>3.7</v>
      </c>
      <c r="BZ34" s="82">
        <v>6.8</v>
      </c>
      <c r="CA34" s="82">
        <v>24.5</v>
      </c>
      <c r="CB34" s="82">
        <v>28.4</v>
      </c>
      <c r="CC34" s="82">
        <v>14</v>
      </c>
      <c r="CD34" s="82">
        <v>7.4</v>
      </c>
      <c r="CE34" s="82">
        <v>4.2</v>
      </c>
      <c r="CF34" s="82">
        <v>2.2999999999999998</v>
      </c>
      <c r="CG34" s="82">
        <v>0.6</v>
      </c>
      <c r="CH34" s="82">
        <v>0.2</v>
      </c>
      <c r="CI34" s="82">
        <v>0.1</v>
      </c>
      <c r="CJ34" s="82">
        <f t="shared" si="2"/>
        <v>11086</v>
      </c>
      <c r="CK34" s="82">
        <f t="shared" si="3"/>
        <v>18576.417796195481</v>
      </c>
      <c r="CL34" s="95">
        <f ca="1">$CK34*SUM(OFFSET($AJ34,0,(COUNTA($CL$1:CL$1)-1)*4,1,4))/100</f>
        <v>4031.0826617744196</v>
      </c>
      <c r="CM34" s="95">
        <f ca="1">$CK34*SUM(OFFSET($AJ34,0,(COUNTA($CL$1:CM$1)-1)*4,1,4))/100</f>
        <v>3306.602367722795</v>
      </c>
      <c r="CN34" s="95">
        <f ca="1">$CK34*SUM(OFFSET($AJ34,0,(COUNTA($CL$1:CN$1)-1)*4,1,4))/100</f>
        <v>2842.191922817909</v>
      </c>
      <c r="CO34" s="95">
        <f ca="1">$CK34*SUM(OFFSET($AJ34,0,(COUNTA($CL$1:CO$1)-1)*4,1,4))/100</f>
        <v>2414.9343135054123</v>
      </c>
      <c r="CP34" s="95">
        <f ca="1">$CK34*SUM(OFFSET($AJ34,0,(COUNTA($CL$1:CP$1)-1)*4,1,4))/100</f>
        <v>2284.8993889320445</v>
      </c>
      <c r="CQ34" s="95">
        <f ca="1">$CK34*SUM(OFFSET($AJ34,0,(COUNTA($CL$1:CQ$1)-1)*4,1,4))/100</f>
        <v>1876.2181974157438</v>
      </c>
      <c r="CR34" s="95">
        <f ca="1">$CK34*SUM(OFFSET($AJ34,0,(COUNTA($CL$1:CR$1)-1)*4,1,4))/100</f>
        <v>1077.4322321793379</v>
      </c>
      <c r="CS34" s="95">
        <f ca="1">$CK34*SUM(OFFSET($AJ34,0,(COUNTA($CL$1:CS$1)-1)*4,1,4))/100</f>
        <v>557.29253388586449</v>
      </c>
      <c r="CT34" s="95">
        <f ca="1">$CK34*SUM(OFFSET($AJ34,0,(COUNTA($CL$1:CT$1)-1)*4,1,4))/100</f>
        <v>204.3405957581503</v>
      </c>
      <c r="CU34" s="96">
        <f t="shared" si="4"/>
        <v>8880.5</v>
      </c>
      <c r="CV34" s="96">
        <f t="shared" si="5"/>
        <v>2.091821158290128</v>
      </c>
    </row>
    <row r="35" spans="1:100">
      <c r="A35" s="82" t="str">
        <f ca="1">IF(ISERROR(OFFSET(Map!$E$2,MATCH(D35,Map!$B$3:$B$239,0),0)),OFFSET(Map!$E$2,MATCH(D35,Map!$C$3:$C$239,0),0),OFFSET(Map!$E$2,MATCH(D35,Map!$B$3:$B$239,0),0))</f>
        <v>Sarah Baartman</v>
      </c>
      <c r="B35" s="82">
        <v>34</v>
      </c>
      <c r="C35" s="82" t="s">
        <v>54</v>
      </c>
      <c r="D35" s="82" t="s">
        <v>272</v>
      </c>
      <c r="E35" s="82" t="s">
        <v>273</v>
      </c>
      <c r="F35" s="82">
        <v>98558</v>
      </c>
      <c r="G35" s="82">
        <v>26.8</v>
      </c>
      <c r="H35" s="82">
        <v>65.3</v>
      </c>
      <c r="I35" s="82">
        <f t="shared" si="0"/>
        <v>64358</v>
      </c>
      <c r="J35" s="82">
        <v>7.9</v>
      </c>
      <c r="K35" s="82">
        <v>53.2</v>
      </c>
      <c r="L35" s="82">
        <v>97.2</v>
      </c>
      <c r="M35" s="82">
        <v>3.22</v>
      </c>
      <c r="N35" s="82">
        <v>37</v>
      </c>
      <c r="O35" s="82">
        <v>21.5</v>
      </c>
      <c r="P35" s="82">
        <f t="shared" si="1"/>
        <v>50521</v>
      </c>
      <c r="Q35" s="82">
        <v>26.7</v>
      </c>
      <c r="R35" s="82">
        <v>4.9000000000000004</v>
      </c>
      <c r="S35" s="82">
        <v>9.5</v>
      </c>
      <c r="T35" s="82">
        <v>24.5</v>
      </c>
      <c r="U35" s="82">
        <v>29447</v>
      </c>
      <c r="V35" s="82">
        <v>2002</v>
      </c>
      <c r="W35" s="82">
        <v>3.2</v>
      </c>
      <c r="X35" s="82">
        <v>35.4</v>
      </c>
      <c r="Y35" s="82">
        <v>76.099999999999994</v>
      </c>
      <c r="Z35" s="82">
        <v>51.7</v>
      </c>
      <c r="AA35" s="82">
        <v>64.900000000000006</v>
      </c>
      <c r="AB35" s="82">
        <v>83.5</v>
      </c>
      <c r="AC35" s="82">
        <v>60.4</v>
      </c>
      <c r="AD35" s="82">
        <v>86.9</v>
      </c>
      <c r="AE35" s="82">
        <v>38.799999999999997</v>
      </c>
      <c r="AF35" s="82">
        <v>42.6</v>
      </c>
      <c r="AG35" s="82">
        <v>0.2</v>
      </c>
      <c r="AH35" s="82">
        <v>17.600000000000001</v>
      </c>
      <c r="AI35" s="82">
        <v>0.7</v>
      </c>
      <c r="AJ35" s="82">
        <v>5.4</v>
      </c>
      <c r="AK35" s="82">
        <v>5.0999999999999996</v>
      </c>
      <c r="AL35" s="82">
        <v>4.4000000000000004</v>
      </c>
      <c r="AM35" s="82">
        <v>4.3</v>
      </c>
      <c r="AN35" s="82">
        <v>3.8</v>
      </c>
      <c r="AO35" s="82">
        <v>3.8</v>
      </c>
      <c r="AP35" s="82">
        <v>3.9</v>
      </c>
      <c r="AQ35" s="82">
        <v>3.9</v>
      </c>
      <c r="AR35" s="82">
        <v>4.4000000000000004</v>
      </c>
      <c r="AS35" s="82">
        <v>4.4000000000000004</v>
      </c>
      <c r="AT35" s="82">
        <v>4.7</v>
      </c>
      <c r="AU35" s="82">
        <v>4.7</v>
      </c>
      <c r="AV35" s="82">
        <v>4</v>
      </c>
      <c r="AW35" s="82">
        <v>3.8</v>
      </c>
      <c r="AX35" s="82">
        <v>3.6</v>
      </c>
      <c r="AY35" s="82">
        <v>3.5</v>
      </c>
      <c r="AZ35" s="82">
        <v>3.3</v>
      </c>
      <c r="BA35" s="82">
        <v>3.2</v>
      </c>
      <c r="BB35" s="82">
        <v>2.8</v>
      </c>
      <c r="BC35" s="82">
        <v>2.8</v>
      </c>
      <c r="BD35" s="82">
        <v>2.2000000000000002</v>
      </c>
      <c r="BE35" s="82">
        <v>2.4</v>
      </c>
      <c r="BF35" s="82">
        <v>1.9</v>
      </c>
      <c r="BG35" s="82">
        <v>2.1</v>
      </c>
      <c r="BH35" s="82">
        <v>1.5</v>
      </c>
      <c r="BI35" s="82">
        <v>1.9</v>
      </c>
      <c r="BJ35" s="82">
        <v>1.2</v>
      </c>
      <c r="BK35" s="82">
        <v>1.5</v>
      </c>
      <c r="BL35" s="82">
        <v>1.1000000000000001</v>
      </c>
      <c r="BM35" s="82">
        <v>1.2</v>
      </c>
      <c r="BN35" s="82">
        <v>0.7</v>
      </c>
      <c r="BO35" s="82">
        <v>0.8</v>
      </c>
      <c r="BP35" s="82">
        <v>0.3</v>
      </c>
      <c r="BQ35" s="82">
        <v>0.5</v>
      </c>
      <c r="BR35" s="82">
        <v>0.2</v>
      </c>
      <c r="BS35" s="82">
        <v>0.5</v>
      </c>
      <c r="BT35" s="82">
        <v>30163</v>
      </c>
      <c r="BU35" s="82">
        <v>8249</v>
      </c>
      <c r="BV35" s="82">
        <v>2234</v>
      </c>
      <c r="BW35" s="82">
        <v>23685</v>
      </c>
      <c r="BX35" s="82">
        <v>15.6</v>
      </c>
      <c r="BY35" s="82">
        <v>3.4</v>
      </c>
      <c r="BZ35" s="82">
        <v>5.8</v>
      </c>
      <c r="CA35" s="82">
        <v>16.899999999999999</v>
      </c>
      <c r="CB35" s="82">
        <v>20.7</v>
      </c>
      <c r="CC35" s="82">
        <v>15.4</v>
      </c>
      <c r="CD35" s="82">
        <v>9.8000000000000007</v>
      </c>
      <c r="CE35" s="82">
        <v>7.4</v>
      </c>
      <c r="CF35" s="82">
        <v>3.5</v>
      </c>
      <c r="CG35" s="82">
        <v>1</v>
      </c>
      <c r="CH35" s="82">
        <v>0.4</v>
      </c>
      <c r="CI35" s="82">
        <v>0.3</v>
      </c>
      <c r="CJ35" s="82">
        <f t="shared" si="2"/>
        <v>64331</v>
      </c>
      <c r="CK35" s="82">
        <f t="shared" si="3"/>
        <v>131089.09780950492</v>
      </c>
      <c r="CL35" s="95">
        <f ca="1">$CK35*SUM(OFFSET($AJ35,0,(COUNTA($CL$1:CL$1)-1)*4,1,4))/100</f>
        <v>25169.106779424943</v>
      </c>
      <c r="CM35" s="95">
        <f ca="1">$CK35*SUM(OFFSET($AJ35,0,(COUNTA($CL$1:CM$1)-1)*4,1,4))/100</f>
        <v>20187.721062663757</v>
      </c>
      <c r="CN35" s="95">
        <f ca="1">$CK35*SUM(OFFSET($AJ35,0,(COUNTA($CL$1:CN$1)-1)*4,1,4))/100</f>
        <v>23858.215801329898</v>
      </c>
      <c r="CO35" s="95">
        <f ca="1">$CK35*SUM(OFFSET($AJ35,0,(COUNTA($CL$1:CO$1)-1)*4,1,4))/100</f>
        <v>19532.275573616233</v>
      </c>
      <c r="CP35" s="95">
        <f ca="1">$CK35*SUM(OFFSET($AJ35,0,(COUNTA($CL$1:CP$1)-1)*4,1,4))/100</f>
        <v>15861.780834950097</v>
      </c>
      <c r="CQ35" s="95">
        <f ca="1">$CK35*SUM(OFFSET($AJ35,0,(COUNTA($CL$1:CQ$1)-1)*4,1,4))/100</f>
        <v>11273.662411617423</v>
      </c>
      <c r="CR35" s="95">
        <f ca="1">$CK35*SUM(OFFSET($AJ35,0,(COUNTA($CL$1:CR$1)-1)*4,1,4))/100</f>
        <v>7996.4349663798002</v>
      </c>
      <c r="CS35" s="95">
        <f ca="1">$CK35*SUM(OFFSET($AJ35,0,(COUNTA($CL$1:CS$1)-1)*4,1,4))/100</f>
        <v>4981.3857167611868</v>
      </c>
      <c r="CT35" s="95">
        <f ca="1">$CK35*SUM(OFFSET($AJ35,0,(COUNTA($CL$1:CT$1)-1)*4,1,4))/100</f>
        <v>1966.3364671425736</v>
      </c>
      <c r="CU35" s="96">
        <f t="shared" si="4"/>
        <v>2663.7297297297296</v>
      </c>
      <c r="CV35" s="96">
        <f t="shared" si="5"/>
        <v>49.212612055355045</v>
      </c>
    </row>
    <row r="36" spans="1:100">
      <c r="A36" s="82" t="str">
        <f ca="1">IF(ISERROR(OFFSET(Map!$E$2,MATCH(D36,Map!$B$3:$B$239,0),0)),OFFSET(Map!$E$2,MATCH(D36,Map!$C$3:$C$239,0),0),OFFSET(Map!$E$2,MATCH(D36,Map!$B$3:$B$239,0),0))</f>
        <v>Sarah Baartman</v>
      </c>
      <c r="B36" s="82">
        <v>35</v>
      </c>
      <c r="C36" s="82" t="s">
        <v>54</v>
      </c>
      <c r="D36" s="82" t="s">
        <v>274</v>
      </c>
      <c r="E36" s="82" t="s">
        <v>275</v>
      </c>
      <c r="F36" s="82">
        <v>40663</v>
      </c>
      <c r="G36" s="82">
        <v>29.7</v>
      </c>
      <c r="H36" s="82">
        <v>65.7</v>
      </c>
      <c r="I36" s="82">
        <f t="shared" si="0"/>
        <v>26716</v>
      </c>
      <c r="J36" s="82">
        <v>4.5</v>
      </c>
      <c r="K36" s="82">
        <v>52.1</v>
      </c>
      <c r="L36" s="82">
        <v>100.7</v>
      </c>
      <c r="M36" s="82">
        <v>1.66</v>
      </c>
      <c r="N36" s="82">
        <v>11</v>
      </c>
      <c r="O36" s="82">
        <v>15</v>
      </c>
      <c r="P36" s="82">
        <f t="shared" si="1"/>
        <v>22708</v>
      </c>
      <c r="Q36" s="82">
        <v>17.5</v>
      </c>
      <c r="R36" s="82">
        <v>5.3</v>
      </c>
      <c r="S36" s="82">
        <v>3.9</v>
      </c>
      <c r="T36" s="82">
        <v>17.600000000000001</v>
      </c>
      <c r="U36" s="82">
        <v>11032</v>
      </c>
      <c r="V36" s="82">
        <v>1983</v>
      </c>
      <c r="W36" s="82">
        <v>3.6</v>
      </c>
      <c r="X36" s="82">
        <v>31.2</v>
      </c>
      <c r="Y36" s="82">
        <v>90.6</v>
      </c>
      <c r="Z36" s="82">
        <v>46.8</v>
      </c>
      <c r="AA36" s="82">
        <v>68</v>
      </c>
      <c r="AB36" s="82">
        <v>64.2</v>
      </c>
      <c r="AC36" s="82">
        <v>68.2</v>
      </c>
      <c r="AD36" s="82">
        <v>87.1</v>
      </c>
      <c r="AE36" s="82">
        <v>30.6</v>
      </c>
      <c r="AF36" s="82">
        <v>59.8</v>
      </c>
      <c r="AG36" s="82">
        <v>0.3</v>
      </c>
      <c r="AH36" s="82">
        <v>8.1999999999999993</v>
      </c>
      <c r="AI36" s="82">
        <v>1.1000000000000001</v>
      </c>
      <c r="AJ36" s="82">
        <v>5.7</v>
      </c>
      <c r="AK36" s="82">
        <v>5.6</v>
      </c>
      <c r="AL36" s="82">
        <v>4.7</v>
      </c>
      <c r="AM36" s="82">
        <v>4.9000000000000004</v>
      </c>
      <c r="AN36" s="82">
        <v>4.5</v>
      </c>
      <c r="AO36" s="82">
        <v>4.4000000000000004</v>
      </c>
      <c r="AP36" s="82">
        <v>3.8</v>
      </c>
      <c r="AQ36" s="82">
        <v>3.8</v>
      </c>
      <c r="AR36" s="82">
        <v>4.9000000000000004</v>
      </c>
      <c r="AS36" s="82">
        <v>4.3</v>
      </c>
      <c r="AT36" s="82">
        <v>4.8</v>
      </c>
      <c r="AU36" s="82">
        <v>4.5999999999999996</v>
      </c>
      <c r="AV36" s="82">
        <v>3.9</v>
      </c>
      <c r="AW36" s="82">
        <v>3.6</v>
      </c>
      <c r="AX36" s="82">
        <v>3.9</v>
      </c>
      <c r="AY36" s="82">
        <v>3.7</v>
      </c>
      <c r="AZ36" s="82">
        <v>3.4</v>
      </c>
      <c r="BA36" s="82">
        <v>3.4</v>
      </c>
      <c r="BB36" s="82">
        <v>3</v>
      </c>
      <c r="BC36" s="82">
        <v>3</v>
      </c>
      <c r="BD36" s="82">
        <v>2.4</v>
      </c>
      <c r="BE36" s="82">
        <v>2.5</v>
      </c>
      <c r="BF36" s="82">
        <v>1.9</v>
      </c>
      <c r="BG36" s="82">
        <v>2</v>
      </c>
      <c r="BH36" s="82">
        <v>1.4</v>
      </c>
      <c r="BI36" s="82">
        <v>1.5</v>
      </c>
      <c r="BJ36" s="82">
        <v>0.9</v>
      </c>
      <c r="BK36" s="82">
        <v>0.9</v>
      </c>
      <c r="BL36" s="82">
        <v>0.6</v>
      </c>
      <c r="BM36" s="82">
        <v>0.8</v>
      </c>
      <c r="BN36" s="82">
        <v>0.3</v>
      </c>
      <c r="BO36" s="82">
        <v>0.4</v>
      </c>
      <c r="BP36" s="82">
        <v>0.1</v>
      </c>
      <c r="BQ36" s="82">
        <v>0.2</v>
      </c>
      <c r="BR36" s="82">
        <v>0.1</v>
      </c>
      <c r="BS36" s="82">
        <v>0.2</v>
      </c>
      <c r="BT36" s="82">
        <v>14931</v>
      </c>
      <c r="BU36" s="82">
        <v>2645</v>
      </c>
      <c r="BV36" s="82">
        <v>878</v>
      </c>
      <c r="BW36" s="82">
        <v>8277</v>
      </c>
      <c r="BX36" s="82">
        <v>8.1</v>
      </c>
      <c r="BY36" s="82">
        <v>2.4</v>
      </c>
      <c r="BZ36" s="82">
        <v>5.0999999999999996</v>
      </c>
      <c r="CA36" s="82">
        <v>23.9</v>
      </c>
      <c r="CB36" s="82">
        <v>28</v>
      </c>
      <c r="CC36" s="82">
        <v>18.600000000000001</v>
      </c>
      <c r="CD36" s="82">
        <v>7.2</v>
      </c>
      <c r="CE36" s="82">
        <v>4.3</v>
      </c>
      <c r="CF36" s="82">
        <v>1.7</v>
      </c>
      <c r="CG36" s="82">
        <v>0.3</v>
      </c>
      <c r="CH36" s="82">
        <v>0.2</v>
      </c>
      <c r="CI36" s="82">
        <v>0.1</v>
      </c>
      <c r="CJ36" s="82">
        <f t="shared" si="2"/>
        <v>26731</v>
      </c>
      <c r="CK36" s="82">
        <f t="shared" si="3"/>
        <v>47157.455629715456</v>
      </c>
      <c r="CL36" s="95">
        <f ca="1">$CK36*SUM(OFFSET($AJ36,0,(COUNTA($CL$1:CL$1)-1)*4,1,4))/100</f>
        <v>9855.9082266105288</v>
      </c>
      <c r="CM36" s="95">
        <f ca="1">$CK36*SUM(OFFSET($AJ36,0,(COUNTA($CL$1:CM$1)-1)*4,1,4))/100</f>
        <v>7780.9801789030498</v>
      </c>
      <c r="CN36" s="95">
        <f ca="1">$CK36*SUM(OFFSET($AJ36,0,(COUNTA($CL$1:CN$1)-1)*4,1,4))/100</f>
        <v>8771.2867471270747</v>
      </c>
      <c r="CO36" s="95">
        <f ca="1">$CK36*SUM(OFFSET($AJ36,0,(COUNTA($CL$1:CO$1)-1)*4,1,4))/100</f>
        <v>7120.7758000870344</v>
      </c>
      <c r="CP36" s="95">
        <f ca="1">$CK36*SUM(OFFSET($AJ36,0,(COUNTA($CL$1:CP$1)-1)*4,1,4))/100</f>
        <v>6036.1543206035785</v>
      </c>
      <c r="CQ36" s="95">
        <f ca="1">$CK36*SUM(OFFSET($AJ36,0,(COUNTA($CL$1:CQ$1)-1)*4,1,4))/100</f>
        <v>4149.8560954149607</v>
      </c>
      <c r="CR36" s="95">
        <f ca="1">$CK36*SUM(OFFSET($AJ36,0,(COUNTA($CL$1:CR$1)-1)*4,1,4))/100</f>
        <v>2216.4004145966264</v>
      </c>
      <c r="CS36" s="95">
        <f ca="1">$CK36*SUM(OFFSET($AJ36,0,(COUNTA($CL$1:CS$1)-1)*4,1,4))/100</f>
        <v>990.30656822402466</v>
      </c>
      <c r="CT36" s="95">
        <f ca="1">$CK36*SUM(OFFSET($AJ36,0,(COUNTA($CL$1:CT$1)-1)*4,1,4))/100</f>
        <v>282.9447337782928</v>
      </c>
      <c r="CU36" s="96">
        <f t="shared" si="4"/>
        <v>3696.6363636363635</v>
      </c>
      <c r="CV36" s="96">
        <f t="shared" si="5"/>
        <v>12.756855419592013</v>
      </c>
    </row>
    <row r="37" spans="1:100">
      <c r="A37" s="82" t="str">
        <f ca="1">IF(ISERROR(OFFSET(Map!$E$2,MATCH(D37,Map!$B$3:$B$239,0),0)),OFFSET(Map!$E$2,MATCH(D37,Map!$C$3:$C$239,0),0),OFFSET(Map!$E$2,MATCH(D37,Map!$B$3:$B$239,0),0))</f>
        <v>Amathole</v>
      </c>
      <c r="B37" s="82">
        <v>36</v>
      </c>
      <c r="C37" s="82" t="s">
        <v>54</v>
      </c>
      <c r="D37" s="82" t="s">
        <v>276</v>
      </c>
      <c r="E37" s="82" t="s">
        <v>277</v>
      </c>
      <c r="F37" s="82">
        <v>254909</v>
      </c>
      <c r="G37" s="82">
        <v>38</v>
      </c>
      <c r="H37" s="82">
        <v>53.9</v>
      </c>
      <c r="I37" s="82">
        <f t="shared" si="0"/>
        <v>137396</v>
      </c>
      <c r="J37" s="82">
        <v>8.1</v>
      </c>
      <c r="K37" s="82">
        <v>85.5</v>
      </c>
      <c r="L37" s="82">
        <v>85.1</v>
      </c>
      <c r="M37" s="82">
        <v>-0.35</v>
      </c>
      <c r="N37" s="82">
        <v>80</v>
      </c>
      <c r="O37" s="82">
        <v>42.4</v>
      </c>
      <c r="P37" s="82">
        <f t="shared" si="1"/>
        <v>79140</v>
      </c>
      <c r="Q37" s="82">
        <v>50.7</v>
      </c>
      <c r="R37" s="82">
        <v>21.2</v>
      </c>
      <c r="S37" s="82">
        <v>5.0999999999999996</v>
      </c>
      <c r="T37" s="82">
        <v>10.199999999999999</v>
      </c>
      <c r="U37" s="82">
        <v>60124</v>
      </c>
      <c r="V37" s="82">
        <v>36377</v>
      </c>
      <c r="W37" s="82">
        <v>4.0999999999999996</v>
      </c>
      <c r="X37" s="82">
        <v>58.3</v>
      </c>
      <c r="Y37" s="82">
        <v>30.9</v>
      </c>
      <c r="Z37" s="82">
        <v>73.599999999999994</v>
      </c>
      <c r="AA37" s="82">
        <v>3.8</v>
      </c>
      <c r="AB37" s="82">
        <v>3.1</v>
      </c>
      <c r="AC37" s="82">
        <v>3.5</v>
      </c>
      <c r="AD37" s="82">
        <v>49.7</v>
      </c>
      <c r="AE37" s="82">
        <v>99.4</v>
      </c>
      <c r="AF37" s="82">
        <v>0.1</v>
      </c>
      <c r="AG37" s="82">
        <v>0.1</v>
      </c>
      <c r="AH37" s="82">
        <v>0.2</v>
      </c>
      <c r="AI37" s="82">
        <v>0.1</v>
      </c>
      <c r="AJ37" s="82">
        <v>6.2</v>
      </c>
      <c r="AK37" s="82">
        <v>6.1</v>
      </c>
      <c r="AL37" s="82">
        <v>6.2</v>
      </c>
      <c r="AM37" s="82">
        <v>6.1</v>
      </c>
      <c r="AN37" s="82">
        <v>7</v>
      </c>
      <c r="AO37" s="82">
        <v>6.4</v>
      </c>
      <c r="AP37" s="82">
        <v>7.1</v>
      </c>
      <c r="AQ37" s="82">
        <v>6.8</v>
      </c>
      <c r="AR37" s="82">
        <v>4</v>
      </c>
      <c r="AS37" s="82">
        <v>4.4000000000000004</v>
      </c>
      <c r="AT37" s="82">
        <v>2.6</v>
      </c>
      <c r="AU37" s="82">
        <v>3</v>
      </c>
      <c r="AV37" s="82">
        <v>1.9</v>
      </c>
      <c r="AW37" s="82">
        <v>2.5</v>
      </c>
      <c r="AX37" s="82">
        <v>1.5</v>
      </c>
      <c r="AY37" s="82">
        <v>2.5</v>
      </c>
      <c r="AZ37" s="82">
        <v>1.2</v>
      </c>
      <c r="BA37" s="82">
        <v>2.4</v>
      </c>
      <c r="BB37" s="82">
        <v>1.3</v>
      </c>
      <c r="BC37" s="82">
        <v>1.3</v>
      </c>
      <c r="BD37" s="82">
        <v>1.4</v>
      </c>
      <c r="BE37" s="82">
        <v>2.5</v>
      </c>
      <c r="BF37" s="82">
        <v>1.3</v>
      </c>
      <c r="BG37" s="82">
        <v>2</v>
      </c>
      <c r="BH37" s="82">
        <v>1.3</v>
      </c>
      <c r="BI37" s="82">
        <v>1.9</v>
      </c>
      <c r="BJ37" s="82">
        <v>1</v>
      </c>
      <c r="BK37" s="82">
        <v>1.4</v>
      </c>
      <c r="BL37" s="82">
        <v>1</v>
      </c>
      <c r="BM37" s="82">
        <v>1.5</v>
      </c>
      <c r="BN37" s="82">
        <v>0.5</v>
      </c>
      <c r="BO37" s="82">
        <v>1</v>
      </c>
      <c r="BP37" s="82">
        <v>0.3</v>
      </c>
      <c r="BQ37" s="82">
        <v>0.7</v>
      </c>
      <c r="BR37" s="82">
        <v>0.2</v>
      </c>
      <c r="BS37" s="82">
        <v>0.5</v>
      </c>
      <c r="BT37" s="82">
        <v>17779</v>
      </c>
      <c r="BU37" s="82">
        <v>13061</v>
      </c>
      <c r="BV37" s="82">
        <v>12161</v>
      </c>
      <c r="BW37" s="82">
        <v>94412</v>
      </c>
      <c r="BX37" s="82">
        <v>14</v>
      </c>
      <c r="BY37" s="82">
        <v>6.8</v>
      </c>
      <c r="BZ37" s="82">
        <v>12.4</v>
      </c>
      <c r="CA37" s="82">
        <v>27.7</v>
      </c>
      <c r="CB37" s="82">
        <v>24.2</v>
      </c>
      <c r="CC37" s="82">
        <v>7.3</v>
      </c>
      <c r="CD37" s="82">
        <v>4</v>
      </c>
      <c r="CE37" s="82">
        <v>2.2999999999999998</v>
      </c>
      <c r="CF37" s="82">
        <v>0.8</v>
      </c>
      <c r="CG37" s="82">
        <v>0.1</v>
      </c>
      <c r="CH37" s="82">
        <v>0.1</v>
      </c>
      <c r="CI37" s="82">
        <v>0.1</v>
      </c>
      <c r="CJ37" s="82">
        <f t="shared" si="2"/>
        <v>137413</v>
      </c>
      <c r="CK37" s="82">
        <f t="shared" si="3"/>
        <v>246990.86811719422</v>
      </c>
      <c r="CL37" s="95">
        <f ca="1">$CK37*SUM(OFFSET($AJ37,0,(COUNTA($CL$1:CL$1)-1)*4,1,4))/100</f>
        <v>60759.753556829783</v>
      </c>
      <c r="CM37" s="95">
        <f ca="1">$CK37*SUM(OFFSET($AJ37,0,(COUNTA($CL$1:CM$1)-1)*4,1,4))/100</f>
        <v>67428.506995994016</v>
      </c>
      <c r="CN37" s="95">
        <f ca="1">$CK37*SUM(OFFSET($AJ37,0,(COUNTA($CL$1:CN$1)-1)*4,1,4))/100</f>
        <v>34578.721536407189</v>
      </c>
      <c r="CO37" s="95">
        <f ca="1">$CK37*SUM(OFFSET($AJ37,0,(COUNTA($CL$1:CO$1)-1)*4,1,4))/100</f>
        <v>20747.232921844316</v>
      </c>
      <c r="CP37" s="95">
        <f ca="1">$CK37*SUM(OFFSET($AJ37,0,(COUNTA($CL$1:CP$1)-1)*4,1,4))/100</f>
        <v>15313.433823266039</v>
      </c>
      <c r="CQ37" s="95">
        <f ca="1">$CK37*SUM(OFFSET($AJ37,0,(COUNTA($CL$1:CQ$1)-1)*4,1,4))/100</f>
        <v>17783.342504437984</v>
      </c>
      <c r="CR37" s="95">
        <f ca="1">$CK37*SUM(OFFSET($AJ37,0,(COUNTA($CL$1:CR$1)-1)*4,1,4))/100</f>
        <v>13831.488614562875</v>
      </c>
      <c r="CS37" s="95">
        <f ca="1">$CK37*SUM(OFFSET($AJ37,0,(COUNTA($CL$1:CS$1)-1)*4,1,4))/100</f>
        <v>9879.6347246877685</v>
      </c>
      <c r="CT37" s="95">
        <f ca="1">$CK37*SUM(OFFSET($AJ37,0,(COUNTA($CL$1:CT$1)-1)*4,1,4))/100</f>
        <v>4198.8447579923013</v>
      </c>
      <c r="CU37" s="96">
        <f t="shared" si="4"/>
        <v>3186.3625000000002</v>
      </c>
      <c r="CV37" s="96">
        <f t="shared" si="5"/>
        <v>77.51499338734817</v>
      </c>
    </row>
    <row r="38" spans="1:100">
      <c r="A38" s="82" t="str">
        <f ca="1">IF(ISERROR(OFFSET(Map!$E$2,MATCH(D38,Map!$B$3:$B$239,0),0)),OFFSET(Map!$E$2,MATCH(D38,Map!$C$3:$C$239,0),0),OFFSET(Map!$E$2,MATCH(D38,Map!$B$3:$B$239,0),0))</f>
        <v>Amathole</v>
      </c>
      <c r="B38" s="82">
        <v>37</v>
      </c>
      <c r="C38" s="82" t="s">
        <v>54</v>
      </c>
      <c r="D38" s="82" t="s">
        <v>278</v>
      </c>
      <c r="E38" s="82" t="s">
        <v>279</v>
      </c>
      <c r="F38" s="82">
        <v>252390</v>
      </c>
      <c r="G38" s="82">
        <v>34.299999999999997</v>
      </c>
      <c r="H38" s="82">
        <v>56.7</v>
      </c>
      <c r="I38" s="82">
        <f t="shared" si="0"/>
        <v>143105</v>
      </c>
      <c r="J38" s="82">
        <v>9</v>
      </c>
      <c r="K38" s="82">
        <v>76.3</v>
      </c>
      <c r="L38" s="82">
        <v>87.6</v>
      </c>
      <c r="M38" s="82">
        <v>-1.17</v>
      </c>
      <c r="N38" s="82">
        <v>77</v>
      </c>
      <c r="O38" s="82">
        <v>44.2</v>
      </c>
      <c r="P38" s="82">
        <f t="shared" si="1"/>
        <v>79853</v>
      </c>
      <c r="Q38" s="82">
        <v>55.7</v>
      </c>
      <c r="R38" s="82">
        <v>11.4</v>
      </c>
      <c r="S38" s="82">
        <v>8</v>
      </c>
      <c r="T38" s="82">
        <v>13.4</v>
      </c>
      <c r="U38" s="82">
        <v>69732</v>
      </c>
      <c r="V38" s="82">
        <v>38300</v>
      </c>
      <c r="W38" s="82">
        <v>3.5</v>
      </c>
      <c r="X38" s="82">
        <v>54.6</v>
      </c>
      <c r="Y38" s="82">
        <v>48.3</v>
      </c>
      <c r="Z38" s="82">
        <v>66.400000000000006</v>
      </c>
      <c r="AA38" s="82">
        <v>13.8</v>
      </c>
      <c r="AB38" s="82">
        <v>15.6</v>
      </c>
      <c r="AC38" s="82">
        <v>12.3</v>
      </c>
      <c r="AD38" s="82">
        <v>61.4</v>
      </c>
      <c r="AE38" s="82">
        <v>99.4</v>
      </c>
      <c r="AF38" s="82">
        <v>0.2</v>
      </c>
      <c r="AG38" s="82">
        <v>0.1</v>
      </c>
      <c r="AH38" s="82">
        <v>0.2</v>
      </c>
      <c r="AI38" s="82">
        <v>0.1</v>
      </c>
      <c r="AJ38" s="82">
        <v>5.9</v>
      </c>
      <c r="AK38" s="82">
        <v>5.8</v>
      </c>
      <c r="AL38" s="82">
        <v>5.6</v>
      </c>
      <c r="AM38" s="82">
        <v>5.5</v>
      </c>
      <c r="AN38" s="82">
        <v>6</v>
      </c>
      <c r="AO38" s="82">
        <v>5.4</v>
      </c>
      <c r="AP38" s="82">
        <v>6.6</v>
      </c>
      <c r="AQ38" s="82">
        <v>6.1</v>
      </c>
      <c r="AR38" s="82">
        <v>4.2</v>
      </c>
      <c r="AS38" s="82">
        <v>4.3</v>
      </c>
      <c r="AT38" s="82">
        <v>2.9</v>
      </c>
      <c r="AU38" s="82">
        <v>2.9</v>
      </c>
      <c r="AV38" s="82">
        <v>2.2000000000000002</v>
      </c>
      <c r="AW38" s="82">
        <v>2.2999999999999998</v>
      </c>
      <c r="AX38" s="82">
        <v>1.9</v>
      </c>
      <c r="AY38" s="82">
        <v>2.4</v>
      </c>
      <c r="AZ38" s="82">
        <v>1.6</v>
      </c>
      <c r="BA38" s="82">
        <v>2.6</v>
      </c>
      <c r="BB38" s="82">
        <v>1.6</v>
      </c>
      <c r="BC38" s="82">
        <v>1.6</v>
      </c>
      <c r="BD38" s="82">
        <v>1.8</v>
      </c>
      <c r="BE38" s="82">
        <v>2.9</v>
      </c>
      <c r="BF38" s="82">
        <v>1.6</v>
      </c>
      <c r="BG38" s="82">
        <v>2.5</v>
      </c>
      <c r="BH38" s="82">
        <v>1.5</v>
      </c>
      <c r="BI38" s="82">
        <v>2.1</v>
      </c>
      <c r="BJ38" s="82">
        <v>1.1000000000000001</v>
      </c>
      <c r="BK38" s="82">
        <v>1.6</v>
      </c>
      <c r="BL38" s="82">
        <v>1</v>
      </c>
      <c r="BM38" s="82">
        <v>1.6</v>
      </c>
      <c r="BN38" s="82">
        <v>0.5</v>
      </c>
      <c r="BO38" s="82">
        <v>1.1000000000000001</v>
      </c>
      <c r="BP38" s="82">
        <v>0.4</v>
      </c>
      <c r="BQ38" s="82">
        <v>0.7</v>
      </c>
      <c r="BR38" s="82">
        <v>0.2</v>
      </c>
      <c r="BS38" s="82">
        <v>0.6</v>
      </c>
      <c r="BT38" s="82">
        <v>23961</v>
      </c>
      <c r="BU38" s="82">
        <v>19013</v>
      </c>
      <c r="BV38" s="82">
        <v>12779</v>
      </c>
      <c r="BW38" s="82">
        <v>87393</v>
      </c>
      <c r="BX38" s="82">
        <v>13.6</v>
      </c>
      <c r="BY38" s="82">
        <v>7.2</v>
      </c>
      <c r="BZ38" s="82">
        <v>11.2</v>
      </c>
      <c r="CA38" s="82">
        <v>27.4</v>
      </c>
      <c r="CB38" s="82">
        <v>23.5</v>
      </c>
      <c r="CC38" s="82">
        <v>7.5</v>
      </c>
      <c r="CD38" s="82">
        <v>4.8</v>
      </c>
      <c r="CE38" s="82">
        <v>3.3</v>
      </c>
      <c r="CF38" s="82">
        <v>1.1000000000000001</v>
      </c>
      <c r="CG38" s="82">
        <v>0.1</v>
      </c>
      <c r="CH38" s="82">
        <v>0.1</v>
      </c>
      <c r="CI38" s="82">
        <v>0.1</v>
      </c>
      <c r="CJ38" s="82">
        <f t="shared" si="2"/>
        <v>143146</v>
      </c>
      <c r="CK38" s="82">
        <f t="shared" si="3"/>
        <v>227023.75460214604</v>
      </c>
      <c r="CL38" s="95">
        <f ca="1">$CK38*SUM(OFFSET($AJ38,0,(COUNTA($CL$1:CL$1)-1)*4,1,4))/100</f>
        <v>51761.416049289292</v>
      </c>
      <c r="CM38" s="95">
        <f ca="1">$CK38*SUM(OFFSET($AJ38,0,(COUNTA($CL$1:CM$1)-1)*4,1,4))/100</f>
        <v>54712.724859117203</v>
      </c>
      <c r="CN38" s="95">
        <f ca="1">$CK38*SUM(OFFSET($AJ38,0,(COUNTA($CL$1:CN$1)-1)*4,1,4))/100</f>
        <v>32464.396908106886</v>
      </c>
      <c r="CO38" s="95">
        <f ca="1">$CK38*SUM(OFFSET($AJ38,0,(COUNTA($CL$1:CO$1)-1)*4,1,4))/100</f>
        <v>19978.090404988852</v>
      </c>
      <c r="CP38" s="95">
        <f ca="1">$CK38*SUM(OFFSET($AJ38,0,(COUNTA($CL$1:CP$1)-1)*4,1,4))/100</f>
        <v>16799.757840558806</v>
      </c>
      <c r="CQ38" s="95">
        <f ca="1">$CK38*SUM(OFFSET($AJ38,0,(COUNTA($CL$1:CQ$1)-1)*4,1,4))/100</f>
        <v>19978.090404988852</v>
      </c>
      <c r="CR38" s="95">
        <f ca="1">$CK38*SUM(OFFSET($AJ38,0,(COUNTA($CL$1:CR$1)-1)*4,1,4))/100</f>
        <v>14302.496539935202</v>
      </c>
      <c r="CS38" s="95">
        <f ca="1">$CK38*SUM(OFFSET($AJ38,0,(COUNTA($CL$1:CS$1)-1)*4,1,4))/100</f>
        <v>9534.9976932901336</v>
      </c>
      <c r="CT38" s="95">
        <f ca="1">$CK38*SUM(OFFSET($AJ38,0,(COUNTA($CL$1:CT$1)-1)*4,1,4))/100</f>
        <v>4313.4513374407743</v>
      </c>
      <c r="CU38" s="96">
        <f t="shared" si="4"/>
        <v>3277.7922077922076</v>
      </c>
      <c r="CV38" s="96">
        <f t="shared" si="5"/>
        <v>69.261179541048563</v>
      </c>
    </row>
    <row r="39" spans="1:100">
      <c r="A39" s="82" t="str">
        <f ca="1">IF(ISERROR(OFFSET(Map!$E$2,MATCH(D39,Map!$B$3:$B$239,0),0)),OFFSET(Map!$E$2,MATCH(D39,Map!$C$3:$C$239,0),0),OFFSET(Map!$E$2,MATCH(D39,Map!$B$3:$B$239,0),0))</f>
        <v>Amathole</v>
      </c>
      <c r="B39" s="82">
        <v>38</v>
      </c>
      <c r="C39" s="82" t="s">
        <v>54</v>
      </c>
      <c r="D39" s="82" t="s">
        <v>280</v>
      </c>
      <c r="E39" s="82" t="s">
        <v>281</v>
      </c>
      <c r="F39" s="82">
        <v>38991</v>
      </c>
      <c r="G39" s="82">
        <v>28.7</v>
      </c>
      <c r="H39" s="82">
        <v>62</v>
      </c>
      <c r="I39" s="82">
        <f t="shared" si="0"/>
        <v>24174</v>
      </c>
      <c r="J39" s="82">
        <v>9.3000000000000007</v>
      </c>
      <c r="K39" s="82">
        <v>61.3</v>
      </c>
      <c r="L39" s="82">
        <v>92.2</v>
      </c>
      <c r="M39" s="82">
        <v>-1.31</v>
      </c>
      <c r="N39" s="82">
        <v>22</v>
      </c>
      <c r="O39" s="82">
        <v>29.8</v>
      </c>
      <c r="P39" s="82">
        <f t="shared" si="1"/>
        <v>16970</v>
      </c>
      <c r="Q39" s="82">
        <v>39.700000000000003</v>
      </c>
      <c r="R39" s="82">
        <v>19.399999999999999</v>
      </c>
      <c r="S39" s="82">
        <v>5</v>
      </c>
      <c r="T39" s="82">
        <v>15.1</v>
      </c>
      <c r="U39" s="82">
        <v>10310</v>
      </c>
      <c r="V39" s="82">
        <v>3559</v>
      </c>
      <c r="W39" s="82">
        <v>3.4</v>
      </c>
      <c r="X39" s="82">
        <v>45.7</v>
      </c>
      <c r="Y39" s="82">
        <v>62.2</v>
      </c>
      <c r="Z39" s="82">
        <v>64.900000000000006</v>
      </c>
      <c r="AA39" s="82">
        <v>9.4</v>
      </c>
      <c r="AB39" s="82">
        <v>33.6</v>
      </c>
      <c r="AC39" s="82">
        <v>13.7</v>
      </c>
      <c r="AD39" s="82">
        <v>80.2</v>
      </c>
      <c r="AE39" s="82">
        <v>91.3</v>
      </c>
      <c r="AF39" s="82">
        <v>1.3</v>
      </c>
      <c r="AG39" s="82">
        <v>0.1</v>
      </c>
      <c r="AH39" s="82">
        <v>7.2</v>
      </c>
      <c r="AI39" s="82">
        <v>0.2</v>
      </c>
      <c r="AJ39" s="82">
        <v>5.6</v>
      </c>
      <c r="AK39" s="82">
        <v>5.5</v>
      </c>
      <c r="AL39" s="82">
        <v>4.9000000000000004</v>
      </c>
      <c r="AM39" s="82">
        <v>4.5</v>
      </c>
      <c r="AN39" s="82">
        <v>4.3</v>
      </c>
      <c r="AO39" s="82">
        <v>3.8</v>
      </c>
      <c r="AP39" s="82">
        <v>5.0999999999999996</v>
      </c>
      <c r="AQ39" s="82">
        <v>4.8</v>
      </c>
      <c r="AR39" s="82">
        <v>4.5999999999999996</v>
      </c>
      <c r="AS39" s="82">
        <v>3.9</v>
      </c>
      <c r="AT39" s="82">
        <v>3.6</v>
      </c>
      <c r="AU39" s="82">
        <v>3.5</v>
      </c>
      <c r="AV39" s="82">
        <v>3</v>
      </c>
      <c r="AW39" s="82">
        <v>3.2</v>
      </c>
      <c r="AX39" s="82">
        <v>2.6</v>
      </c>
      <c r="AY39" s="82">
        <v>3.2</v>
      </c>
      <c r="AZ39" s="82">
        <v>2.6</v>
      </c>
      <c r="BA39" s="82">
        <v>3.4</v>
      </c>
      <c r="BB39" s="82">
        <v>2.2999999999999998</v>
      </c>
      <c r="BC39" s="82">
        <v>2.2999999999999998</v>
      </c>
      <c r="BD39" s="82">
        <v>2.2999999999999998</v>
      </c>
      <c r="BE39" s="82">
        <v>3.1</v>
      </c>
      <c r="BF39" s="82">
        <v>1.9</v>
      </c>
      <c r="BG39" s="82">
        <v>2.4</v>
      </c>
      <c r="BH39" s="82">
        <v>1.4</v>
      </c>
      <c r="BI39" s="82">
        <v>1.6</v>
      </c>
      <c r="BJ39" s="82">
        <v>1.2</v>
      </c>
      <c r="BK39" s="82">
        <v>1.7</v>
      </c>
      <c r="BL39" s="82">
        <v>1.3</v>
      </c>
      <c r="BM39" s="82">
        <v>1.9</v>
      </c>
      <c r="BN39" s="82">
        <v>0.5</v>
      </c>
      <c r="BO39" s="82">
        <v>1</v>
      </c>
      <c r="BP39" s="82">
        <v>0.3</v>
      </c>
      <c r="BQ39" s="82">
        <v>0.7</v>
      </c>
      <c r="BR39" s="82">
        <v>0.2</v>
      </c>
      <c r="BS39" s="82">
        <v>0.5</v>
      </c>
      <c r="BT39" s="82">
        <v>6678</v>
      </c>
      <c r="BU39" s="82">
        <v>2834</v>
      </c>
      <c r="BV39" s="82">
        <v>2936</v>
      </c>
      <c r="BW39" s="82">
        <v>11728</v>
      </c>
      <c r="BX39" s="82">
        <v>16</v>
      </c>
      <c r="BY39" s="82">
        <v>6</v>
      </c>
      <c r="BZ39" s="82">
        <v>8.6</v>
      </c>
      <c r="CA39" s="82">
        <v>27.1</v>
      </c>
      <c r="CB39" s="82">
        <v>23.2</v>
      </c>
      <c r="CC39" s="82">
        <v>9.1999999999999993</v>
      </c>
      <c r="CD39" s="82">
        <v>4.3</v>
      </c>
      <c r="CE39" s="82">
        <v>3.1</v>
      </c>
      <c r="CF39" s="82">
        <v>1.8</v>
      </c>
      <c r="CG39" s="82">
        <v>0.4</v>
      </c>
      <c r="CH39" s="82">
        <v>0.2</v>
      </c>
      <c r="CI39" s="82">
        <v>0.1</v>
      </c>
      <c r="CJ39" s="82">
        <f t="shared" si="2"/>
        <v>24176</v>
      </c>
      <c r="CK39" s="82">
        <f t="shared" si="3"/>
        <v>34627.625696767216</v>
      </c>
      <c r="CL39" s="95">
        <f ca="1">$CK39*SUM(OFFSET($AJ39,0,(COUNTA($CL$1:CL$1)-1)*4,1,4))/100</f>
        <v>7098.6632678372798</v>
      </c>
      <c r="CM39" s="95">
        <f ca="1">$CK39*SUM(OFFSET($AJ39,0,(COUNTA($CL$1:CM$1)-1)*4,1,4))/100</f>
        <v>6232.9726254180996</v>
      </c>
      <c r="CN39" s="95">
        <f ca="1">$CK39*SUM(OFFSET($AJ39,0,(COUNTA($CL$1:CN$1)-1)*4,1,4))/100</f>
        <v>5401.9096086956852</v>
      </c>
      <c r="CO39" s="95">
        <f ca="1">$CK39*SUM(OFFSET($AJ39,0,(COUNTA($CL$1:CO$1)-1)*4,1,4))/100</f>
        <v>4155.3150836120658</v>
      </c>
      <c r="CP39" s="95">
        <f ca="1">$CK39*SUM(OFFSET($AJ39,0,(COUNTA($CL$1:CP$1)-1)*4,1,4))/100</f>
        <v>3670.5283238573256</v>
      </c>
      <c r="CQ39" s="95">
        <f ca="1">$CK39*SUM(OFFSET($AJ39,0,(COUNTA($CL$1:CQ$1)-1)*4,1,4))/100</f>
        <v>3358.8796925864208</v>
      </c>
      <c r="CR39" s="95">
        <f ca="1">$CK39*SUM(OFFSET($AJ39,0,(COUNTA($CL$1:CR$1)-1)*4,1,4))/100</f>
        <v>2043.0299161092657</v>
      </c>
      <c r="CS39" s="95">
        <f ca="1">$CK39*SUM(OFFSET($AJ39,0,(COUNTA($CL$1:CS$1)-1)*4,1,4))/100</f>
        <v>1627.4984077480592</v>
      </c>
      <c r="CT39" s="95">
        <f ca="1">$CK39*SUM(OFFSET($AJ39,0,(COUNTA($CL$1:CT$1)-1)*4,1,4))/100</f>
        <v>588.66963684504265</v>
      </c>
      <c r="CU39" s="96">
        <f t="shared" si="4"/>
        <v>1772.3181818181818</v>
      </c>
      <c r="CV39" s="96">
        <f t="shared" si="5"/>
        <v>19.538041223074011</v>
      </c>
    </row>
    <row r="40" spans="1:100">
      <c r="A40" s="82" t="str">
        <f ca="1">IF(ISERROR(OFFSET(Map!$E$2,MATCH(D40,Map!$B$3:$B$239,0),0)),OFFSET(Map!$E$2,MATCH(D40,Map!$C$3:$C$239,0),0),OFFSET(Map!$E$2,MATCH(D40,Map!$B$3:$B$239,0),0))</f>
        <v>Amathole</v>
      </c>
      <c r="B40" s="82">
        <v>39</v>
      </c>
      <c r="C40" s="82" t="s">
        <v>54</v>
      </c>
      <c r="D40" s="82" t="s">
        <v>282</v>
      </c>
      <c r="E40" s="82" t="s">
        <v>283</v>
      </c>
      <c r="F40" s="82">
        <v>122778</v>
      </c>
      <c r="G40" s="82">
        <v>31.3</v>
      </c>
      <c r="H40" s="82">
        <v>60.1</v>
      </c>
      <c r="I40" s="82">
        <f t="shared" si="0"/>
        <v>73790</v>
      </c>
      <c r="J40" s="82">
        <v>8.6</v>
      </c>
      <c r="K40" s="82">
        <v>66.5</v>
      </c>
      <c r="L40" s="82">
        <v>91.4</v>
      </c>
      <c r="M40" s="82">
        <v>-1.1599999999999999</v>
      </c>
      <c r="N40" s="82">
        <v>25</v>
      </c>
      <c r="O40" s="82">
        <v>36.1</v>
      </c>
      <c r="P40" s="82">
        <f t="shared" si="1"/>
        <v>47152</v>
      </c>
      <c r="Q40" s="82">
        <v>47.1</v>
      </c>
      <c r="R40" s="82">
        <v>10</v>
      </c>
      <c r="S40" s="82">
        <v>4.7</v>
      </c>
      <c r="T40" s="82">
        <v>13.6</v>
      </c>
      <c r="U40" s="82">
        <v>34159</v>
      </c>
      <c r="V40" s="82">
        <v>15581</v>
      </c>
      <c r="W40" s="82">
        <v>3.5</v>
      </c>
      <c r="X40" s="82">
        <v>48.8</v>
      </c>
      <c r="Y40" s="82">
        <v>58.6</v>
      </c>
      <c r="Z40" s="82">
        <v>71.099999999999994</v>
      </c>
      <c r="AA40" s="82">
        <v>18.7</v>
      </c>
      <c r="AB40" s="82">
        <v>20.5</v>
      </c>
      <c r="AC40" s="82">
        <v>15.6</v>
      </c>
      <c r="AD40" s="82">
        <v>82.4</v>
      </c>
      <c r="AE40" s="82">
        <v>96.5</v>
      </c>
      <c r="AF40" s="82">
        <v>1.2</v>
      </c>
      <c r="AG40" s="82">
        <v>0.1</v>
      </c>
      <c r="AH40" s="82">
        <v>2</v>
      </c>
      <c r="AI40" s="82">
        <v>0.2</v>
      </c>
      <c r="AJ40" s="82">
        <v>5.9</v>
      </c>
      <c r="AK40" s="82">
        <v>5.7</v>
      </c>
      <c r="AL40" s="82">
        <v>5.2</v>
      </c>
      <c r="AM40" s="82">
        <v>5.2</v>
      </c>
      <c r="AN40" s="82">
        <v>4.8</v>
      </c>
      <c r="AO40" s="82">
        <v>4.5</v>
      </c>
      <c r="AP40" s="82">
        <v>5.6</v>
      </c>
      <c r="AQ40" s="82">
        <v>5.2</v>
      </c>
      <c r="AR40" s="82">
        <v>4.4000000000000004</v>
      </c>
      <c r="AS40" s="82">
        <v>3.8</v>
      </c>
      <c r="AT40" s="82">
        <v>3.3</v>
      </c>
      <c r="AU40" s="82">
        <v>3.1</v>
      </c>
      <c r="AV40" s="82">
        <v>2.6</v>
      </c>
      <c r="AW40" s="82">
        <v>2.7</v>
      </c>
      <c r="AX40" s="82">
        <v>2.4</v>
      </c>
      <c r="AY40" s="82">
        <v>2.7</v>
      </c>
      <c r="AZ40" s="82">
        <v>2.2999999999999998</v>
      </c>
      <c r="BA40" s="82">
        <v>3</v>
      </c>
      <c r="BB40" s="82">
        <v>2.2999999999999998</v>
      </c>
      <c r="BC40" s="82">
        <v>2.2999999999999998</v>
      </c>
      <c r="BD40" s="82">
        <v>2.2000000000000002</v>
      </c>
      <c r="BE40" s="82">
        <v>3.2</v>
      </c>
      <c r="BF40" s="82">
        <v>2</v>
      </c>
      <c r="BG40" s="82">
        <v>2.6</v>
      </c>
      <c r="BH40" s="82">
        <v>1.6</v>
      </c>
      <c r="BI40" s="82">
        <v>1.9</v>
      </c>
      <c r="BJ40" s="82">
        <v>1.1000000000000001</v>
      </c>
      <c r="BK40" s="82">
        <v>1.6</v>
      </c>
      <c r="BL40" s="82">
        <v>1</v>
      </c>
      <c r="BM40" s="82">
        <v>1.6</v>
      </c>
      <c r="BN40" s="82">
        <v>0.5</v>
      </c>
      <c r="BO40" s="82">
        <v>0.9</v>
      </c>
      <c r="BP40" s="82">
        <v>0.3</v>
      </c>
      <c r="BQ40" s="82">
        <v>0.7</v>
      </c>
      <c r="BR40" s="82">
        <v>0.2</v>
      </c>
      <c r="BS40" s="82">
        <v>0.7</v>
      </c>
      <c r="BT40" s="82">
        <v>17298</v>
      </c>
      <c r="BU40" s="82">
        <v>9753</v>
      </c>
      <c r="BV40" s="82">
        <v>8729</v>
      </c>
      <c r="BW40" s="82">
        <v>37954</v>
      </c>
      <c r="BX40" s="82">
        <v>14.3</v>
      </c>
      <c r="BY40" s="82">
        <v>6.1</v>
      </c>
      <c r="BZ40" s="82">
        <v>9.4</v>
      </c>
      <c r="CA40" s="82">
        <v>27.6</v>
      </c>
      <c r="CB40" s="82">
        <v>25.2</v>
      </c>
      <c r="CC40" s="82">
        <v>9</v>
      </c>
      <c r="CD40" s="82">
        <v>4.4000000000000004</v>
      </c>
      <c r="CE40" s="82">
        <v>2.5</v>
      </c>
      <c r="CF40" s="82">
        <v>1.1000000000000001</v>
      </c>
      <c r="CG40" s="82">
        <v>0.2</v>
      </c>
      <c r="CH40" s="82">
        <v>0.1</v>
      </c>
      <c r="CI40" s="82">
        <v>0.1</v>
      </c>
      <c r="CJ40" s="82">
        <f t="shared" si="2"/>
        <v>73734</v>
      </c>
      <c r="CK40" s="82">
        <f t="shared" si="3"/>
        <v>110538.91188878096</v>
      </c>
      <c r="CL40" s="95">
        <f ca="1">$CK40*SUM(OFFSET($AJ40,0,(COUNTA($CL$1:CL$1)-1)*4,1,4))/100</f>
        <v>24318.560615531813</v>
      </c>
      <c r="CM40" s="95">
        <f ca="1">$CK40*SUM(OFFSET($AJ40,0,(COUNTA($CL$1:CM$1)-1)*4,1,4))/100</f>
        <v>22218.321289644973</v>
      </c>
      <c r="CN40" s="95">
        <f ca="1">$CK40*SUM(OFFSET($AJ40,0,(COUNTA($CL$1:CN$1)-1)*4,1,4))/100</f>
        <v>16138.681135762019</v>
      </c>
      <c r="CO40" s="95">
        <f ca="1">$CK40*SUM(OFFSET($AJ40,0,(COUNTA($CL$1:CO$1)-1)*4,1,4))/100</f>
        <v>11496.046836433223</v>
      </c>
      <c r="CP40" s="95">
        <f ca="1">$CK40*SUM(OFFSET($AJ40,0,(COUNTA($CL$1:CP$1)-1)*4,1,4))/100</f>
        <v>10943.352276989312</v>
      </c>
      <c r="CQ40" s="95">
        <f ca="1">$CK40*SUM(OFFSET($AJ40,0,(COUNTA($CL$1:CQ$1)-1)*4,1,4))/100</f>
        <v>11053.891188878095</v>
      </c>
      <c r="CR40" s="95">
        <f ca="1">$CK40*SUM(OFFSET($AJ40,0,(COUNTA($CL$1:CR$1)-1)*4,1,4))/100</f>
        <v>6853.4125371044183</v>
      </c>
      <c r="CS40" s="95">
        <f ca="1">$CK40*SUM(OFFSET($AJ40,0,(COUNTA($CL$1:CS$1)-1)*4,1,4))/100</f>
        <v>4421.5564755512387</v>
      </c>
      <c r="CT40" s="95">
        <f ca="1">$CK40*SUM(OFFSET($AJ40,0,(COUNTA($CL$1:CT$1)-1)*4,1,4))/100</f>
        <v>2100.2393258868383</v>
      </c>
      <c r="CU40" s="96">
        <f t="shared" si="4"/>
        <v>4911.12</v>
      </c>
      <c r="CV40" s="96">
        <f t="shared" si="5"/>
        <v>22.507882497023278</v>
      </c>
    </row>
    <row r="41" spans="1:100">
      <c r="A41" s="82" t="str">
        <f ca="1">IF(ISERROR(OFFSET(Map!$E$2,MATCH(D41,Map!$B$3:$B$239,0),0)),OFFSET(Map!$E$2,MATCH(D41,Map!$C$3:$C$239,0),0),OFFSET(Map!$E$2,MATCH(D41,Map!$B$3:$B$239,0),0))</f>
        <v>Amathole</v>
      </c>
      <c r="B41" s="82">
        <v>40</v>
      </c>
      <c r="C41" s="82" t="s">
        <v>54</v>
      </c>
      <c r="D41" s="82" t="s">
        <v>284</v>
      </c>
      <c r="E41" s="82" t="s">
        <v>285</v>
      </c>
      <c r="F41" s="82">
        <v>72190</v>
      </c>
      <c r="G41" s="82">
        <v>30</v>
      </c>
      <c r="H41" s="82">
        <v>58.1</v>
      </c>
      <c r="I41" s="82">
        <f t="shared" si="0"/>
        <v>41942</v>
      </c>
      <c r="J41" s="82">
        <v>11.9</v>
      </c>
      <c r="K41" s="82">
        <v>72.099999999999994</v>
      </c>
      <c r="L41" s="82">
        <v>88.9</v>
      </c>
      <c r="M41" s="82">
        <v>-1.54</v>
      </c>
      <c r="N41" s="82">
        <v>32</v>
      </c>
      <c r="O41" s="82">
        <v>52.8</v>
      </c>
      <c r="P41" s="82">
        <f t="shared" si="1"/>
        <v>19797</v>
      </c>
      <c r="Q41" s="82">
        <v>64.099999999999994</v>
      </c>
      <c r="R41" s="82">
        <v>13.7</v>
      </c>
      <c r="S41" s="82">
        <v>3.9</v>
      </c>
      <c r="T41" s="82">
        <v>15</v>
      </c>
      <c r="U41" s="82">
        <v>21384</v>
      </c>
      <c r="V41" s="82">
        <v>12178</v>
      </c>
      <c r="W41" s="82">
        <v>3.2</v>
      </c>
      <c r="X41" s="82">
        <v>51</v>
      </c>
      <c r="Y41" s="82">
        <v>72.099999999999994</v>
      </c>
      <c r="Z41" s="82">
        <v>78.8</v>
      </c>
      <c r="AA41" s="82">
        <v>4.7</v>
      </c>
      <c r="AB41" s="82">
        <v>6.7</v>
      </c>
      <c r="AC41" s="82">
        <v>6.1</v>
      </c>
      <c r="AD41" s="82">
        <v>91.4</v>
      </c>
      <c r="AE41" s="82">
        <v>99.2</v>
      </c>
      <c r="AF41" s="82">
        <v>0.2</v>
      </c>
      <c r="AG41" s="82">
        <v>0.1</v>
      </c>
      <c r="AH41" s="82">
        <v>0.4</v>
      </c>
      <c r="AI41" s="82">
        <v>0.1</v>
      </c>
      <c r="AJ41" s="82">
        <v>5.6</v>
      </c>
      <c r="AK41" s="82">
        <v>5.7</v>
      </c>
      <c r="AL41" s="82">
        <v>5.2</v>
      </c>
      <c r="AM41" s="82">
        <v>4.9000000000000004</v>
      </c>
      <c r="AN41" s="82">
        <v>4.5999999999999996</v>
      </c>
      <c r="AO41" s="82">
        <v>4</v>
      </c>
      <c r="AP41" s="82">
        <v>5.3</v>
      </c>
      <c r="AQ41" s="82">
        <v>4.5999999999999996</v>
      </c>
      <c r="AR41" s="82">
        <v>3.8</v>
      </c>
      <c r="AS41" s="82">
        <v>3.4</v>
      </c>
      <c r="AT41" s="82">
        <v>2.9</v>
      </c>
      <c r="AU41" s="82">
        <v>2.9</v>
      </c>
      <c r="AV41" s="82">
        <v>2.4</v>
      </c>
      <c r="AW41" s="82">
        <v>2.5</v>
      </c>
      <c r="AX41" s="82">
        <v>2.4</v>
      </c>
      <c r="AY41" s="82">
        <v>2.8</v>
      </c>
      <c r="AZ41" s="82">
        <v>2.1</v>
      </c>
      <c r="BA41" s="82">
        <v>2.9</v>
      </c>
      <c r="BB41" s="82">
        <v>2.2000000000000002</v>
      </c>
      <c r="BC41" s="82">
        <v>2.2000000000000002</v>
      </c>
      <c r="BD41" s="82">
        <v>2.2999999999999998</v>
      </c>
      <c r="BE41" s="82">
        <v>3.1</v>
      </c>
      <c r="BF41" s="82">
        <v>2.2000000000000002</v>
      </c>
      <c r="BG41" s="82">
        <v>2.8</v>
      </c>
      <c r="BH41" s="82">
        <v>1.8</v>
      </c>
      <c r="BI41" s="82">
        <v>2.5</v>
      </c>
      <c r="BJ41" s="82">
        <v>1.4</v>
      </c>
      <c r="BK41" s="82">
        <v>2.1</v>
      </c>
      <c r="BL41" s="82">
        <v>1.3</v>
      </c>
      <c r="BM41" s="82">
        <v>2.1</v>
      </c>
      <c r="BN41" s="82">
        <v>0.7</v>
      </c>
      <c r="BO41" s="82">
        <v>1.6</v>
      </c>
      <c r="BP41" s="82">
        <v>0.4</v>
      </c>
      <c r="BQ41" s="82">
        <v>1</v>
      </c>
      <c r="BR41" s="82">
        <v>0.4</v>
      </c>
      <c r="BS41" s="82">
        <v>0.8</v>
      </c>
      <c r="BT41" s="82">
        <v>6344</v>
      </c>
      <c r="BU41" s="82">
        <v>7099</v>
      </c>
      <c r="BV41" s="82">
        <v>5820</v>
      </c>
      <c r="BW41" s="82">
        <v>22688</v>
      </c>
      <c r="BX41" s="82">
        <v>16.100000000000001</v>
      </c>
      <c r="BY41" s="82">
        <v>7</v>
      </c>
      <c r="BZ41" s="82">
        <v>9.3000000000000007</v>
      </c>
      <c r="CA41" s="82">
        <v>31.3</v>
      </c>
      <c r="CB41" s="82">
        <v>22.6</v>
      </c>
      <c r="CC41" s="82">
        <v>7.8</v>
      </c>
      <c r="CD41" s="82">
        <v>3.4</v>
      </c>
      <c r="CE41" s="82">
        <v>1.6</v>
      </c>
      <c r="CF41" s="82">
        <v>0.6</v>
      </c>
      <c r="CG41" s="82">
        <v>0.1</v>
      </c>
      <c r="CH41" s="82">
        <v>0.1</v>
      </c>
      <c r="CI41" s="82">
        <v>0.1</v>
      </c>
      <c r="CJ41" s="82">
        <f t="shared" si="2"/>
        <v>41951</v>
      </c>
      <c r="CK41" s="82">
        <f t="shared" si="3"/>
        <v>62779.163513234111</v>
      </c>
      <c r="CL41" s="95">
        <f ca="1">$CK41*SUM(OFFSET($AJ41,0,(COUNTA($CL$1:CL$1)-1)*4,1,4))/100</f>
        <v>13434.740991832099</v>
      </c>
      <c r="CM41" s="95">
        <f ca="1">$CK41*SUM(OFFSET($AJ41,0,(COUNTA($CL$1:CM$1)-1)*4,1,4))/100</f>
        <v>11614.145249948311</v>
      </c>
      <c r="CN41" s="95">
        <f ca="1">$CK41*SUM(OFFSET($AJ41,0,(COUNTA($CL$1:CN$1)-1)*4,1,4))/100</f>
        <v>8161.2912567204339</v>
      </c>
      <c r="CO41" s="95">
        <f ca="1">$CK41*SUM(OFFSET($AJ41,0,(COUNTA($CL$1:CO$1)-1)*4,1,4))/100</f>
        <v>6340.6955148366469</v>
      </c>
      <c r="CP41" s="95">
        <f ca="1">$CK41*SUM(OFFSET($AJ41,0,(COUNTA($CL$1:CP$1)-1)*4,1,4))/100</f>
        <v>5901.2413702440062</v>
      </c>
      <c r="CQ41" s="95">
        <f ca="1">$CK41*SUM(OFFSET($AJ41,0,(COUNTA($CL$1:CQ$1)-1)*4,1,4))/100</f>
        <v>6529.0330053763473</v>
      </c>
      <c r="CR41" s="95">
        <f ca="1">$CK41*SUM(OFFSET($AJ41,0,(COUNTA($CL$1:CR$1)-1)*4,1,4))/100</f>
        <v>4896.7747540322598</v>
      </c>
      <c r="CS41" s="95">
        <f ca="1">$CK41*SUM(OFFSET($AJ41,0,(COUNTA($CL$1:CS$1)-1)*4,1,4))/100</f>
        <v>3578.4123202543451</v>
      </c>
      <c r="CT41" s="95">
        <f ca="1">$CK41*SUM(OFFSET($AJ41,0,(COUNTA($CL$1:CT$1)-1)*4,1,4))/100</f>
        <v>1632.2582513440866</v>
      </c>
      <c r="CU41" s="96">
        <f t="shared" si="4"/>
        <v>2255.9375</v>
      </c>
      <c r="CV41" s="96">
        <f t="shared" si="5"/>
        <v>27.828414356884494</v>
      </c>
    </row>
    <row r="42" spans="1:100">
      <c r="A42" s="82" t="str">
        <f ca="1">IF(ISERROR(OFFSET(Map!$E$2,MATCH(D42,Map!$B$3:$B$239,0),0)),OFFSET(Map!$E$2,MATCH(D42,Map!$C$3:$C$239,0),0),OFFSET(Map!$E$2,MATCH(D42,Map!$B$3:$B$239,0),0))</f>
        <v>Amathole</v>
      </c>
      <c r="B42" s="82">
        <v>41</v>
      </c>
      <c r="C42" s="82" t="s">
        <v>54</v>
      </c>
      <c r="D42" s="82" t="s">
        <v>286</v>
      </c>
      <c r="E42" s="82" t="s">
        <v>287</v>
      </c>
      <c r="F42" s="82">
        <v>127115</v>
      </c>
      <c r="G42" s="82">
        <v>28.8</v>
      </c>
      <c r="H42" s="82">
        <v>62</v>
      </c>
      <c r="I42" s="82">
        <f t="shared" si="0"/>
        <v>78811</v>
      </c>
      <c r="J42" s="82">
        <v>9.1999999999999993</v>
      </c>
      <c r="K42" s="82">
        <v>61.3</v>
      </c>
      <c r="L42" s="82">
        <v>92.7</v>
      </c>
      <c r="M42" s="82">
        <v>-0.21</v>
      </c>
      <c r="N42" s="82">
        <v>35</v>
      </c>
      <c r="O42" s="82">
        <v>48.1</v>
      </c>
      <c r="P42" s="82">
        <f t="shared" si="1"/>
        <v>40903</v>
      </c>
      <c r="Q42" s="82">
        <v>59.6</v>
      </c>
      <c r="R42" s="82">
        <v>7.2</v>
      </c>
      <c r="S42" s="82">
        <v>7.1</v>
      </c>
      <c r="T42" s="82">
        <v>17</v>
      </c>
      <c r="U42" s="82">
        <v>35355</v>
      </c>
      <c r="V42" s="82">
        <v>13984</v>
      </c>
      <c r="W42" s="82">
        <v>3.4</v>
      </c>
      <c r="X42" s="82">
        <v>49.5</v>
      </c>
      <c r="Y42" s="82">
        <v>70.7</v>
      </c>
      <c r="Z42" s="82">
        <v>57.2</v>
      </c>
      <c r="AA42" s="82">
        <v>30.2</v>
      </c>
      <c r="AB42" s="82">
        <v>24</v>
      </c>
      <c r="AC42" s="82">
        <v>20.100000000000001</v>
      </c>
      <c r="AD42" s="82">
        <v>88.4</v>
      </c>
      <c r="AE42" s="82">
        <v>94.5</v>
      </c>
      <c r="AF42" s="82">
        <v>4</v>
      </c>
      <c r="AG42" s="82">
        <v>0.2</v>
      </c>
      <c r="AH42" s="82">
        <v>1</v>
      </c>
      <c r="AI42" s="82">
        <v>0.3</v>
      </c>
      <c r="AJ42" s="82">
        <v>5.4</v>
      </c>
      <c r="AK42" s="82">
        <v>5.3</v>
      </c>
      <c r="AL42" s="82">
        <v>5</v>
      </c>
      <c r="AM42" s="82">
        <v>4.8</v>
      </c>
      <c r="AN42" s="82">
        <v>4.4000000000000004</v>
      </c>
      <c r="AO42" s="82">
        <v>3.9</v>
      </c>
      <c r="AP42" s="82">
        <v>5.2</v>
      </c>
      <c r="AQ42" s="82">
        <v>4.5999999999999996</v>
      </c>
      <c r="AR42" s="82">
        <v>5.0999999999999996</v>
      </c>
      <c r="AS42" s="82">
        <v>4.9000000000000004</v>
      </c>
      <c r="AT42" s="82">
        <v>3.6</v>
      </c>
      <c r="AU42" s="82">
        <v>3.4</v>
      </c>
      <c r="AV42" s="82">
        <v>2.6</v>
      </c>
      <c r="AW42" s="82">
        <v>2.6</v>
      </c>
      <c r="AX42" s="82">
        <v>2.5</v>
      </c>
      <c r="AY42" s="82">
        <v>2.9</v>
      </c>
      <c r="AZ42" s="82">
        <v>2.5</v>
      </c>
      <c r="BA42" s="82">
        <v>3.1</v>
      </c>
      <c r="BB42" s="82">
        <v>2.4</v>
      </c>
      <c r="BC42" s="82">
        <v>2.4</v>
      </c>
      <c r="BD42" s="82">
        <v>2.2999999999999998</v>
      </c>
      <c r="BE42" s="82">
        <v>2.9</v>
      </c>
      <c r="BF42" s="82">
        <v>1.9</v>
      </c>
      <c r="BG42" s="82">
        <v>2.5</v>
      </c>
      <c r="BH42" s="82">
        <v>1.6</v>
      </c>
      <c r="BI42" s="82">
        <v>2.1</v>
      </c>
      <c r="BJ42" s="82">
        <v>1.2</v>
      </c>
      <c r="BK42" s="82">
        <v>1.7</v>
      </c>
      <c r="BL42" s="82">
        <v>1</v>
      </c>
      <c r="BM42" s="82">
        <v>1.5</v>
      </c>
      <c r="BN42" s="82">
        <v>0.5</v>
      </c>
      <c r="BO42" s="82">
        <v>1</v>
      </c>
      <c r="BP42" s="82">
        <v>0.4</v>
      </c>
      <c r="BQ42" s="82">
        <v>0.8</v>
      </c>
      <c r="BR42" s="82">
        <v>0.3</v>
      </c>
      <c r="BS42" s="82">
        <v>0.8</v>
      </c>
      <c r="BT42" s="82">
        <v>14270</v>
      </c>
      <c r="BU42" s="82">
        <v>13229</v>
      </c>
      <c r="BV42" s="82">
        <v>9553</v>
      </c>
      <c r="BW42" s="82">
        <v>41770</v>
      </c>
      <c r="BX42" s="82">
        <v>18.7</v>
      </c>
      <c r="BY42" s="82">
        <v>6.5</v>
      </c>
      <c r="BZ42" s="82">
        <v>8.8000000000000007</v>
      </c>
      <c r="CA42" s="82">
        <v>26.4</v>
      </c>
      <c r="CB42" s="82">
        <v>21.5</v>
      </c>
      <c r="CC42" s="82">
        <v>8.1</v>
      </c>
      <c r="CD42" s="82">
        <v>5</v>
      </c>
      <c r="CE42" s="82">
        <v>3.1</v>
      </c>
      <c r="CF42" s="82">
        <v>1.4</v>
      </c>
      <c r="CG42" s="82">
        <v>0.3</v>
      </c>
      <c r="CH42" s="82">
        <v>0.1</v>
      </c>
      <c r="CI42" s="82">
        <v>0.1</v>
      </c>
      <c r="CJ42" s="82">
        <f t="shared" si="2"/>
        <v>78822</v>
      </c>
      <c r="CK42" s="82">
        <f t="shared" si="3"/>
        <v>124732.60870242781</v>
      </c>
      <c r="CL42" s="95">
        <f ca="1">$CK42*SUM(OFFSET($AJ42,0,(COUNTA($CL$1:CL$1)-1)*4,1,4))/100</f>
        <v>25570.184783997698</v>
      </c>
      <c r="CM42" s="95">
        <f ca="1">$CK42*SUM(OFFSET($AJ42,0,(COUNTA($CL$1:CM$1)-1)*4,1,4))/100</f>
        <v>22576.602175139436</v>
      </c>
      <c r="CN42" s="95">
        <f ca="1">$CK42*SUM(OFFSET($AJ42,0,(COUNTA($CL$1:CN$1)-1)*4,1,4))/100</f>
        <v>21204.543479412729</v>
      </c>
      <c r="CO42" s="95">
        <f ca="1">$CK42*SUM(OFFSET($AJ42,0,(COUNTA($CL$1:CO$1)-1)*4,1,4))/100</f>
        <v>13221.656522457348</v>
      </c>
      <c r="CP42" s="95">
        <f ca="1">$CK42*SUM(OFFSET($AJ42,0,(COUNTA($CL$1:CP$1)-1)*4,1,4))/100</f>
        <v>12972.191305052494</v>
      </c>
      <c r="CQ42" s="95">
        <f ca="1">$CK42*SUM(OFFSET($AJ42,0,(COUNTA($CL$1:CQ$1)-1)*4,1,4))/100</f>
        <v>11974.330435433068</v>
      </c>
      <c r="CR42" s="95">
        <f ca="1">$CK42*SUM(OFFSET($AJ42,0,(COUNTA($CL$1:CR$1)-1)*4,1,4))/100</f>
        <v>8232.3521743602359</v>
      </c>
      <c r="CS42" s="95">
        <f ca="1">$CK42*SUM(OFFSET($AJ42,0,(COUNTA($CL$1:CS$1)-1)*4,1,4))/100</f>
        <v>4989.3043480971128</v>
      </c>
      <c r="CT42" s="95">
        <f ca="1">$CK42*SUM(OFFSET($AJ42,0,(COUNTA($CL$1:CT$1)-1)*4,1,4))/100</f>
        <v>2868.85000015584</v>
      </c>
      <c r="CU42" s="96">
        <f t="shared" si="4"/>
        <v>3631.8571428571427</v>
      </c>
      <c r="CV42" s="96">
        <f t="shared" si="5"/>
        <v>34.344029458246261</v>
      </c>
    </row>
    <row r="43" spans="1:100">
      <c r="A43" s="82" t="str">
        <f ca="1">IF(ISERROR(OFFSET(Map!$E$2,MATCH(D43,Map!$B$3:$B$239,0),0)),OFFSET(Map!$E$2,MATCH(D43,Map!$C$3:$C$239,0),0),OFFSET(Map!$E$2,MATCH(D43,Map!$B$3:$B$239,0),0))</f>
        <v>Amathole</v>
      </c>
      <c r="B43" s="82">
        <v>42</v>
      </c>
      <c r="C43" s="82" t="s">
        <v>54</v>
      </c>
      <c r="D43" s="82" t="s">
        <v>288</v>
      </c>
      <c r="E43" s="82" t="s">
        <v>289</v>
      </c>
      <c r="F43" s="82">
        <v>24264</v>
      </c>
      <c r="G43" s="82">
        <v>30</v>
      </c>
      <c r="H43" s="82">
        <v>61.6</v>
      </c>
      <c r="I43" s="82">
        <f t="shared" si="0"/>
        <v>14947</v>
      </c>
      <c r="J43" s="82">
        <v>8.4</v>
      </c>
      <c r="K43" s="82">
        <v>62.4</v>
      </c>
      <c r="L43" s="82">
        <v>92.8</v>
      </c>
      <c r="M43" s="82">
        <v>-0.23</v>
      </c>
      <c r="N43" s="82">
        <v>9</v>
      </c>
      <c r="O43" s="82">
        <v>42</v>
      </c>
      <c r="P43" s="82">
        <f t="shared" si="1"/>
        <v>8669</v>
      </c>
      <c r="Q43" s="82">
        <v>52.5</v>
      </c>
      <c r="R43" s="82">
        <v>6.3</v>
      </c>
      <c r="S43" s="82">
        <v>6.2</v>
      </c>
      <c r="T43" s="82">
        <v>15.1</v>
      </c>
      <c r="U43" s="82">
        <v>6711</v>
      </c>
      <c r="V43" s="82">
        <v>2147</v>
      </c>
      <c r="W43" s="82">
        <v>3.5</v>
      </c>
      <c r="X43" s="82">
        <v>45.3</v>
      </c>
      <c r="Y43" s="82">
        <v>88.7</v>
      </c>
      <c r="Z43" s="82">
        <v>53</v>
      </c>
      <c r="AA43" s="82">
        <v>62.8</v>
      </c>
      <c r="AB43" s="82">
        <v>68.599999999999994</v>
      </c>
      <c r="AC43" s="82">
        <v>43.2</v>
      </c>
      <c r="AD43" s="82">
        <v>92.2</v>
      </c>
      <c r="AE43" s="82">
        <v>73.5</v>
      </c>
      <c r="AF43" s="82">
        <v>20.6</v>
      </c>
      <c r="AG43" s="82">
        <v>0.3</v>
      </c>
      <c r="AH43" s="82">
        <v>4.9000000000000004</v>
      </c>
      <c r="AI43" s="82">
        <v>0.7</v>
      </c>
      <c r="AJ43" s="82">
        <v>5.5</v>
      </c>
      <c r="AK43" s="82">
        <v>5.6</v>
      </c>
      <c r="AL43" s="82">
        <v>5</v>
      </c>
      <c r="AM43" s="82">
        <v>4.9000000000000004</v>
      </c>
      <c r="AN43" s="82">
        <v>4.5999999999999996</v>
      </c>
      <c r="AO43" s="82">
        <v>4.4000000000000004</v>
      </c>
      <c r="AP43" s="82">
        <v>5</v>
      </c>
      <c r="AQ43" s="82">
        <v>4.8</v>
      </c>
      <c r="AR43" s="82">
        <v>3.9</v>
      </c>
      <c r="AS43" s="82">
        <v>3.8</v>
      </c>
      <c r="AT43" s="82">
        <v>3.7</v>
      </c>
      <c r="AU43" s="82">
        <v>3.6</v>
      </c>
      <c r="AV43" s="82">
        <v>3</v>
      </c>
      <c r="AW43" s="82">
        <v>3.1</v>
      </c>
      <c r="AX43" s="82">
        <v>3</v>
      </c>
      <c r="AY43" s="82">
        <v>3</v>
      </c>
      <c r="AZ43" s="82">
        <v>2.6</v>
      </c>
      <c r="BA43" s="82">
        <v>3.1</v>
      </c>
      <c r="BB43" s="82">
        <v>2.6</v>
      </c>
      <c r="BC43" s="82">
        <v>2.6</v>
      </c>
      <c r="BD43" s="82">
        <v>2.2000000000000002</v>
      </c>
      <c r="BE43" s="82">
        <v>2.8</v>
      </c>
      <c r="BF43" s="82">
        <v>2.2000000000000002</v>
      </c>
      <c r="BG43" s="82">
        <v>2.6</v>
      </c>
      <c r="BH43" s="82">
        <v>1.4</v>
      </c>
      <c r="BI43" s="82">
        <v>1.8</v>
      </c>
      <c r="BJ43" s="82">
        <v>1.3</v>
      </c>
      <c r="BK43" s="82">
        <v>1.5</v>
      </c>
      <c r="BL43" s="82">
        <v>1</v>
      </c>
      <c r="BM43" s="82">
        <v>1.6</v>
      </c>
      <c r="BN43" s="82">
        <v>0.5</v>
      </c>
      <c r="BO43" s="82">
        <v>1</v>
      </c>
      <c r="BP43" s="82">
        <v>0.3</v>
      </c>
      <c r="BQ43" s="82">
        <v>0.5</v>
      </c>
      <c r="BR43" s="82">
        <v>0.2</v>
      </c>
      <c r="BS43" s="82">
        <v>0.5</v>
      </c>
      <c r="BT43" s="82">
        <v>4785</v>
      </c>
      <c r="BU43" s="82">
        <v>3471</v>
      </c>
      <c r="BV43" s="82">
        <v>1443</v>
      </c>
      <c r="BW43" s="82">
        <v>5239</v>
      </c>
      <c r="BX43" s="82">
        <v>12.9</v>
      </c>
      <c r="BY43" s="82">
        <v>5.6</v>
      </c>
      <c r="BZ43" s="82">
        <v>8.6999999999999993</v>
      </c>
      <c r="CA43" s="82">
        <v>25.9</v>
      </c>
      <c r="CB43" s="82">
        <v>23.3</v>
      </c>
      <c r="CC43" s="82">
        <v>11.1</v>
      </c>
      <c r="CD43" s="82">
        <v>6</v>
      </c>
      <c r="CE43" s="82">
        <v>3.9</v>
      </c>
      <c r="CF43" s="82">
        <v>1.9</v>
      </c>
      <c r="CG43" s="82">
        <v>0.4</v>
      </c>
      <c r="CH43" s="82">
        <v>0.2</v>
      </c>
      <c r="CI43" s="82">
        <v>0.1</v>
      </c>
      <c r="CJ43" s="82">
        <f t="shared" si="2"/>
        <v>14938</v>
      </c>
      <c r="CK43" s="82">
        <f t="shared" si="3"/>
        <v>23766.331323030925</v>
      </c>
      <c r="CL43" s="95">
        <f ca="1">$CK43*SUM(OFFSET($AJ43,0,(COUNTA($CL$1:CL$1)-1)*4,1,4))/100</f>
        <v>4990.929577836494</v>
      </c>
      <c r="CM43" s="95">
        <f ca="1">$CK43*SUM(OFFSET($AJ43,0,(COUNTA($CL$1:CM$1)-1)*4,1,4))/100</f>
        <v>4468.0702887298139</v>
      </c>
      <c r="CN43" s="95">
        <f ca="1">$CK43*SUM(OFFSET($AJ43,0,(COUNTA($CL$1:CN$1)-1)*4,1,4))/100</f>
        <v>3564.9496984546381</v>
      </c>
      <c r="CO43" s="95">
        <f ca="1">$CK43*SUM(OFFSET($AJ43,0,(COUNTA($CL$1:CO$1)-1)*4,1,4))/100</f>
        <v>2875.7260900867418</v>
      </c>
      <c r="CP43" s="95">
        <f ca="1">$CK43*SUM(OFFSET($AJ43,0,(COUNTA($CL$1:CP$1)-1)*4,1,4))/100</f>
        <v>2590.5301142103708</v>
      </c>
      <c r="CQ43" s="95">
        <f ca="1">$CK43*SUM(OFFSET($AJ43,0,(COUNTA($CL$1:CQ$1)-1)*4,1,4))/100</f>
        <v>2329.1004696570308</v>
      </c>
      <c r="CR43" s="95">
        <f ca="1">$CK43*SUM(OFFSET($AJ43,0,(COUNTA($CL$1:CR$1)-1)*4,1,4))/100</f>
        <v>1425.9798793818554</v>
      </c>
      <c r="CS43" s="95">
        <f ca="1">$CK43*SUM(OFFSET($AJ43,0,(COUNTA($CL$1:CS$1)-1)*4,1,4))/100</f>
        <v>974.41958424426787</v>
      </c>
      <c r="CT43" s="95">
        <f ca="1">$CK43*SUM(OFFSET($AJ43,0,(COUNTA($CL$1:CT$1)-1)*4,1,4))/100</f>
        <v>356.49496984546386</v>
      </c>
      <c r="CU43" s="96">
        <f t="shared" si="4"/>
        <v>2696</v>
      </c>
      <c r="CV43" s="96">
        <f t="shared" si="5"/>
        <v>8.8154047934090976</v>
      </c>
    </row>
    <row r="44" spans="1:100">
      <c r="A44" s="82" t="str">
        <f ca="1">IF(ISERROR(OFFSET(Map!$E$2,MATCH(D44,Map!$B$3:$B$239,0),0)),OFFSET(Map!$E$2,MATCH(D44,Map!$C$3:$C$239,0),0),OFFSET(Map!$E$2,MATCH(D44,Map!$B$3:$B$239,0),0))</f>
        <v>Chris Hani</v>
      </c>
      <c r="B44" s="82">
        <v>43</v>
      </c>
      <c r="C44" s="82" t="s">
        <v>54</v>
      </c>
      <c r="D44" s="82" t="s">
        <v>290</v>
      </c>
      <c r="E44" s="82" t="s">
        <v>291</v>
      </c>
      <c r="F44" s="82">
        <v>65560</v>
      </c>
      <c r="G44" s="82">
        <v>29.1</v>
      </c>
      <c r="H44" s="82">
        <v>64.599999999999994</v>
      </c>
      <c r="I44" s="82">
        <f t="shared" si="0"/>
        <v>42352</v>
      </c>
      <c r="J44" s="82">
        <v>6.2</v>
      </c>
      <c r="K44" s="82">
        <v>54.7</v>
      </c>
      <c r="L44" s="82">
        <v>93.5</v>
      </c>
      <c r="M44" s="82">
        <v>0.83</v>
      </c>
      <c r="N44" s="82">
        <v>6</v>
      </c>
      <c r="O44" s="82">
        <v>25.7</v>
      </c>
      <c r="P44" s="82">
        <f t="shared" si="1"/>
        <v>31467</v>
      </c>
      <c r="Q44" s="82">
        <v>33.200000000000003</v>
      </c>
      <c r="R44" s="82">
        <v>10.7</v>
      </c>
      <c r="S44" s="82">
        <v>8.8000000000000007</v>
      </c>
      <c r="T44" s="82">
        <v>20</v>
      </c>
      <c r="U44" s="82">
        <v>18463</v>
      </c>
      <c r="V44" s="82">
        <v>3342</v>
      </c>
      <c r="W44" s="82">
        <v>3.4</v>
      </c>
      <c r="X44" s="82">
        <v>40.9</v>
      </c>
      <c r="Y44" s="82">
        <v>97</v>
      </c>
      <c r="Z44" s="82">
        <v>46.7</v>
      </c>
      <c r="AA44" s="82">
        <v>87.3</v>
      </c>
      <c r="AB44" s="82">
        <v>83.2</v>
      </c>
      <c r="AC44" s="82">
        <v>68.2</v>
      </c>
      <c r="AD44" s="82">
        <v>95.6</v>
      </c>
      <c r="AE44" s="82">
        <v>56.2</v>
      </c>
      <c r="AF44" s="82">
        <v>32.200000000000003</v>
      </c>
      <c r="AG44" s="82">
        <v>0.3</v>
      </c>
      <c r="AH44" s="82">
        <v>10.5</v>
      </c>
      <c r="AI44" s="82">
        <v>0.8</v>
      </c>
      <c r="AJ44" s="82">
        <v>5.3</v>
      </c>
      <c r="AK44" s="82">
        <v>5.3</v>
      </c>
      <c r="AL44" s="82">
        <v>4.5999999999999996</v>
      </c>
      <c r="AM44" s="82">
        <v>4.9000000000000004</v>
      </c>
      <c r="AN44" s="82">
        <v>4.5</v>
      </c>
      <c r="AO44" s="82">
        <v>4.5</v>
      </c>
      <c r="AP44" s="82">
        <v>4.7</v>
      </c>
      <c r="AQ44" s="82">
        <v>4.4000000000000004</v>
      </c>
      <c r="AR44" s="82">
        <v>4.5</v>
      </c>
      <c r="AS44" s="82">
        <v>4.0999999999999996</v>
      </c>
      <c r="AT44" s="82">
        <v>4.0999999999999996</v>
      </c>
      <c r="AU44" s="82">
        <v>4.2</v>
      </c>
      <c r="AV44" s="82">
        <v>3.2</v>
      </c>
      <c r="AW44" s="82">
        <v>3.4</v>
      </c>
      <c r="AX44" s="82">
        <v>3.3</v>
      </c>
      <c r="AY44" s="82">
        <v>3.4</v>
      </c>
      <c r="AZ44" s="82">
        <v>3</v>
      </c>
      <c r="BA44" s="82">
        <v>3.4</v>
      </c>
      <c r="BB44" s="82">
        <v>2.7</v>
      </c>
      <c r="BC44" s="82">
        <v>2.7</v>
      </c>
      <c r="BD44" s="82">
        <v>2.5</v>
      </c>
      <c r="BE44" s="82">
        <v>2.9</v>
      </c>
      <c r="BF44" s="82">
        <v>2</v>
      </c>
      <c r="BG44" s="82">
        <v>2.4</v>
      </c>
      <c r="BH44" s="82">
        <v>1.5</v>
      </c>
      <c r="BI44" s="82">
        <v>1.9</v>
      </c>
      <c r="BJ44" s="82">
        <v>1</v>
      </c>
      <c r="BK44" s="82">
        <v>1.4</v>
      </c>
      <c r="BL44" s="82">
        <v>0.7</v>
      </c>
      <c r="BM44" s="82">
        <v>1</v>
      </c>
      <c r="BN44" s="82">
        <v>0.4</v>
      </c>
      <c r="BO44" s="82">
        <v>0.6</v>
      </c>
      <c r="BP44" s="82">
        <v>0.2</v>
      </c>
      <c r="BQ44" s="82">
        <v>0.4</v>
      </c>
      <c r="BR44" s="82">
        <v>0.2</v>
      </c>
      <c r="BS44" s="82">
        <v>0.4</v>
      </c>
      <c r="BT44" s="82">
        <v>16835</v>
      </c>
      <c r="BU44" s="82">
        <v>5816</v>
      </c>
      <c r="BV44" s="82">
        <v>2656</v>
      </c>
      <c r="BW44" s="82">
        <v>17064</v>
      </c>
      <c r="BX44" s="82">
        <v>10.8</v>
      </c>
      <c r="BY44" s="82">
        <v>4.0999999999999996</v>
      </c>
      <c r="BZ44" s="82">
        <v>6.5</v>
      </c>
      <c r="CA44" s="82">
        <v>21.7</v>
      </c>
      <c r="CB44" s="82">
        <v>22.4</v>
      </c>
      <c r="CC44" s="82">
        <v>13.5</v>
      </c>
      <c r="CD44" s="82">
        <v>9.6</v>
      </c>
      <c r="CE44" s="82">
        <v>6.8</v>
      </c>
      <c r="CF44" s="82">
        <v>3.1</v>
      </c>
      <c r="CG44" s="82">
        <v>0.8</v>
      </c>
      <c r="CH44" s="82">
        <v>0.3</v>
      </c>
      <c r="CI44" s="82">
        <v>0.3</v>
      </c>
      <c r="CJ44" s="82">
        <f t="shared" si="2"/>
        <v>42371</v>
      </c>
      <c r="CK44" s="82">
        <f t="shared" si="3"/>
        <v>70623.111806704983</v>
      </c>
      <c r="CL44" s="95">
        <f ca="1">$CK44*SUM(OFFSET($AJ44,0,(COUNTA($CL$1:CL$1)-1)*4,1,4))/100</f>
        <v>14195.245473147703</v>
      </c>
      <c r="CM44" s="95">
        <f ca="1">$CK44*SUM(OFFSET($AJ44,0,(COUNTA($CL$1:CM$1)-1)*4,1,4))/100</f>
        <v>12782.783237013602</v>
      </c>
      <c r="CN44" s="95">
        <f ca="1">$CK44*SUM(OFFSET($AJ44,0,(COUNTA($CL$1:CN$1)-1)*4,1,4))/100</f>
        <v>11935.305895333142</v>
      </c>
      <c r="CO44" s="95">
        <f ca="1">$CK44*SUM(OFFSET($AJ44,0,(COUNTA($CL$1:CO$1)-1)*4,1,4))/100</f>
        <v>9392.8738702917617</v>
      </c>
      <c r="CP44" s="95">
        <f ca="1">$CK44*SUM(OFFSET($AJ44,0,(COUNTA($CL$1:CP$1)-1)*4,1,4))/100</f>
        <v>8333.5271931911884</v>
      </c>
      <c r="CQ44" s="95">
        <f ca="1">$CK44*SUM(OFFSET($AJ44,0,(COUNTA($CL$1:CQ$1)-1)*4,1,4))/100</f>
        <v>6921.0649570570886</v>
      </c>
      <c r="CR44" s="95">
        <f ca="1">$CK44*SUM(OFFSET($AJ44,0,(COUNTA($CL$1:CR$1)-1)*4,1,4))/100</f>
        <v>4096.1404847888889</v>
      </c>
      <c r="CS44" s="95">
        <f ca="1">$CK44*SUM(OFFSET($AJ44,0,(COUNTA($CL$1:CS$1)-1)*4,1,4))/100</f>
        <v>1906.8240187810347</v>
      </c>
      <c r="CT44" s="95">
        <f ca="1">$CK44*SUM(OFFSET($AJ44,0,(COUNTA($CL$1:CT$1)-1)*4,1,4))/100</f>
        <v>847.47734168045997</v>
      </c>
      <c r="CU44" s="96">
        <f t="shared" si="4"/>
        <v>10926.666666666666</v>
      </c>
      <c r="CV44" s="96">
        <f t="shared" si="5"/>
        <v>6.4633720384415794</v>
      </c>
    </row>
    <row r="45" spans="1:100">
      <c r="A45" s="82" t="str">
        <f ca="1">IF(ISERROR(OFFSET(Map!$E$2,MATCH(D45,Map!$B$3:$B$239,0),0)),OFFSET(Map!$E$2,MATCH(D45,Map!$C$3:$C$239,0),0),OFFSET(Map!$E$2,MATCH(D45,Map!$B$3:$B$239,0),0))</f>
        <v>Chris Hani</v>
      </c>
      <c r="B45" s="82">
        <v>44</v>
      </c>
      <c r="C45" s="82" t="s">
        <v>54</v>
      </c>
      <c r="D45" s="82" t="s">
        <v>292</v>
      </c>
      <c r="E45" s="82" t="s">
        <v>293</v>
      </c>
      <c r="F45" s="82">
        <v>33281</v>
      </c>
      <c r="G45" s="82">
        <v>33.1</v>
      </c>
      <c r="H45" s="82">
        <v>58.6</v>
      </c>
      <c r="I45" s="82">
        <f t="shared" si="0"/>
        <v>19503</v>
      </c>
      <c r="J45" s="82">
        <v>8.1999999999999993</v>
      </c>
      <c r="K45" s="82">
        <v>70.5</v>
      </c>
      <c r="L45" s="82">
        <v>88.8</v>
      </c>
      <c r="M45" s="82">
        <v>0.23</v>
      </c>
      <c r="N45" s="82">
        <v>5</v>
      </c>
      <c r="O45" s="82">
        <v>38.200000000000003</v>
      </c>
      <c r="P45" s="82">
        <f t="shared" si="1"/>
        <v>12053</v>
      </c>
      <c r="Q45" s="82">
        <v>46.9</v>
      </c>
      <c r="R45" s="82">
        <v>16</v>
      </c>
      <c r="S45" s="82">
        <v>5</v>
      </c>
      <c r="T45" s="82">
        <v>13.9</v>
      </c>
      <c r="U45" s="82">
        <v>9494</v>
      </c>
      <c r="V45" s="82">
        <v>3298</v>
      </c>
      <c r="W45" s="82">
        <v>3.5</v>
      </c>
      <c r="X45" s="82">
        <v>48.7</v>
      </c>
      <c r="Y45" s="82">
        <v>87.7</v>
      </c>
      <c r="Z45" s="82">
        <v>68.5</v>
      </c>
      <c r="AA45" s="82">
        <v>17.7</v>
      </c>
      <c r="AB45" s="82">
        <v>26.6</v>
      </c>
      <c r="AC45" s="82">
        <v>17.100000000000001</v>
      </c>
      <c r="AD45" s="82">
        <v>88</v>
      </c>
      <c r="AE45" s="82">
        <v>91</v>
      </c>
      <c r="AF45" s="82">
        <v>5.8</v>
      </c>
      <c r="AG45" s="82">
        <v>0.1</v>
      </c>
      <c r="AH45" s="82">
        <v>2.8</v>
      </c>
      <c r="AI45" s="82">
        <v>0.3</v>
      </c>
      <c r="AJ45" s="82">
        <v>5.9</v>
      </c>
      <c r="AK45" s="82">
        <v>5.8</v>
      </c>
      <c r="AL45" s="82">
        <v>5.5</v>
      </c>
      <c r="AM45" s="82">
        <v>5.7</v>
      </c>
      <c r="AN45" s="82">
        <v>5.5</v>
      </c>
      <c r="AO45" s="82">
        <v>4.8</v>
      </c>
      <c r="AP45" s="82">
        <v>5.5</v>
      </c>
      <c r="AQ45" s="82">
        <v>5.2</v>
      </c>
      <c r="AR45" s="82">
        <v>4.3</v>
      </c>
      <c r="AS45" s="82">
        <v>4.3</v>
      </c>
      <c r="AT45" s="82">
        <v>3.4</v>
      </c>
      <c r="AU45" s="82">
        <v>3.4</v>
      </c>
      <c r="AV45" s="82">
        <v>2.5</v>
      </c>
      <c r="AW45" s="82">
        <v>2.8</v>
      </c>
      <c r="AX45" s="82">
        <v>2.4</v>
      </c>
      <c r="AY45" s="82">
        <v>2.9</v>
      </c>
      <c r="AZ45" s="82">
        <v>2.1</v>
      </c>
      <c r="BA45" s="82">
        <v>2.8</v>
      </c>
      <c r="BB45" s="82">
        <v>2</v>
      </c>
      <c r="BC45" s="82">
        <v>2</v>
      </c>
      <c r="BD45" s="82">
        <v>1.8</v>
      </c>
      <c r="BE45" s="82">
        <v>2.7</v>
      </c>
      <c r="BF45" s="82">
        <v>1.7</v>
      </c>
      <c r="BG45" s="82">
        <v>2.7</v>
      </c>
      <c r="BH45" s="82">
        <v>1.4</v>
      </c>
      <c r="BI45" s="82">
        <v>2.1</v>
      </c>
      <c r="BJ45" s="82">
        <v>1.1000000000000001</v>
      </c>
      <c r="BK45" s="82">
        <v>1.5</v>
      </c>
      <c r="BL45" s="82">
        <v>1</v>
      </c>
      <c r="BM45" s="82">
        <v>1.5</v>
      </c>
      <c r="BN45" s="82">
        <v>0.5</v>
      </c>
      <c r="BO45" s="82">
        <v>1.1000000000000001</v>
      </c>
      <c r="BP45" s="82">
        <v>0.3</v>
      </c>
      <c r="BQ45" s="82">
        <v>0.6</v>
      </c>
      <c r="BR45" s="82">
        <v>0.3</v>
      </c>
      <c r="BS45" s="82">
        <v>0.5</v>
      </c>
      <c r="BT45" s="82">
        <v>4405</v>
      </c>
      <c r="BU45" s="82">
        <v>2720</v>
      </c>
      <c r="BV45" s="82">
        <v>1811</v>
      </c>
      <c r="BW45" s="82">
        <v>10580</v>
      </c>
      <c r="BX45" s="82">
        <v>15.3</v>
      </c>
      <c r="BY45" s="82">
        <v>6.7</v>
      </c>
      <c r="BZ45" s="82">
        <v>10.4</v>
      </c>
      <c r="CA45" s="82">
        <v>27.9</v>
      </c>
      <c r="CB45" s="82">
        <v>22.9</v>
      </c>
      <c r="CC45" s="82">
        <v>8.5</v>
      </c>
      <c r="CD45" s="82">
        <v>4.4000000000000004</v>
      </c>
      <c r="CE45" s="82">
        <v>2.4</v>
      </c>
      <c r="CF45" s="82">
        <v>1.1000000000000001</v>
      </c>
      <c r="CG45" s="82">
        <v>0.2</v>
      </c>
      <c r="CH45" s="82">
        <v>0.1</v>
      </c>
      <c r="CI45" s="82">
        <v>0.1</v>
      </c>
      <c r="CJ45" s="82">
        <f t="shared" si="2"/>
        <v>19516</v>
      </c>
      <c r="CK45" s="82">
        <f t="shared" si="3"/>
        <v>33976.288865372873</v>
      </c>
      <c r="CL45" s="95">
        <f ca="1">$CK45*SUM(OFFSET($AJ45,0,(COUNTA($CL$1:CL$1)-1)*4,1,4))/100</f>
        <v>7780.5701501703879</v>
      </c>
      <c r="CM45" s="95">
        <f ca="1">$CK45*SUM(OFFSET($AJ45,0,(COUNTA($CL$1:CM$1)-1)*4,1,4))/100</f>
        <v>7135.0206617283029</v>
      </c>
      <c r="CN45" s="95">
        <f ca="1">$CK45*SUM(OFFSET($AJ45,0,(COUNTA($CL$1:CN$1)-1)*4,1,4))/100</f>
        <v>5232.3484852674228</v>
      </c>
      <c r="CO45" s="95">
        <f ca="1">$CK45*SUM(OFFSET($AJ45,0,(COUNTA($CL$1:CO$1)-1)*4,1,4))/100</f>
        <v>3601.4866197295241</v>
      </c>
      <c r="CP45" s="95">
        <f ca="1">$CK45*SUM(OFFSET($AJ45,0,(COUNTA($CL$1:CP$1)-1)*4,1,4))/100</f>
        <v>3023.8897090181858</v>
      </c>
      <c r="CQ45" s="95">
        <f ca="1">$CK45*SUM(OFFSET($AJ45,0,(COUNTA($CL$1:CQ$1)-1)*4,1,4))/100</f>
        <v>3023.8897090181858</v>
      </c>
      <c r="CR45" s="95">
        <f ca="1">$CK45*SUM(OFFSET($AJ45,0,(COUNTA($CL$1:CR$1)-1)*4,1,4))/100</f>
        <v>2072.5536207877453</v>
      </c>
      <c r="CS45" s="95">
        <f ca="1">$CK45*SUM(OFFSET($AJ45,0,(COUNTA($CL$1:CS$1)-1)*4,1,4))/100</f>
        <v>1393.0278434802876</v>
      </c>
      <c r="CT45" s="95">
        <f ca="1">$CK45*SUM(OFFSET($AJ45,0,(COUNTA($CL$1:CT$1)-1)*4,1,4))/100</f>
        <v>577.59691071133886</v>
      </c>
      <c r="CU45" s="96">
        <f t="shared" si="4"/>
        <v>6656.2</v>
      </c>
      <c r="CV45" s="96">
        <f t="shared" si="5"/>
        <v>5.1044573278105938</v>
      </c>
    </row>
    <row r="46" spans="1:100">
      <c r="A46" s="82" t="str">
        <f ca="1">IF(ISERROR(OFFSET(Map!$E$2,MATCH(D46,Map!$B$3:$B$239,0),0)),OFFSET(Map!$E$2,MATCH(D46,Map!$C$3:$C$239,0),0),OFFSET(Map!$E$2,MATCH(D46,Map!$B$3:$B$239,0),0))</f>
        <v>Chris Hani</v>
      </c>
      <c r="B46" s="82">
        <v>45</v>
      </c>
      <c r="C46" s="82" t="s">
        <v>54</v>
      </c>
      <c r="D46" s="82" t="s">
        <v>294</v>
      </c>
      <c r="E46" s="82" t="s">
        <v>295</v>
      </c>
      <c r="F46" s="82">
        <v>21971</v>
      </c>
      <c r="G46" s="82">
        <v>31</v>
      </c>
      <c r="H46" s="82">
        <v>62.6</v>
      </c>
      <c r="I46" s="82">
        <f t="shared" si="0"/>
        <v>13754</v>
      </c>
      <c r="J46" s="82">
        <v>6.5</v>
      </c>
      <c r="K46" s="82">
        <v>59.9</v>
      </c>
      <c r="L46" s="82">
        <v>94.5</v>
      </c>
      <c r="M46" s="82">
        <v>0.82</v>
      </c>
      <c r="N46" s="82">
        <v>6</v>
      </c>
      <c r="O46" s="82">
        <v>39.299999999999997</v>
      </c>
      <c r="P46" s="82">
        <f t="shared" si="1"/>
        <v>8349</v>
      </c>
      <c r="Q46" s="82">
        <v>47.6</v>
      </c>
      <c r="R46" s="82">
        <v>13.4</v>
      </c>
      <c r="S46" s="82">
        <v>7.2</v>
      </c>
      <c r="T46" s="82">
        <v>15.2</v>
      </c>
      <c r="U46" s="82">
        <v>6228</v>
      </c>
      <c r="V46" s="82">
        <v>1899</v>
      </c>
      <c r="W46" s="82">
        <v>3.4</v>
      </c>
      <c r="X46" s="82">
        <v>44.6</v>
      </c>
      <c r="Y46" s="82">
        <v>97.3</v>
      </c>
      <c r="Z46" s="82">
        <v>45.8</v>
      </c>
      <c r="AA46" s="82">
        <v>86.1</v>
      </c>
      <c r="AB46" s="82">
        <v>83.2</v>
      </c>
      <c r="AC46" s="82">
        <v>29.7</v>
      </c>
      <c r="AD46" s="82">
        <v>91.7</v>
      </c>
      <c r="AE46" s="82">
        <v>89.1</v>
      </c>
      <c r="AF46" s="82">
        <v>4.0999999999999996</v>
      </c>
      <c r="AG46" s="82">
        <v>0.2</v>
      </c>
      <c r="AH46" s="82">
        <v>6.2</v>
      </c>
      <c r="AI46" s="82">
        <v>0.5</v>
      </c>
      <c r="AJ46" s="82">
        <v>5.9</v>
      </c>
      <c r="AK46" s="82">
        <v>5.9</v>
      </c>
      <c r="AL46" s="82">
        <v>5.3</v>
      </c>
      <c r="AM46" s="82">
        <v>4.7</v>
      </c>
      <c r="AN46" s="82">
        <v>4.7</v>
      </c>
      <c r="AO46" s="82">
        <v>4.4000000000000004</v>
      </c>
      <c r="AP46" s="82">
        <v>4.8</v>
      </c>
      <c r="AQ46" s="82">
        <v>4.7</v>
      </c>
      <c r="AR46" s="82">
        <v>4.9000000000000004</v>
      </c>
      <c r="AS46" s="82">
        <v>4.8</v>
      </c>
      <c r="AT46" s="82">
        <v>4</v>
      </c>
      <c r="AU46" s="82">
        <v>4.0999999999999996</v>
      </c>
      <c r="AV46" s="82">
        <v>3.4</v>
      </c>
      <c r="AW46" s="82">
        <v>3.1</v>
      </c>
      <c r="AX46" s="82">
        <v>2.8</v>
      </c>
      <c r="AY46" s="82">
        <v>3.1</v>
      </c>
      <c r="AZ46" s="82">
        <v>2.4</v>
      </c>
      <c r="BA46" s="82">
        <v>2.8</v>
      </c>
      <c r="BB46" s="82">
        <v>2.2000000000000002</v>
      </c>
      <c r="BC46" s="82">
        <v>2.2000000000000002</v>
      </c>
      <c r="BD46" s="82">
        <v>2</v>
      </c>
      <c r="BE46" s="82">
        <v>2.7</v>
      </c>
      <c r="BF46" s="82">
        <v>1.9</v>
      </c>
      <c r="BG46" s="82">
        <v>2.4</v>
      </c>
      <c r="BH46" s="82">
        <v>1.6</v>
      </c>
      <c r="BI46" s="82">
        <v>1.8</v>
      </c>
      <c r="BJ46" s="82">
        <v>0.9</v>
      </c>
      <c r="BK46" s="82">
        <v>1</v>
      </c>
      <c r="BL46" s="82">
        <v>0.7</v>
      </c>
      <c r="BM46" s="82">
        <v>1.4</v>
      </c>
      <c r="BN46" s="82">
        <v>0.4</v>
      </c>
      <c r="BO46" s="82">
        <v>0.6</v>
      </c>
      <c r="BP46" s="82">
        <v>0.2</v>
      </c>
      <c r="BQ46" s="82">
        <v>0.5</v>
      </c>
      <c r="BR46" s="82">
        <v>0.2</v>
      </c>
      <c r="BS46" s="82">
        <v>0.5</v>
      </c>
      <c r="BT46" s="82">
        <v>4073</v>
      </c>
      <c r="BU46" s="82">
        <v>2639</v>
      </c>
      <c r="BV46" s="82">
        <v>1154</v>
      </c>
      <c r="BW46" s="82">
        <v>5877</v>
      </c>
      <c r="BX46" s="82">
        <v>12</v>
      </c>
      <c r="BY46" s="82">
        <v>4.4000000000000004</v>
      </c>
      <c r="BZ46" s="82">
        <v>7.7</v>
      </c>
      <c r="CA46" s="82">
        <v>30</v>
      </c>
      <c r="CB46" s="82">
        <v>24.3</v>
      </c>
      <c r="CC46" s="82">
        <v>10.3</v>
      </c>
      <c r="CD46" s="82">
        <v>5.6</v>
      </c>
      <c r="CE46" s="82">
        <v>3.1</v>
      </c>
      <c r="CF46" s="82">
        <v>1.8</v>
      </c>
      <c r="CG46" s="82">
        <v>0.4</v>
      </c>
      <c r="CH46" s="82">
        <v>0.3</v>
      </c>
      <c r="CI46" s="82">
        <v>0.1</v>
      </c>
      <c r="CJ46" s="82">
        <f t="shared" si="2"/>
        <v>13743</v>
      </c>
      <c r="CK46" s="82">
        <f t="shared" si="3"/>
        <v>23646.67388586286</v>
      </c>
      <c r="CL46" s="95">
        <f ca="1">$CK46*SUM(OFFSET($AJ46,0,(COUNTA($CL$1:CL$1)-1)*4,1,4))/100</f>
        <v>5154.9749071181031</v>
      </c>
      <c r="CM46" s="95">
        <f ca="1">$CK46*SUM(OFFSET($AJ46,0,(COUNTA($CL$1:CM$1)-1)*4,1,4))/100</f>
        <v>4398.2813427704923</v>
      </c>
      <c r="CN46" s="95">
        <f ca="1">$CK46*SUM(OFFSET($AJ46,0,(COUNTA($CL$1:CN$1)-1)*4,1,4))/100</f>
        <v>4209.107951683588</v>
      </c>
      <c r="CO46" s="95">
        <f ca="1">$CK46*SUM(OFFSET($AJ46,0,(COUNTA($CL$1:CO$1)-1)*4,1,4))/100</f>
        <v>2932.1875618469949</v>
      </c>
      <c r="CP46" s="95">
        <f ca="1">$CK46*SUM(OFFSET($AJ46,0,(COUNTA($CL$1:CP$1)-1)*4,1,4))/100</f>
        <v>2270.0806930428344</v>
      </c>
      <c r="CQ46" s="95">
        <f ca="1">$CK46*SUM(OFFSET($AJ46,0,(COUNTA($CL$1:CQ$1)-1)*4,1,4))/100</f>
        <v>2128.2006497276575</v>
      </c>
      <c r="CR46" s="95">
        <f ca="1">$CK46*SUM(OFFSET($AJ46,0,(COUNTA($CL$1:CR$1)-1)*4,1,4))/100</f>
        <v>1253.2737159507317</v>
      </c>
      <c r="CS46" s="95">
        <f ca="1">$CK46*SUM(OFFSET($AJ46,0,(COUNTA($CL$1:CS$1)-1)*4,1,4))/100</f>
        <v>733.0468904617486</v>
      </c>
      <c r="CT46" s="95">
        <f ca="1">$CK46*SUM(OFFSET($AJ46,0,(COUNTA($CL$1:CT$1)-1)*4,1,4))/100</f>
        <v>331.05343440208003</v>
      </c>
      <c r="CU46" s="96">
        <f t="shared" si="4"/>
        <v>3661.8333333333335</v>
      </c>
      <c r="CV46" s="96">
        <f t="shared" si="5"/>
        <v>6.4576051756941943</v>
      </c>
    </row>
    <row r="47" spans="1:100">
      <c r="A47" s="82" t="str">
        <f ca="1">IF(ISERROR(OFFSET(Map!$E$2,MATCH(D47,Map!$B$3:$B$239,0),0)),OFFSET(Map!$E$2,MATCH(D47,Map!$C$3:$C$239,0),0),OFFSET(Map!$E$2,MATCH(D47,Map!$B$3:$B$239,0),0))</f>
        <v>Chris Hani</v>
      </c>
      <c r="B47" s="82">
        <v>46</v>
      </c>
      <c r="C47" s="82" t="s">
        <v>54</v>
      </c>
      <c r="D47" s="82" t="s">
        <v>296</v>
      </c>
      <c r="E47" s="82" t="s">
        <v>297</v>
      </c>
      <c r="F47" s="82">
        <v>190723</v>
      </c>
      <c r="G47" s="82">
        <v>30.5</v>
      </c>
      <c r="H47" s="82">
        <v>62.6</v>
      </c>
      <c r="I47" s="82">
        <f t="shared" si="0"/>
        <v>119393</v>
      </c>
      <c r="J47" s="82">
        <v>6.9</v>
      </c>
      <c r="K47" s="82">
        <v>59.8</v>
      </c>
      <c r="L47" s="82">
        <v>90.5</v>
      </c>
      <c r="M47" s="82">
        <v>0.48</v>
      </c>
      <c r="N47" s="82">
        <v>50</v>
      </c>
      <c r="O47" s="82">
        <v>36.799999999999997</v>
      </c>
      <c r="P47" s="82">
        <f t="shared" si="1"/>
        <v>75456</v>
      </c>
      <c r="Q47" s="82">
        <v>47.3</v>
      </c>
      <c r="R47" s="82">
        <v>7.8</v>
      </c>
      <c r="S47" s="82">
        <v>11.4</v>
      </c>
      <c r="T47" s="82">
        <v>22.1</v>
      </c>
      <c r="U47" s="82">
        <v>51173</v>
      </c>
      <c r="V47" s="82">
        <v>15132</v>
      </c>
      <c r="W47" s="82">
        <v>3.5</v>
      </c>
      <c r="X47" s="82">
        <v>48.6</v>
      </c>
      <c r="Y47" s="82">
        <v>88.4</v>
      </c>
      <c r="Z47" s="82">
        <v>59.8</v>
      </c>
      <c r="AA47" s="82">
        <v>64.900000000000006</v>
      </c>
      <c r="AB47" s="82">
        <v>57.6</v>
      </c>
      <c r="AC47" s="82">
        <v>49.9</v>
      </c>
      <c r="AD47" s="82">
        <v>90.9</v>
      </c>
      <c r="AE47" s="82">
        <v>92.6</v>
      </c>
      <c r="AF47" s="82">
        <v>3.8</v>
      </c>
      <c r="AG47" s="82">
        <v>0.5</v>
      </c>
      <c r="AH47" s="82">
        <v>2.7</v>
      </c>
      <c r="AI47" s="82">
        <v>0.4</v>
      </c>
      <c r="AJ47" s="82">
        <v>5.4</v>
      </c>
      <c r="AK47" s="82">
        <v>5.4</v>
      </c>
      <c r="AL47" s="82">
        <v>5.3</v>
      </c>
      <c r="AM47" s="82">
        <v>5.2</v>
      </c>
      <c r="AN47" s="82">
        <v>4.8</v>
      </c>
      <c r="AO47" s="82">
        <v>4.4000000000000004</v>
      </c>
      <c r="AP47" s="82">
        <v>5.3</v>
      </c>
      <c r="AQ47" s="82">
        <v>5.0999999999999996</v>
      </c>
      <c r="AR47" s="82">
        <v>4.8</v>
      </c>
      <c r="AS47" s="82">
        <v>4.7</v>
      </c>
      <c r="AT47" s="82">
        <v>4</v>
      </c>
      <c r="AU47" s="82">
        <v>4</v>
      </c>
      <c r="AV47" s="82">
        <v>3</v>
      </c>
      <c r="AW47" s="82">
        <v>3.2</v>
      </c>
      <c r="AX47" s="82">
        <v>2.7</v>
      </c>
      <c r="AY47" s="82">
        <v>3.1</v>
      </c>
      <c r="AZ47" s="82">
        <v>2.4</v>
      </c>
      <c r="BA47" s="82">
        <v>3</v>
      </c>
      <c r="BB47" s="82">
        <v>2.2000000000000002</v>
      </c>
      <c r="BC47" s="82">
        <v>2.2000000000000002</v>
      </c>
      <c r="BD47" s="82">
        <v>2.1</v>
      </c>
      <c r="BE47" s="82">
        <v>2.8</v>
      </c>
      <c r="BF47" s="82">
        <v>1.7</v>
      </c>
      <c r="BG47" s="82">
        <v>2.2999999999999998</v>
      </c>
      <c r="BH47" s="82">
        <v>1.4</v>
      </c>
      <c r="BI47" s="82">
        <v>1.8</v>
      </c>
      <c r="BJ47" s="82">
        <v>0.9</v>
      </c>
      <c r="BK47" s="82">
        <v>1.2</v>
      </c>
      <c r="BL47" s="82">
        <v>0.8</v>
      </c>
      <c r="BM47" s="82">
        <v>1.3</v>
      </c>
      <c r="BN47" s="82">
        <v>0.4</v>
      </c>
      <c r="BO47" s="82">
        <v>0.8</v>
      </c>
      <c r="BP47" s="82">
        <v>0.3</v>
      </c>
      <c r="BQ47" s="82">
        <v>0.5</v>
      </c>
      <c r="BR47" s="82">
        <v>0.2</v>
      </c>
      <c r="BS47" s="82">
        <v>0.5</v>
      </c>
      <c r="BT47" s="82">
        <v>33651</v>
      </c>
      <c r="BU47" s="82">
        <v>19612</v>
      </c>
      <c r="BV47" s="82">
        <v>10066</v>
      </c>
      <c r="BW47" s="82">
        <v>55991</v>
      </c>
      <c r="BX47" s="82">
        <v>14.3</v>
      </c>
      <c r="BY47" s="82">
        <v>5.4</v>
      </c>
      <c r="BZ47" s="82">
        <v>8.4</v>
      </c>
      <c r="CA47" s="82">
        <v>21.9</v>
      </c>
      <c r="CB47" s="82">
        <v>21.3</v>
      </c>
      <c r="CC47" s="82">
        <v>10.8</v>
      </c>
      <c r="CD47" s="82">
        <v>7.8</v>
      </c>
      <c r="CE47" s="82">
        <v>6</v>
      </c>
      <c r="CF47" s="82">
        <v>3.1</v>
      </c>
      <c r="CG47" s="82">
        <v>0.7</v>
      </c>
      <c r="CH47" s="82">
        <v>0.2</v>
      </c>
      <c r="CI47" s="82">
        <v>0.2</v>
      </c>
      <c r="CJ47" s="82">
        <f t="shared" si="2"/>
        <v>119320</v>
      </c>
      <c r="CK47" s="82">
        <f t="shared" si="3"/>
        <v>199122.21146804831</v>
      </c>
      <c r="CL47" s="95">
        <f ca="1">$CK47*SUM(OFFSET($AJ47,0,(COUNTA($CL$1:CL$1)-1)*4,1,4))/100</f>
        <v>42413.031042694289</v>
      </c>
      <c r="CM47" s="95">
        <f ca="1">$CK47*SUM(OFFSET($AJ47,0,(COUNTA($CL$1:CM$1)-1)*4,1,4))/100</f>
        <v>39027.953447737469</v>
      </c>
      <c r="CN47" s="95">
        <f ca="1">$CK47*SUM(OFFSET($AJ47,0,(COUNTA($CL$1:CN$1)-1)*4,1,4))/100</f>
        <v>34846.387006908451</v>
      </c>
      <c r="CO47" s="95">
        <f ca="1">$CK47*SUM(OFFSET($AJ47,0,(COUNTA($CL$1:CO$1)-1)*4,1,4))/100</f>
        <v>23894.665376165798</v>
      </c>
      <c r="CP47" s="95">
        <f ca="1">$CK47*SUM(OFFSET($AJ47,0,(COUNTA($CL$1:CP$1)-1)*4,1,4))/100</f>
        <v>19513.976723868735</v>
      </c>
      <c r="CQ47" s="95">
        <f ca="1">$CK47*SUM(OFFSET($AJ47,0,(COUNTA($CL$1:CQ$1)-1)*4,1,4))/100</f>
        <v>17721.8768206563</v>
      </c>
      <c r="CR47" s="95">
        <f ca="1">$CK47*SUM(OFFSET($AJ47,0,(COUNTA($CL$1:CR$1)-1)*4,1,4))/100</f>
        <v>10553.477207806562</v>
      </c>
      <c r="CS47" s="95">
        <f ca="1">$CK47*SUM(OFFSET($AJ47,0,(COUNTA($CL$1:CS$1)-1)*4,1,4))/100</f>
        <v>6571.0329784455944</v>
      </c>
      <c r="CT47" s="95">
        <f ca="1">$CK47*SUM(OFFSET($AJ47,0,(COUNTA($CL$1:CT$1)-1)*4,1,4))/100</f>
        <v>2986.8331720207248</v>
      </c>
      <c r="CU47" s="96">
        <f t="shared" si="4"/>
        <v>3814.46</v>
      </c>
      <c r="CV47" s="96">
        <f t="shared" si="5"/>
        <v>52.201939846806184</v>
      </c>
    </row>
    <row r="48" spans="1:100">
      <c r="A48" s="82" t="str">
        <f ca="1">IF(ISERROR(OFFSET(Map!$E$2,MATCH(D48,Map!$B$3:$B$239,0),0)),OFFSET(Map!$E$2,MATCH(D48,Map!$C$3:$C$239,0),0),OFFSET(Map!$E$2,MATCH(D48,Map!$B$3:$B$239,0),0))</f>
        <v>Chris Hani</v>
      </c>
      <c r="B48" s="82">
        <v>47</v>
      </c>
      <c r="C48" s="82" t="s">
        <v>54</v>
      </c>
      <c r="D48" s="82" t="s">
        <v>298</v>
      </c>
      <c r="E48" s="82" t="s">
        <v>299</v>
      </c>
      <c r="F48" s="82">
        <v>145372</v>
      </c>
      <c r="G48" s="82">
        <v>36.1</v>
      </c>
      <c r="H48" s="82">
        <v>53.9</v>
      </c>
      <c r="I48" s="82">
        <f t="shared" si="0"/>
        <v>78356</v>
      </c>
      <c r="J48" s="82">
        <v>10</v>
      </c>
      <c r="K48" s="82">
        <v>85.6</v>
      </c>
      <c r="L48" s="82">
        <v>89.8</v>
      </c>
      <c r="M48" s="82">
        <v>-0.63</v>
      </c>
      <c r="N48" s="82">
        <v>54</v>
      </c>
      <c r="O48" s="82">
        <v>46.6</v>
      </c>
      <c r="P48" s="82">
        <f t="shared" si="1"/>
        <v>41842</v>
      </c>
      <c r="Q48" s="82">
        <v>56.4</v>
      </c>
      <c r="R48" s="82">
        <v>14.6</v>
      </c>
      <c r="S48" s="82">
        <v>5.0999999999999996</v>
      </c>
      <c r="T48" s="82">
        <v>10.1</v>
      </c>
      <c r="U48" s="82">
        <v>40448</v>
      </c>
      <c r="V48" s="82">
        <v>23639</v>
      </c>
      <c r="W48" s="82">
        <v>3.5</v>
      </c>
      <c r="X48" s="82">
        <v>54.6</v>
      </c>
      <c r="Y48" s="82">
        <v>32.9</v>
      </c>
      <c r="Z48" s="82">
        <v>71</v>
      </c>
      <c r="AA48" s="82">
        <v>2.2999999999999998</v>
      </c>
      <c r="AB48" s="82">
        <v>2.8</v>
      </c>
      <c r="AC48" s="82">
        <v>2.5</v>
      </c>
      <c r="AD48" s="82">
        <v>64.3</v>
      </c>
      <c r="AE48" s="82">
        <v>99.4</v>
      </c>
      <c r="AF48" s="82">
        <v>0.2</v>
      </c>
      <c r="AG48" s="82">
        <v>0.1</v>
      </c>
      <c r="AH48" s="82">
        <v>0.1</v>
      </c>
      <c r="AI48" s="82">
        <v>0.1</v>
      </c>
      <c r="AJ48" s="82">
        <v>6.2</v>
      </c>
      <c r="AK48" s="82">
        <v>5.9</v>
      </c>
      <c r="AL48" s="82">
        <v>6.3</v>
      </c>
      <c r="AM48" s="82">
        <v>6.1</v>
      </c>
      <c r="AN48" s="82">
        <v>6.2</v>
      </c>
      <c r="AO48" s="82">
        <v>5.5</v>
      </c>
      <c r="AP48" s="82">
        <v>6.5</v>
      </c>
      <c r="AQ48" s="82">
        <v>5.6</v>
      </c>
      <c r="AR48" s="82">
        <v>3.8</v>
      </c>
      <c r="AS48" s="82">
        <v>3.4</v>
      </c>
      <c r="AT48" s="82">
        <v>2.8</v>
      </c>
      <c r="AU48" s="82">
        <v>2.5</v>
      </c>
      <c r="AV48" s="82">
        <v>1.9</v>
      </c>
      <c r="AW48" s="82">
        <v>2.1</v>
      </c>
      <c r="AX48" s="82">
        <v>1.8</v>
      </c>
      <c r="AY48" s="82">
        <v>2.2000000000000002</v>
      </c>
      <c r="AZ48" s="82">
        <v>1.5</v>
      </c>
      <c r="BA48" s="82">
        <v>2.5</v>
      </c>
      <c r="BB48" s="82">
        <v>1.6</v>
      </c>
      <c r="BC48" s="82">
        <v>1.6</v>
      </c>
      <c r="BD48" s="82">
        <v>1.8</v>
      </c>
      <c r="BE48" s="82">
        <v>2.9</v>
      </c>
      <c r="BF48" s="82">
        <v>1.7</v>
      </c>
      <c r="BG48" s="82">
        <v>2.7</v>
      </c>
      <c r="BH48" s="82">
        <v>1.6</v>
      </c>
      <c r="BI48" s="82">
        <v>2.4</v>
      </c>
      <c r="BJ48" s="82">
        <v>1.3</v>
      </c>
      <c r="BK48" s="82">
        <v>1.7</v>
      </c>
      <c r="BL48" s="82">
        <v>1.1000000000000001</v>
      </c>
      <c r="BM48" s="82">
        <v>1.8</v>
      </c>
      <c r="BN48" s="82">
        <v>0.6</v>
      </c>
      <c r="BO48" s="82">
        <v>1.2</v>
      </c>
      <c r="BP48" s="82">
        <v>0.4</v>
      </c>
      <c r="BQ48" s="82">
        <v>1</v>
      </c>
      <c r="BR48" s="82">
        <v>0.3</v>
      </c>
      <c r="BS48" s="82">
        <v>0.7</v>
      </c>
      <c r="BT48" s="82">
        <v>10740</v>
      </c>
      <c r="BU48" s="82">
        <v>9363</v>
      </c>
      <c r="BV48" s="82">
        <v>8159</v>
      </c>
      <c r="BW48" s="82">
        <v>50079</v>
      </c>
      <c r="BX48" s="82">
        <v>15.2</v>
      </c>
      <c r="BY48" s="82">
        <v>6.6</v>
      </c>
      <c r="BZ48" s="82">
        <v>11.5</v>
      </c>
      <c r="CA48" s="82">
        <v>30.2</v>
      </c>
      <c r="CB48" s="82">
        <v>23.4</v>
      </c>
      <c r="CC48" s="82">
        <v>6.6</v>
      </c>
      <c r="CD48" s="82">
        <v>3.4</v>
      </c>
      <c r="CE48" s="82">
        <v>2.1</v>
      </c>
      <c r="CF48" s="82">
        <v>0.7</v>
      </c>
      <c r="CG48" s="82">
        <v>0.1</v>
      </c>
      <c r="CH48" s="82">
        <v>0.1</v>
      </c>
      <c r="CI48" s="82">
        <v>0.1</v>
      </c>
      <c r="CJ48" s="82">
        <f t="shared" si="2"/>
        <v>78341</v>
      </c>
      <c r="CK48" s="82">
        <f t="shared" si="3"/>
        <v>137334.09621602649</v>
      </c>
      <c r="CL48" s="95">
        <f ca="1">$CK48*SUM(OFFSET($AJ48,0,(COUNTA($CL$1:CL$1)-1)*4,1,4))/100</f>
        <v>33646.853572926491</v>
      </c>
      <c r="CM48" s="95">
        <f ca="1">$CK48*SUM(OFFSET($AJ48,0,(COUNTA($CL$1:CM$1)-1)*4,1,4))/100</f>
        <v>32685.514899414302</v>
      </c>
      <c r="CN48" s="95">
        <f ca="1">$CK48*SUM(OFFSET($AJ48,0,(COUNTA($CL$1:CN$1)-1)*4,1,4))/100</f>
        <v>17166.762027003311</v>
      </c>
      <c r="CO48" s="95">
        <f ca="1">$CK48*SUM(OFFSET($AJ48,0,(COUNTA($CL$1:CO$1)-1)*4,1,4))/100</f>
        <v>10986.72769728212</v>
      </c>
      <c r="CP48" s="95">
        <f ca="1">$CK48*SUM(OFFSET($AJ48,0,(COUNTA($CL$1:CP$1)-1)*4,1,4))/100</f>
        <v>9888.0549275539051</v>
      </c>
      <c r="CQ48" s="95">
        <f ca="1">$CK48*SUM(OFFSET($AJ48,0,(COUNTA($CL$1:CQ$1)-1)*4,1,4))/100</f>
        <v>12497.402755658411</v>
      </c>
      <c r="CR48" s="95">
        <f ca="1">$CK48*SUM(OFFSET($AJ48,0,(COUNTA($CL$1:CR$1)-1)*4,1,4))/100</f>
        <v>9613.3867351218541</v>
      </c>
      <c r="CS48" s="95">
        <f ca="1">$CK48*SUM(OFFSET($AJ48,0,(COUNTA($CL$1:CS$1)-1)*4,1,4))/100</f>
        <v>6454.7025221532458</v>
      </c>
      <c r="CT48" s="95">
        <f ca="1">$CK48*SUM(OFFSET($AJ48,0,(COUNTA($CL$1:CT$1)-1)*4,1,4))/100</f>
        <v>3296.0183091846357</v>
      </c>
      <c r="CU48" s="96">
        <f t="shared" si="4"/>
        <v>2692.0740740740739</v>
      </c>
      <c r="CV48" s="96">
        <f t="shared" si="5"/>
        <v>51.014233797880138</v>
      </c>
    </row>
    <row r="49" spans="1:100">
      <c r="A49" s="82" t="str">
        <f ca="1">IF(ISERROR(OFFSET(Map!$E$2,MATCH(D49,Map!$B$3:$B$239,0),0)),OFFSET(Map!$E$2,MATCH(D49,Map!$C$3:$C$239,0),0),OFFSET(Map!$E$2,MATCH(D49,Map!$B$3:$B$239,0),0))</f>
        <v>Chris Hani</v>
      </c>
      <c r="B49" s="82">
        <v>48</v>
      </c>
      <c r="C49" s="82" t="s">
        <v>54</v>
      </c>
      <c r="D49" s="82" t="s">
        <v>300</v>
      </c>
      <c r="E49" s="82" t="s">
        <v>301</v>
      </c>
      <c r="F49" s="82">
        <v>119460</v>
      </c>
      <c r="G49" s="82">
        <v>35.1</v>
      </c>
      <c r="H49" s="82">
        <v>55</v>
      </c>
      <c r="I49" s="82">
        <f t="shared" si="0"/>
        <v>65703</v>
      </c>
      <c r="J49" s="82">
        <v>9.9</v>
      </c>
      <c r="K49" s="82">
        <v>81.8</v>
      </c>
      <c r="L49" s="82">
        <v>90.1</v>
      </c>
      <c r="M49" s="82">
        <v>-0.2</v>
      </c>
      <c r="N49" s="82">
        <v>35</v>
      </c>
      <c r="O49" s="82">
        <v>46.3</v>
      </c>
      <c r="P49" s="82">
        <f t="shared" si="1"/>
        <v>35283</v>
      </c>
      <c r="Q49" s="82">
        <v>55.3</v>
      </c>
      <c r="R49" s="82">
        <v>18.8</v>
      </c>
      <c r="S49" s="82">
        <v>3.8</v>
      </c>
      <c r="T49" s="82">
        <v>11</v>
      </c>
      <c r="U49" s="82">
        <v>31681</v>
      </c>
      <c r="V49" s="82">
        <v>16335</v>
      </c>
      <c r="W49" s="82">
        <v>3.7</v>
      </c>
      <c r="X49" s="82">
        <v>53.8</v>
      </c>
      <c r="Y49" s="82">
        <v>56.1</v>
      </c>
      <c r="Z49" s="82">
        <v>61.3</v>
      </c>
      <c r="AA49" s="82">
        <v>11.8</v>
      </c>
      <c r="AB49" s="82">
        <v>8.3000000000000007</v>
      </c>
      <c r="AC49" s="82">
        <v>8.6999999999999993</v>
      </c>
      <c r="AD49" s="82">
        <v>78.5</v>
      </c>
      <c r="AE49" s="82">
        <v>98.5</v>
      </c>
      <c r="AF49" s="82">
        <v>0.6</v>
      </c>
      <c r="AG49" s="82">
        <v>0.1</v>
      </c>
      <c r="AH49" s="82">
        <v>0.6</v>
      </c>
      <c r="AI49" s="82">
        <v>0.2</v>
      </c>
      <c r="AJ49" s="82">
        <v>6.1</v>
      </c>
      <c r="AK49" s="82">
        <v>5.9</v>
      </c>
      <c r="AL49" s="82">
        <v>6.3</v>
      </c>
      <c r="AM49" s="82">
        <v>5.9</v>
      </c>
      <c r="AN49" s="82">
        <v>5.7</v>
      </c>
      <c r="AO49" s="82">
        <v>5.0999999999999996</v>
      </c>
      <c r="AP49" s="82">
        <v>6.5</v>
      </c>
      <c r="AQ49" s="82">
        <v>5.8</v>
      </c>
      <c r="AR49" s="82">
        <v>4.0999999999999996</v>
      </c>
      <c r="AS49" s="82">
        <v>3.8</v>
      </c>
      <c r="AT49" s="82">
        <v>2.8</v>
      </c>
      <c r="AU49" s="82">
        <v>2.6</v>
      </c>
      <c r="AV49" s="82">
        <v>2.1</v>
      </c>
      <c r="AW49" s="82">
        <v>2.1</v>
      </c>
      <c r="AX49" s="82">
        <v>2</v>
      </c>
      <c r="AY49" s="82">
        <v>2.2000000000000002</v>
      </c>
      <c r="AZ49" s="82">
        <v>1.6</v>
      </c>
      <c r="BA49" s="82">
        <v>2.4</v>
      </c>
      <c r="BB49" s="82">
        <v>1.6</v>
      </c>
      <c r="BC49" s="82">
        <v>1.6</v>
      </c>
      <c r="BD49" s="82">
        <v>1.9</v>
      </c>
      <c r="BE49" s="82">
        <v>2.9</v>
      </c>
      <c r="BF49" s="82">
        <v>1.7</v>
      </c>
      <c r="BG49" s="82">
        <v>2.5</v>
      </c>
      <c r="BH49" s="82">
        <v>1.6</v>
      </c>
      <c r="BI49" s="82">
        <v>2.2000000000000002</v>
      </c>
      <c r="BJ49" s="82">
        <v>1.1000000000000001</v>
      </c>
      <c r="BK49" s="82">
        <v>1.6</v>
      </c>
      <c r="BL49" s="82">
        <v>1.2</v>
      </c>
      <c r="BM49" s="82">
        <v>2</v>
      </c>
      <c r="BN49" s="82">
        <v>0.6</v>
      </c>
      <c r="BO49" s="82">
        <v>1.2</v>
      </c>
      <c r="BP49" s="82">
        <v>0.4</v>
      </c>
      <c r="BQ49" s="82">
        <v>0.8</v>
      </c>
      <c r="BR49" s="82">
        <v>0.3</v>
      </c>
      <c r="BS49" s="82">
        <v>0.7</v>
      </c>
      <c r="BT49" s="82">
        <v>9344</v>
      </c>
      <c r="BU49" s="82">
        <v>8070</v>
      </c>
      <c r="BV49" s="82">
        <v>6861</v>
      </c>
      <c r="BW49" s="82">
        <v>41449</v>
      </c>
      <c r="BX49" s="82">
        <v>15.2</v>
      </c>
      <c r="BY49" s="82">
        <v>6.4</v>
      </c>
      <c r="BZ49" s="82">
        <v>10.9</v>
      </c>
      <c r="CA49" s="82">
        <v>29.7</v>
      </c>
      <c r="CB49" s="82">
        <v>24.7</v>
      </c>
      <c r="CC49" s="82">
        <v>7.2</v>
      </c>
      <c r="CD49" s="82">
        <v>3.1</v>
      </c>
      <c r="CE49" s="82">
        <v>1.7</v>
      </c>
      <c r="CF49" s="82">
        <v>0.7</v>
      </c>
      <c r="CG49" s="82">
        <v>0.1</v>
      </c>
      <c r="CH49" s="82">
        <v>0.1</v>
      </c>
      <c r="CI49" s="82">
        <v>0.1</v>
      </c>
      <c r="CJ49" s="82">
        <f t="shared" si="2"/>
        <v>65724</v>
      </c>
      <c r="CK49" s="82">
        <f t="shared" si="3"/>
        <v>117326.84220323035</v>
      </c>
      <c r="CL49" s="95">
        <f ca="1">$CK49*SUM(OFFSET($AJ49,0,(COUNTA($CL$1:CL$1)-1)*4,1,4))/100</f>
        <v>28393.09581318175</v>
      </c>
      <c r="CM49" s="95">
        <f ca="1">$CK49*SUM(OFFSET($AJ49,0,(COUNTA($CL$1:CM$1)-1)*4,1,4))/100</f>
        <v>27102.500548946209</v>
      </c>
      <c r="CN49" s="95">
        <f ca="1">$CK49*SUM(OFFSET($AJ49,0,(COUNTA($CL$1:CN$1)-1)*4,1,4))/100</f>
        <v>15604.470013029635</v>
      </c>
      <c r="CO49" s="95">
        <f ca="1">$CK49*SUM(OFFSET($AJ49,0,(COUNTA($CL$1:CO$1)-1)*4,1,4))/100</f>
        <v>9855.4547450713508</v>
      </c>
      <c r="CP49" s="95">
        <f ca="1">$CK49*SUM(OFFSET($AJ49,0,(COUNTA($CL$1:CP$1)-1)*4,1,4))/100</f>
        <v>8447.5326386325833</v>
      </c>
      <c r="CQ49" s="95">
        <f ca="1">$CK49*SUM(OFFSET($AJ49,0,(COUNTA($CL$1:CQ$1)-1)*4,1,4))/100</f>
        <v>10559.415798290731</v>
      </c>
      <c r="CR49" s="95">
        <f ca="1">$CK49*SUM(OFFSET($AJ49,0,(COUNTA($CL$1:CR$1)-1)*4,1,4))/100</f>
        <v>7626.2447432099725</v>
      </c>
      <c r="CS49" s="95">
        <f ca="1">$CK49*SUM(OFFSET($AJ49,0,(COUNTA($CL$1:CS$1)-1)*4,1,4))/100</f>
        <v>5866.3421101615168</v>
      </c>
      <c r="CT49" s="95">
        <f ca="1">$CK49*SUM(OFFSET($AJ49,0,(COUNTA($CL$1:CT$1)-1)*4,1,4))/100</f>
        <v>2581.1905284710679</v>
      </c>
      <c r="CU49" s="96">
        <f t="shared" si="4"/>
        <v>3413.1428571428573</v>
      </c>
      <c r="CV49" s="96">
        <f t="shared" si="5"/>
        <v>34.375016550419069</v>
      </c>
    </row>
    <row r="50" spans="1:100">
      <c r="A50" s="82" t="str">
        <f ca="1">IF(ISERROR(OFFSET(Map!$E$2,MATCH(D50,Map!$B$3:$B$239,0),0)),OFFSET(Map!$E$2,MATCH(D50,Map!$C$3:$C$239,0),0),OFFSET(Map!$E$2,MATCH(D50,Map!$B$3:$B$239,0),0))</f>
        <v>Chris Hani</v>
      </c>
      <c r="B50" s="82">
        <v>49</v>
      </c>
      <c r="C50" s="82" t="s">
        <v>54</v>
      </c>
      <c r="D50" s="82" t="s">
        <v>302</v>
      </c>
      <c r="E50" s="82" t="s">
        <v>303</v>
      </c>
      <c r="F50" s="82">
        <v>155513</v>
      </c>
      <c r="G50" s="82">
        <v>39.5</v>
      </c>
      <c r="H50" s="82">
        <v>52.9</v>
      </c>
      <c r="I50" s="82">
        <f t="shared" si="0"/>
        <v>82266</v>
      </c>
      <c r="J50" s="82">
        <v>7.6</v>
      </c>
      <c r="K50" s="82">
        <v>89.2</v>
      </c>
      <c r="L50" s="82">
        <v>86.1</v>
      </c>
      <c r="M50" s="82">
        <v>-0.42</v>
      </c>
      <c r="N50" s="82">
        <v>63</v>
      </c>
      <c r="O50" s="82">
        <v>45.7</v>
      </c>
      <c r="P50" s="82">
        <f t="shared" si="1"/>
        <v>44671</v>
      </c>
      <c r="Q50" s="82">
        <v>55.3</v>
      </c>
      <c r="R50" s="82">
        <v>19.7</v>
      </c>
      <c r="S50" s="82">
        <v>5.2</v>
      </c>
      <c r="T50" s="82">
        <v>9.6</v>
      </c>
      <c r="U50" s="82">
        <v>37214</v>
      </c>
      <c r="V50" s="82">
        <v>22187</v>
      </c>
      <c r="W50" s="82">
        <v>4</v>
      </c>
      <c r="X50" s="82">
        <v>57.7</v>
      </c>
      <c r="Y50" s="82">
        <v>30.7</v>
      </c>
      <c r="Z50" s="82">
        <v>63.8</v>
      </c>
      <c r="AA50" s="82">
        <v>3.8</v>
      </c>
      <c r="AB50" s="82">
        <v>2.9</v>
      </c>
      <c r="AC50" s="82">
        <v>3</v>
      </c>
      <c r="AD50" s="82">
        <v>50.9</v>
      </c>
      <c r="AE50" s="82">
        <v>99.6</v>
      </c>
      <c r="AF50" s="82">
        <v>0.1</v>
      </c>
      <c r="AG50" s="82">
        <v>0.1</v>
      </c>
      <c r="AH50" s="82">
        <v>0.1</v>
      </c>
      <c r="AI50" s="82">
        <v>0.1</v>
      </c>
      <c r="AJ50" s="82">
        <v>6.8</v>
      </c>
      <c r="AK50" s="82">
        <v>6.6</v>
      </c>
      <c r="AL50" s="82">
        <v>6.7</v>
      </c>
      <c r="AM50" s="82">
        <v>6.4</v>
      </c>
      <c r="AN50" s="82">
        <v>6.8</v>
      </c>
      <c r="AO50" s="82">
        <v>6.3</v>
      </c>
      <c r="AP50" s="82">
        <v>6.7</v>
      </c>
      <c r="AQ50" s="82">
        <v>6.1</v>
      </c>
      <c r="AR50" s="82">
        <v>3.4</v>
      </c>
      <c r="AS50" s="82">
        <v>4.0999999999999996</v>
      </c>
      <c r="AT50" s="82">
        <v>2.5</v>
      </c>
      <c r="AU50" s="82">
        <v>3.1</v>
      </c>
      <c r="AV50" s="82">
        <v>1.8</v>
      </c>
      <c r="AW50" s="82">
        <v>2.5</v>
      </c>
      <c r="AX50" s="82">
        <v>1.7</v>
      </c>
      <c r="AY50" s="82">
        <v>2.7</v>
      </c>
      <c r="AZ50" s="82">
        <v>1.5</v>
      </c>
      <c r="BA50" s="82">
        <v>2.5</v>
      </c>
      <c r="BB50" s="82">
        <v>1.4</v>
      </c>
      <c r="BC50" s="82">
        <v>1.4</v>
      </c>
      <c r="BD50" s="82">
        <v>1.4</v>
      </c>
      <c r="BE50" s="82">
        <v>2.5</v>
      </c>
      <c r="BF50" s="82">
        <v>1.3</v>
      </c>
      <c r="BG50" s="82">
        <v>2.1</v>
      </c>
      <c r="BH50" s="82">
        <v>1.3</v>
      </c>
      <c r="BI50" s="82">
        <v>1.7</v>
      </c>
      <c r="BJ50" s="82">
        <v>0.9</v>
      </c>
      <c r="BK50" s="82">
        <v>1.3</v>
      </c>
      <c r="BL50" s="82">
        <v>1</v>
      </c>
      <c r="BM50" s="82">
        <v>1.4</v>
      </c>
      <c r="BN50" s="82">
        <v>0.5</v>
      </c>
      <c r="BO50" s="82">
        <v>1</v>
      </c>
      <c r="BP50" s="82">
        <v>0.4</v>
      </c>
      <c r="BQ50" s="82">
        <v>0.6</v>
      </c>
      <c r="BR50" s="82">
        <v>0.2</v>
      </c>
      <c r="BS50" s="82">
        <v>0.4</v>
      </c>
      <c r="BT50" s="82">
        <v>11461</v>
      </c>
      <c r="BU50" s="82">
        <v>9627</v>
      </c>
      <c r="BV50" s="82">
        <v>7708</v>
      </c>
      <c r="BW50" s="82">
        <v>53416</v>
      </c>
      <c r="BX50" s="82">
        <v>15.3</v>
      </c>
      <c r="BY50" s="82">
        <v>7.8</v>
      </c>
      <c r="BZ50" s="82">
        <v>14.1</v>
      </c>
      <c r="CA50" s="82">
        <v>27.1</v>
      </c>
      <c r="CB50" s="82">
        <v>21.4</v>
      </c>
      <c r="CC50" s="82">
        <v>6.9</v>
      </c>
      <c r="CD50" s="82">
        <v>3.6</v>
      </c>
      <c r="CE50" s="82">
        <v>2.5</v>
      </c>
      <c r="CF50" s="82">
        <v>0.9</v>
      </c>
      <c r="CG50" s="82">
        <v>0.2</v>
      </c>
      <c r="CH50" s="82">
        <v>0.1</v>
      </c>
      <c r="CI50" s="82">
        <v>0.1</v>
      </c>
      <c r="CJ50" s="82">
        <f t="shared" si="2"/>
        <v>82212</v>
      </c>
      <c r="CK50" s="82">
        <f t="shared" si="3"/>
        <v>149732.40382887874</v>
      </c>
      <c r="CL50" s="95">
        <f ca="1">$CK50*SUM(OFFSET($AJ50,0,(COUNTA($CL$1:CL$1)-1)*4,1,4))/100</f>
        <v>39679.087014652869</v>
      </c>
      <c r="CM50" s="95">
        <f ca="1">$CK50*SUM(OFFSET($AJ50,0,(COUNTA($CL$1:CM$1)-1)*4,1,4))/100</f>
        <v>38780.692591679588</v>
      </c>
      <c r="CN50" s="95">
        <f ca="1">$CK50*SUM(OFFSET($AJ50,0,(COUNTA($CL$1:CN$1)-1)*4,1,4))/100</f>
        <v>19614.944901583116</v>
      </c>
      <c r="CO50" s="95">
        <f ca="1">$CK50*SUM(OFFSET($AJ50,0,(COUNTA($CL$1:CO$1)-1)*4,1,4))/100</f>
        <v>13026.719133112449</v>
      </c>
      <c r="CP50" s="95">
        <f ca="1">$CK50*SUM(OFFSET($AJ50,0,(COUNTA($CL$1:CP$1)-1)*4,1,4))/100</f>
        <v>10181.803460363755</v>
      </c>
      <c r="CQ50" s="95">
        <f ca="1">$CK50*SUM(OFFSET($AJ50,0,(COUNTA($CL$1:CQ$1)-1)*4,1,4))/100</f>
        <v>10930.46547950815</v>
      </c>
      <c r="CR50" s="95">
        <f ca="1">$CK50*SUM(OFFSET($AJ50,0,(COUNTA($CL$1:CR$1)-1)*4,1,4))/100</f>
        <v>7786.0849991016948</v>
      </c>
      <c r="CS50" s="95">
        <f ca="1">$CK50*SUM(OFFSET($AJ50,0,(COUNTA($CL$1:CS$1)-1)*4,1,4))/100</f>
        <v>5839.5637493262711</v>
      </c>
      <c r="CT50" s="95">
        <f ca="1">$CK50*SUM(OFFSET($AJ50,0,(COUNTA($CL$1:CT$1)-1)*4,1,4))/100</f>
        <v>2395.7184612620599</v>
      </c>
      <c r="CU50" s="96">
        <f t="shared" si="4"/>
        <v>2468.4603174603176</v>
      </c>
      <c r="CV50" s="96">
        <f t="shared" si="5"/>
        <v>60.658217906023033</v>
      </c>
    </row>
    <row r="51" spans="1:100">
      <c r="A51" s="82" t="str">
        <f ca="1">IF(ISERROR(OFFSET(Map!$E$2,MATCH(D51,Map!$B$3:$B$239,0),0)),OFFSET(Map!$E$2,MATCH(D51,Map!$C$3:$C$239,0),0),OFFSET(Map!$E$2,MATCH(D51,Map!$B$3:$B$239,0),0))</f>
        <v>Chris Hani</v>
      </c>
      <c r="B51" s="82">
        <v>50</v>
      </c>
      <c r="C51" s="82" t="s">
        <v>54</v>
      </c>
      <c r="D51" s="82" t="s">
        <v>304</v>
      </c>
      <c r="E51" s="82" t="s">
        <v>305</v>
      </c>
      <c r="F51" s="82">
        <v>63582</v>
      </c>
      <c r="G51" s="82">
        <v>35</v>
      </c>
      <c r="H51" s="82">
        <v>57.5</v>
      </c>
      <c r="I51" s="82">
        <f t="shared" si="0"/>
        <v>36560</v>
      </c>
      <c r="J51" s="82">
        <v>7.5</v>
      </c>
      <c r="K51" s="82">
        <v>73.8</v>
      </c>
      <c r="L51" s="82">
        <v>93</v>
      </c>
      <c r="M51" s="82">
        <v>-0.44</v>
      </c>
      <c r="N51" s="82">
        <v>27</v>
      </c>
      <c r="O51" s="82">
        <v>38.799999999999997</v>
      </c>
      <c r="P51" s="82">
        <f t="shared" si="1"/>
        <v>22375</v>
      </c>
      <c r="Q51" s="82">
        <v>48.6</v>
      </c>
      <c r="R51" s="82">
        <v>12.7</v>
      </c>
      <c r="S51" s="82">
        <v>6.4</v>
      </c>
      <c r="T51" s="82">
        <v>14.1</v>
      </c>
      <c r="U51" s="82">
        <v>16151</v>
      </c>
      <c r="V51" s="82">
        <v>7658</v>
      </c>
      <c r="W51" s="82">
        <v>3.7</v>
      </c>
      <c r="X51" s="82">
        <v>51.9</v>
      </c>
      <c r="Y51" s="82">
        <v>64.099999999999994</v>
      </c>
      <c r="Z51" s="82">
        <v>41.3</v>
      </c>
      <c r="AA51" s="82">
        <v>20.2</v>
      </c>
      <c r="AB51" s="82">
        <v>14.5</v>
      </c>
      <c r="AC51" s="82">
        <v>17.899999999999999</v>
      </c>
      <c r="AD51" s="82">
        <v>79.099999999999994</v>
      </c>
      <c r="AE51" s="82">
        <v>97.7</v>
      </c>
      <c r="AF51" s="82">
        <v>0.8</v>
      </c>
      <c r="AG51" s="82">
        <v>0.2</v>
      </c>
      <c r="AH51" s="82">
        <v>1.1000000000000001</v>
      </c>
      <c r="AI51" s="82">
        <v>0.2</v>
      </c>
      <c r="AJ51" s="82">
        <v>6.3</v>
      </c>
      <c r="AK51" s="82">
        <v>6.3</v>
      </c>
      <c r="AL51" s="82">
        <v>5.7</v>
      </c>
      <c r="AM51" s="82">
        <v>5.6</v>
      </c>
      <c r="AN51" s="82">
        <v>5.8</v>
      </c>
      <c r="AO51" s="82">
        <v>5.4</v>
      </c>
      <c r="AP51" s="82">
        <v>6.3</v>
      </c>
      <c r="AQ51" s="82">
        <v>5.6</v>
      </c>
      <c r="AR51" s="82">
        <v>4.5999999999999996</v>
      </c>
      <c r="AS51" s="82">
        <v>4.0999999999999996</v>
      </c>
      <c r="AT51" s="82">
        <v>3.3</v>
      </c>
      <c r="AU51" s="82">
        <v>3.1</v>
      </c>
      <c r="AV51" s="82">
        <v>2.6</v>
      </c>
      <c r="AW51" s="82">
        <v>2.6</v>
      </c>
      <c r="AX51" s="82">
        <v>2.1</v>
      </c>
      <c r="AY51" s="82">
        <v>2.6</v>
      </c>
      <c r="AZ51" s="82">
        <v>1.9</v>
      </c>
      <c r="BA51" s="82">
        <v>2.5</v>
      </c>
      <c r="BB51" s="82">
        <v>1.8</v>
      </c>
      <c r="BC51" s="82">
        <v>1.8</v>
      </c>
      <c r="BD51" s="82">
        <v>1.9</v>
      </c>
      <c r="BE51" s="82">
        <v>2.7</v>
      </c>
      <c r="BF51" s="82">
        <v>1.8</v>
      </c>
      <c r="BG51" s="82">
        <v>2.1</v>
      </c>
      <c r="BH51" s="82">
        <v>1.4</v>
      </c>
      <c r="BI51" s="82">
        <v>1.9</v>
      </c>
      <c r="BJ51" s="82">
        <v>1</v>
      </c>
      <c r="BK51" s="82">
        <v>1.2</v>
      </c>
      <c r="BL51" s="82">
        <v>0.8</v>
      </c>
      <c r="BM51" s="82">
        <v>1.3</v>
      </c>
      <c r="BN51" s="82">
        <v>0.5</v>
      </c>
      <c r="BO51" s="82">
        <v>0.9</v>
      </c>
      <c r="BP51" s="82">
        <v>0.3</v>
      </c>
      <c r="BQ51" s="82">
        <v>0.6</v>
      </c>
      <c r="BR51" s="82">
        <v>0.3</v>
      </c>
      <c r="BS51" s="82">
        <v>0.5</v>
      </c>
      <c r="BT51" s="82">
        <v>8954</v>
      </c>
      <c r="BU51" s="82">
        <v>5668</v>
      </c>
      <c r="BV51" s="82">
        <v>2819</v>
      </c>
      <c r="BW51" s="82">
        <v>19133</v>
      </c>
      <c r="BX51" s="82">
        <v>14.4</v>
      </c>
      <c r="BY51" s="82">
        <v>5.8</v>
      </c>
      <c r="BZ51" s="82">
        <v>11.6</v>
      </c>
      <c r="CA51" s="82">
        <v>26.6</v>
      </c>
      <c r="CB51" s="82">
        <v>21.8</v>
      </c>
      <c r="CC51" s="82">
        <v>8.5</v>
      </c>
      <c r="CD51" s="82">
        <v>5.3</v>
      </c>
      <c r="CE51" s="82">
        <v>3.5</v>
      </c>
      <c r="CF51" s="82">
        <v>1.7</v>
      </c>
      <c r="CG51" s="82">
        <v>0.4</v>
      </c>
      <c r="CH51" s="82">
        <v>0.2</v>
      </c>
      <c r="CI51" s="82">
        <v>0.2</v>
      </c>
      <c r="CJ51" s="82">
        <f t="shared" si="2"/>
        <v>36574</v>
      </c>
      <c r="CK51" s="82">
        <f t="shared" si="3"/>
        <v>61108.014942067479</v>
      </c>
      <c r="CL51" s="95">
        <f ca="1">$CK51*SUM(OFFSET($AJ51,0,(COUNTA($CL$1:CL$1)-1)*4,1,4))/100</f>
        <v>14604.815571154126</v>
      </c>
      <c r="CM51" s="95">
        <f ca="1">$CK51*SUM(OFFSET($AJ51,0,(COUNTA($CL$1:CM$1)-1)*4,1,4))/100</f>
        <v>14115.95145161759</v>
      </c>
      <c r="CN51" s="95">
        <f ca="1">$CK51*SUM(OFFSET($AJ51,0,(COUNTA($CL$1:CN$1)-1)*4,1,4))/100</f>
        <v>9227.310256252189</v>
      </c>
      <c r="CO51" s="95">
        <f ca="1">$CK51*SUM(OFFSET($AJ51,0,(COUNTA($CL$1:CO$1)-1)*4,1,4))/100</f>
        <v>6049.6934792646798</v>
      </c>
      <c r="CP51" s="95">
        <f ca="1">$CK51*SUM(OFFSET($AJ51,0,(COUNTA($CL$1:CP$1)-1)*4,1,4))/100</f>
        <v>4888.6411953653987</v>
      </c>
      <c r="CQ51" s="95">
        <f ca="1">$CK51*SUM(OFFSET($AJ51,0,(COUNTA($CL$1:CQ$1)-1)*4,1,4))/100</f>
        <v>5194.1812700757355</v>
      </c>
      <c r="CR51" s="95">
        <f ca="1">$CK51*SUM(OFFSET($AJ51,0,(COUNTA($CL$1:CR$1)-1)*4,1,4))/100</f>
        <v>3360.940821813711</v>
      </c>
      <c r="CS51" s="95">
        <f ca="1">$CK51*SUM(OFFSET($AJ51,0,(COUNTA($CL$1:CS$1)-1)*4,1,4))/100</f>
        <v>2138.7805229723617</v>
      </c>
      <c r="CT51" s="95">
        <f ca="1">$CK51*SUM(OFFSET($AJ51,0,(COUNTA($CL$1:CT$1)-1)*4,1,4))/100</f>
        <v>1038.8362540151472</v>
      </c>
      <c r="CU51" s="96">
        <f t="shared" si="4"/>
        <v>2354.8888888888887</v>
      </c>
      <c r="CV51" s="96">
        <f t="shared" si="5"/>
        <v>25.94942599219625</v>
      </c>
    </row>
    <row r="52" spans="1:100">
      <c r="A52" s="82" t="str">
        <f ca="1">IF(ISERROR(OFFSET(Map!$E$2,MATCH(D52,Map!$B$3:$B$239,0),0)),OFFSET(Map!$E$2,MATCH(D52,Map!$C$3:$C$239,0),0),OFFSET(Map!$E$2,MATCH(D52,Map!$B$3:$B$239,0),0))</f>
        <v>Joe Gqabi</v>
      </c>
      <c r="B52" s="82">
        <v>51</v>
      </c>
      <c r="C52" s="82" t="s">
        <v>54</v>
      </c>
      <c r="D52" s="82" t="s">
        <v>306</v>
      </c>
      <c r="E52" s="82" t="s">
        <v>307</v>
      </c>
      <c r="F52" s="82">
        <v>138141</v>
      </c>
      <c r="G52" s="82">
        <v>35.4</v>
      </c>
      <c r="H52" s="82">
        <v>56.4</v>
      </c>
      <c r="I52" s="82">
        <f t="shared" si="0"/>
        <v>77912</v>
      </c>
      <c r="J52" s="82">
        <v>8.3000000000000007</v>
      </c>
      <c r="K52" s="82">
        <v>77.400000000000006</v>
      </c>
      <c r="L52" s="82">
        <v>90.1</v>
      </c>
      <c r="M52" s="82">
        <v>0.05</v>
      </c>
      <c r="N52" s="82">
        <v>27</v>
      </c>
      <c r="O52" s="82">
        <v>44.4</v>
      </c>
      <c r="P52" s="82">
        <f t="shared" si="1"/>
        <v>43319</v>
      </c>
      <c r="Q52" s="82">
        <v>52.8</v>
      </c>
      <c r="R52" s="82">
        <v>15.9</v>
      </c>
      <c r="S52" s="82">
        <v>5.2</v>
      </c>
      <c r="T52" s="82">
        <v>11.8</v>
      </c>
      <c r="U52" s="82">
        <v>37854</v>
      </c>
      <c r="V52" s="82">
        <v>19436</v>
      </c>
      <c r="W52" s="82">
        <v>3.5</v>
      </c>
      <c r="X52" s="82">
        <v>52.1</v>
      </c>
      <c r="Y52" s="82">
        <v>33</v>
      </c>
      <c r="Z52" s="82">
        <v>61.9</v>
      </c>
      <c r="AA52" s="82">
        <v>8</v>
      </c>
      <c r="AB52" s="82">
        <v>12.3</v>
      </c>
      <c r="AC52" s="82">
        <v>10.4</v>
      </c>
      <c r="AD52" s="82">
        <v>46.3</v>
      </c>
      <c r="AE52" s="82">
        <v>98.1</v>
      </c>
      <c r="AF52" s="82">
        <v>1</v>
      </c>
      <c r="AG52" s="82">
        <v>0.1</v>
      </c>
      <c r="AH52" s="82">
        <v>0.7</v>
      </c>
      <c r="AI52" s="82">
        <v>0.1</v>
      </c>
      <c r="AJ52" s="82">
        <v>5.9</v>
      </c>
      <c r="AK52" s="82">
        <v>5.8</v>
      </c>
      <c r="AL52" s="82">
        <v>5.9</v>
      </c>
      <c r="AM52" s="82">
        <v>5.7</v>
      </c>
      <c r="AN52" s="82">
        <v>6.4</v>
      </c>
      <c r="AO52" s="82">
        <v>5.7</v>
      </c>
      <c r="AP52" s="82">
        <v>6.5</v>
      </c>
      <c r="AQ52" s="82">
        <v>5.9</v>
      </c>
      <c r="AR52" s="82">
        <v>4.7</v>
      </c>
      <c r="AS52" s="82">
        <v>4.2</v>
      </c>
      <c r="AT52" s="82">
        <v>3.2</v>
      </c>
      <c r="AU52" s="82">
        <v>3.1</v>
      </c>
      <c r="AV52" s="82">
        <v>2.2999999999999998</v>
      </c>
      <c r="AW52" s="82">
        <v>2.5</v>
      </c>
      <c r="AX52" s="82">
        <v>2</v>
      </c>
      <c r="AY52" s="82">
        <v>2.5</v>
      </c>
      <c r="AZ52" s="82">
        <v>1.6</v>
      </c>
      <c r="BA52" s="82">
        <v>2.5</v>
      </c>
      <c r="BB52" s="82">
        <v>1.5</v>
      </c>
      <c r="BC52" s="82">
        <v>1.5</v>
      </c>
      <c r="BD52" s="82">
        <v>1.5</v>
      </c>
      <c r="BE52" s="82">
        <v>2.6</v>
      </c>
      <c r="BF52" s="82">
        <v>1.5</v>
      </c>
      <c r="BG52" s="82">
        <v>2.2999999999999998</v>
      </c>
      <c r="BH52" s="82">
        <v>1.4</v>
      </c>
      <c r="BI52" s="82">
        <v>2</v>
      </c>
      <c r="BJ52" s="82">
        <v>1</v>
      </c>
      <c r="BK52" s="82">
        <v>1.5</v>
      </c>
      <c r="BL52" s="82">
        <v>0.8</v>
      </c>
      <c r="BM52" s="82">
        <v>1.4</v>
      </c>
      <c r="BN52" s="82">
        <v>0.6</v>
      </c>
      <c r="BO52" s="82">
        <v>1.2</v>
      </c>
      <c r="BP52" s="82">
        <v>0.3</v>
      </c>
      <c r="BQ52" s="82">
        <v>0.8</v>
      </c>
      <c r="BR52" s="82">
        <v>0.2</v>
      </c>
      <c r="BS52" s="82">
        <v>0.5</v>
      </c>
      <c r="BT52" s="82">
        <v>14207</v>
      </c>
      <c r="BU52" s="82">
        <v>11323</v>
      </c>
      <c r="BV52" s="82">
        <v>5305</v>
      </c>
      <c r="BW52" s="82">
        <v>47040</v>
      </c>
      <c r="BX52" s="82">
        <v>16.899999999999999</v>
      </c>
      <c r="BY52" s="82">
        <v>8.1999999999999993</v>
      </c>
      <c r="BZ52" s="82">
        <v>12.9</v>
      </c>
      <c r="CA52" s="82">
        <v>28.5</v>
      </c>
      <c r="CB52" s="82">
        <v>19.100000000000001</v>
      </c>
      <c r="CC52" s="82">
        <v>6.6</v>
      </c>
      <c r="CD52" s="82">
        <v>4.4000000000000004</v>
      </c>
      <c r="CE52" s="82">
        <v>2.2999999999999998</v>
      </c>
      <c r="CF52" s="82">
        <v>0.9</v>
      </c>
      <c r="CG52" s="82">
        <v>0.1</v>
      </c>
      <c r="CH52" s="82">
        <v>0.1</v>
      </c>
      <c r="CI52" s="82">
        <v>0.1</v>
      </c>
      <c r="CJ52" s="82">
        <f t="shared" si="2"/>
        <v>77875</v>
      </c>
      <c r="CK52" s="82">
        <f t="shared" si="3"/>
        <v>138763.87922056887</v>
      </c>
      <c r="CL52" s="95">
        <f ca="1">$CK52*SUM(OFFSET($AJ52,0,(COUNTA($CL$1:CL$1)-1)*4,1,4))/100</f>
        <v>32331.983858392545</v>
      </c>
      <c r="CM52" s="95">
        <f ca="1">$CK52*SUM(OFFSET($AJ52,0,(COUNTA($CL$1:CM$1)-1)*4,1,4))/100</f>
        <v>33997.150409039372</v>
      </c>
      <c r="CN52" s="95">
        <f ca="1">$CK52*SUM(OFFSET($AJ52,0,(COUNTA($CL$1:CN$1)-1)*4,1,4))/100</f>
        <v>21092.109641526466</v>
      </c>
      <c r="CO52" s="95">
        <f ca="1">$CK52*SUM(OFFSET($AJ52,0,(COUNTA($CL$1:CO$1)-1)*4,1,4))/100</f>
        <v>12905.040767512906</v>
      </c>
      <c r="CP52" s="95">
        <f ca="1">$CK52*SUM(OFFSET($AJ52,0,(COUNTA($CL$1:CP$1)-1)*4,1,4))/100</f>
        <v>9852.23542466039</v>
      </c>
      <c r="CQ52" s="95">
        <f ca="1">$CK52*SUM(OFFSET($AJ52,0,(COUNTA($CL$1:CQ$1)-1)*4,1,4))/100</f>
        <v>10962.34645842494</v>
      </c>
      <c r="CR52" s="95">
        <f ca="1">$CK52*SUM(OFFSET($AJ52,0,(COUNTA($CL$1:CR$1)-1)*4,1,4))/100</f>
        <v>8187.0688740135638</v>
      </c>
      <c r="CS52" s="95">
        <f ca="1">$CK52*SUM(OFFSET($AJ52,0,(COUNTA($CL$1:CS$1)-1)*4,1,4))/100</f>
        <v>5550.5551688227542</v>
      </c>
      <c r="CT52" s="95">
        <f ca="1">$CK52*SUM(OFFSET($AJ52,0,(COUNTA($CL$1:CT$1)-1)*4,1,4))/100</f>
        <v>2497.7498259702397</v>
      </c>
      <c r="CU52" s="96">
        <f t="shared" si="4"/>
        <v>5116.333333333333</v>
      </c>
      <c r="CV52" s="96">
        <f t="shared" si="5"/>
        <v>27.121743283712725</v>
      </c>
    </row>
    <row r="53" spans="1:100">
      <c r="A53" s="82" t="str">
        <f ca="1">IF(ISERROR(OFFSET(Map!$E$2,MATCH(D53,Map!$B$3:$B$239,0),0)),OFFSET(Map!$E$2,MATCH(D53,Map!$C$3:$C$239,0),0),OFFSET(Map!$E$2,MATCH(D53,Map!$B$3:$B$239,0),0))</f>
        <v>Joe Gqabi</v>
      </c>
      <c r="B53" s="82">
        <v>52</v>
      </c>
      <c r="C53" s="82" t="s">
        <v>54</v>
      </c>
      <c r="D53" s="82" t="s">
        <v>308</v>
      </c>
      <c r="E53" s="82" t="s">
        <v>309</v>
      </c>
      <c r="F53" s="82">
        <v>134150</v>
      </c>
      <c r="G53" s="82">
        <v>34</v>
      </c>
      <c r="H53" s="82">
        <v>58.3</v>
      </c>
      <c r="I53" s="82">
        <f t="shared" si="0"/>
        <v>78209</v>
      </c>
      <c r="J53" s="82">
        <v>7.7</v>
      </c>
      <c r="K53" s="82">
        <v>71.400000000000006</v>
      </c>
      <c r="L53" s="82">
        <v>88</v>
      </c>
      <c r="M53" s="82">
        <v>-0.12</v>
      </c>
      <c r="N53" s="82">
        <v>18</v>
      </c>
      <c r="O53" s="82">
        <v>35.5</v>
      </c>
      <c r="P53" s="82">
        <f t="shared" si="1"/>
        <v>50445</v>
      </c>
      <c r="Q53" s="82">
        <v>43.6</v>
      </c>
      <c r="R53" s="82">
        <v>14.5</v>
      </c>
      <c r="S53" s="82">
        <v>5.4</v>
      </c>
      <c r="T53" s="82">
        <v>13.2</v>
      </c>
      <c r="U53" s="82">
        <v>38046</v>
      </c>
      <c r="V53" s="82">
        <v>17222</v>
      </c>
      <c r="W53" s="82">
        <v>3.5</v>
      </c>
      <c r="X53" s="82">
        <v>50.5</v>
      </c>
      <c r="Y53" s="82">
        <v>70.2</v>
      </c>
      <c r="Z53" s="82">
        <v>68.5</v>
      </c>
      <c r="AA53" s="82">
        <v>11.9</v>
      </c>
      <c r="AB53" s="82">
        <v>12.5</v>
      </c>
      <c r="AC53" s="82">
        <v>8.6999999999999993</v>
      </c>
      <c r="AD53" s="82">
        <v>81.099999999999994</v>
      </c>
      <c r="AE53" s="82">
        <v>97.3</v>
      </c>
      <c r="AF53" s="82">
        <v>1.2</v>
      </c>
      <c r="AG53" s="82">
        <v>0.2</v>
      </c>
      <c r="AH53" s="82">
        <v>1.1000000000000001</v>
      </c>
      <c r="AI53" s="82">
        <v>0.2</v>
      </c>
      <c r="AJ53" s="82">
        <v>6</v>
      </c>
      <c r="AK53" s="82">
        <v>5.8</v>
      </c>
      <c r="AL53" s="82">
        <v>5.6</v>
      </c>
      <c r="AM53" s="82">
        <v>5.7</v>
      </c>
      <c r="AN53" s="82">
        <v>5.6</v>
      </c>
      <c r="AO53" s="82">
        <v>5.3</v>
      </c>
      <c r="AP53" s="82">
        <v>6.2</v>
      </c>
      <c r="AQ53" s="82">
        <v>5.8</v>
      </c>
      <c r="AR53" s="82">
        <v>4.5999999999999996</v>
      </c>
      <c r="AS53" s="82">
        <v>4.8</v>
      </c>
      <c r="AT53" s="82">
        <v>3.2</v>
      </c>
      <c r="AU53" s="82">
        <v>3.7</v>
      </c>
      <c r="AV53" s="82">
        <v>2.7</v>
      </c>
      <c r="AW53" s="82">
        <v>3</v>
      </c>
      <c r="AX53" s="82">
        <v>2.2999999999999998</v>
      </c>
      <c r="AY53" s="82">
        <v>2.7</v>
      </c>
      <c r="AZ53" s="82">
        <v>1.9</v>
      </c>
      <c r="BA53" s="82">
        <v>2.4</v>
      </c>
      <c r="BB53" s="82">
        <v>1.7</v>
      </c>
      <c r="BC53" s="82">
        <v>1.7</v>
      </c>
      <c r="BD53" s="82">
        <v>1.6</v>
      </c>
      <c r="BE53" s="82">
        <v>2.4</v>
      </c>
      <c r="BF53" s="82">
        <v>1.5</v>
      </c>
      <c r="BG53" s="82">
        <v>2.2000000000000002</v>
      </c>
      <c r="BH53" s="82">
        <v>1.4</v>
      </c>
      <c r="BI53" s="82">
        <v>1.9</v>
      </c>
      <c r="BJ53" s="82">
        <v>0.9</v>
      </c>
      <c r="BK53" s="82">
        <v>1.5</v>
      </c>
      <c r="BL53" s="82">
        <v>0.8</v>
      </c>
      <c r="BM53" s="82">
        <v>1.3</v>
      </c>
      <c r="BN53" s="82">
        <v>0.5</v>
      </c>
      <c r="BO53" s="82">
        <v>1.2</v>
      </c>
      <c r="BP53" s="82">
        <v>0.2</v>
      </c>
      <c r="BQ53" s="82">
        <v>0.6</v>
      </c>
      <c r="BR53" s="82">
        <v>0.2</v>
      </c>
      <c r="BS53" s="82">
        <v>0.5</v>
      </c>
      <c r="BT53" s="82">
        <v>18252</v>
      </c>
      <c r="BU53" s="82">
        <v>10037</v>
      </c>
      <c r="BV53" s="82">
        <v>7401</v>
      </c>
      <c r="BW53" s="82">
        <v>42555</v>
      </c>
      <c r="BX53" s="82">
        <v>16</v>
      </c>
      <c r="BY53" s="82">
        <v>7.2</v>
      </c>
      <c r="BZ53" s="82">
        <v>12.1</v>
      </c>
      <c r="CA53" s="82">
        <v>28.1</v>
      </c>
      <c r="CB53" s="82">
        <v>21.1</v>
      </c>
      <c r="CC53" s="82">
        <v>7.2</v>
      </c>
      <c r="CD53" s="82">
        <v>4.2</v>
      </c>
      <c r="CE53" s="82">
        <v>2.7</v>
      </c>
      <c r="CF53" s="82">
        <v>1</v>
      </c>
      <c r="CG53" s="82">
        <v>0.2</v>
      </c>
      <c r="CH53" s="82">
        <v>0.1</v>
      </c>
      <c r="CI53" s="82">
        <v>0.1</v>
      </c>
      <c r="CJ53" s="82">
        <f t="shared" si="2"/>
        <v>78245</v>
      </c>
      <c r="CK53" s="82">
        <f t="shared" si="3"/>
        <v>132708.11489886706</v>
      </c>
      <c r="CL53" s="95">
        <f ca="1">$CK53*SUM(OFFSET($AJ53,0,(COUNTA($CL$1:CL$1)-1)*4,1,4))/100</f>
        <v>30655.574541638289</v>
      </c>
      <c r="CM53" s="95">
        <f ca="1">$CK53*SUM(OFFSET($AJ53,0,(COUNTA($CL$1:CM$1)-1)*4,1,4))/100</f>
        <v>30390.158311840558</v>
      </c>
      <c r="CN53" s="95">
        <f ca="1">$CK53*SUM(OFFSET($AJ53,0,(COUNTA($CL$1:CN$1)-1)*4,1,4))/100</f>
        <v>21631.422728515328</v>
      </c>
      <c r="CO53" s="95">
        <f ca="1">$CK53*SUM(OFFSET($AJ53,0,(COUNTA($CL$1:CO$1)-1)*4,1,4))/100</f>
        <v>14199.768294178773</v>
      </c>
      <c r="CP53" s="95">
        <f ca="1">$CK53*SUM(OFFSET($AJ53,0,(COUNTA($CL$1:CP$1)-1)*4,1,4))/100</f>
        <v>10218.524847212764</v>
      </c>
      <c r="CQ53" s="95">
        <f ca="1">$CK53*SUM(OFFSET($AJ53,0,(COUNTA($CL$1:CQ$1)-1)*4,1,4))/100</f>
        <v>10218.524847212764</v>
      </c>
      <c r="CR53" s="95">
        <f ca="1">$CK53*SUM(OFFSET($AJ53,0,(COUNTA($CL$1:CR$1)-1)*4,1,4))/100</f>
        <v>7564.3625492354222</v>
      </c>
      <c r="CS53" s="95">
        <f ca="1">$CK53*SUM(OFFSET($AJ53,0,(COUNTA($CL$1:CS$1)-1)*4,1,4))/100</f>
        <v>5042.9083661569484</v>
      </c>
      <c r="CT53" s="95">
        <f ca="1">$CK53*SUM(OFFSET($AJ53,0,(COUNTA($CL$1:CT$1)-1)*4,1,4))/100</f>
        <v>1990.6217234830058</v>
      </c>
      <c r="CU53" s="96">
        <f t="shared" si="4"/>
        <v>7452.7777777777774</v>
      </c>
      <c r="CV53" s="96">
        <f t="shared" si="5"/>
        <v>17.806530511961292</v>
      </c>
    </row>
    <row r="54" spans="1:100">
      <c r="A54" s="82" t="str">
        <f ca="1">IF(ISERROR(OFFSET(Map!$E$2,MATCH(D54,Map!$B$3:$B$239,0),0)),OFFSET(Map!$E$2,MATCH(D54,Map!$C$3:$C$239,0),0),OFFSET(Map!$E$2,MATCH(D54,Map!$B$3:$B$239,0),0))</f>
        <v>Joe Gqabi</v>
      </c>
      <c r="B54" s="82">
        <v>53</v>
      </c>
      <c r="C54" s="82" t="s">
        <v>54</v>
      </c>
      <c r="D54" s="82" t="s">
        <v>310</v>
      </c>
      <c r="E54" s="82" t="s">
        <v>311</v>
      </c>
      <c r="F54" s="82">
        <v>43800</v>
      </c>
      <c r="G54" s="82">
        <v>32.4</v>
      </c>
      <c r="H54" s="82">
        <v>62.1</v>
      </c>
      <c r="I54" s="82">
        <f t="shared" si="0"/>
        <v>27200</v>
      </c>
      <c r="J54" s="82">
        <v>5.5</v>
      </c>
      <c r="K54" s="82">
        <v>61.1</v>
      </c>
      <c r="L54" s="82">
        <v>89.9</v>
      </c>
      <c r="M54" s="82">
        <v>1.6</v>
      </c>
      <c r="N54" s="82">
        <v>10</v>
      </c>
      <c r="O54" s="82">
        <v>26.7</v>
      </c>
      <c r="P54" s="82">
        <f t="shared" si="1"/>
        <v>19937</v>
      </c>
      <c r="Q54" s="82">
        <v>35</v>
      </c>
      <c r="R54" s="82">
        <v>11</v>
      </c>
      <c r="S54" s="82">
        <v>10.1</v>
      </c>
      <c r="T54" s="82">
        <v>21.8</v>
      </c>
      <c r="U54" s="82">
        <v>12105</v>
      </c>
      <c r="V54" s="82">
        <v>2533</v>
      </c>
      <c r="W54" s="82">
        <v>3.4</v>
      </c>
      <c r="X54" s="82">
        <v>44</v>
      </c>
      <c r="Y54" s="82">
        <v>85.6</v>
      </c>
      <c r="Z54" s="82">
        <v>44.5</v>
      </c>
      <c r="AA54" s="82">
        <v>70.099999999999994</v>
      </c>
      <c r="AB54" s="82">
        <v>83.5</v>
      </c>
      <c r="AC54" s="82">
        <v>49.1</v>
      </c>
      <c r="AD54" s="82">
        <v>84.2</v>
      </c>
      <c r="AE54" s="82">
        <v>85.3</v>
      </c>
      <c r="AF54" s="82">
        <v>7.4</v>
      </c>
      <c r="AG54" s="82">
        <v>0.2</v>
      </c>
      <c r="AH54" s="82">
        <v>6.7</v>
      </c>
      <c r="AI54" s="82">
        <v>0.4</v>
      </c>
      <c r="AJ54" s="82">
        <v>5.8</v>
      </c>
      <c r="AK54" s="82">
        <v>6</v>
      </c>
      <c r="AL54" s="82">
        <v>5.5</v>
      </c>
      <c r="AM54" s="82">
        <v>5.5</v>
      </c>
      <c r="AN54" s="82">
        <v>4.9000000000000004</v>
      </c>
      <c r="AO54" s="82">
        <v>4.7</v>
      </c>
      <c r="AP54" s="82">
        <v>4.7</v>
      </c>
      <c r="AQ54" s="82">
        <v>4.8</v>
      </c>
      <c r="AR54" s="82">
        <v>4.5</v>
      </c>
      <c r="AS54" s="82">
        <v>5</v>
      </c>
      <c r="AT54" s="82">
        <v>4.2</v>
      </c>
      <c r="AU54" s="82">
        <v>4.9000000000000004</v>
      </c>
      <c r="AV54" s="82">
        <v>3.6</v>
      </c>
      <c r="AW54" s="82">
        <v>3.7</v>
      </c>
      <c r="AX54" s="82">
        <v>3.1</v>
      </c>
      <c r="AY54" s="82">
        <v>3.5</v>
      </c>
      <c r="AZ54" s="82">
        <v>2.6</v>
      </c>
      <c r="BA54" s="82">
        <v>2.8</v>
      </c>
      <c r="BB54" s="82">
        <v>2</v>
      </c>
      <c r="BC54" s="82">
        <v>2</v>
      </c>
      <c r="BD54" s="82">
        <v>1.8</v>
      </c>
      <c r="BE54" s="82">
        <v>2.4</v>
      </c>
      <c r="BF54" s="82">
        <v>1.5</v>
      </c>
      <c r="BG54" s="82">
        <v>1.8</v>
      </c>
      <c r="BH54" s="82">
        <v>1.2</v>
      </c>
      <c r="BI54" s="82">
        <v>1.5</v>
      </c>
      <c r="BJ54" s="82">
        <v>0.8</v>
      </c>
      <c r="BK54" s="82">
        <v>1</v>
      </c>
      <c r="BL54" s="82">
        <v>0.6</v>
      </c>
      <c r="BM54" s="82">
        <v>0.9</v>
      </c>
      <c r="BN54" s="82">
        <v>0.3</v>
      </c>
      <c r="BO54" s="82">
        <v>0.6</v>
      </c>
      <c r="BP54" s="82">
        <v>0.2</v>
      </c>
      <c r="BQ54" s="82">
        <v>0.4</v>
      </c>
      <c r="BR54" s="82">
        <v>0.2</v>
      </c>
      <c r="BS54" s="82">
        <v>0.5</v>
      </c>
      <c r="BT54" s="82">
        <v>10647</v>
      </c>
      <c r="BU54" s="82">
        <v>3877</v>
      </c>
      <c r="BV54" s="82">
        <v>1583</v>
      </c>
      <c r="BW54" s="82">
        <v>11080</v>
      </c>
      <c r="BX54" s="82">
        <v>10.9</v>
      </c>
      <c r="BY54" s="82">
        <v>4.3</v>
      </c>
      <c r="BZ54" s="82">
        <v>7.7</v>
      </c>
      <c r="CA54" s="82">
        <v>21.8</v>
      </c>
      <c r="CB54" s="82">
        <v>21.3</v>
      </c>
      <c r="CC54" s="82">
        <v>12.9</v>
      </c>
      <c r="CD54" s="82">
        <v>9.8000000000000007</v>
      </c>
      <c r="CE54" s="82">
        <v>6.5</v>
      </c>
      <c r="CF54" s="82">
        <v>3.4</v>
      </c>
      <c r="CG54" s="82">
        <v>0.8</v>
      </c>
      <c r="CH54" s="82">
        <v>0.3</v>
      </c>
      <c r="CI54" s="82">
        <v>0.3</v>
      </c>
      <c r="CJ54" s="82">
        <f t="shared" si="2"/>
        <v>27187</v>
      </c>
      <c r="CK54" s="82">
        <f t="shared" si="3"/>
        <v>50526.298332309736</v>
      </c>
      <c r="CL54" s="95">
        <f ca="1">$CK54*SUM(OFFSET($AJ54,0,(COUNTA($CL$1:CL$1)-1)*4,1,4))/100</f>
        <v>11519.996019766619</v>
      </c>
      <c r="CM54" s="95">
        <f ca="1">$CK54*SUM(OFFSET($AJ54,0,(COUNTA($CL$1:CM$1)-1)*4,1,4))/100</f>
        <v>9650.5229814711602</v>
      </c>
      <c r="CN54" s="95">
        <f ca="1">$CK54*SUM(OFFSET($AJ54,0,(COUNTA($CL$1:CN$1)-1)*4,1,4))/100</f>
        <v>9397.8914898096118</v>
      </c>
      <c r="CO54" s="95">
        <f ca="1">$CK54*SUM(OFFSET($AJ54,0,(COUNTA($CL$1:CO$1)-1)*4,1,4))/100</f>
        <v>7023.1554681910538</v>
      </c>
      <c r="CP54" s="95">
        <f ca="1">$CK54*SUM(OFFSET($AJ54,0,(COUNTA($CL$1:CP$1)-1)*4,1,4))/100</f>
        <v>4749.472043237115</v>
      </c>
      <c r="CQ54" s="95">
        <f ca="1">$CK54*SUM(OFFSET($AJ54,0,(COUNTA($CL$1:CQ$1)-1)*4,1,4))/100</f>
        <v>3789.4723749232303</v>
      </c>
      <c r="CR54" s="95">
        <f ca="1">$CK54*SUM(OFFSET($AJ54,0,(COUNTA($CL$1:CR$1)-1)*4,1,4))/100</f>
        <v>2273.6834249539384</v>
      </c>
      <c r="CS54" s="95">
        <f ca="1">$CK54*SUM(OFFSET($AJ54,0,(COUNTA($CL$1:CS$1)-1)*4,1,4))/100</f>
        <v>1212.6311599754335</v>
      </c>
      <c r="CT54" s="95">
        <f ca="1">$CK54*SUM(OFFSET($AJ54,0,(COUNTA($CL$1:CT$1)-1)*4,1,4))/100</f>
        <v>656.84187832002658</v>
      </c>
      <c r="CU54" s="96">
        <f t="shared" si="4"/>
        <v>4380</v>
      </c>
      <c r="CV54" s="96">
        <f t="shared" si="5"/>
        <v>11.535684550755647</v>
      </c>
    </row>
    <row r="55" spans="1:100">
      <c r="A55" s="82" t="str">
        <f ca="1">IF(ISERROR(OFFSET(Map!$E$2,MATCH(D55,Map!$B$3:$B$239,0),0)),OFFSET(Map!$E$2,MATCH(D55,Map!$C$3:$C$239,0),0),OFFSET(Map!$E$2,MATCH(D55,Map!$B$3:$B$239,0),0))</f>
        <v>Joe Gqabi</v>
      </c>
      <c r="B55" s="82">
        <v>54</v>
      </c>
      <c r="C55" s="82" t="s">
        <v>54</v>
      </c>
      <c r="D55" s="82" t="s">
        <v>312</v>
      </c>
      <c r="E55" s="82" t="s">
        <v>313</v>
      </c>
      <c r="F55" s="82">
        <v>33677</v>
      </c>
      <c r="G55" s="82">
        <v>31.7</v>
      </c>
      <c r="H55" s="82">
        <v>61.8</v>
      </c>
      <c r="I55" s="82">
        <f t="shared" si="0"/>
        <v>20812</v>
      </c>
      <c r="J55" s="82">
        <v>6.5</v>
      </c>
      <c r="K55" s="82">
        <v>61.8</v>
      </c>
      <c r="L55" s="82">
        <v>95.2</v>
      </c>
      <c r="M55" s="82">
        <v>0.73</v>
      </c>
      <c r="N55" s="82">
        <v>4</v>
      </c>
      <c r="O55" s="82">
        <v>25.8</v>
      </c>
      <c r="P55" s="82">
        <f t="shared" si="1"/>
        <v>15443</v>
      </c>
      <c r="Q55" s="82">
        <v>31.4</v>
      </c>
      <c r="R55" s="82">
        <v>14.9</v>
      </c>
      <c r="S55" s="82">
        <v>7.4</v>
      </c>
      <c r="T55" s="82">
        <v>16.2</v>
      </c>
      <c r="U55" s="82">
        <v>9770</v>
      </c>
      <c r="V55" s="82">
        <v>2599</v>
      </c>
      <c r="W55" s="82">
        <v>3.4</v>
      </c>
      <c r="X55" s="82">
        <v>40.299999999999997</v>
      </c>
      <c r="Y55" s="82">
        <v>96</v>
      </c>
      <c r="Z55" s="82">
        <v>52.1</v>
      </c>
      <c r="AA55" s="82">
        <v>74.400000000000006</v>
      </c>
      <c r="AB55" s="82">
        <v>80.3</v>
      </c>
      <c r="AC55" s="82">
        <v>40.9</v>
      </c>
      <c r="AD55" s="82">
        <v>90.5</v>
      </c>
      <c r="AE55" s="82">
        <v>72.900000000000006</v>
      </c>
      <c r="AF55" s="82">
        <v>17.8</v>
      </c>
      <c r="AG55" s="82">
        <v>0.3</v>
      </c>
      <c r="AH55" s="82">
        <v>8.6999999999999993</v>
      </c>
      <c r="AI55" s="82">
        <v>0.4</v>
      </c>
      <c r="AJ55" s="82">
        <v>5.7</v>
      </c>
      <c r="AK55" s="82">
        <v>5.8</v>
      </c>
      <c r="AL55" s="82">
        <v>5.4</v>
      </c>
      <c r="AM55" s="82">
        <v>5.4</v>
      </c>
      <c r="AN55" s="82">
        <v>4.7</v>
      </c>
      <c r="AO55" s="82">
        <v>4.7</v>
      </c>
      <c r="AP55" s="82">
        <v>4.7</v>
      </c>
      <c r="AQ55" s="82">
        <v>4.5</v>
      </c>
      <c r="AR55" s="82">
        <v>4.7</v>
      </c>
      <c r="AS55" s="82">
        <v>4.0999999999999996</v>
      </c>
      <c r="AT55" s="82">
        <v>4.0999999999999996</v>
      </c>
      <c r="AU55" s="82">
        <v>3.9</v>
      </c>
      <c r="AV55" s="82">
        <v>3.4</v>
      </c>
      <c r="AW55" s="82">
        <v>3.4</v>
      </c>
      <c r="AX55" s="82">
        <v>3.1</v>
      </c>
      <c r="AY55" s="82">
        <v>3.3</v>
      </c>
      <c r="AZ55" s="82">
        <v>2.5</v>
      </c>
      <c r="BA55" s="82">
        <v>2.8</v>
      </c>
      <c r="BB55" s="82">
        <v>2.5</v>
      </c>
      <c r="BC55" s="82">
        <v>2.5</v>
      </c>
      <c r="BD55" s="82">
        <v>2.2000000000000002</v>
      </c>
      <c r="BE55" s="82">
        <v>2.4</v>
      </c>
      <c r="BF55" s="82">
        <v>2</v>
      </c>
      <c r="BG55" s="82">
        <v>2.2999999999999998</v>
      </c>
      <c r="BH55" s="82">
        <v>1.3</v>
      </c>
      <c r="BI55" s="82">
        <v>1.8</v>
      </c>
      <c r="BJ55" s="82">
        <v>1</v>
      </c>
      <c r="BK55" s="82">
        <v>1.1000000000000001</v>
      </c>
      <c r="BL55" s="82">
        <v>0.7</v>
      </c>
      <c r="BM55" s="82">
        <v>1.2</v>
      </c>
      <c r="BN55" s="82">
        <v>0.4</v>
      </c>
      <c r="BO55" s="82">
        <v>0.7</v>
      </c>
      <c r="BP55" s="82">
        <v>0.2</v>
      </c>
      <c r="BQ55" s="82">
        <v>0.6</v>
      </c>
      <c r="BR55" s="82">
        <v>0.2</v>
      </c>
      <c r="BS55" s="82">
        <v>0.5</v>
      </c>
      <c r="BT55" s="82">
        <v>8238</v>
      </c>
      <c r="BU55" s="82">
        <v>2858</v>
      </c>
      <c r="BV55" s="82">
        <v>1523</v>
      </c>
      <c r="BW55" s="82">
        <v>8193</v>
      </c>
      <c r="BX55" s="82">
        <v>9.1</v>
      </c>
      <c r="BY55" s="82">
        <v>3.2</v>
      </c>
      <c r="BZ55" s="82">
        <v>7.9</v>
      </c>
      <c r="CA55" s="82">
        <v>26.3</v>
      </c>
      <c r="CB55" s="82">
        <v>25.8</v>
      </c>
      <c r="CC55" s="82">
        <v>12.1</v>
      </c>
      <c r="CD55" s="82">
        <v>7.5</v>
      </c>
      <c r="CE55" s="82">
        <v>4.8</v>
      </c>
      <c r="CF55" s="82">
        <v>2.1</v>
      </c>
      <c r="CG55" s="82">
        <v>0.5</v>
      </c>
      <c r="CH55" s="82">
        <v>0.2</v>
      </c>
      <c r="CI55" s="82">
        <v>0.3</v>
      </c>
      <c r="CJ55" s="82">
        <f t="shared" si="2"/>
        <v>20812</v>
      </c>
      <c r="CK55" s="82">
        <f t="shared" si="3"/>
        <v>35955.298820250209</v>
      </c>
      <c r="CL55" s="95">
        <f ca="1">$CK55*SUM(OFFSET($AJ55,0,(COUNTA($CL$1:CL$1)-1)*4,1,4))/100</f>
        <v>8018.0316369157963</v>
      </c>
      <c r="CM55" s="95">
        <f ca="1">$CK55*SUM(OFFSET($AJ55,0,(COUNTA($CL$1:CM$1)-1)*4,1,4))/100</f>
        <v>6687.6855805665391</v>
      </c>
      <c r="CN55" s="95">
        <f ca="1">$CK55*SUM(OFFSET($AJ55,0,(COUNTA($CL$1:CN$1)-1)*4,1,4))/100</f>
        <v>6040.4902018020348</v>
      </c>
      <c r="CO55" s="95">
        <f ca="1">$CK55*SUM(OFFSET($AJ55,0,(COUNTA($CL$1:CO$1)-1)*4,1,4))/100</f>
        <v>4746.0994442730271</v>
      </c>
      <c r="CP55" s="95">
        <f ca="1">$CK55*SUM(OFFSET($AJ55,0,(COUNTA($CL$1:CP$1)-1)*4,1,4))/100</f>
        <v>3703.3957784857716</v>
      </c>
      <c r="CQ55" s="95">
        <f ca="1">$CK55*SUM(OFFSET($AJ55,0,(COUNTA($CL$1:CQ$1)-1)*4,1,4))/100</f>
        <v>3200.021595002268</v>
      </c>
      <c r="CR55" s="95">
        <f ca="1">$CK55*SUM(OFFSET($AJ55,0,(COUNTA($CL$1:CR$1)-1)*4,1,4))/100</f>
        <v>1869.6755386530108</v>
      </c>
      <c r="CS55" s="95">
        <f ca="1">$CK55*SUM(OFFSET($AJ55,0,(COUNTA($CL$1:CS$1)-1)*4,1,4))/100</f>
        <v>1078.6589646075063</v>
      </c>
      <c r="CT55" s="95">
        <f ca="1">$CK55*SUM(OFFSET($AJ55,0,(COUNTA($CL$1:CT$1)-1)*4,1,4))/100</f>
        <v>539.32948230375314</v>
      </c>
      <c r="CU55" s="96">
        <f t="shared" si="4"/>
        <v>8419.25</v>
      </c>
      <c r="CV55" s="96">
        <f t="shared" si="5"/>
        <v>4.2706059114826393</v>
      </c>
    </row>
    <row r="56" spans="1:100">
      <c r="A56" s="82" t="str">
        <f ca="1">IF(ISERROR(OFFSET(Map!$E$2,MATCH(D56,Map!$B$3:$B$239,0),0)),OFFSET(Map!$E$2,MATCH(D56,Map!$C$3:$C$239,0),0),OFFSET(Map!$E$2,MATCH(D56,Map!$B$3:$B$239,0),0))</f>
        <v>OR Tambo</v>
      </c>
      <c r="B56" s="82">
        <v>55</v>
      </c>
      <c r="C56" s="82" t="s">
        <v>54</v>
      </c>
      <c r="D56" s="82" t="s">
        <v>314</v>
      </c>
      <c r="E56" s="82" t="s">
        <v>315</v>
      </c>
      <c r="F56" s="82">
        <v>278481</v>
      </c>
      <c r="G56" s="82">
        <v>42.4</v>
      </c>
      <c r="H56" s="82">
        <v>52.2</v>
      </c>
      <c r="I56" s="82">
        <f t="shared" si="0"/>
        <v>145367</v>
      </c>
      <c r="J56" s="82">
        <v>5.4</v>
      </c>
      <c r="K56" s="82">
        <v>91.6</v>
      </c>
      <c r="L56" s="82">
        <v>86.3</v>
      </c>
      <c r="M56" s="82">
        <v>0.9</v>
      </c>
      <c r="N56" s="82">
        <v>112</v>
      </c>
      <c r="O56" s="82">
        <v>51.6</v>
      </c>
      <c r="P56" s="82">
        <f t="shared" si="1"/>
        <v>70358</v>
      </c>
      <c r="Q56" s="82">
        <v>60.9</v>
      </c>
      <c r="R56" s="82">
        <v>20.8</v>
      </c>
      <c r="S56" s="82">
        <v>5.3</v>
      </c>
      <c r="T56" s="82">
        <v>12.6</v>
      </c>
      <c r="U56" s="82">
        <v>56213</v>
      </c>
      <c r="V56" s="82">
        <v>35330</v>
      </c>
      <c r="W56" s="82">
        <v>4.7</v>
      </c>
      <c r="X56" s="82">
        <v>59.1</v>
      </c>
      <c r="Y56" s="82">
        <v>40.5</v>
      </c>
      <c r="Z56" s="82">
        <v>62.3</v>
      </c>
      <c r="AA56" s="82">
        <v>2.4</v>
      </c>
      <c r="AB56" s="82">
        <v>3.2</v>
      </c>
      <c r="AC56" s="82">
        <v>3.7</v>
      </c>
      <c r="AD56" s="82">
        <v>62.8</v>
      </c>
      <c r="AE56" s="82">
        <v>99.2</v>
      </c>
      <c r="AF56" s="82">
        <v>0.4</v>
      </c>
      <c r="AG56" s="82">
        <v>0.1</v>
      </c>
      <c r="AH56" s="82">
        <v>0.1</v>
      </c>
      <c r="AI56" s="82">
        <v>0.1</v>
      </c>
      <c r="AJ56" s="82">
        <v>7.4</v>
      </c>
      <c r="AK56" s="82">
        <v>7.3</v>
      </c>
      <c r="AL56" s="82">
        <v>7</v>
      </c>
      <c r="AM56" s="82">
        <v>7</v>
      </c>
      <c r="AN56" s="82">
        <v>7.1</v>
      </c>
      <c r="AO56" s="82">
        <v>6.7</v>
      </c>
      <c r="AP56" s="82">
        <v>6.9</v>
      </c>
      <c r="AQ56" s="82">
        <v>6.8</v>
      </c>
      <c r="AR56" s="82">
        <v>4.3</v>
      </c>
      <c r="AS56" s="82">
        <v>4.4000000000000004</v>
      </c>
      <c r="AT56" s="82">
        <v>3</v>
      </c>
      <c r="AU56" s="82">
        <v>3.5</v>
      </c>
      <c r="AV56" s="82">
        <v>2.2000000000000002</v>
      </c>
      <c r="AW56" s="82">
        <v>2.9</v>
      </c>
      <c r="AX56" s="82">
        <v>1.7</v>
      </c>
      <c r="AY56" s="82">
        <v>2.5</v>
      </c>
      <c r="AZ56" s="82">
        <v>1.2</v>
      </c>
      <c r="BA56" s="82">
        <v>2.2999999999999998</v>
      </c>
      <c r="BB56" s="82">
        <v>1.1000000000000001</v>
      </c>
      <c r="BC56" s="82">
        <v>1.1000000000000001</v>
      </c>
      <c r="BD56" s="82">
        <v>1.1000000000000001</v>
      </c>
      <c r="BE56" s="82">
        <v>1.9</v>
      </c>
      <c r="BF56" s="82">
        <v>0.9</v>
      </c>
      <c r="BG56" s="82">
        <v>1.4</v>
      </c>
      <c r="BH56" s="82">
        <v>0.8</v>
      </c>
      <c r="BI56" s="82">
        <v>1.3</v>
      </c>
      <c r="BJ56" s="82">
        <v>0.5</v>
      </c>
      <c r="BK56" s="82">
        <v>1</v>
      </c>
      <c r="BL56" s="82">
        <v>0.5</v>
      </c>
      <c r="BM56" s="82">
        <v>1</v>
      </c>
      <c r="BN56" s="82">
        <v>0.3</v>
      </c>
      <c r="BO56" s="82">
        <v>0.8</v>
      </c>
      <c r="BP56" s="82">
        <v>0.2</v>
      </c>
      <c r="BQ56" s="82">
        <v>0.6</v>
      </c>
      <c r="BR56" s="82">
        <v>0.1</v>
      </c>
      <c r="BS56" s="82">
        <v>0.3</v>
      </c>
      <c r="BT56" s="82">
        <v>18524</v>
      </c>
      <c r="BU56" s="82">
        <v>19718</v>
      </c>
      <c r="BV56" s="82">
        <v>15327</v>
      </c>
      <c r="BW56" s="82">
        <v>91793</v>
      </c>
      <c r="BX56" s="82">
        <v>17.600000000000001</v>
      </c>
      <c r="BY56" s="82">
        <v>7.3</v>
      </c>
      <c r="BZ56" s="82">
        <v>14.2</v>
      </c>
      <c r="CA56" s="82">
        <v>24.6</v>
      </c>
      <c r="CB56" s="82">
        <v>20.3</v>
      </c>
      <c r="CC56" s="82">
        <v>7.1</v>
      </c>
      <c r="CD56" s="82">
        <v>4.5</v>
      </c>
      <c r="CE56" s="82">
        <v>3</v>
      </c>
      <c r="CF56" s="82">
        <v>1</v>
      </c>
      <c r="CG56" s="82">
        <v>0.2</v>
      </c>
      <c r="CH56" s="82">
        <v>0.1</v>
      </c>
      <c r="CI56" s="82">
        <v>0.1</v>
      </c>
      <c r="CJ56" s="82">
        <f t="shared" si="2"/>
        <v>145362</v>
      </c>
      <c r="CK56" s="82">
        <f t="shared" si="3"/>
        <v>301867.29695928656</v>
      </c>
      <c r="CL56" s="95">
        <f ca="1">$CK56*SUM(OFFSET($AJ56,0,(COUNTA($CL$1:CL$1)-1)*4,1,4))/100</f>
        <v>86635.914227315239</v>
      </c>
      <c r="CM56" s="95">
        <f ca="1">$CK56*SUM(OFFSET($AJ56,0,(COUNTA($CL$1:CM$1)-1)*4,1,4))/100</f>
        <v>83013.506663803812</v>
      </c>
      <c r="CN56" s="95">
        <f ca="1">$CK56*SUM(OFFSET($AJ56,0,(COUNTA($CL$1:CN$1)-1)*4,1,4))/100</f>
        <v>45883.829137811561</v>
      </c>
      <c r="CO56" s="95">
        <f ca="1">$CK56*SUM(OFFSET($AJ56,0,(COUNTA($CL$1:CO$1)-1)*4,1,4))/100</f>
        <v>28073.658617213652</v>
      </c>
      <c r="CP56" s="95">
        <f ca="1">$CK56*SUM(OFFSET($AJ56,0,(COUNTA($CL$1:CP$1)-1)*4,1,4))/100</f>
        <v>17206.435926679333</v>
      </c>
      <c r="CQ56" s="95">
        <f ca="1">$CK56*SUM(OFFSET($AJ56,0,(COUNTA($CL$1:CQ$1)-1)*4,1,4))/100</f>
        <v>15998.966738842188</v>
      </c>
      <c r="CR56" s="95">
        <f ca="1">$CK56*SUM(OFFSET($AJ56,0,(COUNTA($CL$1:CR$1)-1)*4,1,4))/100</f>
        <v>10867.222690534318</v>
      </c>
      <c r="CS56" s="95">
        <f ca="1">$CK56*SUM(OFFSET($AJ56,0,(COUNTA($CL$1:CS$1)-1)*4,1,4))/100</f>
        <v>7848.5497209414498</v>
      </c>
      <c r="CT56" s="95">
        <f ca="1">$CK56*SUM(OFFSET($AJ56,0,(COUNTA($CL$1:CT$1)-1)*4,1,4))/100</f>
        <v>3622.4075635114386</v>
      </c>
      <c r="CU56" s="96">
        <f t="shared" si="4"/>
        <v>2486.4375</v>
      </c>
      <c r="CV56" s="96">
        <f t="shared" si="5"/>
        <v>121.40554385915051</v>
      </c>
    </row>
    <row r="57" spans="1:100">
      <c r="A57" s="82" t="str">
        <f ca="1">IF(ISERROR(OFFSET(Map!$E$2,MATCH(D57,Map!$B$3:$B$239,0),0)),OFFSET(Map!$E$2,MATCH(D57,Map!$C$3:$C$239,0),0),OFFSET(Map!$E$2,MATCH(D57,Map!$B$3:$B$239,0),0))</f>
        <v>OR Tambo</v>
      </c>
      <c r="B57" s="82">
        <v>56</v>
      </c>
      <c r="C57" s="82" t="s">
        <v>54</v>
      </c>
      <c r="D57" s="82" t="s">
        <v>316</v>
      </c>
      <c r="E57" s="82" t="s">
        <v>317</v>
      </c>
      <c r="F57" s="82">
        <v>156136</v>
      </c>
      <c r="G57" s="82">
        <v>42.5</v>
      </c>
      <c r="H57" s="82">
        <v>51.8</v>
      </c>
      <c r="I57" s="82">
        <f t="shared" si="0"/>
        <v>80878</v>
      </c>
      <c r="J57" s="82">
        <v>5.6</v>
      </c>
      <c r="K57" s="82">
        <v>92.9</v>
      </c>
      <c r="L57" s="82">
        <v>84.4</v>
      </c>
      <c r="M57" s="82">
        <v>0.61</v>
      </c>
      <c r="N57" s="82">
        <v>121</v>
      </c>
      <c r="O57" s="82">
        <v>50.3</v>
      </c>
      <c r="P57" s="82">
        <f t="shared" si="1"/>
        <v>40197</v>
      </c>
      <c r="Q57" s="82">
        <v>61</v>
      </c>
      <c r="R57" s="82">
        <v>23.5</v>
      </c>
      <c r="S57" s="82">
        <v>3.9</v>
      </c>
      <c r="T57" s="82">
        <v>11.9</v>
      </c>
      <c r="U57" s="82">
        <v>31715</v>
      </c>
      <c r="V57" s="82">
        <v>18190</v>
      </c>
      <c r="W57" s="82">
        <v>4.5</v>
      </c>
      <c r="X57" s="82">
        <v>60.1</v>
      </c>
      <c r="Y57" s="82">
        <v>24.6</v>
      </c>
      <c r="Z57" s="82">
        <v>72.900000000000006</v>
      </c>
      <c r="AA57" s="82">
        <v>1.9</v>
      </c>
      <c r="AB57" s="82">
        <v>3.1</v>
      </c>
      <c r="AC57" s="82">
        <v>2.7</v>
      </c>
      <c r="AD57" s="82">
        <v>67.8</v>
      </c>
      <c r="AE57" s="82">
        <v>99.3</v>
      </c>
      <c r="AF57" s="82">
        <v>0.4</v>
      </c>
      <c r="AG57" s="82">
        <v>0.1</v>
      </c>
      <c r="AH57" s="82">
        <v>0.2</v>
      </c>
      <c r="AI57" s="82">
        <v>0</v>
      </c>
      <c r="AJ57" s="82">
        <v>7.3</v>
      </c>
      <c r="AK57" s="82">
        <v>7.2</v>
      </c>
      <c r="AL57" s="82">
        <v>7.1</v>
      </c>
      <c r="AM57" s="82">
        <v>7.1</v>
      </c>
      <c r="AN57" s="82">
        <v>7.2</v>
      </c>
      <c r="AO57" s="82">
        <v>6.7</v>
      </c>
      <c r="AP57" s="82">
        <v>7.3</v>
      </c>
      <c r="AQ57" s="82">
        <v>7.2</v>
      </c>
      <c r="AR57" s="82">
        <v>4.0999999999999996</v>
      </c>
      <c r="AS57" s="82">
        <v>4.5</v>
      </c>
      <c r="AT57" s="82">
        <v>2.6</v>
      </c>
      <c r="AU57" s="82">
        <v>3.2</v>
      </c>
      <c r="AV57" s="82">
        <v>1.8</v>
      </c>
      <c r="AW57" s="82">
        <v>2.7</v>
      </c>
      <c r="AX57" s="82">
        <v>1.5</v>
      </c>
      <c r="AY57" s="82">
        <v>2.4</v>
      </c>
      <c r="AZ57" s="82">
        <v>1.1000000000000001</v>
      </c>
      <c r="BA57" s="82">
        <v>2.2000000000000002</v>
      </c>
      <c r="BB57" s="82">
        <v>1.1000000000000001</v>
      </c>
      <c r="BC57" s="82">
        <v>1.1000000000000001</v>
      </c>
      <c r="BD57" s="82">
        <v>1.1000000000000001</v>
      </c>
      <c r="BE57" s="82">
        <v>2</v>
      </c>
      <c r="BF57" s="82">
        <v>1</v>
      </c>
      <c r="BG57" s="82">
        <v>1.5</v>
      </c>
      <c r="BH57" s="82">
        <v>0.9</v>
      </c>
      <c r="BI57" s="82">
        <v>1.5</v>
      </c>
      <c r="BJ57" s="82">
        <v>0.5</v>
      </c>
      <c r="BK57" s="82">
        <v>1</v>
      </c>
      <c r="BL57" s="82">
        <v>0.6</v>
      </c>
      <c r="BM57" s="82">
        <v>1.2</v>
      </c>
      <c r="BN57" s="82">
        <v>0.3</v>
      </c>
      <c r="BO57" s="82">
        <v>0.8</v>
      </c>
      <c r="BP57" s="82">
        <v>0.2</v>
      </c>
      <c r="BQ57" s="82">
        <v>0.6</v>
      </c>
      <c r="BR57" s="82">
        <v>0.1</v>
      </c>
      <c r="BS57" s="82">
        <v>0.3</v>
      </c>
      <c r="BT57" s="82">
        <v>7989</v>
      </c>
      <c r="BU57" s="82">
        <v>8090</v>
      </c>
      <c r="BV57" s="82">
        <v>9893</v>
      </c>
      <c r="BW57" s="82">
        <v>54983</v>
      </c>
      <c r="BX57" s="82">
        <v>19.600000000000001</v>
      </c>
      <c r="BY57" s="82">
        <v>7.4</v>
      </c>
      <c r="BZ57" s="82">
        <v>14.8</v>
      </c>
      <c r="CA57" s="82">
        <v>25.6</v>
      </c>
      <c r="CB57" s="82">
        <v>20.399999999999999</v>
      </c>
      <c r="CC57" s="82">
        <v>6.3</v>
      </c>
      <c r="CD57" s="82">
        <v>3</v>
      </c>
      <c r="CE57" s="82">
        <v>1.9</v>
      </c>
      <c r="CF57" s="82">
        <v>0.7</v>
      </c>
      <c r="CG57" s="82">
        <v>0.1</v>
      </c>
      <c r="CH57" s="82">
        <v>0.1</v>
      </c>
      <c r="CI57" s="82">
        <v>0.1</v>
      </c>
      <c r="CJ57" s="82">
        <f t="shared" si="2"/>
        <v>80955</v>
      </c>
      <c r="CK57" s="82">
        <f t="shared" si="3"/>
        <v>164920.0242981622</v>
      </c>
      <c r="CL57" s="95">
        <f ca="1">$CK57*SUM(OFFSET($AJ57,0,(COUNTA($CL$1:CL$1)-1)*4,1,4))/100</f>
        <v>47332.046973572556</v>
      </c>
      <c r="CM57" s="95">
        <f ca="1">$CK57*SUM(OFFSET($AJ57,0,(COUNTA($CL$1:CM$1)-1)*4,1,4))/100</f>
        <v>46837.28690067806</v>
      </c>
      <c r="CN57" s="95">
        <f ca="1">$CK57*SUM(OFFSET($AJ57,0,(COUNTA($CL$1:CN$1)-1)*4,1,4))/100</f>
        <v>23748.483498935355</v>
      </c>
      <c r="CO57" s="95">
        <f ca="1">$CK57*SUM(OFFSET($AJ57,0,(COUNTA($CL$1:CO$1)-1)*4,1,4))/100</f>
        <v>13853.282041045626</v>
      </c>
      <c r="CP57" s="95">
        <f ca="1">$CK57*SUM(OFFSET($AJ57,0,(COUNTA($CL$1:CP$1)-1)*4,1,4))/100</f>
        <v>9070.6013363989205</v>
      </c>
      <c r="CQ57" s="95">
        <f ca="1">$CK57*SUM(OFFSET($AJ57,0,(COUNTA($CL$1:CQ$1)-1)*4,1,4))/100</f>
        <v>9235.5213606970829</v>
      </c>
      <c r="CR57" s="95">
        <f ca="1">$CK57*SUM(OFFSET($AJ57,0,(COUNTA($CL$1:CR$1)-1)*4,1,4))/100</f>
        <v>6431.880947628325</v>
      </c>
      <c r="CS57" s="95">
        <f ca="1">$CK57*SUM(OFFSET($AJ57,0,(COUNTA($CL$1:CS$1)-1)*4,1,4))/100</f>
        <v>4782.6807046467029</v>
      </c>
      <c r="CT57" s="95">
        <f ca="1">$CK57*SUM(OFFSET($AJ57,0,(COUNTA($CL$1:CT$1)-1)*4,1,4))/100</f>
        <v>1979.0402915779464</v>
      </c>
      <c r="CU57" s="96">
        <f t="shared" si="4"/>
        <v>1290.3801652892562</v>
      </c>
      <c r="CV57" s="96">
        <f t="shared" si="5"/>
        <v>127.80731503354528</v>
      </c>
    </row>
    <row r="58" spans="1:100">
      <c r="A58" s="82" t="str">
        <f ca="1">IF(ISERROR(OFFSET(Map!$E$2,MATCH(D58,Map!$B$3:$B$239,0),0)),OFFSET(Map!$E$2,MATCH(D58,Map!$C$3:$C$239,0),0),OFFSET(Map!$E$2,MATCH(D58,Map!$B$3:$B$239,0),0))</f>
        <v>OR Tambo</v>
      </c>
      <c r="B58" s="82">
        <v>57</v>
      </c>
      <c r="C58" s="82" t="s">
        <v>54</v>
      </c>
      <c r="D58" s="82" t="s">
        <v>318</v>
      </c>
      <c r="E58" s="82" t="s">
        <v>319</v>
      </c>
      <c r="F58" s="82">
        <v>290390</v>
      </c>
      <c r="G58" s="82">
        <v>40.6</v>
      </c>
      <c r="H58" s="82">
        <v>54</v>
      </c>
      <c r="I58" s="82">
        <f t="shared" si="0"/>
        <v>156811</v>
      </c>
      <c r="J58" s="82">
        <v>5.4</v>
      </c>
      <c r="K58" s="82">
        <v>85.2</v>
      </c>
      <c r="L58" s="82">
        <v>86</v>
      </c>
      <c r="M58" s="82">
        <v>0.56999999999999995</v>
      </c>
      <c r="N58" s="82">
        <v>117</v>
      </c>
      <c r="O58" s="82">
        <v>44.8</v>
      </c>
      <c r="P58" s="82">
        <f t="shared" si="1"/>
        <v>86559</v>
      </c>
      <c r="Q58" s="82">
        <v>55</v>
      </c>
      <c r="R58" s="82">
        <v>18.2</v>
      </c>
      <c r="S58" s="82">
        <v>4.2</v>
      </c>
      <c r="T58" s="82">
        <v>15.2</v>
      </c>
      <c r="U58" s="82">
        <v>61647</v>
      </c>
      <c r="V58" s="82">
        <v>36502</v>
      </c>
      <c r="W58" s="82">
        <v>4.5999999999999996</v>
      </c>
      <c r="X58" s="82">
        <v>57.6</v>
      </c>
      <c r="Y58" s="82">
        <v>33.799999999999997</v>
      </c>
      <c r="Z58" s="82">
        <v>69.900000000000006</v>
      </c>
      <c r="AA58" s="82">
        <v>1.7</v>
      </c>
      <c r="AB58" s="82">
        <v>1.8</v>
      </c>
      <c r="AC58" s="82">
        <v>2.8</v>
      </c>
      <c r="AD58" s="82">
        <v>71</v>
      </c>
      <c r="AE58" s="82">
        <v>99.4</v>
      </c>
      <c r="AF58" s="82">
        <v>0.3</v>
      </c>
      <c r="AG58" s="82">
        <v>0.1</v>
      </c>
      <c r="AH58" s="82">
        <v>0.1</v>
      </c>
      <c r="AI58" s="82">
        <v>0.1</v>
      </c>
      <c r="AJ58" s="82">
        <v>6.9</v>
      </c>
      <c r="AK58" s="82">
        <v>6.8</v>
      </c>
      <c r="AL58" s="82">
        <v>6.7</v>
      </c>
      <c r="AM58" s="82">
        <v>6.7</v>
      </c>
      <c r="AN58" s="82">
        <v>7</v>
      </c>
      <c r="AO58" s="82">
        <v>6.6</v>
      </c>
      <c r="AP58" s="82">
        <v>7.1</v>
      </c>
      <c r="AQ58" s="82">
        <v>7</v>
      </c>
      <c r="AR58" s="82">
        <v>4.5</v>
      </c>
      <c r="AS58" s="82">
        <v>4.7</v>
      </c>
      <c r="AT58" s="82">
        <v>2.9</v>
      </c>
      <c r="AU58" s="82">
        <v>3.6</v>
      </c>
      <c r="AV58" s="82">
        <v>2</v>
      </c>
      <c r="AW58" s="82">
        <v>2.9</v>
      </c>
      <c r="AX58" s="82">
        <v>1.6</v>
      </c>
      <c r="AY58" s="82">
        <v>2.6</v>
      </c>
      <c r="AZ58" s="82">
        <v>1.3</v>
      </c>
      <c r="BA58" s="82">
        <v>2.2999999999999998</v>
      </c>
      <c r="BB58" s="82">
        <v>1.2</v>
      </c>
      <c r="BC58" s="82">
        <v>1.2</v>
      </c>
      <c r="BD58" s="82">
        <v>1.2</v>
      </c>
      <c r="BE58" s="82">
        <v>2</v>
      </c>
      <c r="BF58" s="82">
        <v>1</v>
      </c>
      <c r="BG58" s="82">
        <v>1.6</v>
      </c>
      <c r="BH58" s="82">
        <v>0.9</v>
      </c>
      <c r="BI58" s="82">
        <v>1.3</v>
      </c>
      <c r="BJ58" s="82">
        <v>0.6</v>
      </c>
      <c r="BK58" s="82">
        <v>0.9</v>
      </c>
      <c r="BL58" s="82">
        <v>0.6</v>
      </c>
      <c r="BM58" s="82">
        <v>1.1000000000000001</v>
      </c>
      <c r="BN58" s="82">
        <v>0.3</v>
      </c>
      <c r="BO58" s="82">
        <v>0.8</v>
      </c>
      <c r="BP58" s="82">
        <v>0.2</v>
      </c>
      <c r="BQ58" s="82">
        <v>0.5</v>
      </c>
      <c r="BR58" s="82">
        <v>0.1</v>
      </c>
      <c r="BS58" s="82">
        <v>0.3</v>
      </c>
      <c r="BT58" s="82">
        <v>20672</v>
      </c>
      <c r="BU58" s="82">
        <v>16761</v>
      </c>
      <c r="BV58" s="82">
        <v>12526</v>
      </c>
      <c r="BW58" s="82">
        <v>106825</v>
      </c>
      <c r="BX58" s="82">
        <v>17.2</v>
      </c>
      <c r="BY58" s="82">
        <v>7.2</v>
      </c>
      <c r="BZ58" s="82">
        <v>15.4</v>
      </c>
      <c r="CA58" s="82">
        <v>25.6</v>
      </c>
      <c r="CB58" s="82">
        <v>20.6</v>
      </c>
      <c r="CC58" s="82">
        <v>7</v>
      </c>
      <c r="CD58" s="82">
        <v>3.8</v>
      </c>
      <c r="CE58" s="82">
        <v>2.1</v>
      </c>
      <c r="CF58" s="82">
        <v>0.8</v>
      </c>
      <c r="CG58" s="82">
        <v>0.1</v>
      </c>
      <c r="CH58" s="82">
        <v>0.1</v>
      </c>
      <c r="CI58" s="82">
        <v>0.1</v>
      </c>
      <c r="CJ58" s="82">
        <f t="shared" si="2"/>
        <v>156784</v>
      </c>
      <c r="CK58" s="82">
        <f t="shared" si="3"/>
        <v>305631.2149724951</v>
      </c>
      <c r="CL58" s="95">
        <f ca="1">$CK58*SUM(OFFSET($AJ58,0,(COUNTA($CL$1:CL$1)-1)*4,1,4))/100</f>
        <v>82826.059257546163</v>
      </c>
      <c r="CM58" s="95">
        <f ca="1">$CK58*SUM(OFFSET($AJ58,0,(COUNTA($CL$1:CM$1)-1)*4,1,4))/100</f>
        <v>84659.846547381137</v>
      </c>
      <c r="CN58" s="95">
        <f ca="1">$CK58*SUM(OFFSET($AJ58,0,(COUNTA($CL$1:CN$1)-1)*4,1,4))/100</f>
        <v>47984.100750681733</v>
      </c>
      <c r="CO58" s="95">
        <f ca="1">$CK58*SUM(OFFSET($AJ58,0,(COUNTA($CL$1:CO$1)-1)*4,1,4))/100</f>
        <v>27812.440562497053</v>
      </c>
      <c r="CP58" s="95">
        <f ca="1">$CK58*SUM(OFFSET($AJ58,0,(COUNTA($CL$1:CP$1)-1)*4,1,4))/100</f>
        <v>18337.872898349706</v>
      </c>
      <c r="CQ58" s="95">
        <f ca="1">$CK58*SUM(OFFSET($AJ58,0,(COUNTA($CL$1:CQ$1)-1)*4,1,4))/100</f>
        <v>17726.61046840472</v>
      </c>
      <c r="CR58" s="95">
        <f ca="1">$CK58*SUM(OFFSET($AJ58,0,(COUNTA($CL$1:CR$1)-1)*4,1,4))/100</f>
        <v>11308.35495398232</v>
      </c>
      <c r="CS58" s="95">
        <f ca="1">$CK58*SUM(OFFSET($AJ58,0,(COUNTA($CL$1:CS$1)-1)*4,1,4))/100</f>
        <v>8557.6740192298621</v>
      </c>
      <c r="CT58" s="95">
        <f ca="1">$CK58*SUM(OFFSET($AJ58,0,(COUNTA($CL$1:CT$1)-1)*4,1,4))/100</f>
        <v>3361.9433646974458</v>
      </c>
      <c r="CU58" s="96">
        <f t="shared" si="4"/>
        <v>2481.965811965812</v>
      </c>
      <c r="CV58" s="96">
        <f t="shared" si="5"/>
        <v>123.1407836075</v>
      </c>
    </row>
    <row r="59" spans="1:100">
      <c r="A59" s="82" t="str">
        <f ca="1">IF(ISERROR(OFFSET(Map!$E$2,MATCH(D59,Map!$B$3:$B$239,0),0)),OFFSET(Map!$E$2,MATCH(D59,Map!$C$3:$C$239,0),0),OFFSET(Map!$E$2,MATCH(D59,Map!$B$3:$B$239,0),0))</f>
        <v>OR Tambo</v>
      </c>
      <c r="B59" s="82">
        <v>58</v>
      </c>
      <c r="C59" s="82" t="s">
        <v>54</v>
      </c>
      <c r="D59" s="82" t="s">
        <v>320</v>
      </c>
      <c r="E59" s="82" t="s">
        <v>321</v>
      </c>
      <c r="F59" s="82">
        <v>188226</v>
      </c>
      <c r="G59" s="82">
        <v>38.299999999999997</v>
      </c>
      <c r="H59" s="82">
        <v>54.5</v>
      </c>
      <c r="I59" s="82">
        <f t="shared" si="0"/>
        <v>102583</v>
      </c>
      <c r="J59" s="82">
        <v>7.2</v>
      </c>
      <c r="K59" s="82">
        <v>83.5</v>
      </c>
      <c r="L59" s="82">
        <v>86.8</v>
      </c>
      <c r="M59" s="82">
        <v>-0.75</v>
      </c>
      <c r="N59" s="82">
        <v>67</v>
      </c>
      <c r="O59" s="82">
        <v>48.9</v>
      </c>
      <c r="P59" s="82">
        <f t="shared" si="1"/>
        <v>52420</v>
      </c>
      <c r="Q59" s="82">
        <v>59.5</v>
      </c>
      <c r="R59" s="82">
        <v>14.7</v>
      </c>
      <c r="S59" s="82">
        <v>4.9000000000000004</v>
      </c>
      <c r="T59" s="82">
        <v>12.3</v>
      </c>
      <c r="U59" s="82">
        <v>43414</v>
      </c>
      <c r="V59" s="82">
        <v>25591</v>
      </c>
      <c r="W59" s="82">
        <v>4.2</v>
      </c>
      <c r="X59" s="82">
        <v>56.9</v>
      </c>
      <c r="Y59" s="82">
        <v>34.1</v>
      </c>
      <c r="Z59" s="82">
        <v>53.9</v>
      </c>
      <c r="AA59" s="82">
        <v>2.9</v>
      </c>
      <c r="AB59" s="82">
        <v>4.8</v>
      </c>
      <c r="AC59" s="82">
        <v>4</v>
      </c>
      <c r="AD59" s="82">
        <v>72.599999999999994</v>
      </c>
      <c r="AE59" s="82">
        <v>99.4</v>
      </c>
      <c r="AF59" s="82">
        <v>0.2</v>
      </c>
      <c r="AG59" s="82">
        <v>0.1</v>
      </c>
      <c r="AH59" s="82">
        <v>0.2</v>
      </c>
      <c r="AI59" s="82">
        <v>0.1</v>
      </c>
      <c r="AJ59" s="82">
        <v>6.7</v>
      </c>
      <c r="AK59" s="82">
        <v>6.5</v>
      </c>
      <c r="AL59" s="82">
        <v>6.4</v>
      </c>
      <c r="AM59" s="82">
        <v>6.1</v>
      </c>
      <c r="AN59" s="82">
        <v>6.5</v>
      </c>
      <c r="AO59" s="82">
        <v>6</v>
      </c>
      <c r="AP59" s="82">
        <v>7</v>
      </c>
      <c r="AQ59" s="82">
        <v>6.5</v>
      </c>
      <c r="AR59" s="82">
        <v>4.5</v>
      </c>
      <c r="AS59" s="82">
        <v>4.4000000000000004</v>
      </c>
      <c r="AT59" s="82">
        <v>2.7</v>
      </c>
      <c r="AU59" s="82">
        <v>3.1</v>
      </c>
      <c r="AV59" s="82">
        <v>1.9</v>
      </c>
      <c r="AW59" s="82">
        <v>2.5</v>
      </c>
      <c r="AX59" s="82">
        <v>1.7</v>
      </c>
      <c r="AY59" s="82">
        <v>2.5</v>
      </c>
      <c r="AZ59" s="82">
        <v>1.4</v>
      </c>
      <c r="BA59" s="82">
        <v>2.4</v>
      </c>
      <c r="BB59" s="82">
        <v>1.4</v>
      </c>
      <c r="BC59" s="82">
        <v>1.4</v>
      </c>
      <c r="BD59" s="82">
        <v>1.4</v>
      </c>
      <c r="BE59" s="82">
        <v>2.4</v>
      </c>
      <c r="BF59" s="82">
        <v>1.3</v>
      </c>
      <c r="BG59" s="82">
        <v>2.1</v>
      </c>
      <c r="BH59" s="82">
        <v>1.1000000000000001</v>
      </c>
      <c r="BI59" s="82">
        <v>1.8</v>
      </c>
      <c r="BJ59" s="82">
        <v>0.8</v>
      </c>
      <c r="BK59" s="82">
        <v>1.3</v>
      </c>
      <c r="BL59" s="82">
        <v>0.7</v>
      </c>
      <c r="BM59" s="82">
        <v>1.2</v>
      </c>
      <c r="BN59" s="82">
        <v>0.4</v>
      </c>
      <c r="BO59" s="82">
        <v>1.1000000000000001</v>
      </c>
      <c r="BP59" s="82">
        <v>0.3</v>
      </c>
      <c r="BQ59" s="82">
        <v>0.7</v>
      </c>
      <c r="BR59" s="82">
        <v>0.2</v>
      </c>
      <c r="BS59" s="82">
        <v>0.5</v>
      </c>
      <c r="BT59" s="82">
        <v>14724</v>
      </c>
      <c r="BU59" s="82">
        <v>14078</v>
      </c>
      <c r="BV59" s="82">
        <v>9722</v>
      </c>
      <c r="BW59" s="82">
        <v>64027</v>
      </c>
      <c r="BX59" s="82">
        <v>15.3</v>
      </c>
      <c r="BY59" s="82">
        <v>6.9</v>
      </c>
      <c r="BZ59" s="82">
        <v>13.4</v>
      </c>
      <c r="CA59" s="82">
        <v>26.9</v>
      </c>
      <c r="CB59" s="82">
        <v>22.7</v>
      </c>
      <c r="CC59" s="82">
        <v>7.2</v>
      </c>
      <c r="CD59" s="82">
        <v>3.9</v>
      </c>
      <c r="CE59" s="82">
        <v>2.4</v>
      </c>
      <c r="CF59" s="82">
        <v>0.9</v>
      </c>
      <c r="CG59" s="82">
        <v>0.2</v>
      </c>
      <c r="CH59" s="82">
        <v>0.1</v>
      </c>
      <c r="CI59" s="82">
        <v>0.1</v>
      </c>
      <c r="CJ59" s="82">
        <f t="shared" si="2"/>
        <v>102551</v>
      </c>
      <c r="CK59" s="82">
        <f t="shared" si="3"/>
        <v>175895.3068715393</v>
      </c>
      <c r="CL59" s="95">
        <f ca="1">$CK59*SUM(OFFSET($AJ59,0,(COUNTA($CL$1:CL$1)-1)*4,1,4))/100</f>
        <v>45205.093865985611</v>
      </c>
      <c r="CM59" s="95">
        <f ca="1">$CK59*SUM(OFFSET($AJ59,0,(COUNTA($CL$1:CM$1)-1)*4,1,4))/100</f>
        <v>45732.779786600222</v>
      </c>
      <c r="CN59" s="95">
        <f ca="1">$CK59*SUM(OFFSET($AJ59,0,(COUNTA($CL$1:CN$1)-1)*4,1,4))/100</f>
        <v>25856.610110116279</v>
      </c>
      <c r="CO59" s="95">
        <f ca="1">$CK59*SUM(OFFSET($AJ59,0,(COUNTA($CL$1:CO$1)-1)*4,1,4))/100</f>
        <v>15126.996390952381</v>
      </c>
      <c r="CP59" s="95">
        <f ca="1">$CK59*SUM(OFFSET($AJ59,0,(COUNTA($CL$1:CP$1)-1)*4,1,4))/100</f>
        <v>11609.090253521594</v>
      </c>
      <c r="CQ59" s="95">
        <f ca="1">$CK59*SUM(OFFSET($AJ59,0,(COUNTA($CL$1:CQ$1)-1)*4,1,4))/100</f>
        <v>12664.462094750828</v>
      </c>
      <c r="CR59" s="95">
        <f ca="1">$CK59*SUM(OFFSET($AJ59,0,(COUNTA($CL$1:CR$1)-1)*4,1,4))/100</f>
        <v>8794.7653435769662</v>
      </c>
      <c r="CS59" s="95">
        <f ca="1">$CK59*SUM(OFFSET($AJ59,0,(COUNTA($CL$1:CS$1)-1)*4,1,4))/100</f>
        <v>5980.440433632336</v>
      </c>
      <c r="CT59" s="95">
        <f ca="1">$CK59*SUM(OFFSET($AJ59,0,(COUNTA($CL$1:CT$1)-1)*4,1,4))/100</f>
        <v>2990.220216816168</v>
      </c>
      <c r="CU59" s="96">
        <f t="shared" si="4"/>
        <v>2809.3432835820895</v>
      </c>
      <c r="CV59" s="96">
        <f t="shared" si="5"/>
        <v>62.610827199181479</v>
      </c>
    </row>
    <row r="60" spans="1:100">
      <c r="A60" s="82" t="str">
        <f ca="1">IF(ISERROR(OFFSET(Map!$E$2,MATCH(D60,Map!$B$3:$B$239,0),0)),OFFSET(Map!$E$2,MATCH(D60,Map!$C$3:$C$239,0),0),OFFSET(Map!$E$2,MATCH(D60,Map!$B$3:$B$239,0),0))</f>
        <v>OR Tambo</v>
      </c>
      <c r="B60" s="82">
        <v>59</v>
      </c>
      <c r="C60" s="82" t="s">
        <v>54</v>
      </c>
      <c r="D60" s="82" t="s">
        <v>322</v>
      </c>
      <c r="E60" s="82" t="s">
        <v>323</v>
      </c>
      <c r="F60" s="82">
        <v>451710</v>
      </c>
      <c r="G60" s="82">
        <v>35</v>
      </c>
      <c r="H60" s="82">
        <v>59.9</v>
      </c>
      <c r="I60" s="82">
        <f t="shared" si="0"/>
        <v>270574</v>
      </c>
      <c r="J60" s="82">
        <v>5.0999999999999996</v>
      </c>
      <c r="K60" s="82">
        <v>66.8</v>
      </c>
      <c r="L60" s="82">
        <v>85.3</v>
      </c>
      <c r="M60" s="82">
        <v>0.82</v>
      </c>
      <c r="N60" s="82">
        <v>149</v>
      </c>
      <c r="O60" s="82">
        <v>38.299999999999997</v>
      </c>
      <c r="P60" s="82">
        <f t="shared" si="1"/>
        <v>166944</v>
      </c>
      <c r="Q60" s="82">
        <v>48.3</v>
      </c>
      <c r="R60" s="82">
        <v>14</v>
      </c>
      <c r="S60" s="82">
        <v>10.7</v>
      </c>
      <c r="T60" s="82">
        <v>18.899999999999999</v>
      </c>
      <c r="U60" s="82">
        <v>105240</v>
      </c>
      <c r="V60" s="82">
        <v>48405</v>
      </c>
      <c r="W60" s="82">
        <v>4</v>
      </c>
      <c r="X60" s="82">
        <v>57.3</v>
      </c>
      <c r="Y60" s="82">
        <v>60.3</v>
      </c>
      <c r="Z60" s="82">
        <v>55.7</v>
      </c>
      <c r="AA60" s="82">
        <v>26.1</v>
      </c>
      <c r="AB60" s="82">
        <v>24.6</v>
      </c>
      <c r="AC60" s="82">
        <v>19.100000000000001</v>
      </c>
      <c r="AD60" s="82">
        <v>73.3</v>
      </c>
      <c r="AE60" s="82">
        <v>98.5</v>
      </c>
      <c r="AF60" s="82">
        <v>0.8</v>
      </c>
      <c r="AG60" s="82">
        <v>0.3</v>
      </c>
      <c r="AH60" s="82">
        <v>0.3</v>
      </c>
      <c r="AI60" s="82">
        <v>0.2</v>
      </c>
      <c r="AJ60" s="82">
        <v>6</v>
      </c>
      <c r="AK60" s="82">
        <v>5.9</v>
      </c>
      <c r="AL60" s="82">
        <v>5.7</v>
      </c>
      <c r="AM60" s="82">
        <v>5.6</v>
      </c>
      <c r="AN60" s="82">
        <v>6</v>
      </c>
      <c r="AO60" s="82">
        <v>5.7</v>
      </c>
      <c r="AP60" s="82">
        <v>6.7</v>
      </c>
      <c r="AQ60" s="82">
        <v>6.9</v>
      </c>
      <c r="AR60" s="82">
        <v>5</v>
      </c>
      <c r="AS60" s="82">
        <v>5.6</v>
      </c>
      <c r="AT60" s="82">
        <v>3.6</v>
      </c>
      <c r="AU60" s="82">
        <v>4.3</v>
      </c>
      <c r="AV60" s="82">
        <v>2.5</v>
      </c>
      <c r="AW60" s="82">
        <v>3.2</v>
      </c>
      <c r="AX60" s="82">
        <v>2</v>
      </c>
      <c r="AY60" s="82">
        <v>3</v>
      </c>
      <c r="AZ60" s="82">
        <v>1.7</v>
      </c>
      <c r="BA60" s="82">
        <v>2.7</v>
      </c>
      <c r="BB60" s="82">
        <v>1.5</v>
      </c>
      <c r="BC60" s="82">
        <v>1.5</v>
      </c>
      <c r="BD60" s="82">
        <v>1.3</v>
      </c>
      <c r="BE60" s="82">
        <v>2.2000000000000002</v>
      </c>
      <c r="BF60" s="82">
        <v>1.2</v>
      </c>
      <c r="BG60" s="82">
        <v>1.8</v>
      </c>
      <c r="BH60" s="82">
        <v>1</v>
      </c>
      <c r="BI60" s="82">
        <v>1.4</v>
      </c>
      <c r="BJ60" s="82">
        <v>0.6</v>
      </c>
      <c r="BK60" s="82">
        <v>0.8</v>
      </c>
      <c r="BL60" s="82">
        <v>0.6</v>
      </c>
      <c r="BM60" s="82">
        <v>1</v>
      </c>
      <c r="BN60" s="82">
        <v>0.3</v>
      </c>
      <c r="BO60" s="82">
        <v>0.6</v>
      </c>
      <c r="BP60" s="82">
        <v>0.2</v>
      </c>
      <c r="BQ60" s="82">
        <v>0.4</v>
      </c>
      <c r="BR60" s="82">
        <v>0.1</v>
      </c>
      <c r="BS60" s="82">
        <v>0.4</v>
      </c>
      <c r="BT60" s="82">
        <v>58980</v>
      </c>
      <c r="BU60" s="82">
        <v>36597</v>
      </c>
      <c r="BV60" s="82">
        <v>20022</v>
      </c>
      <c r="BW60" s="82">
        <v>155140</v>
      </c>
      <c r="BX60" s="82">
        <v>16.7</v>
      </c>
      <c r="BY60" s="82">
        <v>6.2</v>
      </c>
      <c r="BZ60" s="82">
        <v>11.6</v>
      </c>
      <c r="CA60" s="82">
        <v>21.3</v>
      </c>
      <c r="CB60" s="82">
        <v>19.7</v>
      </c>
      <c r="CC60" s="82">
        <v>9</v>
      </c>
      <c r="CD60" s="82">
        <v>6.9</v>
      </c>
      <c r="CE60" s="82">
        <v>5.0999999999999996</v>
      </c>
      <c r="CF60" s="82">
        <v>2.6</v>
      </c>
      <c r="CG60" s="82">
        <v>0.5</v>
      </c>
      <c r="CH60" s="82">
        <v>0.2</v>
      </c>
      <c r="CI60" s="82">
        <v>0.2</v>
      </c>
      <c r="CJ60" s="82">
        <f t="shared" si="2"/>
        <v>270739</v>
      </c>
      <c r="CK60" s="82">
        <f t="shared" si="3"/>
        <v>486160.80565213744</v>
      </c>
      <c r="CL60" s="95">
        <f ca="1">$CK60*SUM(OFFSET($AJ60,0,(COUNTA($CL$1:CL$1)-1)*4,1,4))/100</f>
        <v>112789.30691129589</v>
      </c>
      <c r="CM60" s="95">
        <f ca="1">$CK60*SUM(OFFSET($AJ60,0,(COUNTA($CL$1:CM$1)-1)*4,1,4))/100</f>
        <v>122998.68382999075</v>
      </c>
      <c r="CN60" s="95">
        <f ca="1">$CK60*SUM(OFFSET($AJ60,0,(COUNTA($CL$1:CN$1)-1)*4,1,4))/100</f>
        <v>89939.749045645425</v>
      </c>
      <c r="CO60" s="95">
        <f ca="1">$CK60*SUM(OFFSET($AJ60,0,(COUNTA($CL$1:CO$1)-1)*4,1,4))/100</f>
        <v>52019.206204778704</v>
      </c>
      <c r="CP60" s="95">
        <f ca="1">$CK60*SUM(OFFSET($AJ60,0,(COUNTA($CL$1:CP$1)-1)*4,1,4))/100</f>
        <v>35975.899618258176</v>
      </c>
      <c r="CQ60" s="95">
        <f ca="1">$CK60*SUM(OFFSET($AJ60,0,(COUNTA($CL$1:CQ$1)-1)*4,1,4))/100</f>
        <v>31600.452367388931</v>
      </c>
      <c r="CR60" s="95">
        <f ca="1">$CK60*SUM(OFFSET($AJ60,0,(COUNTA($CL$1:CR$1)-1)*4,1,4))/100</f>
        <v>18474.110614781221</v>
      </c>
      <c r="CS60" s="95">
        <f ca="1">$CK60*SUM(OFFSET($AJ60,0,(COUNTA($CL$1:CS$1)-1)*4,1,4))/100</f>
        <v>12154.020141303437</v>
      </c>
      <c r="CT60" s="95">
        <f ca="1">$CK60*SUM(OFFSET($AJ60,0,(COUNTA($CL$1:CT$1)-1)*4,1,4))/100</f>
        <v>5347.7688621735115</v>
      </c>
      <c r="CU60" s="96">
        <f t="shared" si="4"/>
        <v>3031.6107382550335</v>
      </c>
      <c r="CV60" s="96">
        <f t="shared" si="5"/>
        <v>160.36386186307249</v>
      </c>
    </row>
    <row r="61" spans="1:100">
      <c r="A61" s="82" t="str">
        <f ca="1">IF(ISERROR(OFFSET(Map!$E$2,MATCH(D61,Map!$B$3:$B$239,0),0)),OFFSET(Map!$E$2,MATCH(D61,Map!$C$3:$C$239,0),0),OFFSET(Map!$E$2,MATCH(D61,Map!$B$3:$B$239,0),0))</f>
        <v>Alfred Nzo</v>
      </c>
      <c r="B61" s="82">
        <v>60</v>
      </c>
      <c r="C61" s="82" t="s">
        <v>54</v>
      </c>
      <c r="D61" s="82" t="s">
        <v>324</v>
      </c>
      <c r="E61" s="82" t="s">
        <v>325</v>
      </c>
      <c r="F61" s="82">
        <v>203843</v>
      </c>
      <c r="G61" s="82">
        <v>38.4</v>
      </c>
      <c r="H61" s="82">
        <v>54.6</v>
      </c>
      <c r="I61" s="82">
        <f t="shared" si="0"/>
        <v>111298</v>
      </c>
      <c r="J61" s="82">
        <v>6.9</v>
      </c>
      <c r="K61" s="82">
        <v>83</v>
      </c>
      <c r="L61" s="82">
        <v>85</v>
      </c>
      <c r="M61" s="82">
        <v>0.46</v>
      </c>
      <c r="N61" s="82">
        <v>47</v>
      </c>
      <c r="O61" s="82">
        <v>38.700000000000003</v>
      </c>
      <c r="P61" s="82">
        <f t="shared" si="1"/>
        <v>68226</v>
      </c>
      <c r="Q61" s="82">
        <v>47.2</v>
      </c>
      <c r="R61" s="82">
        <v>9.4</v>
      </c>
      <c r="S61" s="82">
        <v>5.8</v>
      </c>
      <c r="T61" s="82">
        <v>12.7</v>
      </c>
      <c r="U61" s="82">
        <v>49527</v>
      </c>
      <c r="V61" s="82">
        <v>26641</v>
      </c>
      <c r="W61" s="82">
        <v>3.7</v>
      </c>
      <c r="X61" s="82">
        <v>55.3</v>
      </c>
      <c r="Y61" s="82">
        <v>49.7</v>
      </c>
      <c r="Z61" s="82">
        <v>55.3</v>
      </c>
      <c r="AA61" s="82">
        <v>10.4</v>
      </c>
      <c r="AB61" s="82">
        <v>10.9</v>
      </c>
      <c r="AC61" s="82">
        <v>12.2</v>
      </c>
      <c r="AD61" s="82">
        <v>44.9</v>
      </c>
      <c r="AE61" s="82">
        <v>98.1</v>
      </c>
      <c r="AF61" s="82">
        <v>0.9</v>
      </c>
      <c r="AG61" s="82">
        <v>0.3</v>
      </c>
      <c r="AH61" s="82">
        <v>0.7</v>
      </c>
      <c r="AI61" s="82">
        <v>0.1</v>
      </c>
      <c r="AJ61" s="82">
        <v>6.4</v>
      </c>
      <c r="AK61" s="82">
        <v>6.3</v>
      </c>
      <c r="AL61" s="82">
        <v>6.4</v>
      </c>
      <c r="AM61" s="82">
        <v>6.2</v>
      </c>
      <c r="AN61" s="82">
        <v>6.7</v>
      </c>
      <c r="AO61" s="82">
        <v>6.4</v>
      </c>
      <c r="AP61" s="82">
        <v>6.5</v>
      </c>
      <c r="AQ61" s="82">
        <v>6.3</v>
      </c>
      <c r="AR61" s="82">
        <v>4.2</v>
      </c>
      <c r="AS61" s="82">
        <v>4.4000000000000004</v>
      </c>
      <c r="AT61" s="82">
        <v>2.8</v>
      </c>
      <c r="AU61" s="82">
        <v>3.4</v>
      </c>
      <c r="AV61" s="82">
        <v>2.2000000000000002</v>
      </c>
      <c r="AW61" s="82">
        <v>2.8</v>
      </c>
      <c r="AX61" s="82">
        <v>1.8</v>
      </c>
      <c r="AY61" s="82">
        <v>2.6</v>
      </c>
      <c r="AZ61" s="82">
        <v>1.4</v>
      </c>
      <c r="BA61" s="82">
        <v>2.2999999999999998</v>
      </c>
      <c r="BB61" s="82">
        <v>1.5</v>
      </c>
      <c r="BC61" s="82">
        <v>1.5</v>
      </c>
      <c r="BD61" s="82">
        <v>1.4</v>
      </c>
      <c r="BE61" s="82">
        <v>2.2000000000000002</v>
      </c>
      <c r="BF61" s="82">
        <v>1.3</v>
      </c>
      <c r="BG61" s="82">
        <v>2.1</v>
      </c>
      <c r="BH61" s="82">
        <v>1.2</v>
      </c>
      <c r="BI61" s="82">
        <v>1.8</v>
      </c>
      <c r="BJ61" s="82">
        <v>0.8</v>
      </c>
      <c r="BK61" s="82">
        <v>1.4</v>
      </c>
      <c r="BL61" s="82">
        <v>0.6</v>
      </c>
      <c r="BM61" s="82">
        <v>1.1000000000000001</v>
      </c>
      <c r="BN61" s="82">
        <v>0.4</v>
      </c>
      <c r="BO61" s="82">
        <v>1</v>
      </c>
      <c r="BP61" s="82">
        <v>0.2</v>
      </c>
      <c r="BQ61" s="82">
        <v>0.7</v>
      </c>
      <c r="BR61" s="82">
        <v>0.2</v>
      </c>
      <c r="BS61" s="82">
        <v>0.5</v>
      </c>
      <c r="BT61" s="82">
        <v>24163</v>
      </c>
      <c r="BU61" s="82">
        <v>15243</v>
      </c>
      <c r="BV61" s="82">
        <v>8042</v>
      </c>
      <c r="BW61" s="82">
        <v>63927</v>
      </c>
      <c r="BX61" s="82">
        <v>16.8</v>
      </c>
      <c r="BY61" s="82">
        <v>7.3</v>
      </c>
      <c r="BZ61" s="82">
        <v>13.5</v>
      </c>
      <c r="CA61" s="82">
        <v>27.5</v>
      </c>
      <c r="CB61" s="82">
        <v>19.8</v>
      </c>
      <c r="CC61" s="82">
        <v>6.6</v>
      </c>
      <c r="CD61" s="82">
        <v>4.0999999999999996</v>
      </c>
      <c r="CE61" s="82">
        <v>2.8</v>
      </c>
      <c r="CF61" s="82">
        <v>1.3</v>
      </c>
      <c r="CG61" s="82">
        <v>0.2</v>
      </c>
      <c r="CH61" s="82">
        <v>0.1</v>
      </c>
      <c r="CI61" s="82">
        <v>0.1</v>
      </c>
      <c r="CJ61" s="82">
        <f t="shared" si="2"/>
        <v>111375</v>
      </c>
      <c r="CK61" s="82">
        <f t="shared" si="3"/>
        <v>212439.05786276681</v>
      </c>
      <c r="CL61" s="95">
        <f ca="1">$CK61*SUM(OFFSET($AJ61,0,(COUNTA($CL$1:CL$1)-1)*4,1,4))/100</f>
        <v>53747.081639280004</v>
      </c>
      <c r="CM61" s="95">
        <f ca="1">$CK61*SUM(OFFSET($AJ61,0,(COUNTA($CL$1:CM$1)-1)*4,1,4))/100</f>
        <v>55021.715986456613</v>
      </c>
      <c r="CN61" s="95">
        <f ca="1">$CK61*SUM(OFFSET($AJ61,0,(COUNTA($CL$1:CN$1)-1)*4,1,4))/100</f>
        <v>31440.980563689493</v>
      </c>
      <c r="CO61" s="95">
        <f ca="1">$CK61*SUM(OFFSET($AJ61,0,(COUNTA($CL$1:CO$1)-1)*4,1,4))/100</f>
        <v>19969.271439100081</v>
      </c>
      <c r="CP61" s="95">
        <f ca="1">$CK61*SUM(OFFSET($AJ61,0,(COUNTA($CL$1:CP$1)-1)*4,1,4))/100</f>
        <v>14233.416876805375</v>
      </c>
      <c r="CQ61" s="95">
        <f ca="1">$CK61*SUM(OFFSET($AJ61,0,(COUNTA($CL$1:CQ$1)-1)*4,1,4))/100</f>
        <v>14870.734050393678</v>
      </c>
      <c r="CR61" s="95">
        <f ca="1">$CK61*SUM(OFFSET($AJ61,0,(COUNTA($CL$1:CR$1)-1)*4,1,4))/100</f>
        <v>11046.831008863874</v>
      </c>
      <c r="CS61" s="95">
        <f ca="1">$CK61*SUM(OFFSET($AJ61,0,(COUNTA($CL$1:CS$1)-1)*4,1,4))/100</f>
        <v>6585.6107937457718</v>
      </c>
      <c r="CT61" s="95">
        <f ca="1">$CK61*SUM(OFFSET($AJ61,0,(COUNTA($CL$1:CT$1)-1)*4,1,4))/100</f>
        <v>3399.0249258042686</v>
      </c>
      <c r="CU61" s="96">
        <f t="shared" si="4"/>
        <v>4337.0851063829787</v>
      </c>
      <c r="CV61" s="96">
        <f t="shared" si="5"/>
        <v>48.981989666312018</v>
      </c>
    </row>
    <row r="62" spans="1:100">
      <c r="A62" s="82" t="str">
        <f ca="1">IF(ISERROR(OFFSET(Map!$E$2,MATCH(D62,Map!$B$3:$B$239,0),0)),OFFSET(Map!$E$2,MATCH(D62,Map!$C$3:$C$239,0),0),OFFSET(Map!$E$2,MATCH(D62,Map!$B$3:$B$239,0),0))</f>
        <v>Alfred Nzo</v>
      </c>
      <c r="B62" s="82">
        <v>61</v>
      </c>
      <c r="C62" s="82" t="s">
        <v>54</v>
      </c>
      <c r="D62" s="82" t="s">
        <v>326</v>
      </c>
      <c r="E62" s="82" t="s">
        <v>327</v>
      </c>
      <c r="F62" s="82">
        <v>191620</v>
      </c>
      <c r="G62" s="82">
        <v>38.299999999999997</v>
      </c>
      <c r="H62" s="82">
        <v>55</v>
      </c>
      <c r="I62" s="82">
        <f t="shared" si="0"/>
        <v>105391</v>
      </c>
      <c r="J62" s="82">
        <v>6.7</v>
      </c>
      <c r="K62" s="82">
        <v>81.900000000000006</v>
      </c>
      <c r="L62" s="82">
        <v>84.8</v>
      </c>
      <c r="M62" s="82">
        <v>-0.55000000000000004</v>
      </c>
      <c r="N62" s="82">
        <v>74</v>
      </c>
      <c r="O62" s="82">
        <v>45.9</v>
      </c>
      <c r="P62" s="82">
        <f t="shared" si="1"/>
        <v>57017</v>
      </c>
      <c r="Q62" s="82">
        <v>54.5</v>
      </c>
      <c r="R62" s="82">
        <v>8</v>
      </c>
      <c r="S62" s="82">
        <v>6.5</v>
      </c>
      <c r="T62" s="82">
        <v>13.7</v>
      </c>
      <c r="U62" s="82">
        <v>46891</v>
      </c>
      <c r="V62" s="82">
        <v>26714</v>
      </c>
      <c r="W62" s="82">
        <v>3.8</v>
      </c>
      <c r="X62" s="82">
        <v>58.7</v>
      </c>
      <c r="Y62" s="82">
        <v>37.700000000000003</v>
      </c>
      <c r="Z62" s="82">
        <v>61.7</v>
      </c>
      <c r="AA62" s="82">
        <v>5.3</v>
      </c>
      <c r="AB62" s="82">
        <v>7.1</v>
      </c>
      <c r="AC62" s="82">
        <v>4.4000000000000004</v>
      </c>
      <c r="AD62" s="82">
        <v>45.2</v>
      </c>
      <c r="AE62" s="82">
        <v>99.4</v>
      </c>
      <c r="AF62" s="82">
        <v>0.3</v>
      </c>
      <c r="AG62" s="82">
        <v>0.1</v>
      </c>
      <c r="AH62" s="82">
        <v>0.1</v>
      </c>
      <c r="AI62" s="82">
        <v>0.1</v>
      </c>
      <c r="AJ62" s="82">
        <v>6.7</v>
      </c>
      <c r="AK62" s="82">
        <v>6.4</v>
      </c>
      <c r="AL62" s="82">
        <v>6.3</v>
      </c>
      <c r="AM62" s="82">
        <v>6.3</v>
      </c>
      <c r="AN62" s="82">
        <v>6.4</v>
      </c>
      <c r="AO62" s="82">
        <v>6.1</v>
      </c>
      <c r="AP62" s="82">
        <v>6.5</v>
      </c>
      <c r="AQ62" s="82">
        <v>6.3</v>
      </c>
      <c r="AR62" s="82">
        <v>4.4000000000000004</v>
      </c>
      <c r="AS62" s="82">
        <v>4.5999999999999996</v>
      </c>
      <c r="AT62" s="82">
        <v>3</v>
      </c>
      <c r="AU62" s="82">
        <v>3.5</v>
      </c>
      <c r="AV62" s="82">
        <v>2.2999999999999998</v>
      </c>
      <c r="AW62" s="82">
        <v>2.8</v>
      </c>
      <c r="AX62" s="82">
        <v>1.9</v>
      </c>
      <c r="AY62" s="82">
        <v>2.6</v>
      </c>
      <c r="AZ62" s="82">
        <v>1.5</v>
      </c>
      <c r="BA62" s="82">
        <v>2.2999999999999998</v>
      </c>
      <c r="BB62" s="82">
        <v>1.3</v>
      </c>
      <c r="BC62" s="82">
        <v>1.3</v>
      </c>
      <c r="BD62" s="82">
        <v>1.4</v>
      </c>
      <c r="BE62" s="82">
        <v>2.2000000000000002</v>
      </c>
      <c r="BF62" s="82">
        <v>1.1000000000000001</v>
      </c>
      <c r="BG62" s="82">
        <v>2.1</v>
      </c>
      <c r="BH62" s="82">
        <v>1.1000000000000001</v>
      </c>
      <c r="BI62" s="82">
        <v>1.8</v>
      </c>
      <c r="BJ62" s="82">
        <v>0.8</v>
      </c>
      <c r="BK62" s="82">
        <v>1.4</v>
      </c>
      <c r="BL62" s="82">
        <v>0.6</v>
      </c>
      <c r="BM62" s="82">
        <v>1.1000000000000001</v>
      </c>
      <c r="BN62" s="82">
        <v>0.4</v>
      </c>
      <c r="BO62" s="82">
        <v>1</v>
      </c>
      <c r="BP62" s="82">
        <v>0.2</v>
      </c>
      <c r="BQ62" s="82">
        <v>0.7</v>
      </c>
      <c r="BR62" s="82">
        <v>0.1</v>
      </c>
      <c r="BS62" s="82">
        <v>0.4</v>
      </c>
      <c r="BT62" s="82">
        <v>18413</v>
      </c>
      <c r="BU62" s="82">
        <v>15635</v>
      </c>
      <c r="BV62" s="82">
        <v>10980</v>
      </c>
      <c r="BW62" s="82">
        <v>60331</v>
      </c>
      <c r="BX62" s="82">
        <v>16.100000000000001</v>
      </c>
      <c r="BY62" s="82">
        <v>7.2</v>
      </c>
      <c r="BZ62" s="82">
        <v>14</v>
      </c>
      <c r="CA62" s="82">
        <v>25.7</v>
      </c>
      <c r="CB62" s="82">
        <v>21.1</v>
      </c>
      <c r="CC62" s="82">
        <v>6.9</v>
      </c>
      <c r="CD62" s="82">
        <v>4.7</v>
      </c>
      <c r="CE62" s="82">
        <v>2.8</v>
      </c>
      <c r="CF62" s="82">
        <v>1</v>
      </c>
      <c r="CG62" s="82">
        <v>0.1</v>
      </c>
      <c r="CH62" s="82">
        <v>0.1</v>
      </c>
      <c r="CI62" s="82">
        <v>0.1</v>
      </c>
      <c r="CJ62" s="82">
        <f t="shared" si="2"/>
        <v>105359</v>
      </c>
      <c r="CK62" s="82">
        <f t="shared" si="3"/>
        <v>182340.82816699983</v>
      </c>
      <c r="CL62" s="95">
        <f ca="1">$CK62*SUM(OFFSET($AJ62,0,(COUNTA($CL$1:CL$1)-1)*4,1,4))/100</f>
        <v>46861.592838918958</v>
      </c>
      <c r="CM62" s="95">
        <f ca="1">$CK62*SUM(OFFSET($AJ62,0,(COUNTA($CL$1:CM$1)-1)*4,1,4))/100</f>
        <v>46132.229526250958</v>
      </c>
      <c r="CN62" s="95">
        <f ca="1">$CK62*SUM(OFFSET($AJ62,0,(COUNTA($CL$1:CN$1)-1)*4,1,4))/100</f>
        <v>28262.828365884972</v>
      </c>
      <c r="CO62" s="95">
        <f ca="1">$CK62*SUM(OFFSET($AJ62,0,(COUNTA($CL$1:CO$1)-1)*4,1,4))/100</f>
        <v>17504.719504031982</v>
      </c>
      <c r="CP62" s="95">
        <f ca="1">$CK62*SUM(OFFSET($AJ62,0,(COUNTA($CL$1:CP$1)-1)*4,1,4))/100</f>
        <v>11669.813002687988</v>
      </c>
      <c r="CQ62" s="95">
        <f ca="1">$CK62*SUM(OFFSET($AJ62,0,(COUNTA($CL$1:CQ$1)-1)*4,1,4))/100</f>
        <v>12399.17631535599</v>
      </c>
      <c r="CR62" s="95">
        <f ca="1">$CK62*SUM(OFFSET($AJ62,0,(COUNTA($CL$1:CR$1)-1)*4,1,4))/100</f>
        <v>9299.3822365169908</v>
      </c>
      <c r="CS62" s="95">
        <f ca="1">$CK62*SUM(OFFSET($AJ62,0,(COUNTA($CL$1:CS$1)-1)*4,1,4))/100</f>
        <v>5652.5656731769941</v>
      </c>
      <c r="CT62" s="95">
        <f ca="1">$CK62*SUM(OFFSET($AJ62,0,(COUNTA($CL$1:CT$1)-1)*4,1,4))/100</f>
        <v>2552.7715943379972</v>
      </c>
      <c r="CU62" s="96">
        <f t="shared" si="4"/>
        <v>2589.4594594594596</v>
      </c>
      <c r="CV62" s="96">
        <f t="shared" si="5"/>
        <v>70.416560298288204</v>
      </c>
    </row>
    <row r="63" spans="1:100">
      <c r="A63" s="82" t="str">
        <f ca="1">IF(ISERROR(OFFSET(Map!$E$2,MATCH(D63,Map!$B$3:$B$239,0),0)),OFFSET(Map!$E$2,MATCH(D63,Map!$C$3:$C$239,0),0),OFFSET(Map!$E$2,MATCH(D63,Map!$B$3:$B$239,0),0))</f>
        <v>Alfred Nzo</v>
      </c>
      <c r="B63" s="82">
        <v>62</v>
      </c>
      <c r="C63" s="82" t="s">
        <v>54</v>
      </c>
      <c r="D63" s="82" t="s">
        <v>328</v>
      </c>
      <c r="E63" s="82" t="s">
        <v>329</v>
      </c>
      <c r="F63" s="82">
        <v>281905</v>
      </c>
      <c r="G63" s="82">
        <v>44.2</v>
      </c>
      <c r="H63" s="82">
        <v>50.6</v>
      </c>
      <c r="I63" s="82">
        <f t="shared" si="0"/>
        <v>142644</v>
      </c>
      <c r="J63" s="82">
        <v>5.2</v>
      </c>
      <c r="K63" s="82">
        <v>97.5</v>
      </c>
      <c r="L63" s="82">
        <v>83.6</v>
      </c>
      <c r="M63" s="82">
        <v>1.37</v>
      </c>
      <c r="N63" s="82">
        <v>117</v>
      </c>
      <c r="O63" s="82">
        <v>43.6</v>
      </c>
      <c r="P63" s="82">
        <f t="shared" si="1"/>
        <v>80451</v>
      </c>
      <c r="Q63" s="82">
        <v>52.4</v>
      </c>
      <c r="R63" s="82">
        <v>19.399999999999999</v>
      </c>
      <c r="S63" s="82">
        <v>5.0999999999999996</v>
      </c>
      <c r="T63" s="82">
        <v>13</v>
      </c>
      <c r="U63" s="82">
        <v>48447</v>
      </c>
      <c r="V63" s="82">
        <v>30533</v>
      </c>
      <c r="W63" s="82">
        <v>5</v>
      </c>
      <c r="X63" s="82">
        <v>61.7</v>
      </c>
      <c r="Y63" s="82">
        <v>43.7</v>
      </c>
      <c r="Z63" s="82">
        <v>60.4</v>
      </c>
      <c r="AA63" s="82">
        <v>1.1000000000000001</v>
      </c>
      <c r="AB63" s="82">
        <v>2</v>
      </c>
      <c r="AC63" s="82">
        <v>2.2999999999999998</v>
      </c>
      <c r="AD63" s="82">
        <v>60</v>
      </c>
      <c r="AE63" s="82">
        <v>99.6</v>
      </c>
      <c r="AF63" s="82">
        <v>0.2</v>
      </c>
      <c r="AG63" s="82">
        <v>0.1</v>
      </c>
      <c r="AH63" s="82">
        <v>0.1</v>
      </c>
      <c r="AI63" s="82">
        <v>0</v>
      </c>
      <c r="AJ63" s="82">
        <v>7.6</v>
      </c>
      <c r="AK63" s="82">
        <v>7.5</v>
      </c>
      <c r="AL63" s="82">
        <v>7.3</v>
      </c>
      <c r="AM63" s="82">
        <v>7</v>
      </c>
      <c r="AN63" s="82">
        <v>7.5</v>
      </c>
      <c r="AO63" s="82">
        <v>7.1</v>
      </c>
      <c r="AP63" s="82">
        <v>7</v>
      </c>
      <c r="AQ63" s="82">
        <v>7</v>
      </c>
      <c r="AR63" s="82">
        <v>4</v>
      </c>
      <c r="AS63" s="82">
        <v>4.5999999999999996</v>
      </c>
      <c r="AT63" s="82">
        <v>2.6</v>
      </c>
      <c r="AU63" s="82">
        <v>3.5</v>
      </c>
      <c r="AV63" s="82">
        <v>1.7</v>
      </c>
      <c r="AW63" s="82">
        <v>2.6</v>
      </c>
      <c r="AX63" s="82">
        <v>1.4</v>
      </c>
      <c r="AY63" s="82">
        <v>2.5</v>
      </c>
      <c r="AZ63" s="82">
        <v>1.1000000000000001</v>
      </c>
      <c r="BA63" s="82">
        <v>2.2999999999999998</v>
      </c>
      <c r="BB63" s="82">
        <v>1</v>
      </c>
      <c r="BC63" s="82">
        <v>1</v>
      </c>
      <c r="BD63" s="82">
        <v>1.1000000000000001</v>
      </c>
      <c r="BE63" s="82">
        <v>2</v>
      </c>
      <c r="BF63" s="82">
        <v>0.9</v>
      </c>
      <c r="BG63" s="82">
        <v>1.3</v>
      </c>
      <c r="BH63" s="82">
        <v>0.8</v>
      </c>
      <c r="BI63" s="82">
        <v>1.3</v>
      </c>
      <c r="BJ63" s="82">
        <v>0.5</v>
      </c>
      <c r="BK63" s="82">
        <v>1</v>
      </c>
      <c r="BL63" s="82">
        <v>0.5</v>
      </c>
      <c r="BM63" s="82">
        <v>1</v>
      </c>
      <c r="BN63" s="82">
        <v>0.3</v>
      </c>
      <c r="BO63" s="82">
        <v>0.7</v>
      </c>
      <c r="BP63" s="82">
        <v>0.2</v>
      </c>
      <c r="BQ63" s="82">
        <v>0.6</v>
      </c>
      <c r="BR63" s="82">
        <v>0.1</v>
      </c>
      <c r="BS63" s="82">
        <v>0.3</v>
      </c>
      <c r="BT63" s="82">
        <v>19338</v>
      </c>
      <c r="BU63" s="82">
        <v>14967</v>
      </c>
      <c r="BV63" s="82">
        <v>14618</v>
      </c>
      <c r="BW63" s="82">
        <v>93807</v>
      </c>
      <c r="BX63" s="82">
        <v>15.9</v>
      </c>
      <c r="BY63" s="82">
        <v>7</v>
      </c>
      <c r="BZ63" s="82">
        <v>14.9</v>
      </c>
      <c r="CA63" s="82">
        <v>25.8</v>
      </c>
      <c r="CB63" s="82">
        <v>21</v>
      </c>
      <c r="CC63" s="82">
        <v>6.9</v>
      </c>
      <c r="CD63" s="82">
        <v>4.3</v>
      </c>
      <c r="CE63" s="82">
        <v>2.5</v>
      </c>
      <c r="CF63" s="82">
        <v>1.1000000000000001</v>
      </c>
      <c r="CG63" s="82">
        <v>0.2</v>
      </c>
      <c r="CH63" s="82">
        <v>0.1</v>
      </c>
      <c r="CI63" s="82">
        <v>0.1</v>
      </c>
      <c r="CJ63" s="82">
        <f t="shared" si="2"/>
        <v>142730</v>
      </c>
      <c r="CK63" s="82">
        <f t="shared" si="3"/>
        <v>318630.83175387664</v>
      </c>
      <c r="CL63" s="95">
        <f ca="1">$CK63*SUM(OFFSET($AJ63,0,(COUNTA($CL$1:CL$1)-1)*4,1,4))/100</f>
        <v>93677.464535639738</v>
      </c>
      <c r="CM63" s="95">
        <f ca="1">$CK63*SUM(OFFSET($AJ63,0,(COUNTA($CL$1:CM$1)-1)*4,1,4))/100</f>
        <v>91128.417881608722</v>
      </c>
      <c r="CN63" s="95">
        <f ca="1">$CK63*SUM(OFFSET($AJ63,0,(COUNTA($CL$1:CN$1)-1)*4,1,4))/100</f>
        <v>46838.732267819869</v>
      </c>
      <c r="CO63" s="95">
        <f ca="1">$CK63*SUM(OFFSET($AJ63,0,(COUNTA($CL$1:CO$1)-1)*4,1,4))/100</f>
        <v>26127.728203817882</v>
      </c>
      <c r="CP63" s="95">
        <f ca="1">$CK63*SUM(OFFSET($AJ63,0,(COUNTA($CL$1:CP$1)-1)*4,1,4))/100</f>
        <v>17206.064914709339</v>
      </c>
      <c r="CQ63" s="95">
        <f ca="1">$CK63*SUM(OFFSET($AJ63,0,(COUNTA($CL$1:CQ$1)-1)*4,1,4))/100</f>
        <v>16887.43408295546</v>
      </c>
      <c r="CR63" s="95">
        <f ca="1">$CK63*SUM(OFFSET($AJ63,0,(COUNTA($CL$1:CR$1)-1)*4,1,4))/100</f>
        <v>11470.70994313956</v>
      </c>
      <c r="CS63" s="95">
        <f ca="1">$CK63*SUM(OFFSET($AJ63,0,(COUNTA($CL$1:CS$1)-1)*4,1,4))/100</f>
        <v>7965.7707938469157</v>
      </c>
      <c r="CT63" s="95">
        <f ca="1">$CK63*SUM(OFFSET($AJ63,0,(COUNTA($CL$1:CT$1)-1)*4,1,4))/100</f>
        <v>3823.5699810465198</v>
      </c>
      <c r="CU63" s="96">
        <f t="shared" si="4"/>
        <v>2409.4444444444443</v>
      </c>
      <c r="CV63" s="96">
        <f t="shared" si="5"/>
        <v>132.24244804172884</v>
      </c>
    </row>
    <row r="64" spans="1:100">
      <c r="A64" s="82" t="str">
        <f ca="1">IF(ISERROR(OFFSET(Map!$E$2,MATCH(D64,Map!$B$3:$B$239,0),0)),OFFSET(Map!$E$2,MATCH(D64,Map!$C$3:$C$239,0),0),OFFSET(Map!$E$2,MATCH(D64,Map!$B$3:$B$239,0),0))</f>
        <v>Alfred Nzo</v>
      </c>
      <c r="B64" s="82">
        <v>63</v>
      </c>
      <c r="C64" s="82" t="s">
        <v>54</v>
      </c>
      <c r="D64" s="82" t="s">
        <v>330</v>
      </c>
      <c r="E64" s="82" t="s">
        <v>331</v>
      </c>
      <c r="F64" s="82">
        <v>123976</v>
      </c>
      <c r="G64" s="82">
        <v>41.5</v>
      </c>
      <c r="H64" s="82">
        <v>52.2</v>
      </c>
      <c r="I64" s="82">
        <f t="shared" si="0"/>
        <v>64715</v>
      </c>
      <c r="J64" s="82">
        <v>6.3</v>
      </c>
      <c r="K64" s="82">
        <v>91.7</v>
      </c>
      <c r="L64" s="82">
        <v>83.8</v>
      </c>
      <c r="M64" s="82">
        <v>-0.55000000000000004</v>
      </c>
      <c r="N64" s="82">
        <v>90</v>
      </c>
      <c r="O64" s="82">
        <v>50.6</v>
      </c>
      <c r="P64" s="82">
        <f t="shared" si="1"/>
        <v>31969</v>
      </c>
      <c r="Q64" s="82">
        <v>60.7</v>
      </c>
      <c r="R64" s="82">
        <v>17.899999999999999</v>
      </c>
      <c r="S64" s="82">
        <v>3.9</v>
      </c>
      <c r="T64" s="82">
        <v>9.6999999999999993</v>
      </c>
      <c r="U64" s="82">
        <v>24397</v>
      </c>
      <c r="V64" s="82">
        <v>15679</v>
      </c>
      <c r="W64" s="82">
        <v>4.5999999999999996</v>
      </c>
      <c r="X64" s="82">
        <v>60.4</v>
      </c>
      <c r="Y64" s="82">
        <v>24.8</v>
      </c>
      <c r="Z64" s="82">
        <v>64.400000000000006</v>
      </c>
      <c r="AA64" s="82">
        <v>2.2000000000000002</v>
      </c>
      <c r="AB64" s="82">
        <v>4</v>
      </c>
      <c r="AC64" s="82">
        <v>2.7</v>
      </c>
      <c r="AD64" s="82">
        <v>23.3</v>
      </c>
      <c r="AE64" s="82">
        <v>99.4</v>
      </c>
      <c r="AF64" s="82">
        <v>0.4</v>
      </c>
      <c r="AG64" s="82">
        <v>0.1</v>
      </c>
      <c r="AH64" s="82">
        <v>0.1</v>
      </c>
      <c r="AI64" s="82">
        <v>0.1</v>
      </c>
      <c r="AJ64" s="82">
        <v>7.2</v>
      </c>
      <c r="AK64" s="82">
        <v>7.2</v>
      </c>
      <c r="AL64" s="82">
        <v>6.8</v>
      </c>
      <c r="AM64" s="82">
        <v>6.9</v>
      </c>
      <c r="AN64" s="82">
        <v>6.9</v>
      </c>
      <c r="AO64" s="82">
        <v>6.5</v>
      </c>
      <c r="AP64" s="82">
        <v>6.6</v>
      </c>
      <c r="AQ64" s="82">
        <v>6.8</v>
      </c>
      <c r="AR64" s="82">
        <v>4.4000000000000004</v>
      </c>
      <c r="AS64" s="82">
        <v>4.5999999999999996</v>
      </c>
      <c r="AT64" s="82">
        <v>2.9</v>
      </c>
      <c r="AU64" s="82">
        <v>3.4</v>
      </c>
      <c r="AV64" s="82">
        <v>2</v>
      </c>
      <c r="AW64" s="82">
        <v>2.5</v>
      </c>
      <c r="AX64" s="82">
        <v>1.5</v>
      </c>
      <c r="AY64" s="82">
        <v>2.4</v>
      </c>
      <c r="AZ64" s="82">
        <v>1.1000000000000001</v>
      </c>
      <c r="BA64" s="82">
        <v>2.2000000000000002</v>
      </c>
      <c r="BB64" s="82">
        <v>1.1000000000000001</v>
      </c>
      <c r="BC64" s="82">
        <v>1.1000000000000001</v>
      </c>
      <c r="BD64" s="82">
        <v>1.1000000000000001</v>
      </c>
      <c r="BE64" s="82">
        <v>2</v>
      </c>
      <c r="BF64" s="82">
        <v>1</v>
      </c>
      <c r="BG64" s="82">
        <v>1.8</v>
      </c>
      <c r="BH64" s="82">
        <v>0.9</v>
      </c>
      <c r="BI64" s="82">
        <v>1.6</v>
      </c>
      <c r="BJ64" s="82">
        <v>0.6</v>
      </c>
      <c r="BK64" s="82">
        <v>1.1000000000000001</v>
      </c>
      <c r="BL64" s="82">
        <v>0.5</v>
      </c>
      <c r="BM64" s="82">
        <v>1.1000000000000001</v>
      </c>
      <c r="BN64" s="82">
        <v>0.3</v>
      </c>
      <c r="BO64" s="82">
        <v>0.9</v>
      </c>
      <c r="BP64" s="82">
        <v>0.3</v>
      </c>
      <c r="BQ64" s="82">
        <v>0.7</v>
      </c>
      <c r="BR64" s="82">
        <v>0.2</v>
      </c>
      <c r="BS64" s="82">
        <v>0.5</v>
      </c>
      <c r="BT64" s="82">
        <v>6795</v>
      </c>
      <c r="BU64" s="82">
        <v>6971</v>
      </c>
      <c r="BV64" s="82">
        <v>7410</v>
      </c>
      <c r="BW64" s="82">
        <v>43487</v>
      </c>
      <c r="BX64" s="82">
        <v>15.7</v>
      </c>
      <c r="BY64" s="82">
        <v>7.1</v>
      </c>
      <c r="BZ64" s="82">
        <v>14.2</v>
      </c>
      <c r="CA64" s="82">
        <v>27.8</v>
      </c>
      <c r="CB64" s="82">
        <v>22.1</v>
      </c>
      <c r="CC64" s="82">
        <v>6.6</v>
      </c>
      <c r="CD64" s="82">
        <v>3.5</v>
      </c>
      <c r="CE64" s="82">
        <v>1.9</v>
      </c>
      <c r="CF64" s="82">
        <v>0.8</v>
      </c>
      <c r="CG64" s="82">
        <v>0.1</v>
      </c>
      <c r="CH64" s="82">
        <v>0.1</v>
      </c>
      <c r="CI64" s="82">
        <v>0.1</v>
      </c>
      <c r="CJ64" s="82">
        <f t="shared" si="2"/>
        <v>64663</v>
      </c>
      <c r="CK64" s="82">
        <f t="shared" si="3"/>
        <v>117972.47945325106</v>
      </c>
      <c r="CL64" s="95">
        <f ca="1">$CK64*SUM(OFFSET($AJ64,0,(COUNTA($CL$1:CL$1)-1)*4,1,4))/100</f>
        <v>33150.266726363545</v>
      </c>
      <c r="CM64" s="95">
        <f ca="1">$CK64*SUM(OFFSET($AJ64,0,(COUNTA($CL$1:CM$1)-1)*4,1,4))/100</f>
        <v>31616.624493471285</v>
      </c>
      <c r="CN64" s="95">
        <f ca="1">$CK64*SUM(OFFSET($AJ64,0,(COUNTA($CL$1:CN$1)-1)*4,1,4))/100</f>
        <v>18049.789356347414</v>
      </c>
      <c r="CO64" s="95">
        <f ca="1">$CK64*SUM(OFFSET($AJ64,0,(COUNTA($CL$1:CO$1)-1)*4,1,4))/100</f>
        <v>9909.6882740730889</v>
      </c>
      <c r="CP64" s="95">
        <f ca="1">$CK64*SUM(OFFSET($AJ64,0,(COUNTA($CL$1:CP$1)-1)*4,1,4))/100</f>
        <v>6488.486369928808</v>
      </c>
      <c r="CQ64" s="95">
        <f ca="1">$CK64*SUM(OFFSET($AJ64,0,(COUNTA($CL$1:CQ$1)-1)*4,1,4))/100</f>
        <v>6960.3762877418112</v>
      </c>
      <c r="CR64" s="95">
        <f ca="1">$CK64*SUM(OFFSET($AJ64,0,(COUNTA($CL$1:CR$1)-1)*4,1,4))/100</f>
        <v>4954.8441370365445</v>
      </c>
      <c r="CS64" s="95">
        <f ca="1">$CK64*SUM(OFFSET($AJ64,0,(COUNTA($CL$1:CS$1)-1)*4,1,4))/100</f>
        <v>3303.2294246910296</v>
      </c>
      <c r="CT64" s="95">
        <f ca="1">$CK64*SUM(OFFSET($AJ64,0,(COUNTA($CL$1:CT$1)-1)*4,1,4))/100</f>
        <v>2005.5321507052679</v>
      </c>
      <c r="CU64" s="96">
        <f t="shared" si="4"/>
        <v>1377.5111111111112</v>
      </c>
      <c r="CV64" s="96">
        <f t="shared" si="5"/>
        <v>85.641762524945108</v>
      </c>
    </row>
    <row r="65" spans="1:100">
      <c r="A65" s="82" t="str">
        <f ca="1">IF(ISERROR(OFFSET(Map!$E$2,MATCH(D65,Map!$B$3:$B$239,0),0)),OFFSET(Map!$E$2,MATCH(D65,Map!$C$3:$C$239,0),0),OFFSET(Map!$E$2,MATCH(D65,Map!$B$3:$B$239,0),0))</f>
        <v>Nelson Mandela Bay Metropolitan Municipality</v>
      </c>
      <c r="B65" s="82">
        <v>64</v>
      </c>
      <c r="C65" s="82" t="s">
        <v>54</v>
      </c>
      <c r="D65" s="82" t="s">
        <v>332</v>
      </c>
      <c r="E65" s="82" t="s">
        <v>103</v>
      </c>
      <c r="F65" s="82">
        <v>1152115</v>
      </c>
      <c r="G65" s="82">
        <v>25.5</v>
      </c>
      <c r="H65" s="82">
        <v>68.5</v>
      </c>
      <c r="I65" s="82">
        <f t="shared" si="0"/>
        <v>789199</v>
      </c>
      <c r="J65" s="82">
        <v>6</v>
      </c>
      <c r="K65" s="82">
        <v>46</v>
      </c>
      <c r="L65" s="82">
        <v>92.3</v>
      </c>
      <c r="M65" s="82">
        <v>1.36</v>
      </c>
      <c r="N65" s="82">
        <v>588</v>
      </c>
      <c r="O65" s="82">
        <v>36.6</v>
      </c>
      <c r="P65" s="82">
        <f t="shared" si="1"/>
        <v>500352</v>
      </c>
      <c r="Q65" s="82">
        <v>47.3</v>
      </c>
      <c r="R65" s="82">
        <v>3</v>
      </c>
      <c r="S65" s="82">
        <v>12</v>
      </c>
      <c r="T65" s="82">
        <v>30.5</v>
      </c>
      <c r="U65" s="82">
        <v>324292</v>
      </c>
      <c r="V65" s="82">
        <v>14165</v>
      </c>
      <c r="W65" s="82">
        <v>3.4</v>
      </c>
      <c r="X65" s="82">
        <v>40.6</v>
      </c>
      <c r="Y65" s="82">
        <v>87.2</v>
      </c>
      <c r="Z65" s="82">
        <v>61.4</v>
      </c>
      <c r="AA65" s="82">
        <v>87.4</v>
      </c>
      <c r="AB65" s="82">
        <v>82.9</v>
      </c>
      <c r="AC65" s="82">
        <v>74.099999999999994</v>
      </c>
      <c r="AD65" s="82">
        <v>90.5</v>
      </c>
      <c r="AE65" s="82">
        <v>60.1</v>
      </c>
      <c r="AF65" s="82">
        <v>23.6</v>
      </c>
      <c r="AG65" s="82">
        <v>1.1000000000000001</v>
      </c>
      <c r="AH65" s="82">
        <v>14.4</v>
      </c>
      <c r="AI65" s="82">
        <v>0.8</v>
      </c>
      <c r="AJ65" s="82">
        <v>4.9000000000000004</v>
      </c>
      <c r="AK65" s="82">
        <v>4.7</v>
      </c>
      <c r="AL65" s="82">
        <v>4.3</v>
      </c>
      <c r="AM65" s="82">
        <v>4.2</v>
      </c>
      <c r="AN65" s="82">
        <v>3.8</v>
      </c>
      <c r="AO65" s="82">
        <v>3.7</v>
      </c>
      <c r="AP65" s="82">
        <v>4.3</v>
      </c>
      <c r="AQ65" s="82">
        <v>4.4000000000000004</v>
      </c>
      <c r="AR65" s="82">
        <v>4.9000000000000004</v>
      </c>
      <c r="AS65" s="82">
        <v>5.0999999999999996</v>
      </c>
      <c r="AT65" s="82">
        <v>4.5999999999999996</v>
      </c>
      <c r="AU65" s="82">
        <v>4.7</v>
      </c>
      <c r="AV65" s="82">
        <v>3.7</v>
      </c>
      <c r="AW65" s="82">
        <v>3.9</v>
      </c>
      <c r="AX65" s="82">
        <v>3.4</v>
      </c>
      <c r="AY65" s="82">
        <v>3.7</v>
      </c>
      <c r="AZ65" s="82">
        <v>3.1</v>
      </c>
      <c r="BA65" s="82">
        <v>3.5</v>
      </c>
      <c r="BB65" s="82">
        <v>2.8</v>
      </c>
      <c r="BC65" s="82">
        <v>2.8</v>
      </c>
      <c r="BD65" s="82">
        <v>2.4</v>
      </c>
      <c r="BE65" s="82">
        <v>3</v>
      </c>
      <c r="BF65" s="82">
        <v>2</v>
      </c>
      <c r="BG65" s="82">
        <v>2.4</v>
      </c>
      <c r="BH65" s="82">
        <v>1.5</v>
      </c>
      <c r="BI65" s="82">
        <v>1.8</v>
      </c>
      <c r="BJ65" s="82">
        <v>0.9</v>
      </c>
      <c r="BK65" s="82">
        <v>1.3</v>
      </c>
      <c r="BL65" s="82">
        <v>0.6</v>
      </c>
      <c r="BM65" s="82">
        <v>1</v>
      </c>
      <c r="BN65" s="82">
        <v>0.4</v>
      </c>
      <c r="BO65" s="82">
        <v>0.7</v>
      </c>
      <c r="BP65" s="82">
        <v>0.2</v>
      </c>
      <c r="BQ65" s="82">
        <v>0.4</v>
      </c>
      <c r="BR65" s="82">
        <v>0.1</v>
      </c>
      <c r="BS65" s="82">
        <v>0.3</v>
      </c>
      <c r="BT65" s="82">
        <v>290155</v>
      </c>
      <c r="BU65" s="82">
        <v>167229</v>
      </c>
      <c r="BV65" s="82">
        <v>41859</v>
      </c>
      <c r="BW65" s="82">
        <v>289969</v>
      </c>
      <c r="BX65" s="82">
        <v>15.8</v>
      </c>
      <c r="BY65" s="82">
        <v>4.4000000000000004</v>
      </c>
      <c r="BZ65" s="82">
        <v>6.1</v>
      </c>
      <c r="CA65" s="82">
        <v>15.9</v>
      </c>
      <c r="CB65" s="82">
        <v>17.2</v>
      </c>
      <c r="CC65" s="82">
        <v>12.9</v>
      </c>
      <c r="CD65" s="82">
        <v>10.7</v>
      </c>
      <c r="CE65" s="82">
        <v>9</v>
      </c>
      <c r="CF65" s="82">
        <v>5.6</v>
      </c>
      <c r="CG65" s="82">
        <v>1.6</v>
      </c>
      <c r="CH65" s="82">
        <v>0.4</v>
      </c>
      <c r="CI65" s="82">
        <v>0.3</v>
      </c>
      <c r="CJ65" s="82">
        <f t="shared" si="2"/>
        <v>789212</v>
      </c>
      <c r="CK65" s="82">
        <f t="shared" si="3"/>
        <v>1301053.7771307239</v>
      </c>
      <c r="CL65" s="95">
        <f ca="1">$CK65*SUM(OFFSET($AJ65,0,(COUNTA($CL$1:CL$1)-1)*4,1,4))/100</f>
        <v>235490.73366066106</v>
      </c>
      <c r="CM65" s="95">
        <f ca="1">$CK65*SUM(OFFSET($AJ65,0,(COUNTA($CL$1:CM$1)-1)*4,1,4))/100</f>
        <v>210770.71189517732</v>
      </c>
      <c r="CN65" s="95">
        <f ca="1">$CK65*SUM(OFFSET($AJ65,0,(COUNTA($CL$1:CN$1)-1)*4,1,4))/100</f>
        <v>251103.37898622971</v>
      </c>
      <c r="CO65" s="95">
        <f ca="1">$CK65*SUM(OFFSET($AJ65,0,(COUNTA($CL$1:CO$1)-1)*4,1,4))/100</f>
        <v>191254.90523821639</v>
      </c>
      <c r="CP65" s="95">
        <f ca="1">$CK65*SUM(OFFSET($AJ65,0,(COUNTA($CL$1:CP$1)-1)*4,1,4))/100</f>
        <v>158728.56080994831</v>
      </c>
      <c r="CQ65" s="95">
        <f ca="1">$CK65*SUM(OFFSET($AJ65,0,(COUNTA($CL$1:CQ$1)-1)*4,1,4))/100</f>
        <v>127503.27015881095</v>
      </c>
      <c r="CR65" s="95">
        <f ca="1">$CK65*SUM(OFFSET($AJ65,0,(COUNTA($CL$1:CR$1)-1)*4,1,4))/100</f>
        <v>71557.957742189814</v>
      </c>
      <c r="CS65" s="95">
        <f ca="1">$CK65*SUM(OFFSET($AJ65,0,(COUNTA($CL$1:CS$1)-1)*4,1,4))/100</f>
        <v>35128.45198252955</v>
      </c>
      <c r="CT65" s="95">
        <f ca="1">$CK65*SUM(OFFSET($AJ65,0,(COUNTA($CL$1:CT$1)-1)*4,1,4))/100</f>
        <v>13010.537771307239</v>
      </c>
      <c r="CU65" s="96">
        <f t="shared" si="4"/>
        <v>1959.3792517006802</v>
      </c>
      <c r="CV65" s="96">
        <f t="shared" si="5"/>
        <v>664.01324603261457</v>
      </c>
    </row>
    <row r="66" spans="1:100">
      <c r="A66" s="82" t="str">
        <f ca="1">IF(ISERROR(OFFSET(Map!$E$2,MATCH(D66,Map!$B$3:$B$239,0),0)),OFFSET(Map!$E$2,MATCH(D66,Map!$C$3:$C$239,0),0),OFFSET(Map!$E$2,MATCH(D66,Map!$B$3:$B$239,0),0))</f>
        <v>Xhariep</v>
      </c>
      <c r="B66" s="82">
        <v>65</v>
      </c>
      <c r="C66" s="82" t="s">
        <v>55</v>
      </c>
      <c r="D66" s="82" t="s">
        <v>333</v>
      </c>
      <c r="E66" s="82" t="s">
        <v>334</v>
      </c>
      <c r="F66" s="82">
        <v>38628</v>
      </c>
      <c r="G66" s="82">
        <v>29.7</v>
      </c>
      <c r="H66" s="82">
        <v>64.8</v>
      </c>
      <c r="I66" s="82">
        <f t="shared" ref="I66:I129" si="6">ROUND(F66*H66/100,0)</f>
        <v>25031</v>
      </c>
      <c r="J66" s="82">
        <v>5.4</v>
      </c>
      <c r="K66" s="82">
        <v>54.2</v>
      </c>
      <c r="L66" s="82">
        <v>105.7</v>
      </c>
      <c r="M66" s="82">
        <v>-1.04</v>
      </c>
      <c r="N66" s="82">
        <v>4</v>
      </c>
      <c r="O66" s="82">
        <v>22.3</v>
      </c>
      <c r="P66" s="82">
        <f t="shared" ref="P66:P129" si="7">ROUND(F66*(H66/100)*(100-O66)/100,0)</f>
        <v>19449</v>
      </c>
      <c r="Q66" s="82">
        <v>27.7</v>
      </c>
      <c r="R66" s="82">
        <v>17.7</v>
      </c>
      <c r="S66" s="82">
        <v>4.8</v>
      </c>
      <c r="T66" s="82">
        <v>18.7</v>
      </c>
      <c r="U66" s="82">
        <v>11242</v>
      </c>
      <c r="V66" s="82">
        <v>2631</v>
      </c>
      <c r="W66" s="82">
        <v>3.3</v>
      </c>
      <c r="X66" s="82">
        <v>33.5</v>
      </c>
      <c r="Y66" s="82">
        <v>83.2</v>
      </c>
      <c r="Z66" s="82">
        <v>54</v>
      </c>
      <c r="AA66" s="82">
        <v>72.8</v>
      </c>
      <c r="AB66" s="82">
        <v>68</v>
      </c>
      <c r="AC66" s="82">
        <v>49.8</v>
      </c>
      <c r="AD66" s="82">
        <v>92.8</v>
      </c>
      <c r="AE66" s="82">
        <v>67.8</v>
      </c>
      <c r="AF66" s="82">
        <v>23.4</v>
      </c>
      <c r="AG66" s="82">
        <v>0.3</v>
      </c>
      <c r="AH66" s="82">
        <v>8.1</v>
      </c>
      <c r="AI66" s="82">
        <v>0.4</v>
      </c>
      <c r="AJ66" s="82">
        <v>5.4</v>
      </c>
      <c r="AK66" s="82">
        <v>5.5</v>
      </c>
      <c r="AL66" s="82">
        <v>4.9000000000000004</v>
      </c>
      <c r="AM66" s="82">
        <v>4.7</v>
      </c>
      <c r="AN66" s="82">
        <v>4.8</v>
      </c>
      <c r="AO66" s="82">
        <v>4.5</v>
      </c>
      <c r="AP66" s="82">
        <v>4.7</v>
      </c>
      <c r="AQ66" s="82">
        <v>4.5999999999999996</v>
      </c>
      <c r="AR66" s="82">
        <v>5.0999999999999996</v>
      </c>
      <c r="AS66" s="82">
        <v>4.3</v>
      </c>
      <c r="AT66" s="82">
        <v>4.9000000000000004</v>
      </c>
      <c r="AU66" s="82">
        <v>3.6</v>
      </c>
      <c r="AV66" s="82">
        <v>4.4000000000000004</v>
      </c>
      <c r="AW66" s="82">
        <v>3.4</v>
      </c>
      <c r="AX66" s="82">
        <v>3.6</v>
      </c>
      <c r="AY66" s="82">
        <v>3.3</v>
      </c>
      <c r="AZ66" s="82">
        <v>3</v>
      </c>
      <c r="BA66" s="82">
        <v>3.1</v>
      </c>
      <c r="BB66" s="82">
        <v>2.7</v>
      </c>
      <c r="BC66" s="82">
        <v>2.7</v>
      </c>
      <c r="BD66" s="82">
        <v>2.4</v>
      </c>
      <c r="BE66" s="82">
        <v>2.4</v>
      </c>
      <c r="BF66" s="82">
        <v>1.7</v>
      </c>
      <c r="BG66" s="82">
        <v>2</v>
      </c>
      <c r="BH66" s="82">
        <v>1.5</v>
      </c>
      <c r="BI66" s="82">
        <v>1.5</v>
      </c>
      <c r="BJ66" s="82">
        <v>0.9</v>
      </c>
      <c r="BK66" s="82">
        <v>1</v>
      </c>
      <c r="BL66" s="82">
        <v>0.6</v>
      </c>
      <c r="BM66" s="82">
        <v>0.9</v>
      </c>
      <c r="BN66" s="82">
        <v>0.4</v>
      </c>
      <c r="BO66" s="82">
        <v>0.6</v>
      </c>
      <c r="BP66" s="82">
        <v>0.2</v>
      </c>
      <c r="BQ66" s="82">
        <v>0.3</v>
      </c>
      <c r="BR66" s="82">
        <v>0.2</v>
      </c>
      <c r="BS66" s="82">
        <v>0.3</v>
      </c>
      <c r="BT66" s="82">
        <v>9164</v>
      </c>
      <c r="BU66" s="82">
        <v>2624</v>
      </c>
      <c r="BV66" s="82">
        <v>1745</v>
      </c>
      <c r="BW66" s="82">
        <v>11518</v>
      </c>
      <c r="BX66" s="82">
        <v>10.199999999999999</v>
      </c>
      <c r="BY66" s="82">
        <v>4.2</v>
      </c>
      <c r="BZ66" s="82">
        <v>7.4</v>
      </c>
      <c r="CA66" s="82">
        <v>23.9</v>
      </c>
      <c r="CB66" s="82">
        <v>24.6</v>
      </c>
      <c r="CC66" s="82">
        <v>14.1</v>
      </c>
      <c r="CD66" s="82">
        <v>8</v>
      </c>
      <c r="CE66" s="82">
        <v>4.5</v>
      </c>
      <c r="CF66" s="82">
        <v>2.2999999999999998</v>
      </c>
      <c r="CG66" s="82">
        <v>0.5</v>
      </c>
      <c r="CH66" s="82">
        <v>0.2</v>
      </c>
      <c r="CI66" s="82">
        <v>0.1</v>
      </c>
      <c r="CJ66" s="82">
        <f t="shared" ref="CJ66:CJ129" si="8">SUM(BT66:BW66)</f>
        <v>25051</v>
      </c>
      <c r="CK66" s="82">
        <f t="shared" ref="CK66:CK129" si="9">F66*(1+M66/100)^9</f>
        <v>35159.233807006676</v>
      </c>
      <c r="CL66" s="95">
        <f ca="1">$CK66*SUM(OFFSET($AJ66,0,(COUNTA($CL$1:CL$1)-1)*4,1,4))/100</f>
        <v>7207.6429304363683</v>
      </c>
      <c r="CM66" s="95">
        <f ca="1">$CK66*SUM(OFFSET($AJ66,0,(COUNTA($CL$1:CM$1)-1)*4,1,4))/100</f>
        <v>6539.6174881032421</v>
      </c>
      <c r="CN66" s="95">
        <f ca="1">$CK66*SUM(OFFSET($AJ66,0,(COUNTA($CL$1:CN$1)-1)*4,1,4))/100</f>
        <v>6293.5028514541946</v>
      </c>
      <c r="CO66" s="95">
        <f ca="1">$CK66*SUM(OFFSET($AJ66,0,(COUNTA($CL$1:CO$1)-1)*4,1,4))/100</f>
        <v>5168.4073696299811</v>
      </c>
      <c r="CP66" s="95">
        <f ca="1">$CK66*SUM(OFFSET($AJ66,0,(COUNTA($CL$1:CP$1)-1)*4,1,4))/100</f>
        <v>4043.311887805768</v>
      </c>
      <c r="CQ66" s="95">
        <f ca="1">$CK66*SUM(OFFSET($AJ66,0,(COUNTA($CL$1:CQ$1)-1)*4,1,4))/100</f>
        <v>2988.5348735955672</v>
      </c>
      <c r="CR66" s="95">
        <f ca="1">$CK66*SUM(OFFSET($AJ66,0,(COUNTA($CL$1:CR$1)-1)*4,1,4))/100</f>
        <v>1722.802456543327</v>
      </c>
      <c r="CS66" s="95">
        <f ca="1">$CK66*SUM(OFFSET($AJ66,0,(COUNTA($CL$1:CS$1)-1)*4,1,4))/100</f>
        <v>878.98084517516691</v>
      </c>
      <c r="CT66" s="95">
        <f ca="1">$CK66*SUM(OFFSET($AJ66,0,(COUNTA($CL$1:CT$1)-1)*4,1,4))/100</f>
        <v>351.59233807006677</v>
      </c>
      <c r="CU66" s="96">
        <f t="shared" ref="CU66:CU129" si="10">IF(N66 = 0,0,F66/N66)</f>
        <v>9657</v>
      </c>
      <c r="CV66" s="96">
        <f t="shared" ref="CV66:CV129" si="11">IF(CU66=0,0,CK66/CU66)</f>
        <v>3.6408029208870949</v>
      </c>
    </row>
    <row r="67" spans="1:100">
      <c r="A67" s="82" t="str">
        <f ca="1">IF(ISERROR(OFFSET(Map!$E$2,MATCH(D67,Map!$B$3:$B$239,0),0)),OFFSET(Map!$E$2,MATCH(D67,Map!$C$3:$C$239,0),0),OFFSET(Map!$E$2,MATCH(D67,Map!$B$3:$B$239,0),0))</f>
        <v>Xhariep</v>
      </c>
      <c r="B67" s="82">
        <v>66</v>
      </c>
      <c r="C67" s="82" t="s">
        <v>55</v>
      </c>
      <c r="D67" s="82" t="s">
        <v>335</v>
      </c>
      <c r="E67" s="82" t="s">
        <v>336</v>
      </c>
      <c r="F67" s="82">
        <v>49171</v>
      </c>
      <c r="G67" s="82">
        <v>29.7</v>
      </c>
      <c r="H67" s="82">
        <v>63.5</v>
      </c>
      <c r="I67" s="82">
        <f t="shared" si="6"/>
        <v>31224</v>
      </c>
      <c r="J67" s="82">
        <v>6.8</v>
      </c>
      <c r="K67" s="82">
        <v>57.4</v>
      </c>
      <c r="L67" s="82">
        <v>96</v>
      </c>
      <c r="M67" s="82">
        <v>-1.31</v>
      </c>
      <c r="N67" s="82">
        <v>3</v>
      </c>
      <c r="O67" s="82">
        <v>27</v>
      </c>
      <c r="P67" s="82">
        <f t="shared" si="7"/>
        <v>22793</v>
      </c>
      <c r="Q67" s="82">
        <v>33.6</v>
      </c>
      <c r="R67" s="82">
        <v>13.4</v>
      </c>
      <c r="S67" s="82">
        <v>6.4</v>
      </c>
      <c r="T67" s="82">
        <v>20.7</v>
      </c>
      <c r="U67" s="82">
        <v>15643</v>
      </c>
      <c r="V67" s="82">
        <v>3696</v>
      </c>
      <c r="W67" s="82">
        <v>3</v>
      </c>
      <c r="X67" s="82">
        <v>38.1</v>
      </c>
      <c r="Y67" s="82">
        <v>91.4</v>
      </c>
      <c r="Z67" s="82">
        <v>50.8</v>
      </c>
      <c r="AA67" s="82">
        <v>82.1</v>
      </c>
      <c r="AB67" s="82">
        <v>76.5</v>
      </c>
      <c r="AC67" s="82">
        <v>46.7</v>
      </c>
      <c r="AD67" s="82">
        <v>92.6</v>
      </c>
      <c r="AE67" s="82">
        <v>71.5</v>
      </c>
      <c r="AF67" s="82">
        <v>18.2</v>
      </c>
      <c r="AG67" s="82">
        <v>0.4</v>
      </c>
      <c r="AH67" s="82">
        <v>9.4</v>
      </c>
      <c r="AI67" s="82">
        <v>0.5</v>
      </c>
      <c r="AJ67" s="82">
        <v>5.4</v>
      </c>
      <c r="AK67" s="82">
        <v>5.4</v>
      </c>
      <c r="AL67" s="82">
        <v>5.0999999999999996</v>
      </c>
      <c r="AM67" s="82">
        <v>5.0999999999999996</v>
      </c>
      <c r="AN67" s="82">
        <v>4.3</v>
      </c>
      <c r="AO67" s="82">
        <v>4.3</v>
      </c>
      <c r="AP67" s="82">
        <v>4.5</v>
      </c>
      <c r="AQ67" s="82">
        <v>4.4000000000000004</v>
      </c>
      <c r="AR67" s="82">
        <v>4.7</v>
      </c>
      <c r="AS67" s="82">
        <v>4.5</v>
      </c>
      <c r="AT67" s="82">
        <v>4.5999999999999996</v>
      </c>
      <c r="AU67" s="82">
        <v>4.0999999999999996</v>
      </c>
      <c r="AV67" s="82">
        <v>3.6</v>
      </c>
      <c r="AW67" s="82">
        <v>3.3</v>
      </c>
      <c r="AX67" s="82">
        <v>3.1</v>
      </c>
      <c r="AY67" s="82">
        <v>3.3</v>
      </c>
      <c r="AZ67" s="82">
        <v>3</v>
      </c>
      <c r="BA67" s="82">
        <v>3.1</v>
      </c>
      <c r="BB67" s="82">
        <v>2.5</v>
      </c>
      <c r="BC67" s="82">
        <v>2.5</v>
      </c>
      <c r="BD67" s="82">
        <v>2.1</v>
      </c>
      <c r="BE67" s="82">
        <v>2.4</v>
      </c>
      <c r="BF67" s="82">
        <v>1.9</v>
      </c>
      <c r="BG67" s="82">
        <v>2.2000000000000002</v>
      </c>
      <c r="BH67" s="82">
        <v>1.5</v>
      </c>
      <c r="BI67" s="82">
        <v>2</v>
      </c>
      <c r="BJ67" s="82">
        <v>1</v>
      </c>
      <c r="BK67" s="82">
        <v>1.3</v>
      </c>
      <c r="BL67" s="82">
        <v>0.8</v>
      </c>
      <c r="BM67" s="82">
        <v>1.1000000000000001</v>
      </c>
      <c r="BN67" s="82">
        <v>0.5</v>
      </c>
      <c r="BO67" s="82">
        <v>0.7</v>
      </c>
      <c r="BP67" s="82">
        <v>0.3</v>
      </c>
      <c r="BQ67" s="82">
        <v>0.4</v>
      </c>
      <c r="BR67" s="82">
        <v>0.2</v>
      </c>
      <c r="BS67" s="82">
        <v>0.5</v>
      </c>
      <c r="BT67" s="82">
        <v>11336</v>
      </c>
      <c r="BU67" s="82">
        <v>4193</v>
      </c>
      <c r="BV67" s="82">
        <v>2078</v>
      </c>
      <c r="BW67" s="82">
        <v>13625</v>
      </c>
      <c r="BX67" s="82">
        <v>11.3</v>
      </c>
      <c r="BY67" s="82">
        <v>4.8</v>
      </c>
      <c r="BZ67" s="82">
        <v>6.8</v>
      </c>
      <c r="CA67" s="82">
        <v>26.2</v>
      </c>
      <c r="CB67" s="82">
        <v>22.5</v>
      </c>
      <c r="CC67" s="82">
        <v>13</v>
      </c>
      <c r="CD67" s="82">
        <v>7.6</v>
      </c>
      <c r="CE67" s="82">
        <v>4.5999999999999996</v>
      </c>
      <c r="CF67" s="82">
        <v>1.9</v>
      </c>
      <c r="CG67" s="82">
        <v>0.7</v>
      </c>
      <c r="CH67" s="82">
        <v>0.3</v>
      </c>
      <c r="CI67" s="82">
        <v>0.2</v>
      </c>
      <c r="CJ67" s="82">
        <f t="shared" si="8"/>
        <v>31232</v>
      </c>
      <c r="CK67" s="82">
        <f t="shared" si="9"/>
        <v>43668.410226353284</v>
      </c>
      <c r="CL67" s="95">
        <f ca="1">$CK67*SUM(OFFSET($AJ67,0,(COUNTA($CL$1:CL$1)-1)*4,1,4))/100</f>
        <v>9170.3661475341887</v>
      </c>
      <c r="CM67" s="95">
        <f ca="1">$CK67*SUM(OFFSET($AJ67,0,(COUNTA($CL$1:CM$1)-1)*4,1,4))/100</f>
        <v>7641.9717896118245</v>
      </c>
      <c r="CN67" s="95">
        <f ca="1">$CK67*SUM(OFFSET($AJ67,0,(COUNTA($CL$1:CN$1)-1)*4,1,4))/100</f>
        <v>7816.6454305172374</v>
      </c>
      <c r="CO67" s="95">
        <f ca="1">$CK67*SUM(OFFSET($AJ67,0,(COUNTA($CL$1:CO$1)-1)*4,1,4))/100</f>
        <v>5807.8985601049872</v>
      </c>
      <c r="CP67" s="95">
        <f ca="1">$CK67*SUM(OFFSET($AJ67,0,(COUNTA($CL$1:CP$1)-1)*4,1,4))/100</f>
        <v>4847.1935351252141</v>
      </c>
      <c r="CQ67" s="95">
        <f ca="1">$CK67*SUM(OFFSET($AJ67,0,(COUNTA($CL$1:CQ$1)-1)*4,1,4))/100</f>
        <v>3755.483279466383</v>
      </c>
      <c r="CR67" s="95">
        <f ca="1">$CK67*SUM(OFFSET($AJ67,0,(COUNTA($CL$1:CR$1)-1)*4,1,4))/100</f>
        <v>2532.7677931284907</v>
      </c>
      <c r="CS67" s="95">
        <f ca="1">$CK67*SUM(OFFSET($AJ67,0,(COUNTA($CL$1:CS$1)-1)*4,1,4))/100</f>
        <v>1353.7207170169522</v>
      </c>
      <c r="CT67" s="95">
        <f ca="1">$CK67*SUM(OFFSET($AJ67,0,(COUNTA($CL$1:CT$1)-1)*4,1,4))/100</f>
        <v>611.35774316894594</v>
      </c>
      <c r="CU67" s="96">
        <f t="shared" si="10"/>
        <v>16390.333333333332</v>
      </c>
      <c r="CV67" s="96">
        <f t="shared" si="11"/>
        <v>2.6642783486010018</v>
      </c>
    </row>
    <row r="68" spans="1:100">
      <c r="A68" s="82" t="str">
        <f ca="1">IF(ISERROR(OFFSET(Map!$E$2,MATCH(D68,Map!$B$3:$B$239,0),0)),OFFSET(Map!$E$2,MATCH(D68,Map!$C$3:$C$239,0),0),OFFSET(Map!$E$2,MATCH(D68,Map!$B$3:$B$239,0),0))</f>
        <v>Xhariep</v>
      </c>
      <c r="B68" s="82">
        <v>67</v>
      </c>
      <c r="C68" s="82" t="s">
        <v>55</v>
      </c>
      <c r="D68" s="82" t="s">
        <v>337</v>
      </c>
      <c r="E68" s="82" t="s">
        <v>338</v>
      </c>
      <c r="F68" s="82">
        <v>34146</v>
      </c>
      <c r="G68" s="82">
        <v>32.200000000000003</v>
      </c>
      <c r="H68" s="82">
        <v>61.4</v>
      </c>
      <c r="I68" s="82">
        <f t="shared" si="6"/>
        <v>20966</v>
      </c>
      <c r="J68" s="82">
        <v>6.4</v>
      </c>
      <c r="K68" s="82">
        <v>62.9</v>
      </c>
      <c r="L68" s="82">
        <v>91.5</v>
      </c>
      <c r="M68" s="82">
        <v>-0.62</v>
      </c>
      <c r="N68" s="82">
        <v>4</v>
      </c>
      <c r="O68" s="82">
        <v>31.4</v>
      </c>
      <c r="P68" s="82">
        <f t="shared" si="7"/>
        <v>14382</v>
      </c>
      <c r="Q68" s="82">
        <v>40</v>
      </c>
      <c r="R68" s="82">
        <v>11</v>
      </c>
      <c r="S68" s="82">
        <v>6.1</v>
      </c>
      <c r="T68" s="82">
        <v>17.899999999999999</v>
      </c>
      <c r="U68" s="82">
        <v>10793</v>
      </c>
      <c r="V68" s="82">
        <v>2423</v>
      </c>
      <c r="W68" s="82">
        <v>3.1</v>
      </c>
      <c r="X68" s="82">
        <v>41.9</v>
      </c>
      <c r="Y68" s="82">
        <v>86.6</v>
      </c>
      <c r="Z68" s="82">
        <v>44.3</v>
      </c>
      <c r="AA68" s="82">
        <v>70.5</v>
      </c>
      <c r="AB68" s="82">
        <v>63</v>
      </c>
      <c r="AC68" s="82">
        <v>37.200000000000003</v>
      </c>
      <c r="AD68" s="82">
        <v>89.7</v>
      </c>
      <c r="AE68" s="82">
        <v>90.8</v>
      </c>
      <c r="AF68" s="82">
        <v>2.2999999999999998</v>
      </c>
      <c r="AG68" s="82">
        <v>0.3</v>
      </c>
      <c r="AH68" s="82">
        <v>6.5</v>
      </c>
      <c r="AI68" s="82">
        <v>0.2</v>
      </c>
      <c r="AJ68" s="82">
        <v>5.9</v>
      </c>
      <c r="AK68" s="82">
        <v>5.6</v>
      </c>
      <c r="AL68" s="82">
        <v>5.4</v>
      </c>
      <c r="AM68" s="82">
        <v>5.7</v>
      </c>
      <c r="AN68" s="82">
        <v>4.9000000000000004</v>
      </c>
      <c r="AO68" s="82">
        <v>4.5999999999999996</v>
      </c>
      <c r="AP68" s="82">
        <v>4.7</v>
      </c>
      <c r="AQ68" s="82">
        <v>4.8</v>
      </c>
      <c r="AR68" s="82">
        <v>5</v>
      </c>
      <c r="AS68" s="82">
        <v>4.8</v>
      </c>
      <c r="AT68" s="82">
        <v>4.2</v>
      </c>
      <c r="AU68" s="82">
        <v>4.5</v>
      </c>
      <c r="AV68" s="82">
        <v>3.3</v>
      </c>
      <c r="AW68" s="82">
        <v>3.4</v>
      </c>
      <c r="AX68" s="82">
        <v>2.8</v>
      </c>
      <c r="AY68" s="82">
        <v>3.3</v>
      </c>
      <c r="AZ68" s="82">
        <v>2.4</v>
      </c>
      <c r="BA68" s="82">
        <v>2.8</v>
      </c>
      <c r="BB68" s="82">
        <v>2.1</v>
      </c>
      <c r="BC68" s="82">
        <v>2.1</v>
      </c>
      <c r="BD68" s="82">
        <v>1.7</v>
      </c>
      <c r="BE68" s="82">
        <v>2.2000000000000002</v>
      </c>
      <c r="BF68" s="82">
        <v>1.6</v>
      </c>
      <c r="BG68" s="82">
        <v>2.1</v>
      </c>
      <c r="BH68" s="82">
        <v>1.3</v>
      </c>
      <c r="BI68" s="82">
        <v>1.7</v>
      </c>
      <c r="BJ68" s="82">
        <v>0.9</v>
      </c>
      <c r="BK68" s="82">
        <v>1.1000000000000001</v>
      </c>
      <c r="BL68" s="82">
        <v>0.8</v>
      </c>
      <c r="BM68" s="82">
        <v>1.2</v>
      </c>
      <c r="BN68" s="82">
        <v>0.3</v>
      </c>
      <c r="BO68" s="82">
        <v>0.9</v>
      </c>
      <c r="BP68" s="82">
        <v>0.2</v>
      </c>
      <c r="BQ68" s="82">
        <v>0.5</v>
      </c>
      <c r="BR68" s="82">
        <v>0.1</v>
      </c>
      <c r="BS68" s="82">
        <v>0.4</v>
      </c>
      <c r="BT68" s="82">
        <v>7672</v>
      </c>
      <c r="BU68" s="82">
        <v>3518</v>
      </c>
      <c r="BV68" s="82">
        <v>1571</v>
      </c>
      <c r="BW68" s="82">
        <v>8200</v>
      </c>
      <c r="BX68" s="82">
        <v>11</v>
      </c>
      <c r="BY68" s="82">
        <v>6.1</v>
      </c>
      <c r="BZ68" s="82">
        <v>10.199999999999999</v>
      </c>
      <c r="CA68" s="82">
        <v>26.8</v>
      </c>
      <c r="CB68" s="82">
        <v>21.9</v>
      </c>
      <c r="CC68" s="82">
        <v>9.9</v>
      </c>
      <c r="CD68" s="82">
        <v>7.2</v>
      </c>
      <c r="CE68" s="82">
        <v>4.3</v>
      </c>
      <c r="CF68" s="82">
        <v>1.8</v>
      </c>
      <c r="CG68" s="82">
        <v>0.5</v>
      </c>
      <c r="CH68" s="82">
        <v>0.2</v>
      </c>
      <c r="CI68" s="82">
        <v>0.2</v>
      </c>
      <c r="CJ68" s="82">
        <f t="shared" si="8"/>
        <v>20961</v>
      </c>
      <c r="CK68" s="82">
        <f t="shared" si="9"/>
        <v>32287.22853112912</v>
      </c>
      <c r="CL68" s="95">
        <f ca="1">$CK68*SUM(OFFSET($AJ68,0,(COUNTA($CL$1:CL$1)-1)*4,1,4))/100</f>
        <v>7296.9136480351808</v>
      </c>
      <c r="CM68" s="95">
        <f ca="1">$CK68*SUM(OFFSET($AJ68,0,(COUNTA($CL$1:CM$1)-1)*4,1,4))/100</f>
        <v>6134.573420914533</v>
      </c>
      <c r="CN68" s="95">
        <f ca="1">$CK68*SUM(OFFSET($AJ68,0,(COUNTA($CL$1:CN$1)-1)*4,1,4))/100</f>
        <v>5973.1372782588869</v>
      </c>
      <c r="CO68" s="95">
        <f ca="1">$CK68*SUM(OFFSET($AJ68,0,(COUNTA($CL$1:CO$1)-1)*4,1,4))/100</f>
        <v>4132.7652519845278</v>
      </c>
      <c r="CP68" s="95">
        <f ca="1">$CK68*SUM(OFFSET($AJ68,0,(COUNTA($CL$1:CP$1)-1)*4,1,4))/100</f>
        <v>3034.9994819261365</v>
      </c>
      <c r="CQ68" s="95">
        <f ca="1">$CK68*SUM(OFFSET($AJ68,0,(COUNTA($CL$1:CQ$1)-1)*4,1,4))/100</f>
        <v>2453.829368365813</v>
      </c>
      <c r="CR68" s="95">
        <f ca="1">$CK68*SUM(OFFSET($AJ68,0,(COUNTA($CL$1:CR$1)-1)*4,1,4))/100</f>
        <v>1614.3614265564561</v>
      </c>
      <c r="CS68" s="95">
        <f ca="1">$CK68*SUM(OFFSET($AJ68,0,(COUNTA($CL$1:CS$1)-1)*4,1,4))/100</f>
        <v>1033.1913129961317</v>
      </c>
      <c r="CT68" s="95">
        <f ca="1">$CK68*SUM(OFFSET($AJ68,0,(COUNTA($CL$1:CT$1)-1)*4,1,4))/100</f>
        <v>387.4467423735494</v>
      </c>
      <c r="CU68" s="96">
        <f t="shared" si="10"/>
        <v>8536.5</v>
      </c>
      <c r="CV68" s="96">
        <f t="shared" si="11"/>
        <v>3.782256021921059</v>
      </c>
    </row>
    <row r="69" spans="1:100">
      <c r="A69" s="82" t="str">
        <f ca="1">IF(ISERROR(OFFSET(Map!$E$2,MATCH(D69,Map!$B$3:$B$239,0),0)),OFFSET(Map!$E$2,MATCH(D69,Map!$C$3:$C$239,0),0),OFFSET(Map!$E$2,MATCH(D69,Map!$B$3:$B$239,0),0))</f>
        <v>Mangaung Metropolitan Municipality</v>
      </c>
      <c r="B69" s="82">
        <v>68</v>
      </c>
      <c r="C69" s="82" t="s">
        <v>55</v>
      </c>
      <c r="D69" s="82" t="s">
        <v>339</v>
      </c>
      <c r="E69" s="82" t="s">
        <v>340</v>
      </c>
      <c r="F69" s="82">
        <v>24314</v>
      </c>
      <c r="G69" s="82">
        <v>32.5</v>
      </c>
      <c r="H69" s="82">
        <v>60.7</v>
      </c>
      <c r="I69" s="82">
        <f t="shared" si="6"/>
        <v>14759</v>
      </c>
      <c r="J69" s="82">
        <v>6.8</v>
      </c>
      <c r="K69" s="82">
        <v>64.7</v>
      </c>
      <c r="L69" s="82">
        <v>88.4</v>
      </c>
      <c r="M69" s="82">
        <v>-1.22</v>
      </c>
      <c r="N69" s="82">
        <v>7</v>
      </c>
      <c r="O69" s="82">
        <v>26.4</v>
      </c>
      <c r="P69" s="82">
        <f t="shared" si="7"/>
        <v>10862</v>
      </c>
      <c r="Q69" s="82">
        <v>34.799999999999997</v>
      </c>
      <c r="R69" s="82">
        <v>6.8</v>
      </c>
      <c r="S69" s="82">
        <v>5.2</v>
      </c>
      <c r="T69" s="82">
        <v>18.600000000000001</v>
      </c>
      <c r="U69" s="82">
        <v>7690</v>
      </c>
      <c r="V69" s="82">
        <v>2937</v>
      </c>
      <c r="W69" s="82">
        <v>3.1</v>
      </c>
      <c r="X69" s="82">
        <v>48.3</v>
      </c>
      <c r="Y69" s="82">
        <v>84.9</v>
      </c>
      <c r="Z69" s="82">
        <v>67.400000000000006</v>
      </c>
      <c r="AA69" s="82">
        <v>84.9</v>
      </c>
      <c r="AB69" s="82">
        <v>46</v>
      </c>
      <c r="AC69" s="82">
        <v>31.5</v>
      </c>
      <c r="AD69" s="82">
        <v>93.8</v>
      </c>
      <c r="AE69" s="82">
        <v>92.4</v>
      </c>
      <c r="AF69" s="82">
        <v>1.9</v>
      </c>
      <c r="AG69" s="82">
        <v>0.5</v>
      </c>
      <c r="AH69" s="82">
        <v>4.9000000000000004</v>
      </c>
      <c r="AI69" s="82">
        <v>0.3</v>
      </c>
      <c r="AJ69" s="82">
        <v>6</v>
      </c>
      <c r="AK69" s="82">
        <v>5.7</v>
      </c>
      <c r="AL69" s="82">
        <v>5.5</v>
      </c>
      <c r="AM69" s="82">
        <v>5.3</v>
      </c>
      <c r="AN69" s="82">
        <v>5.2</v>
      </c>
      <c r="AO69" s="82">
        <v>4.7</v>
      </c>
      <c r="AP69" s="82">
        <v>5.2</v>
      </c>
      <c r="AQ69" s="82">
        <v>5.2</v>
      </c>
      <c r="AR69" s="82">
        <v>4.7</v>
      </c>
      <c r="AS69" s="82">
        <v>4.8</v>
      </c>
      <c r="AT69" s="82">
        <v>3.6</v>
      </c>
      <c r="AU69" s="82">
        <v>4.2</v>
      </c>
      <c r="AV69" s="82">
        <v>3.3</v>
      </c>
      <c r="AW69" s="82">
        <v>3.6</v>
      </c>
      <c r="AX69" s="82">
        <v>2.5</v>
      </c>
      <c r="AY69" s="82">
        <v>3.4</v>
      </c>
      <c r="AZ69" s="82">
        <v>2.5</v>
      </c>
      <c r="BA69" s="82">
        <v>2.8</v>
      </c>
      <c r="BB69" s="82">
        <v>1.8</v>
      </c>
      <c r="BC69" s="82">
        <v>1.8</v>
      </c>
      <c r="BD69" s="82">
        <v>1.5</v>
      </c>
      <c r="BE69" s="82">
        <v>2.2999999999999998</v>
      </c>
      <c r="BF69" s="82">
        <v>1.6</v>
      </c>
      <c r="BG69" s="82">
        <v>2.2000000000000002</v>
      </c>
      <c r="BH69" s="82">
        <v>1.2</v>
      </c>
      <c r="BI69" s="82">
        <v>1.9</v>
      </c>
      <c r="BJ69" s="82">
        <v>0.9</v>
      </c>
      <c r="BK69" s="82">
        <v>1.3</v>
      </c>
      <c r="BL69" s="82">
        <v>0.7</v>
      </c>
      <c r="BM69" s="82">
        <v>1.2</v>
      </c>
      <c r="BN69" s="82">
        <v>0.4</v>
      </c>
      <c r="BO69" s="82">
        <v>0.9</v>
      </c>
      <c r="BP69" s="82">
        <v>0.2</v>
      </c>
      <c r="BQ69" s="82">
        <v>0.5</v>
      </c>
      <c r="BR69" s="82">
        <v>0.2</v>
      </c>
      <c r="BS69" s="82">
        <v>0.4</v>
      </c>
      <c r="BT69" s="82">
        <v>4729</v>
      </c>
      <c r="BU69" s="82">
        <v>1697</v>
      </c>
      <c r="BV69" s="82">
        <v>1791</v>
      </c>
      <c r="BW69" s="82">
        <v>6542</v>
      </c>
      <c r="BX69" s="82">
        <v>14.2</v>
      </c>
      <c r="BY69" s="82">
        <v>6.4</v>
      </c>
      <c r="BZ69" s="82">
        <v>10.5</v>
      </c>
      <c r="CA69" s="82">
        <v>25.9</v>
      </c>
      <c r="CB69" s="82">
        <v>22.3</v>
      </c>
      <c r="CC69" s="82">
        <v>8.9</v>
      </c>
      <c r="CD69" s="82">
        <v>5.6</v>
      </c>
      <c r="CE69" s="82">
        <v>3.8</v>
      </c>
      <c r="CF69" s="82">
        <v>1.3</v>
      </c>
      <c r="CG69" s="82">
        <v>0.3</v>
      </c>
      <c r="CH69" s="82">
        <v>0.4</v>
      </c>
      <c r="CI69" s="82">
        <v>0.2</v>
      </c>
      <c r="CJ69" s="82">
        <f t="shared" si="8"/>
        <v>14759</v>
      </c>
      <c r="CK69" s="82">
        <f t="shared" si="9"/>
        <v>21770.961449884504</v>
      </c>
      <c r="CL69" s="95">
        <f ca="1">$CK69*SUM(OFFSET($AJ69,0,(COUNTA($CL$1:CL$1)-1)*4,1,4))/100</f>
        <v>4898.4663262240138</v>
      </c>
      <c r="CM69" s="95">
        <f ca="1">$CK69*SUM(OFFSET($AJ69,0,(COUNTA($CL$1:CM$1)-1)*4,1,4))/100</f>
        <v>4419.505174326554</v>
      </c>
      <c r="CN69" s="95">
        <f ca="1">$CK69*SUM(OFFSET($AJ69,0,(COUNTA($CL$1:CN$1)-1)*4,1,4))/100</f>
        <v>3766.3763308300195</v>
      </c>
      <c r="CO69" s="95">
        <f ca="1">$CK69*SUM(OFFSET($AJ69,0,(COUNTA($CL$1:CO$1)-1)*4,1,4))/100</f>
        <v>2786.6830655852164</v>
      </c>
      <c r="CP69" s="95">
        <f ca="1">$CK69*SUM(OFFSET($AJ69,0,(COUNTA($CL$1:CP$1)-1)*4,1,4))/100</f>
        <v>1937.6155690397209</v>
      </c>
      <c r="CQ69" s="95">
        <f ca="1">$CK69*SUM(OFFSET($AJ69,0,(COUNTA($CL$1:CQ$1)-1)*4,1,4))/100</f>
        <v>1654.5930701912223</v>
      </c>
      <c r="CR69" s="95">
        <f ca="1">$CK69*SUM(OFFSET($AJ69,0,(COUNTA($CL$1:CR$1)-1)*4,1,4))/100</f>
        <v>1153.8609568438787</v>
      </c>
      <c r="CS69" s="95">
        <f ca="1">$CK69*SUM(OFFSET($AJ69,0,(COUNTA($CL$1:CS$1)-1)*4,1,4))/100</f>
        <v>696.67076639630409</v>
      </c>
      <c r="CT69" s="95">
        <f ca="1">$CK69*SUM(OFFSET($AJ69,0,(COUNTA($CL$1:CT$1)-1)*4,1,4))/100</f>
        <v>283.02249884849851</v>
      </c>
      <c r="CU69" s="96">
        <f t="shared" si="10"/>
        <v>3473.4285714285716</v>
      </c>
      <c r="CV69" s="96">
        <f t="shared" si="11"/>
        <v>6.2678592641766686</v>
      </c>
    </row>
    <row r="70" spans="1:100">
      <c r="A70" s="82" t="str">
        <f ca="1">IF(ISERROR(OFFSET(Map!$E$2,MATCH(D70,Map!$B$3:$B$239,0),0)),OFFSET(Map!$E$2,MATCH(D70,Map!$C$3:$C$239,0),0),OFFSET(Map!$E$2,MATCH(D70,Map!$B$3:$B$239,0),0))</f>
        <v>Lejweleputswa</v>
      </c>
      <c r="B70" s="82">
        <v>69</v>
      </c>
      <c r="C70" s="82" t="s">
        <v>55</v>
      </c>
      <c r="D70" s="82" t="s">
        <v>341</v>
      </c>
      <c r="E70" s="82" t="s">
        <v>342</v>
      </c>
      <c r="F70" s="82">
        <v>63334</v>
      </c>
      <c r="G70" s="82">
        <v>29.8</v>
      </c>
      <c r="H70" s="82">
        <v>64.400000000000006</v>
      </c>
      <c r="I70" s="82">
        <f t="shared" si="6"/>
        <v>40787</v>
      </c>
      <c r="J70" s="82">
        <v>5.8</v>
      </c>
      <c r="K70" s="82">
        <v>55.3</v>
      </c>
      <c r="L70" s="82">
        <v>101.9</v>
      </c>
      <c r="M70" s="82">
        <v>-0.17</v>
      </c>
      <c r="N70" s="82">
        <v>9</v>
      </c>
      <c r="O70" s="82">
        <v>38.799999999999997</v>
      </c>
      <c r="P70" s="82">
        <f t="shared" si="7"/>
        <v>24962</v>
      </c>
      <c r="Q70" s="82">
        <v>49.8</v>
      </c>
      <c r="R70" s="82">
        <v>8.8000000000000007</v>
      </c>
      <c r="S70" s="82">
        <v>4.5</v>
      </c>
      <c r="T70" s="82">
        <v>23.1</v>
      </c>
      <c r="U70" s="82">
        <v>17575</v>
      </c>
      <c r="V70" s="82">
        <v>4428</v>
      </c>
      <c r="W70" s="82">
        <v>3.3</v>
      </c>
      <c r="X70" s="82">
        <v>42.7</v>
      </c>
      <c r="Y70" s="82">
        <v>82.9</v>
      </c>
      <c r="Z70" s="82">
        <v>62.3</v>
      </c>
      <c r="AA70" s="82">
        <v>70.5</v>
      </c>
      <c r="AB70" s="82">
        <v>53.9</v>
      </c>
      <c r="AC70" s="82">
        <v>28.9</v>
      </c>
      <c r="AD70" s="82">
        <v>93.2</v>
      </c>
      <c r="AE70" s="82">
        <v>91.6</v>
      </c>
      <c r="AF70" s="82">
        <v>1.1000000000000001</v>
      </c>
      <c r="AG70" s="82">
        <v>0.3</v>
      </c>
      <c r="AH70" s="82">
        <v>6.7</v>
      </c>
      <c r="AI70" s="82">
        <v>0.3</v>
      </c>
      <c r="AJ70" s="82">
        <v>5.4</v>
      </c>
      <c r="AK70" s="82">
        <v>5.5</v>
      </c>
      <c r="AL70" s="82">
        <v>5</v>
      </c>
      <c r="AM70" s="82">
        <v>5</v>
      </c>
      <c r="AN70" s="82">
        <v>4.5999999999999996</v>
      </c>
      <c r="AO70" s="82">
        <v>4.3</v>
      </c>
      <c r="AP70" s="82">
        <v>4.5</v>
      </c>
      <c r="AQ70" s="82">
        <v>4.7</v>
      </c>
      <c r="AR70" s="82">
        <v>4.9000000000000004</v>
      </c>
      <c r="AS70" s="82">
        <v>4.5999999999999996</v>
      </c>
      <c r="AT70" s="82">
        <v>4.4000000000000004</v>
      </c>
      <c r="AU70" s="82">
        <v>4</v>
      </c>
      <c r="AV70" s="82">
        <v>3.9</v>
      </c>
      <c r="AW70" s="82">
        <v>3.4</v>
      </c>
      <c r="AX70" s="82">
        <v>3.3</v>
      </c>
      <c r="AY70" s="82">
        <v>3.3</v>
      </c>
      <c r="AZ70" s="82">
        <v>3.4</v>
      </c>
      <c r="BA70" s="82">
        <v>2.8</v>
      </c>
      <c r="BB70" s="82">
        <v>3.1</v>
      </c>
      <c r="BC70" s="82">
        <v>3.1</v>
      </c>
      <c r="BD70" s="82">
        <v>2.7</v>
      </c>
      <c r="BE70" s="82">
        <v>2.2000000000000002</v>
      </c>
      <c r="BF70" s="82">
        <v>1.8</v>
      </c>
      <c r="BG70" s="82">
        <v>2</v>
      </c>
      <c r="BH70" s="82">
        <v>1.2</v>
      </c>
      <c r="BI70" s="82">
        <v>1.6</v>
      </c>
      <c r="BJ70" s="82">
        <v>0.8</v>
      </c>
      <c r="BK70" s="82">
        <v>1.2</v>
      </c>
      <c r="BL70" s="82">
        <v>0.6</v>
      </c>
      <c r="BM70" s="82">
        <v>1</v>
      </c>
      <c r="BN70" s="82">
        <v>0.4</v>
      </c>
      <c r="BO70" s="82">
        <v>0.7</v>
      </c>
      <c r="BP70" s="82">
        <v>0.2</v>
      </c>
      <c r="BQ70" s="82">
        <v>0.4</v>
      </c>
      <c r="BR70" s="82">
        <v>0.2</v>
      </c>
      <c r="BS70" s="82">
        <v>0.4</v>
      </c>
      <c r="BT70" s="82">
        <v>11406</v>
      </c>
      <c r="BU70" s="82">
        <v>7227</v>
      </c>
      <c r="BV70" s="82">
        <v>2763</v>
      </c>
      <c r="BW70" s="82">
        <v>19381</v>
      </c>
      <c r="BX70" s="82">
        <v>14.8</v>
      </c>
      <c r="BY70" s="82">
        <v>5.9</v>
      </c>
      <c r="BZ70" s="82">
        <v>9</v>
      </c>
      <c r="CA70" s="82">
        <v>23.4</v>
      </c>
      <c r="CB70" s="82">
        <v>22.3</v>
      </c>
      <c r="CC70" s="82">
        <v>13</v>
      </c>
      <c r="CD70" s="82">
        <v>6.1</v>
      </c>
      <c r="CE70" s="82">
        <v>3.3</v>
      </c>
      <c r="CF70" s="82">
        <v>1.5</v>
      </c>
      <c r="CG70" s="82">
        <v>0.4</v>
      </c>
      <c r="CH70" s="82">
        <v>0.2</v>
      </c>
      <c r="CI70" s="82">
        <v>0.2</v>
      </c>
      <c r="CJ70" s="82">
        <f t="shared" si="8"/>
        <v>40777</v>
      </c>
      <c r="CK70" s="82">
        <f t="shared" si="9"/>
        <v>62371.552998462124</v>
      </c>
      <c r="CL70" s="95">
        <f ca="1">$CK70*SUM(OFFSET($AJ70,0,(COUNTA($CL$1:CL$1)-1)*4,1,4))/100</f>
        <v>13035.654576678584</v>
      </c>
      <c r="CM70" s="95">
        <f ca="1">$CK70*SUM(OFFSET($AJ70,0,(COUNTA($CL$1:CM$1)-1)*4,1,4))/100</f>
        <v>11289.251092721643</v>
      </c>
      <c r="CN70" s="95">
        <f ca="1">$CK70*SUM(OFFSET($AJ70,0,(COUNTA($CL$1:CN$1)-1)*4,1,4))/100</f>
        <v>11164.507986724719</v>
      </c>
      <c r="CO70" s="95">
        <f ca="1">$CK70*SUM(OFFSET($AJ70,0,(COUNTA($CL$1:CO$1)-1)*4,1,4))/100</f>
        <v>8669.6458667862353</v>
      </c>
      <c r="CP70" s="95">
        <f ca="1">$CK70*SUM(OFFSET($AJ70,0,(COUNTA($CL$1:CP$1)-1)*4,1,4))/100</f>
        <v>7734.0725718093026</v>
      </c>
      <c r="CQ70" s="95">
        <f ca="1">$CK70*SUM(OFFSET($AJ70,0,(COUNTA($CL$1:CQ$1)-1)*4,1,4))/100</f>
        <v>5426.3251108662043</v>
      </c>
      <c r="CR70" s="95">
        <f ca="1">$CK70*SUM(OFFSET($AJ70,0,(COUNTA($CL$1:CR$1)-1)*4,1,4))/100</f>
        <v>2993.8345439261821</v>
      </c>
      <c r="CS70" s="95">
        <f ca="1">$CK70*SUM(OFFSET($AJ70,0,(COUNTA($CL$1:CS$1)-1)*4,1,4))/100</f>
        <v>1684.0319309584777</v>
      </c>
      <c r="CT70" s="95">
        <f ca="1">$CK70*SUM(OFFSET($AJ70,0,(COUNTA($CL$1:CT$1)-1)*4,1,4))/100</f>
        <v>748.45863598154563</v>
      </c>
      <c r="CU70" s="96">
        <f t="shared" si="10"/>
        <v>7037.1111111111113</v>
      </c>
      <c r="CV70" s="96">
        <f t="shared" si="11"/>
        <v>8.8632326552271934</v>
      </c>
    </row>
    <row r="71" spans="1:100">
      <c r="A71" s="82" t="str">
        <f ca="1">IF(ISERROR(OFFSET(Map!$E$2,MATCH(D71,Map!$B$3:$B$239,0),0)),OFFSET(Map!$E$2,MATCH(D71,Map!$C$3:$C$239,0),0),OFFSET(Map!$E$2,MATCH(D71,Map!$B$3:$B$239,0),0))</f>
        <v>Lejweleputswa</v>
      </c>
      <c r="B71" s="82">
        <v>70</v>
      </c>
      <c r="C71" s="82" t="s">
        <v>55</v>
      </c>
      <c r="D71" s="82" t="s">
        <v>343</v>
      </c>
      <c r="E71" s="82" t="s">
        <v>344</v>
      </c>
      <c r="F71" s="82">
        <v>28986</v>
      </c>
      <c r="G71" s="82">
        <v>31.2</v>
      </c>
      <c r="H71" s="82">
        <v>62.9</v>
      </c>
      <c r="I71" s="82">
        <f t="shared" si="6"/>
        <v>18232</v>
      </c>
      <c r="J71" s="82">
        <v>5.9</v>
      </c>
      <c r="K71" s="82">
        <v>58.9</v>
      </c>
      <c r="L71" s="82">
        <v>98.9</v>
      </c>
      <c r="M71" s="82">
        <v>-1.1299999999999999</v>
      </c>
      <c r="N71" s="82">
        <v>3</v>
      </c>
      <c r="O71" s="82">
        <v>27.5</v>
      </c>
      <c r="P71" s="82">
        <f t="shared" si="7"/>
        <v>13218</v>
      </c>
      <c r="Q71" s="82">
        <v>35.799999999999997</v>
      </c>
      <c r="R71" s="82">
        <v>20.8</v>
      </c>
      <c r="S71" s="82">
        <v>5.0999999999999996</v>
      </c>
      <c r="T71" s="82">
        <v>17.8</v>
      </c>
      <c r="U71" s="82">
        <v>8698</v>
      </c>
      <c r="V71" s="82">
        <v>1824</v>
      </c>
      <c r="W71" s="82">
        <v>3.2</v>
      </c>
      <c r="X71" s="82">
        <v>33.200000000000003</v>
      </c>
      <c r="Y71" s="82">
        <v>83.8</v>
      </c>
      <c r="Z71" s="82">
        <v>31.6</v>
      </c>
      <c r="AA71" s="82">
        <v>18.5</v>
      </c>
      <c r="AB71" s="82">
        <v>45.1</v>
      </c>
      <c r="AC71" s="82">
        <v>22.7</v>
      </c>
      <c r="AD71" s="82">
        <v>84.2</v>
      </c>
      <c r="AE71" s="82">
        <v>84.5</v>
      </c>
      <c r="AF71" s="82">
        <v>4.5999999999999996</v>
      </c>
      <c r="AG71" s="82">
        <v>0.7</v>
      </c>
      <c r="AH71" s="82">
        <v>9.9</v>
      </c>
      <c r="AI71" s="82">
        <v>0.3</v>
      </c>
      <c r="AJ71" s="82">
        <v>5.7</v>
      </c>
      <c r="AK71" s="82">
        <v>5.4</v>
      </c>
      <c r="AL71" s="82">
        <v>5.4</v>
      </c>
      <c r="AM71" s="82">
        <v>4.9000000000000004</v>
      </c>
      <c r="AN71" s="82">
        <v>4.9000000000000004</v>
      </c>
      <c r="AO71" s="82">
        <v>4.9000000000000004</v>
      </c>
      <c r="AP71" s="82">
        <v>4.5</v>
      </c>
      <c r="AQ71" s="82">
        <v>5.0999999999999996</v>
      </c>
      <c r="AR71" s="82">
        <v>4.7</v>
      </c>
      <c r="AS71" s="82">
        <v>4.4000000000000004</v>
      </c>
      <c r="AT71" s="82">
        <v>4.0999999999999996</v>
      </c>
      <c r="AU71" s="82">
        <v>3.8</v>
      </c>
      <c r="AV71" s="82">
        <v>3.9</v>
      </c>
      <c r="AW71" s="82">
        <v>3.5</v>
      </c>
      <c r="AX71" s="82">
        <v>3.5</v>
      </c>
      <c r="AY71" s="82">
        <v>3.5</v>
      </c>
      <c r="AZ71" s="82">
        <v>2.9</v>
      </c>
      <c r="BA71" s="82">
        <v>2.7</v>
      </c>
      <c r="BB71" s="82">
        <v>2.5</v>
      </c>
      <c r="BC71" s="82">
        <v>2.5</v>
      </c>
      <c r="BD71" s="82">
        <v>2.2000000000000002</v>
      </c>
      <c r="BE71" s="82">
        <v>2.2999999999999998</v>
      </c>
      <c r="BF71" s="82">
        <v>1.8</v>
      </c>
      <c r="BG71" s="82">
        <v>2.1</v>
      </c>
      <c r="BH71" s="82">
        <v>1.2</v>
      </c>
      <c r="BI71" s="82">
        <v>1.6</v>
      </c>
      <c r="BJ71" s="82">
        <v>1.1000000000000001</v>
      </c>
      <c r="BK71" s="82">
        <v>1.1000000000000001</v>
      </c>
      <c r="BL71" s="82">
        <v>0.5</v>
      </c>
      <c r="BM71" s="82">
        <v>0.8</v>
      </c>
      <c r="BN71" s="82">
        <v>0.4</v>
      </c>
      <c r="BO71" s="82">
        <v>0.7</v>
      </c>
      <c r="BP71" s="82">
        <v>0.2</v>
      </c>
      <c r="BQ71" s="82">
        <v>0.4</v>
      </c>
      <c r="BR71" s="82">
        <v>0.1</v>
      </c>
      <c r="BS71" s="82">
        <v>0.4</v>
      </c>
      <c r="BT71" s="82">
        <v>6618</v>
      </c>
      <c r="BU71" s="82">
        <v>2504</v>
      </c>
      <c r="BV71" s="82">
        <v>973</v>
      </c>
      <c r="BW71" s="82">
        <v>8141</v>
      </c>
      <c r="BX71" s="82">
        <v>10.199999999999999</v>
      </c>
      <c r="BY71" s="82">
        <v>4.7</v>
      </c>
      <c r="BZ71" s="82">
        <v>8.3000000000000007</v>
      </c>
      <c r="CA71" s="82">
        <v>28.2</v>
      </c>
      <c r="CB71" s="82">
        <v>24.7</v>
      </c>
      <c r="CC71" s="82">
        <v>11.1</v>
      </c>
      <c r="CD71" s="82">
        <v>6.3</v>
      </c>
      <c r="CE71" s="82">
        <v>4.0999999999999996</v>
      </c>
      <c r="CF71" s="82">
        <v>1.9</v>
      </c>
      <c r="CG71" s="82">
        <v>0.4</v>
      </c>
      <c r="CH71" s="82">
        <v>0.1</v>
      </c>
      <c r="CI71" s="82">
        <v>0.1</v>
      </c>
      <c r="CJ71" s="82">
        <f t="shared" si="8"/>
        <v>18236</v>
      </c>
      <c r="CK71" s="82">
        <f t="shared" si="9"/>
        <v>26167.913484882931</v>
      </c>
      <c r="CL71" s="95">
        <f ca="1">$CK71*SUM(OFFSET($AJ71,0,(COUNTA($CL$1:CL$1)-1)*4,1,4))/100</f>
        <v>5599.9334857649474</v>
      </c>
      <c r="CM71" s="95">
        <f ca="1">$CK71*SUM(OFFSET($AJ71,0,(COUNTA($CL$1:CM$1)-1)*4,1,4))/100</f>
        <v>5076.5752160672882</v>
      </c>
      <c r="CN71" s="95">
        <f ca="1">$CK71*SUM(OFFSET($AJ71,0,(COUNTA($CL$1:CN$1)-1)*4,1,4))/100</f>
        <v>4448.545292430098</v>
      </c>
      <c r="CO71" s="95">
        <f ca="1">$CK71*SUM(OFFSET($AJ71,0,(COUNTA($CL$1:CO$1)-1)*4,1,4))/100</f>
        <v>3768.1795418231422</v>
      </c>
      <c r="CP71" s="95">
        <f ca="1">$CK71*SUM(OFFSET($AJ71,0,(COUNTA($CL$1:CP$1)-1)*4,1,4))/100</f>
        <v>2773.7988293975905</v>
      </c>
      <c r="CQ71" s="95">
        <f ca="1">$CK71*SUM(OFFSET($AJ71,0,(COUNTA($CL$1:CQ$1)-1)*4,1,4))/100</f>
        <v>2198.1047327301662</v>
      </c>
      <c r="CR71" s="95">
        <f ca="1">$CK71*SUM(OFFSET($AJ71,0,(COUNTA($CL$1:CR$1)-1)*4,1,4))/100</f>
        <v>1308.3956742441464</v>
      </c>
      <c r="CS71" s="95">
        <f ca="1">$CK71*SUM(OFFSET($AJ71,0,(COUNTA($CL$1:CS$1)-1)*4,1,4))/100</f>
        <v>628.02992363719045</v>
      </c>
      <c r="CT71" s="95">
        <f ca="1">$CK71*SUM(OFFSET($AJ71,0,(COUNTA($CL$1:CT$1)-1)*4,1,4))/100</f>
        <v>287.84704833371228</v>
      </c>
      <c r="CU71" s="96">
        <f t="shared" si="10"/>
        <v>9662</v>
      </c>
      <c r="CV71" s="96">
        <f t="shared" si="11"/>
        <v>2.7083330040243148</v>
      </c>
    </row>
    <row r="72" spans="1:100">
      <c r="A72" s="82" t="str">
        <f ca="1">IF(ISERROR(OFFSET(Map!$E$2,MATCH(D72,Map!$B$3:$B$239,0),0)),OFFSET(Map!$E$2,MATCH(D72,Map!$C$3:$C$239,0),0),OFFSET(Map!$E$2,MATCH(D72,Map!$B$3:$B$239,0),0))</f>
        <v>Lejweleputswa</v>
      </c>
      <c r="B72" s="82">
        <v>71</v>
      </c>
      <c r="C72" s="82" t="s">
        <v>55</v>
      </c>
      <c r="D72" s="82" t="s">
        <v>345</v>
      </c>
      <c r="E72" s="82" t="s">
        <v>346</v>
      </c>
      <c r="F72" s="82">
        <v>47625</v>
      </c>
      <c r="G72" s="82">
        <v>33.799999999999997</v>
      </c>
      <c r="H72" s="82">
        <v>60.8</v>
      </c>
      <c r="I72" s="82">
        <f t="shared" si="6"/>
        <v>28956</v>
      </c>
      <c r="J72" s="82">
        <v>5.4</v>
      </c>
      <c r="K72" s="82">
        <v>64.5</v>
      </c>
      <c r="L72" s="82">
        <v>92.3</v>
      </c>
      <c r="M72" s="82">
        <v>-1.2</v>
      </c>
      <c r="N72" s="82">
        <v>7</v>
      </c>
      <c r="O72" s="82">
        <v>34.799999999999997</v>
      </c>
      <c r="P72" s="82">
        <f t="shared" si="7"/>
        <v>18879</v>
      </c>
      <c r="Q72" s="82">
        <v>46.2</v>
      </c>
      <c r="R72" s="82">
        <v>13.2</v>
      </c>
      <c r="S72" s="82">
        <v>5.3</v>
      </c>
      <c r="T72" s="82">
        <v>20.5</v>
      </c>
      <c r="U72" s="82">
        <v>11992</v>
      </c>
      <c r="V72" s="82">
        <v>3024</v>
      </c>
      <c r="W72" s="82">
        <v>3.8</v>
      </c>
      <c r="X72" s="82">
        <v>39.5</v>
      </c>
      <c r="Y72" s="82">
        <v>80.400000000000006</v>
      </c>
      <c r="Z72" s="82">
        <v>59.7</v>
      </c>
      <c r="AA72" s="82">
        <v>76.8</v>
      </c>
      <c r="AB72" s="82">
        <v>76.7</v>
      </c>
      <c r="AC72" s="82">
        <v>31.9</v>
      </c>
      <c r="AD72" s="82">
        <v>91.9</v>
      </c>
      <c r="AE72" s="82">
        <v>91.2</v>
      </c>
      <c r="AF72" s="82">
        <v>1.2</v>
      </c>
      <c r="AG72" s="82">
        <v>0.4</v>
      </c>
      <c r="AH72" s="82">
        <v>6.9</v>
      </c>
      <c r="AI72" s="82">
        <v>0.3</v>
      </c>
      <c r="AJ72" s="82">
        <v>6.1</v>
      </c>
      <c r="AK72" s="82">
        <v>6.2</v>
      </c>
      <c r="AL72" s="82">
        <v>5.5</v>
      </c>
      <c r="AM72" s="82">
        <v>5.5</v>
      </c>
      <c r="AN72" s="82">
        <v>5.3</v>
      </c>
      <c r="AO72" s="82">
        <v>5.2</v>
      </c>
      <c r="AP72" s="82">
        <v>4.5</v>
      </c>
      <c r="AQ72" s="82">
        <v>4.7</v>
      </c>
      <c r="AR72" s="82">
        <v>5.2</v>
      </c>
      <c r="AS72" s="82">
        <v>4.9000000000000004</v>
      </c>
      <c r="AT72" s="82">
        <v>4.3</v>
      </c>
      <c r="AU72" s="82">
        <v>4.5</v>
      </c>
      <c r="AV72" s="82">
        <v>3.2</v>
      </c>
      <c r="AW72" s="82">
        <v>3.4</v>
      </c>
      <c r="AX72" s="82">
        <v>2.6</v>
      </c>
      <c r="AY72" s="82">
        <v>3</v>
      </c>
      <c r="AZ72" s="82">
        <v>2.4</v>
      </c>
      <c r="BA72" s="82">
        <v>2.9</v>
      </c>
      <c r="BB72" s="82">
        <v>2.2000000000000002</v>
      </c>
      <c r="BC72" s="82">
        <v>2.2000000000000002</v>
      </c>
      <c r="BD72" s="82">
        <v>1.8</v>
      </c>
      <c r="BE72" s="82">
        <v>2.2000000000000002</v>
      </c>
      <c r="BF72" s="82">
        <v>1.7</v>
      </c>
      <c r="BG72" s="82">
        <v>2</v>
      </c>
      <c r="BH72" s="82">
        <v>1.1000000000000001</v>
      </c>
      <c r="BI72" s="82">
        <v>1.5</v>
      </c>
      <c r="BJ72" s="82">
        <v>0.9</v>
      </c>
      <c r="BK72" s="82">
        <v>1.1000000000000001</v>
      </c>
      <c r="BL72" s="82">
        <v>0.5</v>
      </c>
      <c r="BM72" s="82">
        <v>0.9</v>
      </c>
      <c r="BN72" s="82">
        <v>0.4</v>
      </c>
      <c r="BO72" s="82">
        <v>0.7</v>
      </c>
      <c r="BP72" s="82">
        <v>0.2</v>
      </c>
      <c r="BQ72" s="82">
        <v>0.4</v>
      </c>
      <c r="BR72" s="82">
        <v>0.1</v>
      </c>
      <c r="BS72" s="82">
        <v>0.3</v>
      </c>
      <c r="BT72" s="82">
        <v>9694</v>
      </c>
      <c r="BU72" s="82">
        <v>5174</v>
      </c>
      <c r="BV72" s="82">
        <v>2364</v>
      </c>
      <c r="BW72" s="82">
        <v>11727</v>
      </c>
      <c r="BX72" s="82">
        <v>9.9</v>
      </c>
      <c r="BY72" s="82">
        <v>5.3</v>
      </c>
      <c r="BZ72" s="82">
        <v>9.4</v>
      </c>
      <c r="CA72" s="82">
        <v>23.9</v>
      </c>
      <c r="CB72" s="82">
        <v>26.3</v>
      </c>
      <c r="CC72" s="82">
        <v>12.2</v>
      </c>
      <c r="CD72" s="82">
        <v>6.5</v>
      </c>
      <c r="CE72" s="82">
        <v>4.0999999999999996</v>
      </c>
      <c r="CF72" s="82">
        <v>1.6</v>
      </c>
      <c r="CG72" s="82">
        <v>0.4</v>
      </c>
      <c r="CH72" s="82">
        <v>0.2</v>
      </c>
      <c r="CI72" s="82">
        <v>0.3</v>
      </c>
      <c r="CJ72" s="82">
        <f t="shared" si="8"/>
        <v>28959</v>
      </c>
      <c r="CK72" s="82">
        <f t="shared" si="9"/>
        <v>42721.59808625756</v>
      </c>
      <c r="CL72" s="95">
        <f ca="1">$CK72*SUM(OFFSET($AJ72,0,(COUNTA($CL$1:CL$1)-1)*4,1,4))/100</f>
        <v>9954.132354098012</v>
      </c>
      <c r="CM72" s="95">
        <f ca="1">$CK72*SUM(OFFSET($AJ72,0,(COUNTA($CL$1:CM$1)-1)*4,1,4))/100</f>
        <v>8416.1548229927394</v>
      </c>
      <c r="CN72" s="95">
        <f ca="1">$CK72*SUM(OFFSET($AJ72,0,(COUNTA($CL$1:CN$1)-1)*4,1,4))/100</f>
        <v>8074.3820383026796</v>
      </c>
      <c r="CO72" s="95">
        <f ca="1">$CK72*SUM(OFFSET($AJ72,0,(COUNTA($CL$1:CO$1)-1)*4,1,4))/100</f>
        <v>5212.0349665234216</v>
      </c>
      <c r="CP72" s="95">
        <f ca="1">$CK72*SUM(OFFSET($AJ72,0,(COUNTA($CL$1:CP$1)-1)*4,1,4))/100</f>
        <v>4143.995014366983</v>
      </c>
      <c r="CQ72" s="95">
        <f ca="1">$CK72*SUM(OFFSET($AJ72,0,(COUNTA($CL$1:CQ$1)-1)*4,1,4))/100</f>
        <v>3289.5630526418322</v>
      </c>
      <c r="CR72" s="95">
        <f ca="1">$CK72*SUM(OFFSET($AJ72,0,(COUNTA($CL$1:CR$1)-1)*4,1,4))/100</f>
        <v>1965.1935119678476</v>
      </c>
      <c r="CS72" s="95">
        <f ca="1">$CK72*SUM(OFFSET($AJ72,0,(COUNTA($CL$1:CS$1)-1)*4,1,4))/100</f>
        <v>1068.0399521564389</v>
      </c>
      <c r="CT72" s="95">
        <f ca="1">$CK72*SUM(OFFSET($AJ72,0,(COUNTA($CL$1:CT$1)-1)*4,1,4))/100</f>
        <v>427.21598086257558</v>
      </c>
      <c r="CU72" s="96">
        <f t="shared" si="10"/>
        <v>6803.5714285714284</v>
      </c>
      <c r="CV72" s="96">
        <f t="shared" si="11"/>
        <v>6.2792900074289326</v>
      </c>
    </row>
    <row r="73" spans="1:100">
      <c r="A73" s="82" t="str">
        <f ca="1">IF(ISERROR(OFFSET(Map!$E$2,MATCH(D73,Map!$B$3:$B$239,0),0)),OFFSET(Map!$E$2,MATCH(D73,Map!$C$3:$C$239,0),0),OFFSET(Map!$E$2,MATCH(D73,Map!$B$3:$B$239,0),0))</f>
        <v>Lejweleputswa</v>
      </c>
      <c r="B73" s="82">
        <v>72</v>
      </c>
      <c r="C73" s="82" t="s">
        <v>55</v>
      </c>
      <c r="D73" s="82" t="s">
        <v>347</v>
      </c>
      <c r="E73" s="82" t="s">
        <v>348</v>
      </c>
      <c r="F73" s="82">
        <v>406461</v>
      </c>
      <c r="G73" s="82">
        <v>27.3</v>
      </c>
      <c r="H73" s="82">
        <v>68.099999999999994</v>
      </c>
      <c r="I73" s="82">
        <f t="shared" si="6"/>
        <v>276800</v>
      </c>
      <c r="J73" s="82">
        <v>4.7</v>
      </c>
      <c r="K73" s="82">
        <v>46.9</v>
      </c>
      <c r="L73" s="82">
        <v>98.3</v>
      </c>
      <c r="M73" s="82">
        <v>-0.04</v>
      </c>
      <c r="N73" s="82">
        <v>79</v>
      </c>
      <c r="O73" s="82">
        <v>37</v>
      </c>
      <c r="P73" s="82">
        <f t="shared" si="7"/>
        <v>174384</v>
      </c>
      <c r="Q73" s="82">
        <v>49.7</v>
      </c>
      <c r="R73" s="82">
        <v>4.5999999999999996</v>
      </c>
      <c r="S73" s="82">
        <v>9</v>
      </c>
      <c r="T73" s="82">
        <v>28</v>
      </c>
      <c r="U73" s="82">
        <v>123195</v>
      </c>
      <c r="V73" s="82">
        <v>16810</v>
      </c>
      <c r="W73" s="82">
        <v>3.1</v>
      </c>
      <c r="X73" s="82">
        <v>39.799999999999997</v>
      </c>
      <c r="Y73" s="82">
        <v>78.5</v>
      </c>
      <c r="Z73" s="82">
        <v>58.5</v>
      </c>
      <c r="AA73" s="82">
        <v>81.099999999999994</v>
      </c>
      <c r="AB73" s="82">
        <v>86.3</v>
      </c>
      <c r="AC73" s="82">
        <v>54.8</v>
      </c>
      <c r="AD73" s="82">
        <v>91.1</v>
      </c>
      <c r="AE73" s="82">
        <v>87.7</v>
      </c>
      <c r="AF73" s="82">
        <v>2.1</v>
      </c>
      <c r="AG73" s="82">
        <v>0.4</v>
      </c>
      <c r="AH73" s="82">
        <v>9.6</v>
      </c>
      <c r="AI73" s="82">
        <v>0.2</v>
      </c>
      <c r="AJ73" s="82">
        <v>5.2</v>
      </c>
      <c r="AK73" s="82">
        <v>5.2</v>
      </c>
      <c r="AL73" s="82">
        <v>4.3</v>
      </c>
      <c r="AM73" s="82">
        <v>4.3</v>
      </c>
      <c r="AN73" s="82">
        <v>4.2</v>
      </c>
      <c r="AO73" s="82">
        <v>4.0999999999999996</v>
      </c>
      <c r="AP73" s="82">
        <v>4.5</v>
      </c>
      <c r="AQ73" s="82">
        <v>4.5999999999999996</v>
      </c>
      <c r="AR73" s="82">
        <v>5.4</v>
      </c>
      <c r="AS73" s="82">
        <v>5.0999999999999996</v>
      </c>
      <c r="AT73" s="82">
        <v>5</v>
      </c>
      <c r="AU73" s="82">
        <v>4.5</v>
      </c>
      <c r="AV73" s="82">
        <v>3.9</v>
      </c>
      <c r="AW73" s="82">
        <v>3.7</v>
      </c>
      <c r="AX73" s="82">
        <v>3.1</v>
      </c>
      <c r="AY73" s="82">
        <v>3.4</v>
      </c>
      <c r="AZ73" s="82">
        <v>2.9</v>
      </c>
      <c r="BA73" s="82">
        <v>3.4</v>
      </c>
      <c r="BB73" s="82">
        <v>3.2</v>
      </c>
      <c r="BC73" s="82">
        <v>3.2</v>
      </c>
      <c r="BD73" s="82">
        <v>2.8</v>
      </c>
      <c r="BE73" s="82">
        <v>2.7</v>
      </c>
      <c r="BF73" s="82">
        <v>1.9</v>
      </c>
      <c r="BG73" s="82">
        <v>2</v>
      </c>
      <c r="BH73" s="82">
        <v>1.2</v>
      </c>
      <c r="BI73" s="82">
        <v>1.4</v>
      </c>
      <c r="BJ73" s="82">
        <v>0.8</v>
      </c>
      <c r="BK73" s="82">
        <v>1</v>
      </c>
      <c r="BL73" s="82">
        <v>0.5</v>
      </c>
      <c r="BM73" s="82">
        <v>0.8</v>
      </c>
      <c r="BN73" s="82">
        <v>0.3</v>
      </c>
      <c r="BO73" s="82">
        <v>0.6</v>
      </c>
      <c r="BP73" s="82">
        <v>0.1</v>
      </c>
      <c r="BQ73" s="82">
        <v>0.3</v>
      </c>
      <c r="BR73" s="82">
        <v>0.1</v>
      </c>
      <c r="BS73" s="82">
        <v>0.2</v>
      </c>
      <c r="BT73" s="82">
        <v>99650</v>
      </c>
      <c r="BU73" s="82">
        <v>58524</v>
      </c>
      <c r="BV73" s="82">
        <v>13290</v>
      </c>
      <c r="BW73" s="82">
        <v>105159</v>
      </c>
      <c r="BX73" s="82">
        <v>16.3</v>
      </c>
      <c r="BY73" s="82">
        <v>5.4</v>
      </c>
      <c r="BZ73" s="82">
        <v>7.4</v>
      </c>
      <c r="CA73" s="82">
        <v>17.399999999999999</v>
      </c>
      <c r="CB73" s="82">
        <v>18.2</v>
      </c>
      <c r="CC73" s="82">
        <v>15.3</v>
      </c>
      <c r="CD73" s="82">
        <v>9.5</v>
      </c>
      <c r="CE73" s="82">
        <v>6.5</v>
      </c>
      <c r="CF73" s="82">
        <v>3.1</v>
      </c>
      <c r="CG73" s="82">
        <v>0.7</v>
      </c>
      <c r="CH73" s="82">
        <v>0.2</v>
      </c>
      <c r="CI73" s="82">
        <v>0.2</v>
      </c>
      <c r="CJ73" s="82">
        <f t="shared" si="8"/>
        <v>276623</v>
      </c>
      <c r="CK73" s="82">
        <f t="shared" si="9"/>
        <v>405000.07943153649</v>
      </c>
      <c r="CL73" s="95">
        <f ca="1">$CK73*SUM(OFFSET($AJ73,0,(COUNTA($CL$1:CL$1)-1)*4,1,4))/100</f>
        <v>76950.01509199194</v>
      </c>
      <c r="CM73" s="95">
        <f ca="1">$CK73*SUM(OFFSET($AJ73,0,(COUNTA($CL$1:CM$1)-1)*4,1,4))/100</f>
        <v>70470.013821087341</v>
      </c>
      <c r="CN73" s="95">
        <f ca="1">$CK73*SUM(OFFSET($AJ73,0,(COUNTA($CL$1:CN$1)-1)*4,1,4))/100</f>
        <v>81000.015886307301</v>
      </c>
      <c r="CO73" s="95">
        <f ca="1">$CK73*SUM(OFFSET($AJ73,0,(COUNTA($CL$1:CO$1)-1)*4,1,4))/100</f>
        <v>57105.011199846638</v>
      </c>
      <c r="CP73" s="95">
        <f ca="1">$CK73*SUM(OFFSET($AJ73,0,(COUNTA($CL$1:CP$1)-1)*4,1,4))/100</f>
        <v>51435.010087805131</v>
      </c>
      <c r="CQ73" s="95">
        <f ca="1">$CK73*SUM(OFFSET($AJ73,0,(COUNTA($CL$1:CQ$1)-1)*4,1,4))/100</f>
        <v>38070.007466564428</v>
      </c>
      <c r="CR73" s="95">
        <f ca="1">$CK73*SUM(OFFSET($AJ73,0,(COUNTA($CL$1:CR$1)-1)*4,1,4))/100</f>
        <v>17820.003494987603</v>
      </c>
      <c r="CS73" s="95">
        <f ca="1">$CK73*SUM(OFFSET($AJ73,0,(COUNTA($CL$1:CS$1)-1)*4,1,4))/100</f>
        <v>8910.0017474938031</v>
      </c>
      <c r="CT73" s="95">
        <f ca="1">$CK73*SUM(OFFSET($AJ73,0,(COUNTA($CL$1:CT$1)-1)*4,1,4))/100</f>
        <v>2835.0005560207555</v>
      </c>
      <c r="CU73" s="96">
        <f t="shared" si="10"/>
        <v>5145.0759493670885</v>
      </c>
      <c r="CV73" s="96">
        <f t="shared" si="11"/>
        <v>78.716054615550775</v>
      </c>
    </row>
    <row r="74" spans="1:100">
      <c r="A74" s="82" t="str">
        <f ca="1">IF(ISERROR(OFFSET(Map!$E$2,MATCH(D74,Map!$B$3:$B$239,0),0)),OFFSET(Map!$E$2,MATCH(D74,Map!$C$3:$C$239,0),0),OFFSET(Map!$E$2,MATCH(D74,Map!$B$3:$B$239,0),0))</f>
        <v>Lejweleputswa</v>
      </c>
      <c r="B74" s="82">
        <v>73</v>
      </c>
      <c r="C74" s="82" t="s">
        <v>55</v>
      </c>
      <c r="D74" s="82" t="s">
        <v>349</v>
      </c>
      <c r="E74" s="82" t="s">
        <v>350</v>
      </c>
      <c r="F74" s="82">
        <v>81220</v>
      </c>
      <c r="G74" s="82">
        <v>32.700000000000003</v>
      </c>
      <c r="H74" s="82">
        <v>61.6</v>
      </c>
      <c r="I74" s="82">
        <f t="shared" si="6"/>
        <v>50032</v>
      </c>
      <c r="J74" s="82">
        <v>5.8</v>
      </c>
      <c r="K74" s="82">
        <v>62.4</v>
      </c>
      <c r="L74" s="82">
        <v>91.8</v>
      </c>
      <c r="M74" s="82">
        <v>-1.9</v>
      </c>
      <c r="N74" s="82">
        <v>20</v>
      </c>
      <c r="O74" s="82">
        <v>35.9</v>
      </c>
      <c r="P74" s="82">
        <f t="shared" si="7"/>
        <v>32070</v>
      </c>
      <c r="Q74" s="82">
        <v>47.6</v>
      </c>
      <c r="R74" s="82">
        <v>7.9</v>
      </c>
      <c r="S74" s="82">
        <v>5.6</v>
      </c>
      <c r="T74" s="82">
        <v>22.2</v>
      </c>
      <c r="U74" s="82">
        <v>21703</v>
      </c>
      <c r="V74" s="82">
        <v>5131</v>
      </c>
      <c r="W74" s="82">
        <v>3.7</v>
      </c>
      <c r="X74" s="82">
        <v>40.5</v>
      </c>
      <c r="Y74" s="82">
        <v>77.599999999999994</v>
      </c>
      <c r="Z74" s="82">
        <v>63.9</v>
      </c>
      <c r="AA74" s="82">
        <v>69.7</v>
      </c>
      <c r="AB74" s="82">
        <v>79.5</v>
      </c>
      <c r="AC74" s="82">
        <v>40.4</v>
      </c>
      <c r="AD74" s="82">
        <v>90.3</v>
      </c>
      <c r="AE74" s="82">
        <v>93.1</v>
      </c>
      <c r="AF74" s="82">
        <v>0.6</v>
      </c>
      <c r="AG74" s="82">
        <v>0.3</v>
      </c>
      <c r="AH74" s="82">
        <v>5.8</v>
      </c>
      <c r="AI74" s="82">
        <v>0.2</v>
      </c>
      <c r="AJ74" s="82">
        <v>6.1</v>
      </c>
      <c r="AK74" s="82">
        <v>6.3</v>
      </c>
      <c r="AL74" s="82">
        <v>5.5</v>
      </c>
      <c r="AM74" s="82">
        <v>5.3</v>
      </c>
      <c r="AN74" s="82">
        <v>4.7</v>
      </c>
      <c r="AO74" s="82">
        <v>4.8</v>
      </c>
      <c r="AP74" s="82">
        <v>4.5999999999999996</v>
      </c>
      <c r="AQ74" s="82">
        <v>4.7</v>
      </c>
      <c r="AR74" s="82">
        <v>4.7</v>
      </c>
      <c r="AS74" s="82">
        <v>4.9000000000000004</v>
      </c>
      <c r="AT74" s="82">
        <v>4.2</v>
      </c>
      <c r="AU74" s="82">
        <v>4.4000000000000004</v>
      </c>
      <c r="AV74" s="82">
        <v>3.3</v>
      </c>
      <c r="AW74" s="82">
        <v>3.6</v>
      </c>
      <c r="AX74" s="82">
        <v>2.8</v>
      </c>
      <c r="AY74" s="82">
        <v>3.1</v>
      </c>
      <c r="AZ74" s="82">
        <v>2.2999999999999998</v>
      </c>
      <c r="BA74" s="82">
        <v>2.8</v>
      </c>
      <c r="BB74" s="82">
        <v>2.2000000000000002</v>
      </c>
      <c r="BC74" s="82">
        <v>2.2000000000000002</v>
      </c>
      <c r="BD74" s="82">
        <v>2</v>
      </c>
      <c r="BE74" s="82">
        <v>2.2999999999999998</v>
      </c>
      <c r="BF74" s="82">
        <v>1.7</v>
      </c>
      <c r="BG74" s="82">
        <v>2.2999999999999998</v>
      </c>
      <c r="BH74" s="82">
        <v>1.5</v>
      </c>
      <c r="BI74" s="82">
        <v>1.7</v>
      </c>
      <c r="BJ74" s="82">
        <v>1</v>
      </c>
      <c r="BK74" s="82">
        <v>1.3</v>
      </c>
      <c r="BL74" s="82">
        <v>0.6</v>
      </c>
      <c r="BM74" s="82">
        <v>0.9</v>
      </c>
      <c r="BN74" s="82">
        <v>0.3</v>
      </c>
      <c r="BO74" s="82">
        <v>0.7</v>
      </c>
      <c r="BP74" s="82">
        <v>0.2</v>
      </c>
      <c r="BQ74" s="82">
        <v>0.4</v>
      </c>
      <c r="BR74" s="82">
        <v>0.1</v>
      </c>
      <c r="BS74" s="82">
        <v>0.3</v>
      </c>
      <c r="BT74" s="82">
        <v>15786</v>
      </c>
      <c r="BU74" s="82">
        <v>8825</v>
      </c>
      <c r="BV74" s="82">
        <v>4588</v>
      </c>
      <c r="BW74" s="82">
        <v>20798</v>
      </c>
      <c r="BX74" s="82">
        <v>12.5</v>
      </c>
      <c r="BY74" s="82">
        <v>5.3</v>
      </c>
      <c r="BZ74" s="82">
        <v>9.6999999999999993</v>
      </c>
      <c r="CA74" s="82">
        <v>24.6</v>
      </c>
      <c r="CB74" s="82">
        <v>24.5</v>
      </c>
      <c r="CC74" s="82">
        <v>11.2</v>
      </c>
      <c r="CD74" s="82">
        <v>6</v>
      </c>
      <c r="CE74" s="82">
        <v>3.7</v>
      </c>
      <c r="CF74" s="82">
        <v>1.7</v>
      </c>
      <c r="CG74" s="82">
        <v>0.4</v>
      </c>
      <c r="CH74" s="82">
        <v>0.2</v>
      </c>
      <c r="CI74" s="82">
        <v>0.2</v>
      </c>
      <c r="CJ74" s="82">
        <f t="shared" si="8"/>
        <v>49997</v>
      </c>
      <c r="CK74" s="82">
        <f t="shared" si="9"/>
        <v>68341.42837696863</v>
      </c>
      <c r="CL74" s="95">
        <f ca="1">$CK74*SUM(OFFSET($AJ74,0,(COUNTA($CL$1:CL$1)-1)*4,1,4))/100</f>
        <v>15855.211383456721</v>
      </c>
      <c r="CM74" s="95">
        <f ca="1">$CK74*SUM(OFFSET($AJ74,0,(COUNTA($CL$1:CM$1)-1)*4,1,4))/100</f>
        <v>12848.188534870103</v>
      </c>
      <c r="CN74" s="95">
        <f ca="1">$CK74*SUM(OFFSET($AJ74,0,(COUNTA($CL$1:CN$1)-1)*4,1,4))/100</f>
        <v>12438.139964608292</v>
      </c>
      <c r="CO74" s="95">
        <f ca="1">$CK74*SUM(OFFSET($AJ74,0,(COUNTA($CL$1:CO$1)-1)*4,1,4))/100</f>
        <v>8747.7028322519836</v>
      </c>
      <c r="CP74" s="95">
        <f ca="1">$CK74*SUM(OFFSET($AJ74,0,(COUNTA($CL$1:CP$1)-1)*4,1,4))/100</f>
        <v>6492.4356958120197</v>
      </c>
      <c r="CQ74" s="95">
        <f ca="1">$CK74*SUM(OFFSET($AJ74,0,(COUNTA($CL$1:CQ$1)-1)*4,1,4))/100</f>
        <v>5672.3385552883965</v>
      </c>
      <c r="CR74" s="95">
        <f ca="1">$CK74*SUM(OFFSET($AJ74,0,(COUNTA($CL$1:CR$1)-1)*4,1,4))/100</f>
        <v>3758.7785607332748</v>
      </c>
      <c r="CS74" s="95">
        <f ca="1">$CK74*SUM(OFFSET($AJ74,0,(COUNTA($CL$1:CS$1)-1)*4,1,4))/100</f>
        <v>1708.5357094242156</v>
      </c>
      <c r="CT74" s="95">
        <f ca="1">$CK74*SUM(OFFSET($AJ74,0,(COUNTA($CL$1:CT$1)-1)*4,1,4))/100</f>
        <v>683.41428376968634</v>
      </c>
      <c r="CU74" s="96">
        <f t="shared" si="10"/>
        <v>4061</v>
      </c>
      <c r="CV74" s="96">
        <f t="shared" si="11"/>
        <v>16.828719127547064</v>
      </c>
    </row>
    <row r="75" spans="1:100">
      <c r="A75" s="82" t="str">
        <f ca="1">IF(ISERROR(OFFSET(Map!$E$2,MATCH(D75,Map!$B$3:$B$239,0),0)),OFFSET(Map!$E$2,MATCH(D75,Map!$C$3:$C$239,0),0),OFFSET(Map!$E$2,MATCH(D75,Map!$B$3:$B$239,0),0))</f>
        <v>Thabo Mofutsanyana</v>
      </c>
      <c r="B75" s="82">
        <v>74</v>
      </c>
      <c r="C75" s="82" t="s">
        <v>55</v>
      </c>
      <c r="D75" s="82" t="s">
        <v>351</v>
      </c>
      <c r="E75" s="82" t="s">
        <v>352</v>
      </c>
      <c r="F75" s="82">
        <v>112597</v>
      </c>
      <c r="G75" s="82">
        <v>32.1</v>
      </c>
      <c r="H75" s="82">
        <v>62.1</v>
      </c>
      <c r="I75" s="82">
        <f t="shared" si="6"/>
        <v>69923</v>
      </c>
      <c r="J75" s="82">
        <v>5.8</v>
      </c>
      <c r="K75" s="82">
        <v>61.1</v>
      </c>
      <c r="L75" s="82">
        <v>87.8</v>
      </c>
      <c r="M75" s="82">
        <v>-0.9</v>
      </c>
      <c r="N75" s="82">
        <v>19</v>
      </c>
      <c r="O75" s="82">
        <v>35.700000000000003</v>
      </c>
      <c r="P75" s="82">
        <f t="shared" si="7"/>
        <v>44960</v>
      </c>
      <c r="Q75" s="82">
        <v>46.1</v>
      </c>
      <c r="R75" s="82">
        <v>8.6999999999999993</v>
      </c>
      <c r="S75" s="82">
        <v>6.9</v>
      </c>
      <c r="T75" s="82">
        <v>22.6</v>
      </c>
      <c r="U75" s="82">
        <v>33687</v>
      </c>
      <c r="V75" s="82">
        <v>9817</v>
      </c>
      <c r="W75" s="82">
        <v>3.3</v>
      </c>
      <c r="X75" s="82">
        <v>46.4</v>
      </c>
      <c r="Y75" s="82">
        <v>70.2</v>
      </c>
      <c r="Z75" s="82">
        <v>62</v>
      </c>
      <c r="AA75" s="82">
        <v>56.6</v>
      </c>
      <c r="AB75" s="82">
        <v>55</v>
      </c>
      <c r="AC75" s="82">
        <v>31.4</v>
      </c>
      <c r="AD75" s="82">
        <v>88.6</v>
      </c>
      <c r="AE75" s="82">
        <v>92.3</v>
      </c>
      <c r="AF75" s="82">
        <v>1</v>
      </c>
      <c r="AG75" s="82">
        <v>0.8</v>
      </c>
      <c r="AH75" s="82">
        <v>5.7</v>
      </c>
      <c r="AI75" s="82">
        <v>0.2</v>
      </c>
      <c r="AJ75" s="82">
        <v>5.9</v>
      </c>
      <c r="AK75" s="82">
        <v>5.8</v>
      </c>
      <c r="AL75" s="82">
        <v>5.5</v>
      </c>
      <c r="AM75" s="82">
        <v>5.5</v>
      </c>
      <c r="AN75" s="82">
        <v>4.8</v>
      </c>
      <c r="AO75" s="82">
        <v>4.7</v>
      </c>
      <c r="AP75" s="82">
        <v>5</v>
      </c>
      <c r="AQ75" s="82">
        <v>5</v>
      </c>
      <c r="AR75" s="82">
        <v>4.7</v>
      </c>
      <c r="AS75" s="82">
        <v>4.8</v>
      </c>
      <c r="AT75" s="82">
        <v>4.2</v>
      </c>
      <c r="AU75" s="82">
        <v>4.5</v>
      </c>
      <c r="AV75" s="82">
        <v>3.4</v>
      </c>
      <c r="AW75" s="82">
        <v>3.8</v>
      </c>
      <c r="AX75" s="82">
        <v>2.8</v>
      </c>
      <c r="AY75" s="82">
        <v>3.4</v>
      </c>
      <c r="AZ75" s="82">
        <v>2.2999999999999998</v>
      </c>
      <c r="BA75" s="82">
        <v>3</v>
      </c>
      <c r="BB75" s="82">
        <v>2</v>
      </c>
      <c r="BC75" s="82">
        <v>2</v>
      </c>
      <c r="BD75" s="82">
        <v>1.7</v>
      </c>
      <c r="BE75" s="82">
        <v>2.2999999999999998</v>
      </c>
      <c r="BF75" s="82">
        <v>1.5</v>
      </c>
      <c r="BG75" s="82">
        <v>2.1</v>
      </c>
      <c r="BH75" s="82">
        <v>1.1000000000000001</v>
      </c>
      <c r="BI75" s="82">
        <v>1.7</v>
      </c>
      <c r="BJ75" s="82">
        <v>0.8</v>
      </c>
      <c r="BK75" s="82">
        <v>1.3</v>
      </c>
      <c r="BL75" s="82">
        <v>0.5</v>
      </c>
      <c r="BM75" s="82">
        <v>1</v>
      </c>
      <c r="BN75" s="82">
        <v>0.3</v>
      </c>
      <c r="BO75" s="82">
        <v>0.8</v>
      </c>
      <c r="BP75" s="82">
        <v>0.2</v>
      </c>
      <c r="BQ75" s="82">
        <v>0.4</v>
      </c>
      <c r="BR75" s="82">
        <v>0.1</v>
      </c>
      <c r="BS75" s="82">
        <v>0.4</v>
      </c>
      <c r="BT75" s="82">
        <v>21493</v>
      </c>
      <c r="BU75" s="82">
        <v>11918</v>
      </c>
      <c r="BV75" s="82">
        <v>5365</v>
      </c>
      <c r="BW75" s="82">
        <v>31111</v>
      </c>
      <c r="BX75" s="82">
        <v>12.7</v>
      </c>
      <c r="BY75" s="82">
        <v>6.9</v>
      </c>
      <c r="BZ75" s="82">
        <v>11.3</v>
      </c>
      <c r="CA75" s="82">
        <v>24.9</v>
      </c>
      <c r="CB75" s="82">
        <v>22.2</v>
      </c>
      <c r="CC75" s="82">
        <v>9.8000000000000007</v>
      </c>
      <c r="CD75" s="82">
        <v>5.8</v>
      </c>
      <c r="CE75" s="82">
        <v>4.2</v>
      </c>
      <c r="CF75" s="82">
        <v>1.7</v>
      </c>
      <c r="CG75" s="82">
        <v>0.3</v>
      </c>
      <c r="CH75" s="82">
        <v>0.2</v>
      </c>
      <c r="CI75" s="82">
        <v>0.1</v>
      </c>
      <c r="CJ75" s="82">
        <f t="shared" si="8"/>
        <v>69887</v>
      </c>
      <c r="CK75" s="82">
        <f t="shared" si="9"/>
        <v>103798.17311173737</v>
      </c>
      <c r="CL75" s="95">
        <f ca="1">$CK75*SUM(OFFSET($AJ75,0,(COUNTA($CL$1:CL$1)-1)*4,1,4))/100</f>
        <v>23562.185296364383</v>
      </c>
      <c r="CM75" s="95">
        <f ca="1">$CK75*SUM(OFFSET($AJ75,0,(COUNTA($CL$1:CM$1)-1)*4,1,4))/100</f>
        <v>20240.643756788788</v>
      </c>
      <c r="CN75" s="95">
        <f ca="1">$CK75*SUM(OFFSET($AJ75,0,(COUNTA($CL$1:CN$1)-1)*4,1,4))/100</f>
        <v>18891.2675063362</v>
      </c>
      <c r="CO75" s="95">
        <f ca="1">$CK75*SUM(OFFSET($AJ75,0,(COUNTA($CL$1:CO$1)-1)*4,1,4))/100</f>
        <v>13908.955196972809</v>
      </c>
      <c r="CP75" s="95">
        <f ca="1">$CK75*SUM(OFFSET($AJ75,0,(COUNTA($CL$1:CP$1)-1)*4,1,4))/100</f>
        <v>9653.230099391576</v>
      </c>
      <c r="CQ75" s="95">
        <f ca="1">$CK75*SUM(OFFSET($AJ75,0,(COUNTA($CL$1:CQ$1)-1)*4,1,4))/100</f>
        <v>7888.6611564920404</v>
      </c>
      <c r="CR75" s="95">
        <f ca="1">$CK75*SUM(OFFSET($AJ75,0,(COUNTA($CL$1:CR$1)-1)*4,1,4))/100</f>
        <v>5086.110482475131</v>
      </c>
      <c r="CS75" s="95">
        <f ca="1">$CK75*SUM(OFFSET($AJ75,0,(COUNTA($CL$1:CS$1)-1)*4,1,4))/100</f>
        <v>2698.7525009051715</v>
      </c>
      <c r="CT75" s="95">
        <f ca="1">$CK75*SUM(OFFSET($AJ75,0,(COUNTA($CL$1:CT$1)-1)*4,1,4))/100</f>
        <v>1141.779904229111</v>
      </c>
      <c r="CU75" s="96">
        <f t="shared" si="10"/>
        <v>5926.1578947368425</v>
      </c>
      <c r="CV75" s="96">
        <f t="shared" si="11"/>
        <v>17.515256082515609</v>
      </c>
    </row>
    <row r="76" spans="1:100">
      <c r="A76" s="82" t="str">
        <f ca="1">IF(ISERROR(OFFSET(Map!$E$2,MATCH(D76,Map!$B$3:$B$239,0),0)),OFFSET(Map!$E$2,MATCH(D76,Map!$C$3:$C$239,0),0),OFFSET(Map!$E$2,MATCH(D76,Map!$B$3:$B$239,0),0))</f>
        <v>Thabo Mofutsanyana</v>
      </c>
      <c r="B76" s="82">
        <v>75</v>
      </c>
      <c r="C76" s="82" t="s">
        <v>55</v>
      </c>
      <c r="D76" s="82" t="s">
        <v>353</v>
      </c>
      <c r="E76" s="82" t="s">
        <v>354</v>
      </c>
      <c r="F76" s="82">
        <v>128704</v>
      </c>
      <c r="G76" s="82">
        <v>29.4</v>
      </c>
      <c r="H76" s="82">
        <v>65.2</v>
      </c>
      <c r="I76" s="82">
        <f t="shared" si="6"/>
        <v>83915</v>
      </c>
      <c r="J76" s="82">
        <v>5.4</v>
      </c>
      <c r="K76" s="82">
        <v>53.5</v>
      </c>
      <c r="L76" s="82">
        <v>90.5</v>
      </c>
      <c r="M76" s="82">
        <v>-0.05</v>
      </c>
      <c r="N76" s="82">
        <v>26</v>
      </c>
      <c r="O76" s="82">
        <v>28.7</v>
      </c>
      <c r="P76" s="82">
        <f t="shared" si="7"/>
        <v>59831</v>
      </c>
      <c r="Q76" s="82">
        <v>38.9</v>
      </c>
      <c r="R76" s="82">
        <v>8.9</v>
      </c>
      <c r="S76" s="82">
        <v>10.6</v>
      </c>
      <c r="T76" s="82">
        <v>26.3</v>
      </c>
      <c r="U76" s="82">
        <v>38593</v>
      </c>
      <c r="V76" s="82">
        <v>11089</v>
      </c>
      <c r="W76" s="82">
        <v>3.2</v>
      </c>
      <c r="X76" s="82">
        <v>41.1</v>
      </c>
      <c r="Y76" s="82">
        <v>76.7</v>
      </c>
      <c r="Z76" s="82">
        <v>47.5</v>
      </c>
      <c r="AA76" s="82">
        <v>74.2</v>
      </c>
      <c r="AB76" s="82">
        <v>80.2</v>
      </c>
      <c r="AC76" s="82">
        <v>43.8</v>
      </c>
      <c r="AD76" s="82">
        <v>84.8</v>
      </c>
      <c r="AE76" s="82">
        <v>87.4</v>
      </c>
      <c r="AF76" s="82">
        <v>1.5</v>
      </c>
      <c r="AG76" s="82">
        <v>0.5</v>
      </c>
      <c r="AH76" s="82">
        <v>10.4</v>
      </c>
      <c r="AI76" s="82">
        <v>0.2</v>
      </c>
      <c r="AJ76" s="82">
        <v>5.2</v>
      </c>
      <c r="AK76" s="82">
        <v>5.5</v>
      </c>
      <c r="AL76" s="82">
        <v>4.8</v>
      </c>
      <c r="AM76" s="82">
        <v>4.8</v>
      </c>
      <c r="AN76" s="82">
        <v>4.7</v>
      </c>
      <c r="AO76" s="82">
        <v>4.4000000000000004</v>
      </c>
      <c r="AP76" s="82">
        <v>4.3</v>
      </c>
      <c r="AQ76" s="82">
        <v>4.4000000000000004</v>
      </c>
      <c r="AR76" s="82">
        <v>4.7</v>
      </c>
      <c r="AS76" s="82">
        <v>4.7</v>
      </c>
      <c r="AT76" s="82">
        <v>4.7</v>
      </c>
      <c r="AU76" s="82">
        <v>4.8</v>
      </c>
      <c r="AV76" s="82">
        <v>3.9</v>
      </c>
      <c r="AW76" s="82">
        <v>4.2</v>
      </c>
      <c r="AX76" s="82">
        <v>3.3</v>
      </c>
      <c r="AY76" s="82">
        <v>3.6</v>
      </c>
      <c r="AZ76" s="82">
        <v>2.8</v>
      </c>
      <c r="BA76" s="82">
        <v>3.2</v>
      </c>
      <c r="BB76" s="82">
        <v>2.2999999999999998</v>
      </c>
      <c r="BC76" s="82">
        <v>2.2999999999999998</v>
      </c>
      <c r="BD76" s="82">
        <v>2</v>
      </c>
      <c r="BE76" s="82">
        <v>2.5</v>
      </c>
      <c r="BF76" s="82">
        <v>1.6</v>
      </c>
      <c r="BG76" s="82">
        <v>2.1</v>
      </c>
      <c r="BH76" s="82">
        <v>1.2</v>
      </c>
      <c r="BI76" s="82">
        <v>1.8</v>
      </c>
      <c r="BJ76" s="82">
        <v>0.8</v>
      </c>
      <c r="BK76" s="82">
        <v>1.1000000000000001</v>
      </c>
      <c r="BL76" s="82">
        <v>0.5</v>
      </c>
      <c r="BM76" s="82">
        <v>0.9</v>
      </c>
      <c r="BN76" s="82">
        <v>0.3</v>
      </c>
      <c r="BO76" s="82">
        <v>0.7</v>
      </c>
      <c r="BP76" s="82">
        <v>0.2</v>
      </c>
      <c r="BQ76" s="82">
        <v>0.4</v>
      </c>
      <c r="BR76" s="82">
        <v>0.1</v>
      </c>
      <c r="BS76" s="82">
        <v>0.4</v>
      </c>
      <c r="BT76" s="82">
        <v>33843</v>
      </c>
      <c r="BU76" s="82">
        <v>13653</v>
      </c>
      <c r="BV76" s="82">
        <v>4889</v>
      </c>
      <c r="BW76" s="82">
        <v>31467</v>
      </c>
      <c r="BX76" s="82">
        <v>6.3</v>
      </c>
      <c r="BY76" s="82">
        <v>4.9000000000000004</v>
      </c>
      <c r="BZ76" s="82">
        <v>8</v>
      </c>
      <c r="CA76" s="82">
        <v>22.1</v>
      </c>
      <c r="CB76" s="82">
        <v>24.5</v>
      </c>
      <c r="CC76" s="82">
        <v>14.1</v>
      </c>
      <c r="CD76" s="82">
        <v>8.9</v>
      </c>
      <c r="CE76" s="82">
        <v>6.4</v>
      </c>
      <c r="CF76" s="82">
        <v>3.6</v>
      </c>
      <c r="CG76" s="82">
        <v>0.9</v>
      </c>
      <c r="CH76" s="82">
        <v>0.3</v>
      </c>
      <c r="CI76" s="82">
        <v>0.2</v>
      </c>
      <c r="CJ76" s="82">
        <f t="shared" si="8"/>
        <v>83852</v>
      </c>
      <c r="CK76" s="82">
        <f t="shared" si="9"/>
        <v>128125.98898562112</v>
      </c>
      <c r="CL76" s="95">
        <f ca="1">$CK76*SUM(OFFSET($AJ76,0,(COUNTA($CL$1:CL$1)-1)*4,1,4))/100</f>
        <v>26009.575764081088</v>
      </c>
      <c r="CM76" s="95">
        <f ca="1">$CK76*SUM(OFFSET($AJ76,0,(COUNTA($CL$1:CM$1)-1)*4,1,4))/100</f>
        <v>22806.426039440568</v>
      </c>
      <c r="CN76" s="95">
        <f ca="1">$CK76*SUM(OFFSET($AJ76,0,(COUNTA($CL$1:CN$1)-1)*4,1,4))/100</f>
        <v>24215.811918282398</v>
      </c>
      <c r="CO76" s="95">
        <f ca="1">$CK76*SUM(OFFSET($AJ76,0,(COUNTA($CL$1:CO$1)-1)*4,1,4))/100</f>
        <v>19218.898347843166</v>
      </c>
      <c r="CP76" s="95">
        <f ca="1">$CK76*SUM(OFFSET($AJ76,0,(COUNTA($CL$1:CP$1)-1)*4,1,4))/100</f>
        <v>13581.354832475841</v>
      </c>
      <c r="CQ76" s="95">
        <f ca="1">$CK76*SUM(OFFSET($AJ76,0,(COUNTA($CL$1:CQ$1)-1)*4,1,4))/100</f>
        <v>10506.331096820932</v>
      </c>
      <c r="CR76" s="95">
        <f ca="1">$CK76*SUM(OFFSET($AJ76,0,(COUNTA($CL$1:CR$1)-1)*4,1,4))/100</f>
        <v>6278.1734602954357</v>
      </c>
      <c r="CS76" s="95">
        <f ca="1">$CK76*SUM(OFFSET($AJ76,0,(COUNTA($CL$1:CS$1)-1)*4,1,4))/100</f>
        <v>3075.0237356549069</v>
      </c>
      <c r="CT76" s="95">
        <f ca="1">$CK76*SUM(OFFSET($AJ76,0,(COUNTA($CL$1:CT$1)-1)*4,1,4))/100</f>
        <v>1409.3858788418324</v>
      </c>
      <c r="CU76" s="96">
        <f t="shared" si="10"/>
        <v>4950.1538461538457</v>
      </c>
      <c r="CV76" s="96">
        <f t="shared" si="11"/>
        <v>25.883233727204669</v>
      </c>
    </row>
    <row r="77" spans="1:100">
      <c r="A77" s="82" t="str">
        <f ca="1">IF(ISERROR(OFFSET(Map!$E$2,MATCH(D77,Map!$B$3:$B$239,0),0)),OFFSET(Map!$E$2,MATCH(D77,Map!$C$3:$C$239,0),0),OFFSET(Map!$E$2,MATCH(D77,Map!$B$3:$B$239,0),0))</f>
        <v>Thabo Mofutsanyana</v>
      </c>
      <c r="B77" s="82">
        <v>76</v>
      </c>
      <c r="C77" s="82" t="s">
        <v>55</v>
      </c>
      <c r="D77" s="82" t="s">
        <v>355</v>
      </c>
      <c r="E77" s="82" t="s">
        <v>356</v>
      </c>
      <c r="F77" s="82">
        <v>60324</v>
      </c>
      <c r="G77" s="82">
        <v>32.299999999999997</v>
      </c>
      <c r="H77" s="82">
        <v>61.9</v>
      </c>
      <c r="I77" s="82">
        <f t="shared" si="6"/>
        <v>37341</v>
      </c>
      <c r="J77" s="82">
        <v>5.8</v>
      </c>
      <c r="K77" s="82">
        <v>61.6</v>
      </c>
      <c r="L77" s="82">
        <v>90.2</v>
      </c>
      <c r="M77" s="82">
        <v>-0.27</v>
      </c>
      <c r="N77" s="82">
        <v>11</v>
      </c>
      <c r="O77" s="82">
        <v>30.4</v>
      </c>
      <c r="P77" s="82">
        <f t="shared" si="7"/>
        <v>25989</v>
      </c>
      <c r="Q77" s="82">
        <v>41.6</v>
      </c>
      <c r="R77" s="82">
        <v>12.7</v>
      </c>
      <c r="S77" s="82">
        <v>6.7</v>
      </c>
      <c r="T77" s="82">
        <v>20.399999999999999</v>
      </c>
      <c r="U77" s="82">
        <v>17318</v>
      </c>
      <c r="V77" s="82">
        <v>5493</v>
      </c>
      <c r="W77" s="82">
        <v>3.4</v>
      </c>
      <c r="X77" s="82">
        <v>40.700000000000003</v>
      </c>
      <c r="Y77" s="82">
        <v>73.5</v>
      </c>
      <c r="Z77" s="82">
        <v>57.5</v>
      </c>
      <c r="AA77" s="82">
        <v>61.1</v>
      </c>
      <c r="AB77" s="82">
        <v>72.2</v>
      </c>
      <c r="AC77" s="82">
        <v>28.2</v>
      </c>
      <c r="AD77" s="82">
        <v>84.7</v>
      </c>
      <c r="AE77" s="82">
        <v>91.4</v>
      </c>
      <c r="AF77" s="82">
        <v>0.3</v>
      </c>
      <c r="AG77" s="82">
        <v>0.2</v>
      </c>
      <c r="AH77" s="82">
        <v>7.8</v>
      </c>
      <c r="AI77" s="82">
        <v>0.2</v>
      </c>
      <c r="AJ77" s="82">
        <v>5.8</v>
      </c>
      <c r="AK77" s="82">
        <v>6</v>
      </c>
      <c r="AL77" s="82">
        <v>5.4</v>
      </c>
      <c r="AM77" s="82">
        <v>5.5</v>
      </c>
      <c r="AN77" s="82">
        <v>4.8</v>
      </c>
      <c r="AO77" s="82">
        <v>4.9000000000000004</v>
      </c>
      <c r="AP77" s="82">
        <v>4.9000000000000004</v>
      </c>
      <c r="AQ77" s="82">
        <v>4.8</v>
      </c>
      <c r="AR77" s="82">
        <v>4.9000000000000004</v>
      </c>
      <c r="AS77" s="82">
        <v>4.8</v>
      </c>
      <c r="AT77" s="82">
        <v>4.2</v>
      </c>
      <c r="AU77" s="82">
        <v>4.4000000000000004</v>
      </c>
      <c r="AV77" s="82">
        <v>3.4</v>
      </c>
      <c r="AW77" s="82">
        <v>3.6</v>
      </c>
      <c r="AX77" s="82">
        <v>2.8</v>
      </c>
      <c r="AY77" s="82">
        <v>3.1</v>
      </c>
      <c r="AZ77" s="82">
        <v>2.2000000000000002</v>
      </c>
      <c r="BA77" s="82">
        <v>2.7</v>
      </c>
      <c r="BB77" s="82">
        <v>2.2000000000000002</v>
      </c>
      <c r="BC77" s="82">
        <v>2.2000000000000002</v>
      </c>
      <c r="BD77" s="82">
        <v>1.8</v>
      </c>
      <c r="BE77" s="82">
        <v>2.4</v>
      </c>
      <c r="BF77" s="82">
        <v>1.6</v>
      </c>
      <c r="BG77" s="82">
        <v>2.2000000000000002</v>
      </c>
      <c r="BH77" s="82">
        <v>1.4</v>
      </c>
      <c r="BI77" s="82">
        <v>1.7</v>
      </c>
      <c r="BJ77" s="82">
        <v>0.9</v>
      </c>
      <c r="BK77" s="82">
        <v>1.2</v>
      </c>
      <c r="BL77" s="82">
        <v>0.5</v>
      </c>
      <c r="BM77" s="82">
        <v>0.9</v>
      </c>
      <c r="BN77" s="82">
        <v>0.3</v>
      </c>
      <c r="BO77" s="82">
        <v>0.7</v>
      </c>
      <c r="BP77" s="82">
        <v>0.2</v>
      </c>
      <c r="BQ77" s="82">
        <v>0.5</v>
      </c>
      <c r="BR77" s="82">
        <v>0.2</v>
      </c>
      <c r="BS77" s="82">
        <v>0.4</v>
      </c>
      <c r="BT77" s="82">
        <v>13406</v>
      </c>
      <c r="BU77" s="82">
        <v>5855</v>
      </c>
      <c r="BV77" s="82">
        <v>3007</v>
      </c>
      <c r="BW77" s="82">
        <v>15063</v>
      </c>
      <c r="BX77" s="82">
        <v>7.2</v>
      </c>
      <c r="BY77" s="82">
        <v>5.6</v>
      </c>
      <c r="BZ77" s="82">
        <v>9.8000000000000007</v>
      </c>
      <c r="CA77" s="82">
        <v>25.5</v>
      </c>
      <c r="CB77" s="82">
        <v>26.6</v>
      </c>
      <c r="CC77" s="82">
        <v>12.2</v>
      </c>
      <c r="CD77" s="82">
        <v>6.5</v>
      </c>
      <c r="CE77" s="82">
        <v>4</v>
      </c>
      <c r="CF77" s="82">
        <v>1.7</v>
      </c>
      <c r="CG77" s="82">
        <v>0.5</v>
      </c>
      <c r="CH77" s="82">
        <v>0.2</v>
      </c>
      <c r="CI77" s="82">
        <v>0.2</v>
      </c>
      <c r="CJ77" s="82">
        <f t="shared" si="8"/>
        <v>37331</v>
      </c>
      <c r="CK77" s="82">
        <f t="shared" si="9"/>
        <v>58873.858895397723</v>
      </c>
      <c r="CL77" s="95">
        <f ca="1">$CK77*SUM(OFFSET($AJ77,0,(COUNTA($CL$1:CL$1)-1)*4,1,4))/100</f>
        <v>13364.365969255285</v>
      </c>
      <c r="CM77" s="95">
        <f ca="1">$CK77*SUM(OFFSET($AJ77,0,(COUNTA($CL$1:CM$1)-1)*4,1,4))/100</f>
        <v>11421.528625707158</v>
      </c>
      <c r="CN77" s="95">
        <f ca="1">$CK77*SUM(OFFSET($AJ77,0,(COUNTA($CL$1:CN$1)-1)*4,1,4))/100</f>
        <v>10773.916177857782</v>
      </c>
      <c r="CO77" s="95">
        <f ca="1">$CK77*SUM(OFFSET($AJ77,0,(COUNTA($CL$1:CO$1)-1)*4,1,4))/100</f>
        <v>7594.7277975063062</v>
      </c>
      <c r="CP77" s="95">
        <f ca="1">$CK77*SUM(OFFSET($AJ77,0,(COUNTA($CL$1:CP$1)-1)*4,1,4))/100</f>
        <v>5475.2688772719885</v>
      </c>
      <c r="CQ77" s="95">
        <f ca="1">$CK77*SUM(OFFSET($AJ77,0,(COUNTA($CL$1:CQ$1)-1)*4,1,4))/100</f>
        <v>4709.9087116318178</v>
      </c>
      <c r="CR77" s="95">
        <f ca="1">$CK77*SUM(OFFSET($AJ77,0,(COUNTA($CL$1:CR$1)-1)*4,1,4))/100</f>
        <v>3061.4406625606812</v>
      </c>
      <c r="CS77" s="95">
        <f ca="1">$CK77*SUM(OFFSET($AJ77,0,(COUNTA($CL$1:CS$1)-1)*4,1,4))/100</f>
        <v>1412.9726134895452</v>
      </c>
      <c r="CT77" s="95">
        <f ca="1">$CK77*SUM(OFFSET($AJ77,0,(COUNTA($CL$1:CT$1)-1)*4,1,4))/100</f>
        <v>765.36016564017029</v>
      </c>
      <c r="CU77" s="96">
        <f t="shared" si="10"/>
        <v>5484</v>
      </c>
      <c r="CV77" s="96">
        <f t="shared" si="11"/>
        <v>10.7355687263672</v>
      </c>
    </row>
    <row r="78" spans="1:100">
      <c r="A78" s="82" t="str">
        <f ca="1">IF(ISERROR(OFFSET(Map!$E$2,MATCH(D78,Map!$B$3:$B$239,0),0)),OFFSET(Map!$E$2,MATCH(D78,Map!$C$3:$C$239,0),0),OFFSET(Map!$E$2,MATCH(D78,Map!$B$3:$B$239,0),0))</f>
        <v>Thabo Mofutsanyana</v>
      </c>
      <c r="B78" s="82">
        <v>77</v>
      </c>
      <c r="C78" s="82" t="s">
        <v>55</v>
      </c>
      <c r="D78" s="82" t="s">
        <v>357</v>
      </c>
      <c r="E78" s="82" t="s">
        <v>358</v>
      </c>
      <c r="F78" s="82">
        <v>335784</v>
      </c>
      <c r="G78" s="82">
        <v>32.700000000000003</v>
      </c>
      <c r="H78" s="82">
        <v>62</v>
      </c>
      <c r="I78" s="82">
        <f t="shared" si="6"/>
        <v>208186</v>
      </c>
      <c r="J78" s="82">
        <v>5.3</v>
      </c>
      <c r="K78" s="82">
        <v>61.2</v>
      </c>
      <c r="L78" s="82">
        <v>83.9</v>
      </c>
      <c r="M78" s="82">
        <v>-0.71</v>
      </c>
      <c r="N78" s="82">
        <v>77</v>
      </c>
      <c r="O78" s="82">
        <v>41.8</v>
      </c>
      <c r="P78" s="82">
        <f t="shared" si="7"/>
        <v>121164</v>
      </c>
      <c r="Q78" s="82">
        <v>53</v>
      </c>
      <c r="R78" s="82">
        <v>8.9</v>
      </c>
      <c r="S78" s="82">
        <v>7.9</v>
      </c>
      <c r="T78" s="82">
        <v>26.8</v>
      </c>
      <c r="U78" s="82">
        <v>100228</v>
      </c>
      <c r="V78" s="82">
        <v>51733</v>
      </c>
      <c r="W78" s="82">
        <v>3.3</v>
      </c>
      <c r="X78" s="82">
        <v>50.9</v>
      </c>
      <c r="Y78" s="82">
        <v>80.400000000000006</v>
      </c>
      <c r="Z78" s="82">
        <v>72.3</v>
      </c>
      <c r="AA78" s="82">
        <v>30.3</v>
      </c>
      <c r="AB78" s="82">
        <v>24.8</v>
      </c>
      <c r="AC78" s="82">
        <v>31.9</v>
      </c>
      <c r="AD78" s="82">
        <v>89</v>
      </c>
      <c r="AE78" s="82">
        <v>98.2</v>
      </c>
      <c r="AF78" s="82">
        <v>0.2</v>
      </c>
      <c r="AG78" s="82">
        <v>0.2</v>
      </c>
      <c r="AH78" s="82">
        <v>1.3</v>
      </c>
      <c r="AI78" s="82">
        <v>0.1</v>
      </c>
      <c r="AJ78" s="82">
        <v>5.8</v>
      </c>
      <c r="AK78" s="82">
        <v>5.8</v>
      </c>
      <c r="AL78" s="82">
        <v>5.5</v>
      </c>
      <c r="AM78" s="82">
        <v>5.5</v>
      </c>
      <c r="AN78" s="82">
        <v>5.0999999999999996</v>
      </c>
      <c r="AO78" s="82">
        <v>4.9000000000000004</v>
      </c>
      <c r="AP78" s="82">
        <v>5.9</v>
      </c>
      <c r="AQ78" s="82">
        <v>5.7</v>
      </c>
      <c r="AR78" s="82">
        <v>4.9000000000000004</v>
      </c>
      <c r="AS78" s="82">
        <v>5.3</v>
      </c>
      <c r="AT78" s="82">
        <v>3.7</v>
      </c>
      <c r="AU78" s="82">
        <v>4.5999999999999996</v>
      </c>
      <c r="AV78" s="82">
        <v>2.8</v>
      </c>
      <c r="AW78" s="82">
        <v>3.6</v>
      </c>
      <c r="AX78" s="82">
        <v>2.4</v>
      </c>
      <c r="AY78" s="82">
        <v>3.2</v>
      </c>
      <c r="AZ78" s="82">
        <v>2</v>
      </c>
      <c r="BA78" s="82">
        <v>3.1</v>
      </c>
      <c r="BB78" s="82">
        <v>1.9</v>
      </c>
      <c r="BC78" s="82">
        <v>1.9</v>
      </c>
      <c r="BD78" s="82">
        <v>1.5</v>
      </c>
      <c r="BE78" s="82">
        <v>2.5</v>
      </c>
      <c r="BF78" s="82">
        <v>1.3</v>
      </c>
      <c r="BG78" s="82">
        <v>2.1</v>
      </c>
      <c r="BH78" s="82">
        <v>1</v>
      </c>
      <c r="BI78" s="82">
        <v>1.6</v>
      </c>
      <c r="BJ78" s="82">
        <v>0.7</v>
      </c>
      <c r="BK78" s="82">
        <v>1.1000000000000001</v>
      </c>
      <c r="BL78" s="82">
        <v>0.5</v>
      </c>
      <c r="BM78" s="82">
        <v>0.9</v>
      </c>
      <c r="BN78" s="82">
        <v>0.3</v>
      </c>
      <c r="BO78" s="82">
        <v>0.7</v>
      </c>
      <c r="BP78" s="82">
        <v>0.2</v>
      </c>
      <c r="BQ78" s="82">
        <v>0.5</v>
      </c>
      <c r="BR78" s="82">
        <v>0.1</v>
      </c>
      <c r="BS78" s="82">
        <v>0.4</v>
      </c>
      <c r="BT78" s="82">
        <v>52867</v>
      </c>
      <c r="BU78" s="82">
        <v>38002</v>
      </c>
      <c r="BV78" s="82">
        <v>18379</v>
      </c>
      <c r="BW78" s="82">
        <v>99048</v>
      </c>
      <c r="BX78" s="82">
        <v>13.5</v>
      </c>
      <c r="BY78" s="82">
        <v>9</v>
      </c>
      <c r="BZ78" s="82">
        <v>13.7</v>
      </c>
      <c r="CA78" s="82">
        <v>23.7</v>
      </c>
      <c r="CB78" s="82">
        <v>20.7</v>
      </c>
      <c r="CC78" s="82">
        <v>9</v>
      </c>
      <c r="CD78" s="82">
        <v>5.2</v>
      </c>
      <c r="CE78" s="82">
        <v>3.3</v>
      </c>
      <c r="CF78" s="82">
        <v>1.4</v>
      </c>
      <c r="CG78" s="82">
        <v>0.3</v>
      </c>
      <c r="CH78" s="82">
        <v>0.1</v>
      </c>
      <c r="CI78" s="82">
        <v>0.1</v>
      </c>
      <c r="CJ78" s="82">
        <f t="shared" si="8"/>
        <v>208296</v>
      </c>
      <c r="CK78" s="82">
        <f t="shared" si="9"/>
        <v>314926.7813397001</v>
      </c>
      <c r="CL78" s="95">
        <f ca="1">$CK78*SUM(OFFSET($AJ78,0,(COUNTA($CL$1:CL$1)-1)*4,1,4))/100</f>
        <v>71173.452582772225</v>
      </c>
      <c r="CM78" s="95">
        <f ca="1">$CK78*SUM(OFFSET($AJ78,0,(COUNTA($CL$1:CM$1)-1)*4,1,4))/100</f>
        <v>68024.184769375221</v>
      </c>
      <c r="CN78" s="95">
        <f ca="1">$CK78*SUM(OFFSET($AJ78,0,(COUNTA($CL$1:CN$1)-1)*4,1,4))/100</f>
        <v>58261.454547844522</v>
      </c>
      <c r="CO78" s="95">
        <f ca="1">$CK78*SUM(OFFSET($AJ78,0,(COUNTA($CL$1:CO$1)-1)*4,1,4))/100</f>
        <v>37791.213760764011</v>
      </c>
      <c r="CP78" s="95">
        <f ca="1">$CK78*SUM(OFFSET($AJ78,0,(COUNTA($CL$1:CP$1)-1)*4,1,4))/100</f>
        <v>28028.483539233312</v>
      </c>
      <c r="CQ78" s="95">
        <f ca="1">$CK78*SUM(OFFSET($AJ78,0,(COUNTA($CL$1:CQ$1)-1)*4,1,4))/100</f>
        <v>23304.581819137809</v>
      </c>
      <c r="CR78" s="95">
        <f ca="1">$CK78*SUM(OFFSET($AJ78,0,(COUNTA($CL$1:CR$1)-1)*4,1,4))/100</f>
        <v>13856.778378946805</v>
      </c>
      <c r="CS78" s="95">
        <f ca="1">$CK78*SUM(OFFSET($AJ78,0,(COUNTA($CL$1:CS$1)-1)*4,1,4))/100</f>
        <v>7558.2427521528025</v>
      </c>
      <c r="CT78" s="95">
        <f ca="1">$CK78*SUM(OFFSET($AJ78,0,(COUNTA($CL$1:CT$1)-1)*4,1,4))/100</f>
        <v>3779.1213760764012</v>
      </c>
      <c r="CU78" s="96">
        <f t="shared" si="10"/>
        <v>4360.8311688311687</v>
      </c>
      <c r="CV78" s="96">
        <f t="shared" si="11"/>
        <v>72.217146031844607</v>
      </c>
    </row>
    <row r="79" spans="1:100">
      <c r="A79" s="82" t="str">
        <f ca="1">IF(ISERROR(OFFSET(Map!$E$2,MATCH(D79,Map!$B$3:$B$239,0),0)),OFFSET(Map!$E$2,MATCH(D79,Map!$C$3:$C$239,0),0),OFFSET(Map!$E$2,MATCH(D79,Map!$B$3:$B$239,0),0))</f>
        <v>Thabo Mofutsanyana</v>
      </c>
      <c r="B79" s="82">
        <v>78</v>
      </c>
      <c r="C79" s="82" t="s">
        <v>55</v>
      </c>
      <c r="D79" s="82" t="s">
        <v>359</v>
      </c>
      <c r="E79" s="82" t="s">
        <v>360</v>
      </c>
      <c r="F79" s="82">
        <v>47772</v>
      </c>
      <c r="G79" s="82">
        <v>31.7</v>
      </c>
      <c r="H79" s="82">
        <v>62.3</v>
      </c>
      <c r="I79" s="82">
        <f t="shared" si="6"/>
        <v>29762</v>
      </c>
      <c r="J79" s="82">
        <v>6</v>
      </c>
      <c r="K79" s="82">
        <v>60.5</v>
      </c>
      <c r="L79" s="82">
        <v>94.1</v>
      </c>
      <c r="M79" s="82">
        <v>-0.83</v>
      </c>
      <c r="N79" s="82">
        <v>6</v>
      </c>
      <c r="O79" s="82">
        <v>25.3</v>
      </c>
      <c r="P79" s="82">
        <f t="shared" si="7"/>
        <v>22232</v>
      </c>
      <c r="Q79" s="82">
        <v>34.6</v>
      </c>
      <c r="R79" s="82">
        <v>11.3</v>
      </c>
      <c r="S79" s="82">
        <v>6.5</v>
      </c>
      <c r="T79" s="82">
        <v>19.399999999999999</v>
      </c>
      <c r="U79" s="82">
        <v>12888</v>
      </c>
      <c r="V79" s="82">
        <v>4762</v>
      </c>
      <c r="W79" s="82">
        <v>3.6</v>
      </c>
      <c r="X79" s="82">
        <v>39.299999999999997</v>
      </c>
      <c r="Y79" s="82">
        <v>73</v>
      </c>
      <c r="Z79" s="82">
        <v>50.2</v>
      </c>
      <c r="AA79" s="82">
        <v>59.3</v>
      </c>
      <c r="AB79" s="82">
        <v>65.099999999999994</v>
      </c>
      <c r="AC79" s="82">
        <v>30.6</v>
      </c>
      <c r="AD79" s="82">
        <v>74.900000000000006</v>
      </c>
      <c r="AE79" s="82">
        <v>91.6</v>
      </c>
      <c r="AF79" s="82">
        <v>0.4</v>
      </c>
      <c r="AG79" s="82">
        <v>0.3</v>
      </c>
      <c r="AH79" s="82">
        <v>7.3</v>
      </c>
      <c r="AI79" s="82">
        <v>0.3</v>
      </c>
      <c r="AJ79" s="82">
        <v>5.5</v>
      </c>
      <c r="AK79" s="82">
        <v>5.4</v>
      </c>
      <c r="AL79" s="82">
        <v>5.3</v>
      </c>
      <c r="AM79" s="82">
        <v>5.5</v>
      </c>
      <c r="AN79" s="82">
        <v>5</v>
      </c>
      <c r="AO79" s="82">
        <v>4.9000000000000004</v>
      </c>
      <c r="AP79" s="82">
        <v>4.7</v>
      </c>
      <c r="AQ79" s="82">
        <v>4.8</v>
      </c>
      <c r="AR79" s="82">
        <v>4.9000000000000004</v>
      </c>
      <c r="AS79" s="82">
        <v>4.8</v>
      </c>
      <c r="AT79" s="82">
        <v>4.0999999999999996</v>
      </c>
      <c r="AU79" s="82">
        <v>4.2</v>
      </c>
      <c r="AV79" s="82">
        <v>3.6</v>
      </c>
      <c r="AW79" s="82">
        <v>3.3</v>
      </c>
      <c r="AX79" s="82">
        <v>2.9</v>
      </c>
      <c r="AY79" s="82">
        <v>3.1</v>
      </c>
      <c r="AZ79" s="82">
        <v>2.6</v>
      </c>
      <c r="BA79" s="82">
        <v>2.8</v>
      </c>
      <c r="BB79" s="82">
        <v>2.2000000000000002</v>
      </c>
      <c r="BC79" s="82">
        <v>2.2000000000000002</v>
      </c>
      <c r="BD79" s="82">
        <v>2</v>
      </c>
      <c r="BE79" s="82">
        <v>2.6</v>
      </c>
      <c r="BF79" s="82">
        <v>1.8</v>
      </c>
      <c r="BG79" s="82">
        <v>2.1</v>
      </c>
      <c r="BH79" s="82">
        <v>1.3</v>
      </c>
      <c r="BI79" s="82">
        <v>1.6</v>
      </c>
      <c r="BJ79" s="82">
        <v>0.9</v>
      </c>
      <c r="BK79" s="82">
        <v>1.2</v>
      </c>
      <c r="BL79" s="82">
        <v>0.7</v>
      </c>
      <c r="BM79" s="82">
        <v>1</v>
      </c>
      <c r="BN79" s="82">
        <v>0.4</v>
      </c>
      <c r="BO79" s="82">
        <v>0.7</v>
      </c>
      <c r="BP79" s="82">
        <v>0.2</v>
      </c>
      <c r="BQ79" s="82">
        <v>0.5</v>
      </c>
      <c r="BR79" s="82">
        <v>0.2</v>
      </c>
      <c r="BS79" s="82">
        <v>0.3</v>
      </c>
      <c r="BT79" s="82">
        <v>10681</v>
      </c>
      <c r="BU79" s="82">
        <v>3624</v>
      </c>
      <c r="BV79" s="82">
        <v>3125</v>
      </c>
      <c r="BW79" s="82">
        <v>12336</v>
      </c>
      <c r="BX79" s="82">
        <v>9.4</v>
      </c>
      <c r="BY79" s="82">
        <v>5</v>
      </c>
      <c r="BZ79" s="82">
        <v>8.3000000000000007</v>
      </c>
      <c r="CA79" s="82">
        <v>25.8</v>
      </c>
      <c r="CB79" s="82">
        <v>25.5</v>
      </c>
      <c r="CC79" s="82">
        <v>13.7</v>
      </c>
      <c r="CD79" s="82">
        <v>6.3</v>
      </c>
      <c r="CE79" s="82">
        <v>3.6</v>
      </c>
      <c r="CF79" s="82">
        <v>1.6</v>
      </c>
      <c r="CG79" s="82">
        <v>0.4</v>
      </c>
      <c r="CH79" s="82">
        <v>0.2</v>
      </c>
      <c r="CI79" s="82">
        <v>0.1</v>
      </c>
      <c r="CJ79" s="82">
        <f t="shared" si="8"/>
        <v>29766</v>
      </c>
      <c r="CK79" s="82">
        <f t="shared" si="9"/>
        <v>44319.641907220648</v>
      </c>
      <c r="CL79" s="95">
        <f ca="1">$CK79*SUM(OFFSET($AJ79,0,(COUNTA($CL$1:CL$1)-1)*4,1,4))/100</f>
        <v>9617.3622938668796</v>
      </c>
      <c r="CM79" s="95">
        <f ca="1">$CK79*SUM(OFFSET($AJ79,0,(COUNTA($CL$1:CM$1)-1)*4,1,4))/100</f>
        <v>8598.0105300008072</v>
      </c>
      <c r="CN79" s="95">
        <f ca="1">$CK79*SUM(OFFSET($AJ79,0,(COUNTA($CL$1:CN$1)-1)*4,1,4))/100</f>
        <v>7977.5355432997167</v>
      </c>
      <c r="CO79" s="95">
        <f ca="1">$CK79*SUM(OFFSET($AJ79,0,(COUNTA($CL$1:CO$1)-1)*4,1,4))/100</f>
        <v>5717.2338060314642</v>
      </c>
      <c r="CP79" s="95">
        <f ca="1">$CK79*SUM(OFFSET($AJ79,0,(COUNTA($CL$1:CP$1)-1)*4,1,4))/100</f>
        <v>4343.3249069076237</v>
      </c>
      <c r="CQ79" s="95">
        <f ca="1">$CK79*SUM(OFFSET($AJ79,0,(COUNTA($CL$1:CQ$1)-1)*4,1,4))/100</f>
        <v>3767.1695621137555</v>
      </c>
      <c r="CR79" s="95">
        <f ca="1">$CK79*SUM(OFFSET($AJ79,0,(COUNTA($CL$1:CR$1)-1)*4,1,4))/100</f>
        <v>2215.9820953610324</v>
      </c>
      <c r="CS79" s="95">
        <f ca="1">$CK79*SUM(OFFSET($AJ79,0,(COUNTA($CL$1:CS$1)-1)*4,1,4))/100</f>
        <v>1240.9499734021781</v>
      </c>
      <c r="CT79" s="95">
        <f ca="1">$CK79*SUM(OFFSET($AJ79,0,(COUNTA($CL$1:CT$1)-1)*4,1,4))/100</f>
        <v>531.83570288664782</v>
      </c>
      <c r="CU79" s="96">
        <f t="shared" si="10"/>
        <v>7962</v>
      </c>
      <c r="CV79" s="96">
        <f t="shared" si="11"/>
        <v>5.5663956175861147</v>
      </c>
    </row>
    <row r="80" spans="1:100">
      <c r="A80" s="82" t="str">
        <f ca="1">IF(ISERROR(OFFSET(Map!$E$2,MATCH(D80,Map!$B$3:$B$239,0),0)),OFFSET(Map!$E$2,MATCH(D80,Map!$C$3:$C$239,0),0),OFFSET(Map!$E$2,MATCH(D80,Map!$B$3:$B$239,0),0))</f>
        <v>Thabo Mofutsanyana</v>
      </c>
      <c r="B80" s="82">
        <v>79</v>
      </c>
      <c r="C80" s="82" t="s">
        <v>55</v>
      </c>
      <c r="D80" s="82" t="s">
        <v>361</v>
      </c>
      <c r="E80" s="82" t="s">
        <v>362</v>
      </c>
      <c r="F80" s="82">
        <v>51056</v>
      </c>
      <c r="G80" s="82">
        <v>31.8</v>
      </c>
      <c r="H80" s="82">
        <v>62.8</v>
      </c>
      <c r="I80" s="82">
        <f t="shared" si="6"/>
        <v>32063</v>
      </c>
      <c r="J80" s="82">
        <v>5.4</v>
      </c>
      <c r="K80" s="82">
        <v>59.2</v>
      </c>
      <c r="L80" s="82">
        <v>91.6</v>
      </c>
      <c r="M80" s="82">
        <v>-0.81</v>
      </c>
      <c r="N80" s="82">
        <v>12</v>
      </c>
      <c r="O80" s="82">
        <v>29.2</v>
      </c>
      <c r="P80" s="82">
        <f t="shared" si="7"/>
        <v>22701</v>
      </c>
      <c r="Q80" s="82">
        <v>38.200000000000003</v>
      </c>
      <c r="R80" s="82">
        <v>5.7</v>
      </c>
      <c r="S80" s="82">
        <v>8.6</v>
      </c>
      <c r="T80" s="82">
        <v>22.9</v>
      </c>
      <c r="U80" s="82">
        <v>15170</v>
      </c>
      <c r="V80" s="82">
        <v>3934</v>
      </c>
      <c r="W80" s="82">
        <v>3.3</v>
      </c>
      <c r="X80" s="82">
        <v>43.2</v>
      </c>
      <c r="Y80" s="82">
        <v>81.8</v>
      </c>
      <c r="Z80" s="82">
        <v>56.2</v>
      </c>
      <c r="AA80" s="82">
        <v>67.5</v>
      </c>
      <c r="AB80" s="82">
        <v>78.2</v>
      </c>
      <c r="AC80" s="82">
        <v>33.200000000000003</v>
      </c>
      <c r="AD80" s="82">
        <v>91</v>
      </c>
      <c r="AE80" s="82">
        <v>88.4</v>
      </c>
      <c r="AF80" s="82">
        <v>3.9</v>
      </c>
      <c r="AG80" s="82">
        <v>0.6</v>
      </c>
      <c r="AH80" s="82">
        <v>6.6</v>
      </c>
      <c r="AI80" s="82">
        <v>0.5</v>
      </c>
      <c r="AJ80" s="82">
        <v>6</v>
      </c>
      <c r="AK80" s="82">
        <v>5.8</v>
      </c>
      <c r="AL80" s="82">
        <v>5.4</v>
      </c>
      <c r="AM80" s="82">
        <v>5.2</v>
      </c>
      <c r="AN80" s="82">
        <v>4.7</v>
      </c>
      <c r="AO80" s="82">
        <v>4.8</v>
      </c>
      <c r="AP80" s="82">
        <v>5</v>
      </c>
      <c r="AQ80" s="82">
        <v>5</v>
      </c>
      <c r="AR80" s="82">
        <v>4.7</v>
      </c>
      <c r="AS80" s="82">
        <v>4.8</v>
      </c>
      <c r="AT80" s="82">
        <v>4.5</v>
      </c>
      <c r="AU80" s="82">
        <v>4.4000000000000004</v>
      </c>
      <c r="AV80" s="82">
        <v>3.5</v>
      </c>
      <c r="AW80" s="82">
        <v>3.6</v>
      </c>
      <c r="AX80" s="82">
        <v>2.8</v>
      </c>
      <c r="AY80" s="82">
        <v>3.3</v>
      </c>
      <c r="AZ80" s="82">
        <v>2.6</v>
      </c>
      <c r="BA80" s="82">
        <v>2.9</v>
      </c>
      <c r="BB80" s="82">
        <v>2.1</v>
      </c>
      <c r="BC80" s="82">
        <v>2.1</v>
      </c>
      <c r="BD80" s="82">
        <v>1.8</v>
      </c>
      <c r="BE80" s="82">
        <v>2.4</v>
      </c>
      <c r="BF80" s="82">
        <v>1.6</v>
      </c>
      <c r="BG80" s="82">
        <v>2.2000000000000002</v>
      </c>
      <c r="BH80" s="82">
        <v>1.1000000000000001</v>
      </c>
      <c r="BI80" s="82">
        <v>1.7</v>
      </c>
      <c r="BJ80" s="82">
        <v>0.8</v>
      </c>
      <c r="BK80" s="82">
        <v>1.1000000000000001</v>
      </c>
      <c r="BL80" s="82">
        <v>0.6</v>
      </c>
      <c r="BM80" s="82">
        <v>1</v>
      </c>
      <c r="BN80" s="82">
        <v>0.3</v>
      </c>
      <c r="BO80" s="82">
        <v>0.7</v>
      </c>
      <c r="BP80" s="82">
        <v>0.2</v>
      </c>
      <c r="BQ80" s="82">
        <v>0.4</v>
      </c>
      <c r="BR80" s="82">
        <v>0.1</v>
      </c>
      <c r="BS80" s="82">
        <v>0.4</v>
      </c>
      <c r="BT80" s="82">
        <v>11838</v>
      </c>
      <c r="BU80" s="82">
        <v>4888</v>
      </c>
      <c r="BV80" s="82">
        <v>2089</v>
      </c>
      <c r="BW80" s="82">
        <v>13249</v>
      </c>
      <c r="BX80" s="82">
        <v>9.4</v>
      </c>
      <c r="BY80" s="82">
        <v>5.9</v>
      </c>
      <c r="BZ80" s="82">
        <v>8.5</v>
      </c>
      <c r="CA80" s="82">
        <v>24.2</v>
      </c>
      <c r="CB80" s="82">
        <v>24.6</v>
      </c>
      <c r="CC80" s="82">
        <v>12.2</v>
      </c>
      <c r="CD80" s="82">
        <v>7</v>
      </c>
      <c r="CE80" s="82">
        <v>4.9000000000000004</v>
      </c>
      <c r="CF80" s="82">
        <v>2.2999999999999998</v>
      </c>
      <c r="CG80" s="82">
        <v>0.7</v>
      </c>
      <c r="CH80" s="82">
        <v>0.2</v>
      </c>
      <c r="CI80" s="82">
        <v>0.1</v>
      </c>
      <c r="CJ80" s="82">
        <f t="shared" si="8"/>
        <v>32064</v>
      </c>
      <c r="CK80" s="82">
        <f t="shared" si="9"/>
        <v>47452.358105714498</v>
      </c>
      <c r="CL80" s="95">
        <f ca="1">$CK80*SUM(OFFSET($AJ80,0,(COUNTA($CL$1:CL$1)-1)*4,1,4))/100</f>
        <v>10629.328215680049</v>
      </c>
      <c r="CM80" s="95">
        <f ca="1">$CK80*SUM(OFFSET($AJ80,0,(COUNTA($CL$1:CM$1)-1)*4,1,4))/100</f>
        <v>9253.2098306143271</v>
      </c>
      <c r="CN80" s="95">
        <f ca="1">$CK80*SUM(OFFSET($AJ80,0,(COUNTA($CL$1:CN$1)-1)*4,1,4))/100</f>
        <v>8731.2338914514676</v>
      </c>
      <c r="CO80" s="95">
        <f ca="1">$CK80*SUM(OFFSET($AJ80,0,(COUNTA($CL$1:CO$1)-1)*4,1,4))/100</f>
        <v>6263.711269954314</v>
      </c>
      <c r="CP80" s="95">
        <f ca="1">$CK80*SUM(OFFSET($AJ80,0,(COUNTA($CL$1:CP$1)-1)*4,1,4))/100</f>
        <v>4602.8787362543062</v>
      </c>
      <c r="CQ80" s="95">
        <f ca="1">$CK80*SUM(OFFSET($AJ80,0,(COUNTA($CL$1:CQ$1)-1)*4,1,4))/100</f>
        <v>3796.1886484571601</v>
      </c>
      <c r="CR80" s="95">
        <f ca="1">$CK80*SUM(OFFSET($AJ80,0,(COUNTA($CL$1:CR$1)-1)*4,1,4))/100</f>
        <v>2230.2608309685811</v>
      </c>
      <c r="CS80" s="95">
        <f ca="1">$CK80*SUM(OFFSET($AJ80,0,(COUNTA($CL$1:CS$1)-1)*4,1,4))/100</f>
        <v>1233.761310748577</v>
      </c>
      <c r="CT80" s="95">
        <f ca="1">$CK80*SUM(OFFSET($AJ80,0,(COUNTA($CL$1:CT$1)-1)*4,1,4))/100</f>
        <v>521.9759391628595</v>
      </c>
      <c r="CU80" s="96">
        <f t="shared" si="10"/>
        <v>4254.666666666667</v>
      </c>
      <c r="CV80" s="96">
        <f t="shared" si="11"/>
        <v>11.15301428369974</v>
      </c>
    </row>
    <row r="81" spans="1:100">
      <c r="A81" s="82" t="str">
        <f ca="1">IF(ISERROR(OFFSET(Map!$E$2,MATCH(D81,Map!$B$3:$B$239,0),0)),OFFSET(Map!$E$2,MATCH(D81,Map!$C$3:$C$239,0),0),OFFSET(Map!$E$2,MATCH(D81,Map!$B$3:$B$239,0),0))</f>
        <v>Fezile Dabi</v>
      </c>
      <c r="B81" s="82">
        <v>80</v>
      </c>
      <c r="C81" s="82" t="s">
        <v>55</v>
      </c>
      <c r="D81" s="82" t="s">
        <v>363</v>
      </c>
      <c r="E81" s="82" t="s">
        <v>364</v>
      </c>
      <c r="F81" s="82">
        <v>160532</v>
      </c>
      <c r="G81" s="82">
        <v>27</v>
      </c>
      <c r="H81" s="82">
        <v>66.400000000000006</v>
      </c>
      <c r="I81" s="82">
        <f t="shared" si="6"/>
        <v>106593</v>
      </c>
      <c r="J81" s="82">
        <v>6.5</v>
      </c>
      <c r="K81" s="82">
        <v>50.5</v>
      </c>
      <c r="L81" s="82">
        <v>98.1</v>
      </c>
      <c r="M81" s="82">
        <v>-0.45</v>
      </c>
      <c r="N81" s="82">
        <v>20</v>
      </c>
      <c r="O81" s="82">
        <v>35.200000000000003</v>
      </c>
      <c r="P81" s="82">
        <f t="shared" si="7"/>
        <v>69072</v>
      </c>
      <c r="Q81" s="82">
        <v>47.2</v>
      </c>
      <c r="R81" s="82">
        <v>5.4</v>
      </c>
      <c r="S81" s="82">
        <v>8.6</v>
      </c>
      <c r="T81" s="82">
        <v>27.8</v>
      </c>
      <c r="U81" s="82">
        <v>45661</v>
      </c>
      <c r="V81" s="82">
        <v>7221</v>
      </c>
      <c r="W81" s="82">
        <v>3.2</v>
      </c>
      <c r="X81" s="82">
        <v>40.9</v>
      </c>
      <c r="Y81" s="82">
        <v>88.7</v>
      </c>
      <c r="Z81" s="82">
        <v>56.1</v>
      </c>
      <c r="AA81" s="82">
        <v>85.6</v>
      </c>
      <c r="AB81" s="82">
        <v>84.9</v>
      </c>
      <c r="AC81" s="82">
        <v>57.7</v>
      </c>
      <c r="AD81" s="82">
        <v>93.3</v>
      </c>
      <c r="AE81" s="82">
        <v>87.2</v>
      </c>
      <c r="AF81" s="82">
        <v>2.9</v>
      </c>
      <c r="AG81" s="82">
        <v>0.3</v>
      </c>
      <c r="AH81" s="82">
        <v>9.3000000000000007</v>
      </c>
      <c r="AI81" s="82">
        <v>0.3</v>
      </c>
      <c r="AJ81" s="82">
        <v>5.0999999999999996</v>
      </c>
      <c r="AK81" s="82">
        <v>5.0999999999999996</v>
      </c>
      <c r="AL81" s="82">
        <v>4.4000000000000004</v>
      </c>
      <c r="AM81" s="82">
        <v>4.3</v>
      </c>
      <c r="AN81" s="82">
        <v>4.0999999999999996</v>
      </c>
      <c r="AO81" s="82">
        <v>4</v>
      </c>
      <c r="AP81" s="82">
        <v>4.5999999999999996</v>
      </c>
      <c r="AQ81" s="82">
        <v>4.4000000000000004</v>
      </c>
      <c r="AR81" s="82">
        <v>5.0999999999999996</v>
      </c>
      <c r="AS81" s="82">
        <v>4.5</v>
      </c>
      <c r="AT81" s="82">
        <v>4.5</v>
      </c>
      <c r="AU81" s="82">
        <v>4.0999999999999996</v>
      </c>
      <c r="AV81" s="82">
        <v>3.9</v>
      </c>
      <c r="AW81" s="82">
        <v>3.6</v>
      </c>
      <c r="AX81" s="82">
        <v>3.4</v>
      </c>
      <c r="AY81" s="82">
        <v>3.3</v>
      </c>
      <c r="AZ81" s="82">
        <v>3.2</v>
      </c>
      <c r="BA81" s="82">
        <v>3</v>
      </c>
      <c r="BB81" s="82">
        <v>3</v>
      </c>
      <c r="BC81" s="82">
        <v>3</v>
      </c>
      <c r="BD81" s="82">
        <v>2.5</v>
      </c>
      <c r="BE81" s="82">
        <v>2.7</v>
      </c>
      <c r="BF81" s="82">
        <v>1.9</v>
      </c>
      <c r="BG81" s="82">
        <v>2.4</v>
      </c>
      <c r="BH81" s="82">
        <v>1.5</v>
      </c>
      <c r="BI81" s="82">
        <v>2</v>
      </c>
      <c r="BJ81" s="82">
        <v>1</v>
      </c>
      <c r="BK81" s="82">
        <v>1.3</v>
      </c>
      <c r="BL81" s="82">
        <v>0.6</v>
      </c>
      <c r="BM81" s="82">
        <v>1.1000000000000001</v>
      </c>
      <c r="BN81" s="82">
        <v>0.4</v>
      </c>
      <c r="BO81" s="82">
        <v>0.8</v>
      </c>
      <c r="BP81" s="82">
        <v>0.2</v>
      </c>
      <c r="BQ81" s="82">
        <v>0.5</v>
      </c>
      <c r="BR81" s="82">
        <v>0.2</v>
      </c>
      <c r="BS81" s="82">
        <v>0.4</v>
      </c>
      <c r="BT81" s="82">
        <v>36040</v>
      </c>
      <c r="BU81" s="82">
        <v>19554</v>
      </c>
      <c r="BV81" s="82">
        <v>3933</v>
      </c>
      <c r="BW81" s="82">
        <v>47141</v>
      </c>
      <c r="BX81" s="82">
        <v>8.4</v>
      </c>
      <c r="BY81" s="82">
        <v>5</v>
      </c>
      <c r="BZ81" s="82">
        <v>7.4</v>
      </c>
      <c r="CA81" s="82">
        <v>22.7</v>
      </c>
      <c r="CB81" s="82">
        <v>23.9</v>
      </c>
      <c r="CC81" s="82">
        <v>13.9</v>
      </c>
      <c r="CD81" s="82">
        <v>8.8000000000000007</v>
      </c>
      <c r="CE81" s="82">
        <v>6</v>
      </c>
      <c r="CF81" s="82">
        <v>2.7</v>
      </c>
      <c r="CG81" s="82">
        <v>0.6</v>
      </c>
      <c r="CH81" s="82">
        <v>0.2</v>
      </c>
      <c r="CI81" s="82">
        <v>0.2</v>
      </c>
      <c r="CJ81" s="82">
        <f t="shared" si="8"/>
        <v>106668</v>
      </c>
      <c r="CK81" s="82">
        <f t="shared" si="9"/>
        <v>154146.26129294059</v>
      </c>
      <c r="CL81" s="95">
        <f ca="1">$CK81*SUM(OFFSET($AJ81,0,(COUNTA($CL$1:CL$1)-1)*4,1,4))/100</f>
        <v>29133.643384365769</v>
      </c>
      <c r="CM81" s="95">
        <f ca="1">$CK81*SUM(OFFSET($AJ81,0,(COUNTA($CL$1:CM$1)-1)*4,1,4))/100</f>
        <v>26359.010681092841</v>
      </c>
      <c r="CN81" s="95">
        <f ca="1">$CK81*SUM(OFFSET($AJ81,0,(COUNTA($CL$1:CN$1)-1)*4,1,4))/100</f>
        <v>28054.619555315185</v>
      </c>
      <c r="CO81" s="95">
        <f ca="1">$CK81*SUM(OFFSET($AJ81,0,(COUNTA($CL$1:CO$1)-1)*4,1,4))/100</f>
        <v>21888.769103597562</v>
      </c>
      <c r="CP81" s="95">
        <f ca="1">$CK81*SUM(OFFSET($AJ81,0,(COUNTA($CL$1:CP$1)-1)*4,1,4))/100</f>
        <v>18805.843877738753</v>
      </c>
      <c r="CQ81" s="95">
        <f ca="1">$CK81*SUM(OFFSET($AJ81,0,(COUNTA($CL$1:CQ$1)-1)*4,1,4))/100</f>
        <v>14643.894822829356</v>
      </c>
      <c r="CR81" s="95">
        <f ca="1">$CK81*SUM(OFFSET($AJ81,0,(COUNTA($CL$1:CR$1)-1)*4,1,4))/100</f>
        <v>8940.4831549905539</v>
      </c>
      <c r="CS81" s="95">
        <f ca="1">$CK81*SUM(OFFSET($AJ81,0,(COUNTA($CL$1:CS$1)-1)*4,1,4))/100</f>
        <v>4470.2415774952779</v>
      </c>
      <c r="CT81" s="95">
        <f ca="1">$CK81*SUM(OFFSET($AJ81,0,(COUNTA($CL$1:CT$1)-1)*4,1,4))/100</f>
        <v>2003.9013968082272</v>
      </c>
      <c r="CU81" s="96">
        <f t="shared" si="10"/>
        <v>8026.6</v>
      </c>
      <c r="CV81" s="96">
        <f t="shared" si="11"/>
        <v>19.204427938721324</v>
      </c>
    </row>
    <row r="82" spans="1:100">
      <c r="A82" s="82" t="str">
        <f ca="1">IF(ISERROR(OFFSET(Map!$E$2,MATCH(D82,Map!$B$3:$B$239,0),0)),OFFSET(Map!$E$2,MATCH(D82,Map!$C$3:$C$239,0),0),OFFSET(Map!$E$2,MATCH(D82,Map!$B$3:$B$239,0),0))</f>
        <v>Fezile Dabi</v>
      </c>
      <c r="B82" s="82">
        <v>81</v>
      </c>
      <c r="C82" s="82" t="s">
        <v>55</v>
      </c>
      <c r="D82" s="82" t="s">
        <v>365</v>
      </c>
      <c r="E82" s="82" t="s">
        <v>366</v>
      </c>
      <c r="F82" s="82">
        <v>120520</v>
      </c>
      <c r="G82" s="82">
        <v>30.1</v>
      </c>
      <c r="H82" s="82">
        <v>62.4</v>
      </c>
      <c r="I82" s="82">
        <f t="shared" si="6"/>
        <v>75204</v>
      </c>
      <c r="J82" s="82">
        <v>7.5</v>
      </c>
      <c r="K82" s="82">
        <v>60.2</v>
      </c>
      <c r="L82" s="82">
        <v>91</v>
      </c>
      <c r="M82" s="82">
        <v>0.14000000000000001</v>
      </c>
      <c r="N82" s="82">
        <v>17</v>
      </c>
      <c r="O82" s="82">
        <v>35.200000000000003</v>
      </c>
      <c r="P82" s="82">
        <f t="shared" si="7"/>
        <v>48733</v>
      </c>
      <c r="Q82" s="82">
        <v>45.1</v>
      </c>
      <c r="R82" s="82">
        <v>8.5</v>
      </c>
      <c r="S82" s="82">
        <v>6.4</v>
      </c>
      <c r="T82" s="82">
        <v>25.8</v>
      </c>
      <c r="U82" s="82">
        <v>37102</v>
      </c>
      <c r="V82" s="82">
        <v>8908</v>
      </c>
      <c r="W82" s="82">
        <v>3.2</v>
      </c>
      <c r="X82" s="82">
        <v>41.8</v>
      </c>
      <c r="Y82" s="82">
        <v>81.3</v>
      </c>
      <c r="Z82" s="82">
        <v>66.3</v>
      </c>
      <c r="AA82" s="82">
        <v>74.5</v>
      </c>
      <c r="AB82" s="82">
        <v>81.900000000000006</v>
      </c>
      <c r="AC82" s="82">
        <v>44.7</v>
      </c>
      <c r="AD82" s="82">
        <v>92</v>
      </c>
      <c r="AE82" s="82">
        <v>86.5</v>
      </c>
      <c r="AF82" s="82">
        <v>2.6</v>
      </c>
      <c r="AG82" s="82">
        <v>0.3</v>
      </c>
      <c r="AH82" s="82">
        <v>10.3</v>
      </c>
      <c r="AI82" s="82">
        <v>0.3</v>
      </c>
      <c r="AJ82" s="82">
        <v>5.6</v>
      </c>
      <c r="AK82" s="82">
        <v>5.6</v>
      </c>
      <c r="AL82" s="82">
        <v>5</v>
      </c>
      <c r="AM82" s="82">
        <v>5</v>
      </c>
      <c r="AN82" s="82">
        <v>4.5</v>
      </c>
      <c r="AO82" s="82">
        <v>4.5</v>
      </c>
      <c r="AP82" s="82">
        <v>4.4000000000000004</v>
      </c>
      <c r="AQ82" s="82">
        <v>4.5</v>
      </c>
      <c r="AR82" s="82">
        <v>4.7</v>
      </c>
      <c r="AS82" s="82">
        <v>4.5999999999999996</v>
      </c>
      <c r="AT82" s="82">
        <v>4.3</v>
      </c>
      <c r="AU82" s="82">
        <v>4.2</v>
      </c>
      <c r="AV82" s="82">
        <v>3.5</v>
      </c>
      <c r="AW82" s="82">
        <v>3.6</v>
      </c>
      <c r="AX82" s="82">
        <v>2.9</v>
      </c>
      <c r="AY82" s="82">
        <v>3.3</v>
      </c>
      <c r="AZ82" s="82">
        <v>2.6</v>
      </c>
      <c r="BA82" s="82">
        <v>3</v>
      </c>
      <c r="BB82" s="82">
        <v>2.2000000000000002</v>
      </c>
      <c r="BC82" s="82">
        <v>2.2000000000000002</v>
      </c>
      <c r="BD82" s="82">
        <v>2</v>
      </c>
      <c r="BE82" s="82">
        <v>2.4</v>
      </c>
      <c r="BF82" s="82">
        <v>1.9</v>
      </c>
      <c r="BG82" s="82">
        <v>2.4</v>
      </c>
      <c r="BH82" s="82">
        <v>1.5</v>
      </c>
      <c r="BI82" s="82">
        <v>1.9</v>
      </c>
      <c r="BJ82" s="82">
        <v>1.1000000000000001</v>
      </c>
      <c r="BK82" s="82">
        <v>1.6</v>
      </c>
      <c r="BL82" s="82">
        <v>0.8</v>
      </c>
      <c r="BM82" s="82">
        <v>1.2</v>
      </c>
      <c r="BN82" s="82">
        <v>0.5</v>
      </c>
      <c r="BO82" s="82">
        <v>0.9</v>
      </c>
      <c r="BP82" s="82">
        <v>0.3</v>
      </c>
      <c r="BQ82" s="82">
        <v>0.5</v>
      </c>
      <c r="BR82" s="82">
        <v>0.2</v>
      </c>
      <c r="BS82" s="82">
        <v>0.5</v>
      </c>
      <c r="BT82" s="82">
        <v>25635</v>
      </c>
      <c r="BU82" s="82">
        <v>13920</v>
      </c>
      <c r="BV82" s="82">
        <v>3865</v>
      </c>
      <c r="BW82" s="82">
        <v>31823</v>
      </c>
      <c r="BX82" s="82">
        <v>13</v>
      </c>
      <c r="BY82" s="82">
        <v>5.5</v>
      </c>
      <c r="BZ82" s="82">
        <v>8.9</v>
      </c>
      <c r="CA82" s="82">
        <v>24.4</v>
      </c>
      <c r="CB82" s="82">
        <v>22.9</v>
      </c>
      <c r="CC82" s="82">
        <v>11.5</v>
      </c>
      <c r="CD82" s="82">
        <v>6.7</v>
      </c>
      <c r="CE82" s="82">
        <v>4.2</v>
      </c>
      <c r="CF82" s="82">
        <v>2.1</v>
      </c>
      <c r="CG82" s="82">
        <v>0.5</v>
      </c>
      <c r="CH82" s="82">
        <v>0.2</v>
      </c>
      <c r="CI82" s="82">
        <v>0.1</v>
      </c>
      <c r="CJ82" s="82">
        <f t="shared" si="8"/>
        <v>75243</v>
      </c>
      <c r="CK82" s="82">
        <f t="shared" si="9"/>
        <v>122047.08372899648</v>
      </c>
      <c r="CL82" s="95">
        <f ca="1">$CK82*SUM(OFFSET($AJ82,0,(COUNTA($CL$1:CL$1)-1)*4,1,4))/100</f>
        <v>25873.981750547253</v>
      </c>
      <c r="CM82" s="95">
        <f ca="1">$CK82*SUM(OFFSET($AJ82,0,(COUNTA($CL$1:CM$1)-1)*4,1,4))/100</f>
        <v>21846.42798749037</v>
      </c>
      <c r="CN82" s="95">
        <f ca="1">$CK82*SUM(OFFSET($AJ82,0,(COUNTA($CL$1:CN$1)-1)*4,1,4))/100</f>
        <v>21724.380903761372</v>
      </c>
      <c r="CO82" s="95">
        <f ca="1">$CK82*SUM(OFFSET($AJ82,0,(COUNTA($CL$1:CO$1)-1)*4,1,4))/100</f>
        <v>16232.262135956535</v>
      </c>
      <c r="CP82" s="95">
        <f ca="1">$CK82*SUM(OFFSET($AJ82,0,(COUNTA($CL$1:CP$1)-1)*4,1,4))/100</f>
        <v>12204.708372899648</v>
      </c>
      <c r="CQ82" s="95">
        <f ca="1">$CK82*SUM(OFFSET($AJ82,0,(COUNTA($CL$1:CQ$1)-1)*4,1,4))/100</f>
        <v>10618.096284422696</v>
      </c>
      <c r="CR82" s="95">
        <f ca="1">$CK82*SUM(OFFSET($AJ82,0,(COUNTA($CL$1:CR$1)-1)*4,1,4))/100</f>
        <v>7444.8721074687855</v>
      </c>
      <c r="CS82" s="95">
        <f ca="1">$CK82*SUM(OFFSET($AJ82,0,(COUNTA($CL$1:CS$1)-1)*4,1,4))/100</f>
        <v>4149.6008467858801</v>
      </c>
      <c r="CT82" s="95">
        <f ca="1">$CK82*SUM(OFFSET($AJ82,0,(COUNTA($CL$1:CT$1)-1)*4,1,4))/100</f>
        <v>1830.7062559349474</v>
      </c>
      <c r="CU82" s="96">
        <f t="shared" si="10"/>
        <v>7089.411764705882</v>
      </c>
      <c r="CV82" s="96">
        <f t="shared" si="11"/>
        <v>17.215403446672255</v>
      </c>
    </row>
    <row r="83" spans="1:100">
      <c r="A83" s="82" t="str">
        <f ca="1">IF(ISERROR(OFFSET(Map!$E$2,MATCH(D83,Map!$B$3:$B$239,0),0)),OFFSET(Map!$E$2,MATCH(D83,Map!$C$3:$C$239,0),0),OFFSET(Map!$E$2,MATCH(D83,Map!$B$3:$B$239,0),0))</f>
        <v>Fezile Dabi</v>
      </c>
      <c r="B83" s="82">
        <v>82</v>
      </c>
      <c r="C83" s="82" t="s">
        <v>55</v>
      </c>
      <c r="D83" s="82" t="s">
        <v>367</v>
      </c>
      <c r="E83" s="82" t="s">
        <v>368</v>
      </c>
      <c r="F83" s="82">
        <v>149108</v>
      </c>
      <c r="G83" s="82">
        <v>26.3</v>
      </c>
      <c r="H83" s="82">
        <v>69.3</v>
      </c>
      <c r="I83" s="82">
        <f t="shared" si="6"/>
        <v>103332</v>
      </c>
      <c r="J83" s="82">
        <v>4.4000000000000004</v>
      </c>
      <c r="K83" s="82">
        <v>44.3</v>
      </c>
      <c r="L83" s="82">
        <v>108.6</v>
      </c>
      <c r="M83" s="82">
        <v>2.5099999999999998</v>
      </c>
      <c r="N83" s="82">
        <v>87</v>
      </c>
      <c r="O83" s="82">
        <v>32.1</v>
      </c>
      <c r="P83" s="82">
        <f t="shared" si="7"/>
        <v>70162</v>
      </c>
      <c r="Q83" s="82">
        <v>41.6</v>
      </c>
      <c r="R83" s="82">
        <v>5.7</v>
      </c>
      <c r="S83" s="82">
        <v>12.4</v>
      </c>
      <c r="T83" s="82">
        <v>29.8</v>
      </c>
      <c r="U83" s="82">
        <v>45757</v>
      </c>
      <c r="V83" s="82">
        <v>5672</v>
      </c>
      <c r="W83" s="82">
        <v>3.1</v>
      </c>
      <c r="X83" s="82">
        <v>32.5</v>
      </c>
      <c r="Y83" s="82">
        <v>83.9</v>
      </c>
      <c r="Z83" s="82">
        <v>57.3</v>
      </c>
      <c r="AA83" s="82">
        <v>74</v>
      </c>
      <c r="AB83" s="82">
        <v>78.900000000000006</v>
      </c>
      <c r="AC83" s="82">
        <v>71.7</v>
      </c>
      <c r="AD83" s="82">
        <v>86.4</v>
      </c>
      <c r="AE83" s="82">
        <v>82.3</v>
      </c>
      <c r="AF83" s="82">
        <v>0.7</v>
      </c>
      <c r="AG83" s="82">
        <v>0.3</v>
      </c>
      <c r="AH83" s="82">
        <v>16.399999999999999</v>
      </c>
      <c r="AI83" s="82">
        <v>0.3</v>
      </c>
      <c r="AJ83" s="82">
        <v>5.2</v>
      </c>
      <c r="AK83" s="82">
        <v>5.0999999999999996</v>
      </c>
      <c r="AL83" s="82">
        <v>4.2</v>
      </c>
      <c r="AM83" s="82">
        <v>4.0999999999999996</v>
      </c>
      <c r="AN83" s="82">
        <v>3.9</v>
      </c>
      <c r="AO83" s="82">
        <v>3.7</v>
      </c>
      <c r="AP83" s="82">
        <v>4.3</v>
      </c>
      <c r="AQ83" s="82">
        <v>4.0999999999999996</v>
      </c>
      <c r="AR83" s="82">
        <v>5.7</v>
      </c>
      <c r="AS83" s="82">
        <v>4.8</v>
      </c>
      <c r="AT83" s="82">
        <v>6.1</v>
      </c>
      <c r="AU83" s="82">
        <v>4.7</v>
      </c>
      <c r="AV83" s="82">
        <v>5.2</v>
      </c>
      <c r="AW83" s="82">
        <v>4.0999999999999996</v>
      </c>
      <c r="AX83" s="82">
        <v>4.2</v>
      </c>
      <c r="AY83" s="82">
        <v>3.5</v>
      </c>
      <c r="AZ83" s="82">
        <v>3.4</v>
      </c>
      <c r="BA83" s="82">
        <v>3.1</v>
      </c>
      <c r="BB83" s="82">
        <v>2.7</v>
      </c>
      <c r="BC83" s="82">
        <v>2.7</v>
      </c>
      <c r="BD83" s="82">
        <v>2.2000000000000002</v>
      </c>
      <c r="BE83" s="82">
        <v>2.2999999999999998</v>
      </c>
      <c r="BF83" s="82">
        <v>1.8</v>
      </c>
      <c r="BG83" s="82">
        <v>1.8</v>
      </c>
      <c r="BH83" s="82">
        <v>1.3</v>
      </c>
      <c r="BI83" s="82">
        <v>1.3</v>
      </c>
      <c r="BJ83" s="82">
        <v>0.8</v>
      </c>
      <c r="BK83" s="82">
        <v>1</v>
      </c>
      <c r="BL83" s="82">
        <v>0.5</v>
      </c>
      <c r="BM83" s="82">
        <v>0.7</v>
      </c>
      <c r="BN83" s="82">
        <v>0.3</v>
      </c>
      <c r="BO83" s="82">
        <v>0.4</v>
      </c>
      <c r="BP83" s="82">
        <v>0.1</v>
      </c>
      <c r="BQ83" s="82">
        <v>0.2</v>
      </c>
      <c r="BR83" s="82">
        <v>0.1</v>
      </c>
      <c r="BS83" s="82">
        <v>0.2</v>
      </c>
      <c r="BT83" s="82">
        <v>44261</v>
      </c>
      <c r="BU83" s="82">
        <v>20948</v>
      </c>
      <c r="BV83" s="82">
        <v>3008</v>
      </c>
      <c r="BW83" s="82">
        <v>35146</v>
      </c>
      <c r="BX83" s="82">
        <v>13.2</v>
      </c>
      <c r="BY83" s="82">
        <v>4.8</v>
      </c>
      <c r="BZ83" s="82">
        <v>7.1</v>
      </c>
      <c r="CA83" s="82">
        <v>14.9</v>
      </c>
      <c r="CB83" s="82">
        <v>19</v>
      </c>
      <c r="CC83" s="82">
        <v>14.1</v>
      </c>
      <c r="CD83" s="82">
        <v>10.199999999999999</v>
      </c>
      <c r="CE83" s="82">
        <v>8.8000000000000007</v>
      </c>
      <c r="CF83" s="82">
        <v>5.4</v>
      </c>
      <c r="CG83" s="82">
        <v>1.8</v>
      </c>
      <c r="CH83" s="82">
        <v>0.4</v>
      </c>
      <c r="CI83" s="82">
        <v>0.3</v>
      </c>
      <c r="CJ83" s="82">
        <f t="shared" si="8"/>
        <v>103363</v>
      </c>
      <c r="CK83" s="82">
        <f t="shared" si="9"/>
        <v>186379.02980212151</v>
      </c>
      <c r="CL83" s="95">
        <f ca="1">$CK83*SUM(OFFSET($AJ83,0,(COUNTA($CL$1:CL$1)-1)*4,1,4))/100</f>
        <v>34666.499543194601</v>
      </c>
      <c r="CM83" s="95">
        <f ca="1">$CK83*SUM(OFFSET($AJ83,0,(COUNTA($CL$1:CM$1)-1)*4,1,4))/100</f>
        <v>29820.644768339436</v>
      </c>
      <c r="CN83" s="95">
        <f ca="1">$CK83*SUM(OFFSET($AJ83,0,(COUNTA($CL$1:CN$1)-1)*4,1,4))/100</f>
        <v>39698.733347851885</v>
      </c>
      <c r="CO83" s="95">
        <f ca="1">$CK83*SUM(OFFSET($AJ83,0,(COUNTA($CL$1:CO$1)-1)*4,1,4))/100</f>
        <v>31684.43506636066</v>
      </c>
      <c r="CP83" s="95">
        <f ca="1">$CK83*SUM(OFFSET($AJ83,0,(COUNTA($CL$1:CP$1)-1)*4,1,4))/100</f>
        <v>22179.104546452458</v>
      </c>
      <c r="CQ83" s="95">
        <f ca="1">$CK83*SUM(OFFSET($AJ83,0,(COUNTA($CL$1:CQ$1)-1)*4,1,4))/100</f>
        <v>15096.701413971843</v>
      </c>
      <c r="CR83" s="95">
        <f ca="1">$CK83*SUM(OFFSET($AJ83,0,(COUNTA($CL$1:CR$1)-1)*4,1,4))/100</f>
        <v>8200.6773112933479</v>
      </c>
      <c r="CS83" s="95">
        <f ca="1">$CK83*SUM(OFFSET($AJ83,0,(COUNTA($CL$1:CS$1)-1)*4,1,4))/100</f>
        <v>3541.2015662403082</v>
      </c>
      <c r="CT83" s="95">
        <f ca="1">$CK83*SUM(OFFSET($AJ83,0,(COUNTA($CL$1:CT$1)-1)*4,1,4))/100</f>
        <v>1118.2741788127291</v>
      </c>
      <c r="CU83" s="96">
        <f t="shared" si="10"/>
        <v>1713.8850574712644</v>
      </c>
      <c r="CV83" s="96">
        <f t="shared" si="11"/>
        <v>108.746516570436</v>
      </c>
    </row>
    <row r="84" spans="1:100">
      <c r="A84" s="82" t="str">
        <f ca="1">IF(ISERROR(OFFSET(Map!$E$2,MATCH(D84,Map!$B$3:$B$239,0),0)),OFFSET(Map!$E$2,MATCH(D84,Map!$C$3:$C$239,0),0),OFFSET(Map!$E$2,MATCH(D84,Map!$B$3:$B$239,0),0))</f>
        <v>Fezile Dabi</v>
      </c>
      <c r="B84" s="82">
        <v>83</v>
      </c>
      <c r="C84" s="82" t="s">
        <v>55</v>
      </c>
      <c r="D84" s="82" t="s">
        <v>369</v>
      </c>
      <c r="E84" s="82" t="s">
        <v>370</v>
      </c>
      <c r="F84" s="82">
        <v>57876</v>
      </c>
      <c r="G84" s="82">
        <v>31.6</v>
      </c>
      <c r="H84" s="82">
        <v>62.1</v>
      </c>
      <c r="I84" s="82">
        <f t="shared" si="6"/>
        <v>35941</v>
      </c>
      <c r="J84" s="82">
        <v>6.3</v>
      </c>
      <c r="K84" s="82">
        <v>61.1</v>
      </c>
      <c r="L84" s="82">
        <v>92.5</v>
      </c>
      <c r="M84" s="82">
        <v>0.22</v>
      </c>
      <c r="N84" s="82">
        <v>15</v>
      </c>
      <c r="O84" s="82">
        <v>33.4</v>
      </c>
      <c r="P84" s="82">
        <f t="shared" si="7"/>
        <v>23937</v>
      </c>
      <c r="Q84" s="82">
        <v>44.3</v>
      </c>
      <c r="R84" s="82">
        <v>14.1</v>
      </c>
      <c r="S84" s="82">
        <v>6.3</v>
      </c>
      <c r="T84" s="82">
        <v>24.4</v>
      </c>
      <c r="U84" s="82">
        <v>16460</v>
      </c>
      <c r="V84" s="82">
        <v>3580</v>
      </c>
      <c r="W84" s="82">
        <v>3.4</v>
      </c>
      <c r="X84" s="82">
        <v>42.2</v>
      </c>
      <c r="Y84" s="82">
        <v>70.8</v>
      </c>
      <c r="Z84" s="82">
        <v>67.8</v>
      </c>
      <c r="AA84" s="82">
        <v>77.2</v>
      </c>
      <c r="AB84" s="82">
        <v>80.2</v>
      </c>
      <c r="AC84" s="82">
        <v>39.799999999999997</v>
      </c>
      <c r="AD84" s="82">
        <v>84.4</v>
      </c>
      <c r="AE84" s="82">
        <v>91.9</v>
      </c>
      <c r="AF84" s="82">
        <v>0.6</v>
      </c>
      <c r="AG84" s="82">
        <v>0.3</v>
      </c>
      <c r="AH84" s="82">
        <v>7</v>
      </c>
      <c r="AI84" s="82">
        <v>0.2</v>
      </c>
      <c r="AJ84" s="82">
        <v>5.5</v>
      </c>
      <c r="AK84" s="82">
        <v>5.6</v>
      </c>
      <c r="AL84" s="82">
        <v>5.3</v>
      </c>
      <c r="AM84" s="82">
        <v>5.3</v>
      </c>
      <c r="AN84" s="82">
        <v>5</v>
      </c>
      <c r="AO84" s="82">
        <v>4.8</v>
      </c>
      <c r="AP84" s="82">
        <v>4.7</v>
      </c>
      <c r="AQ84" s="82">
        <v>5.2</v>
      </c>
      <c r="AR84" s="82">
        <v>4.9000000000000004</v>
      </c>
      <c r="AS84" s="82">
        <v>4.5999999999999996</v>
      </c>
      <c r="AT84" s="82">
        <v>4.3</v>
      </c>
      <c r="AU84" s="82">
        <v>4.3</v>
      </c>
      <c r="AV84" s="82">
        <v>3.6</v>
      </c>
      <c r="AW84" s="82">
        <v>3.4</v>
      </c>
      <c r="AX84" s="82">
        <v>2.8</v>
      </c>
      <c r="AY84" s="82">
        <v>3.2</v>
      </c>
      <c r="AZ84" s="82">
        <v>2.4</v>
      </c>
      <c r="BA84" s="82">
        <v>2.8</v>
      </c>
      <c r="BB84" s="82">
        <v>2.2000000000000002</v>
      </c>
      <c r="BC84" s="82">
        <v>2.2000000000000002</v>
      </c>
      <c r="BD84" s="82">
        <v>2</v>
      </c>
      <c r="BE84" s="82">
        <v>2.5</v>
      </c>
      <c r="BF84" s="82">
        <v>1.7</v>
      </c>
      <c r="BG84" s="82">
        <v>2.1</v>
      </c>
      <c r="BH84" s="82">
        <v>1.2</v>
      </c>
      <c r="BI84" s="82">
        <v>1.6</v>
      </c>
      <c r="BJ84" s="82">
        <v>0.9</v>
      </c>
      <c r="BK84" s="82">
        <v>1.2</v>
      </c>
      <c r="BL84" s="82">
        <v>0.6</v>
      </c>
      <c r="BM84" s="82">
        <v>1.1000000000000001</v>
      </c>
      <c r="BN84" s="82">
        <v>0.4</v>
      </c>
      <c r="BO84" s="82">
        <v>0.7</v>
      </c>
      <c r="BP84" s="82">
        <v>0.3</v>
      </c>
      <c r="BQ84" s="82">
        <v>0.5</v>
      </c>
      <c r="BR84" s="82">
        <v>0.2</v>
      </c>
      <c r="BS84" s="82">
        <v>0.4</v>
      </c>
      <c r="BT84" s="82">
        <v>11796</v>
      </c>
      <c r="BU84" s="82">
        <v>5922</v>
      </c>
      <c r="BV84" s="82">
        <v>2882</v>
      </c>
      <c r="BW84" s="82">
        <v>15334</v>
      </c>
      <c r="BX84" s="82">
        <v>12.3</v>
      </c>
      <c r="BY84" s="82">
        <v>5.0999999999999996</v>
      </c>
      <c r="BZ84" s="82">
        <v>8.6999999999999993</v>
      </c>
      <c r="CA84" s="82">
        <v>23.3</v>
      </c>
      <c r="CB84" s="82">
        <v>24.7</v>
      </c>
      <c r="CC84" s="82">
        <v>12.7</v>
      </c>
      <c r="CD84" s="82">
        <v>6.7</v>
      </c>
      <c r="CE84" s="82">
        <v>3.8</v>
      </c>
      <c r="CF84" s="82">
        <v>1.8</v>
      </c>
      <c r="CG84" s="82">
        <v>0.4</v>
      </c>
      <c r="CH84" s="82">
        <v>0.2</v>
      </c>
      <c r="CI84" s="82">
        <v>0.1</v>
      </c>
      <c r="CJ84" s="82">
        <f t="shared" si="8"/>
        <v>35934</v>
      </c>
      <c r="CK84" s="82">
        <f t="shared" si="9"/>
        <v>59032.081051591063</v>
      </c>
      <c r="CL84" s="95">
        <f ca="1">$CK84*SUM(OFFSET($AJ84,0,(COUNTA($CL$1:CL$1)-1)*4,1,4))/100</f>
        <v>12809.96158819526</v>
      </c>
      <c r="CM84" s="95">
        <f ca="1">$CK84*SUM(OFFSET($AJ84,0,(COUNTA($CL$1:CM$1)-1)*4,1,4))/100</f>
        <v>11629.319967163437</v>
      </c>
      <c r="CN84" s="95">
        <f ca="1">$CK84*SUM(OFFSET($AJ84,0,(COUNTA($CL$1:CN$1)-1)*4,1,4))/100</f>
        <v>10684.806670337983</v>
      </c>
      <c r="CO84" s="95">
        <f ca="1">$CK84*SUM(OFFSET($AJ84,0,(COUNTA($CL$1:CO$1)-1)*4,1,4))/100</f>
        <v>7674.1705367068389</v>
      </c>
      <c r="CP84" s="95">
        <f ca="1">$CK84*SUM(OFFSET($AJ84,0,(COUNTA($CL$1:CP$1)-1)*4,1,4))/100</f>
        <v>5667.0797809527421</v>
      </c>
      <c r="CQ84" s="95">
        <f ca="1">$CK84*SUM(OFFSET($AJ84,0,(COUNTA($CL$1:CQ$1)-1)*4,1,4))/100</f>
        <v>4899.6627272820588</v>
      </c>
      <c r="CR84" s="95">
        <f ca="1">$CK84*SUM(OFFSET($AJ84,0,(COUNTA($CL$1:CR$1)-1)*4,1,4))/100</f>
        <v>2892.571971527962</v>
      </c>
      <c r="CS84" s="95">
        <f ca="1">$CK84*SUM(OFFSET($AJ84,0,(COUNTA($CL$1:CS$1)-1)*4,1,4))/100</f>
        <v>1652.8982694445499</v>
      </c>
      <c r="CT84" s="95">
        <f ca="1">$CK84*SUM(OFFSET($AJ84,0,(COUNTA($CL$1:CT$1)-1)*4,1,4))/100</f>
        <v>826.44913472227495</v>
      </c>
      <c r="CU84" s="96">
        <f t="shared" si="10"/>
        <v>3858.4</v>
      </c>
      <c r="CV84" s="96">
        <f t="shared" si="11"/>
        <v>15.299627060851924</v>
      </c>
    </row>
    <row r="85" spans="1:100">
      <c r="A85" s="82" t="str">
        <f ca="1">IF(ISERROR(OFFSET(Map!$E$2,MATCH(D85,Map!$B$3:$B$239,0),0)),OFFSET(Map!$E$2,MATCH(D85,Map!$C$3:$C$239,0),0),OFFSET(Map!$E$2,MATCH(D85,Map!$B$3:$B$239,0),0))</f>
        <v>Mangaung Metropolitan Municipality</v>
      </c>
      <c r="B85" s="82">
        <v>84</v>
      </c>
      <c r="C85" s="82" t="s">
        <v>55</v>
      </c>
      <c r="D85" s="82" t="s">
        <v>371</v>
      </c>
      <c r="E85" s="82" t="s">
        <v>106</v>
      </c>
      <c r="F85" s="82">
        <v>747431</v>
      </c>
      <c r="G85" s="82">
        <v>26.9</v>
      </c>
      <c r="H85" s="82">
        <v>67.8</v>
      </c>
      <c r="I85" s="82">
        <f t="shared" si="6"/>
        <v>506758</v>
      </c>
      <c r="J85" s="82">
        <v>5.3</v>
      </c>
      <c r="K85" s="82">
        <v>47.4</v>
      </c>
      <c r="L85" s="82">
        <v>94</v>
      </c>
      <c r="M85" s="82">
        <v>1.47</v>
      </c>
      <c r="N85" s="82">
        <v>119</v>
      </c>
      <c r="O85" s="82">
        <v>27.7</v>
      </c>
      <c r="P85" s="82">
        <f t="shared" si="7"/>
        <v>366386</v>
      </c>
      <c r="Q85" s="82">
        <v>37.200000000000003</v>
      </c>
      <c r="R85" s="82">
        <v>4.3</v>
      </c>
      <c r="S85" s="82">
        <v>14.1</v>
      </c>
      <c r="T85" s="82">
        <v>30.1</v>
      </c>
      <c r="U85" s="82">
        <v>231921</v>
      </c>
      <c r="V85" s="82">
        <v>46172</v>
      </c>
      <c r="W85" s="82">
        <v>3.1</v>
      </c>
      <c r="X85" s="82">
        <v>40.799999999999997</v>
      </c>
      <c r="Y85" s="82">
        <v>83.7</v>
      </c>
      <c r="Z85" s="82">
        <v>62.3</v>
      </c>
      <c r="AA85" s="82">
        <v>60.7</v>
      </c>
      <c r="AB85" s="82">
        <v>78.900000000000006</v>
      </c>
      <c r="AC85" s="82">
        <v>46.1</v>
      </c>
      <c r="AD85" s="82">
        <v>91.4</v>
      </c>
      <c r="AE85" s="82">
        <v>83.3</v>
      </c>
      <c r="AF85" s="82">
        <v>5</v>
      </c>
      <c r="AG85" s="82">
        <v>0.4</v>
      </c>
      <c r="AH85" s="82">
        <v>11</v>
      </c>
      <c r="AI85" s="82">
        <v>0.3</v>
      </c>
      <c r="AJ85" s="82">
        <v>5</v>
      </c>
      <c r="AK85" s="82">
        <v>5</v>
      </c>
      <c r="AL85" s="82">
        <v>4.4000000000000004</v>
      </c>
      <c r="AM85" s="82">
        <v>4.4000000000000004</v>
      </c>
      <c r="AN85" s="82">
        <v>4.0999999999999996</v>
      </c>
      <c r="AO85" s="82">
        <v>3.9</v>
      </c>
      <c r="AP85" s="82">
        <v>4.7</v>
      </c>
      <c r="AQ85" s="82">
        <v>4.8</v>
      </c>
      <c r="AR85" s="82">
        <v>5.8</v>
      </c>
      <c r="AS85" s="82">
        <v>5.5</v>
      </c>
      <c r="AT85" s="82">
        <v>5.0999999999999996</v>
      </c>
      <c r="AU85" s="82">
        <v>4.8</v>
      </c>
      <c r="AV85" s="82">
        <v>4.0999999999999996</v>
      </c>
      <c r="AW85" s="82">
        <v>3.8</v>
      </c>
      <c r="AX85" s="82">
        <v>3.4</v>
      </c>
      <c r="AY85" s="82">
        <v>3.6</v>
      </c>
      <c r="AZ85" s="82">
        <v>2.9</v>
      </c>
      <c r="BA85" s="82">
        <v>3.3</v>
      </c>
      <c r="BB85" s="82">
        <v>2.4</v>
      </c>
      <c r="BC85" s="82">
        <v>2.4</v>
      </c>
      <c r="BD85" s="82">
        <v>2</v>
      </c>
      <c r="BE85" s="82">
        <v>2.4</v>
      </c>
      <c r="BF85" s="82">
        <v>1.5</v>
      </c>
      <c r="BG85" s="82">
        <v>2</v>
      </c>
      <c r="BH85" s="82">
        <v>1.1000000000000001</v>
      </c>
      <c r="BI85" s="82">
        <v>1.6</v>
      </c>
      <c r="BJ85" s="82">
        <v>0.8</v>
      </c>
      <c r="BK85" s="82">
        <v>1.1000000000000001</v>
      </c>
      <c r="BL85" s="82">
        <v>0.5</v>
      </c>
      <c r="BM85" s="82">
        <v>0.9</v>
      </c>
      <c r="BN85" s="82">
        <v>0.3</v>
      </c>
      <c r="BO85" s="82">
        <v>0.6</v>
      </c>
      <c r="BP85" s="82">
        <v>0.2</v>
      </c>
      <c r="BQ85" s="82">
        <v>0.4</v>
      </c>
      <c r="BR85" s="82">
        <v>0.1</v>
      </c>
      <c r="BS85" s="82">
        <v>0.4</v>
      </c>
      <c r="BT85" s="82">
        <v>211746</v>
      </c>
      <c r="BU85" s="82">
        <v>81225</v>
      </c>
      <c r="BV85" s="82">
        <v>18244</v>
      </c>
      <c r="BW85" s="82">
        <v>195707</v>
      </c>
      <c r="BX85" s="82">
        <v>11.4</v>
      </c>
      <c r="BY85" s="82">
        <v>4.5999999999999996</v>
      </c>
      <c r="BZ85" s="82">
        <v>6.8</v>
      </c>
      <c r="CA85" s="82">
        <v>17.2</v>
      </c>
      <c r="CB85" s="82">
        <v>20.2</v>
      </c>
      <c r="CC85" s="82">
        <v>14.1</v>
      </c>
      <c r="CD85" s="82">
        <v>10.3</v>
      </c>
      <c r="CE85" s="82">
        <v>8</v>
      </c>
      <c r="CF85" s="82">
        <v>5</v>
      </c>
      <c r="CG85" s="82">
        <v>1.6</v>
      </c>
      <c r="CH85" s="82">
        <v>0.4</v>
      </c>
      <c r="CI85" s="82">
        <v>0.4</v>
      </c>
      <c r="CJ85" s="82">
        <f t="shared" si="8"/>
        <v>506922</v>
      </c>
      <c r="CK85" s="82">
        <f t="shared" si="9"/>
        <v>852334.46473408479</v>
      </c>
      <c r="CL85" s="95">
        <f ca="1">$CK85*SUM(OFFSET($AJ85,0,(COUNTA($CL$1:CL$1)-1)*4,1,4))/100</f>
        <v>160238.87937000796</v>
      </c>
      <c r="CM85" s="95">
        <f ca="1">$CK85*SUM(OFFSET($AJ85,0,(COUNTA($CL$1:CM$1)-1)*4,1,4))/100</f>
        <v>149158.53132846483</v>
      </c>
      <c r="CN85" s="95">
        <f ca="1">$CK85*SUM(OFFSET($AJ85,0,(COUNTA($CL$1:CN$1)-1)*4,1,4))/100</f>
        <v>180694.90652362595</v>
      </c>
      <c r="CO85" s="95">
        <f ca="1">$CK85*SUM(OFFSET($AJ85,0,(COUNTA($CL$1:CO$1)-1)*4,1,4))/100</f>
        <v>126997.83524537861</v>
      </c>
      <c r="CP85" s="95">
        <f ca="1">$CK85*SUM(OFFSET($AJ85,0,(COUNTA($CL$1:CP$1)-1)*4,1,4))/100</f>
        <v>93756.791120749316</v>
      </c>
      <c r="CQ85" s="95">
        <f ca="1">$CK85*SUM(OFFSET($AJ85,0,(COUNTA($CL$1:CQ$1)-1)*4,1,4))/100</f>
        <v>67334.422713992695</v>
      </c>
      <c r="CR85" s="95">
        <f ca="1">$CK85*SUM(OFFSET($AJ85,0,(COUNTA($CL$1:CR$1)-1)*4,1,4))/100</f>
        <v>39207.385377767896</v>
      </c>
      <c r="CS85" s="95">
        <f ca="1">$CK85*SUM(OFFSET($AJ85,0,(COUNTA($CL$1:CS$1)-1)*4,1,4))/100</f>
        <v>19603.692688883948</v>
      </c>
      <c r="CT85" s="95">
        <f ca="1">$CK85*SUM(OFFSET($AJ85,0,(COUNTA($CL$1:CT$1)-1)*4,1,4))/100</f>
        <v>9375.6791120749331</v>
      </c>
      <c r="CU85" s="96">
        <f t="shared" si="10"/>
        <v>6280.9327731092435</v>
      </c>
      <c r="CV85" s="96">
        <f t="shared" si="11"/>
        <v>135.70189262066478</v>
      </c>
    </row>
    <row r="86" spans="1:100">
      <c r="A86" s="82" t="str">
        <f ca="1">IF(ISERROR(OFFSET(Map!$E$2,MATCH(D86,Map!$B$3:$B$239,0),0)),OFFSET(Map!$E$2,MATCH(D86,Map!$C$3:$C$239,0),0),OFFSET(Map!$E$2,MATCH(D86,Map!$B$3:$B$239,0),0))</f>
        <v>Namakwa</v>
      </c>
      <c r="B86" s="82">
        <v>85</v>
      </c>
      <c r="C86" s="82" t="s">
        <v>61</v>
      </c>
      <c r="D86" s="82" t="s">
        <v>372</v>
      </c>
      <c r="E86" s="82" t="s">
        <v>373</v>
      </c>
      <c r="F86" s="82">
        <v>11982</v>
      </c>
      <c r="G86" s="82">
        <v>23.8</v>
      </c>
      <c r="H86" s="82">
        <v>70.2</v>
      </c>
      <c r="I86" s="82">
        <f t="shared" si="6"/>
        <v>8411</v>
      </c>
      <c r="J86" s="82">
        <v>6</v>
      </c>
      <c r="K86" s="82">
        <v>42.5</v>
      </c>
      <c r="L86" s="82">
        <v>110.9</v>
      </c>
      <c r="M86" s="82">
        <v>1.68</v>
      </c>
      <c r="N86" s="82">
        <v>1</v>
      </c>
      <c r="O86" s="82">
        <v>18.600000000000001</v>
      </c>
      <c r="P86" s="82">
        <f t="shared" si="7"/>
        <v>6847</v>
      </c>
      <c r="Q86" s="82">
        <v>22.4</v>
      </c>
      <c r="R86" s="82">
        <v>2.5</v>
      </c>
      <c r="S86" s="82">
        <v>7.3</v>
      </c>
      <c r="T86" s="82">
        <v>18.8</v>
      </c>
      <c r="U86" s="82">
        <v>3543</v>
      </c>
      <c r="V86" s="82">
        <v>460</v>
      </c>
      <c r="W86" s="82">
        <v>3.1</v>
      </c>
      <c r="X86" s="82">
        <v>37.299999999999997</v>
      </c>
      <c r="Y86" s="82">
        <v>88.5</v>
      </c>
      <c r="Z86" s="82">
        <v>50</v>
      </c>
      <c r="AA86" s="82">
        <v>69.8</v>
      </c>
      <c r="AB86" s="82">
        <v>82.8</v>
      </c>
      <c r="AC86" s="82">
        <v>68.599999999999994</v>
      </c>
      <c r="AD86" s="82">
        <v>96</v>
      </c>
      <c r="AE86" s="82">
        <v>13.1</v>
      </c>
      <c r="AF86" s="82">
        <v>76.599999999999994</v>
      </c>
      <c r="AG86" s="82">
        <v>0.5</v>
      </c>
      <c r="AH86" s="82">
        <v>8.5</v>
      </c>
      <c r="AI86" s="82">
        <v>1.4</v>
      </c>
      <c r="AJ86" s="82">
        <v>4</v>
      </c>
      <c r="AK86" s="82">
        <v>3.8</v>
      </c>
      <c r="AL86" s="82">
        <v>4</v>
      </c>
      <c r="AM86" s="82">
        <v>3.7</v>
      </c>
      <c r="AN86" s="82">
        <v>4.4000000000000004</v>
      </c>
      <c r="AO86" s="82">
        <v>3.9</v>
      </c>
      <c r="AP86" s="82">
        <v>4.0999999999999996</v>
      </c>
      <c r="AQ86" s="82">
        <v>3.3</v>
      </c>
      <c r="AR86" s="82">
        <v>4</v>
      </c>
      <c r="AS86" s="82">
        <v>3.6</v>
      </c>
      <c r="AT86" s="82">
        <v>5.6</v>
      </c>
      <c r="AU86" s="82">
        <v>4.4000000000000004</v>
      </c>
      <c r="AV86" s="82">
        <v>4.4000000000000004</v>
      </c>
      <c r="AW86" s="82">
        <v>3.7</v>
      </c>
      <c r="AX86" s="82">
        <v>4.2</v>
      </c>
      <c r="AY86" s="82">
        <v>3.6</v>
      </c>
      <c r="AZ86" s="82">
        <v>4.4000000000000004</v>
      </c>
      <c r="BA86" s="82">
        <v>3.7</v>
      </c>
      <c r="BB86" s="82">
        <v>3.7</v>
      </c>
      <c r="BC86" s="82">
        <v>3.7</v>
      </c>
      <c r="BD86" s="82">
        <v>3</v>
      </c>
      <c r="BE86" s="82">
        <v>2.7</v>
      </c>
      <c r="BF86" s="82">
        <v>2.4</v>
      </c>
      <c r="BG86" s="82">
        <v>2.1</v>
      </c>
      <c r="BH86" s="82">
        <v>1.6</v>
      </c>
      <c r="BI86" s="82">
        <v>1.8</v>
      </c>
      <c r="BJ86" s="82">
        <v>1.2</v>
      </c>
      <c r="BK86" s="82">
        <v>1.4</v>
      </c>
      <c r="BL86" s="82">
        <v>0.7</v>
      </c>
      <c r="BM86" s="82">
        <v>0.7</v>
      </c>
      <c r="BN86" s="82">
        <v>0.5</v>
      </c>
      <c r="BO86" s="82">
        <v>0.6</v>
      </c>
      <c r="BP86" s="82">
        <v>0.3</v>
      </c>
      <c r="BQ86" s="82">
        <v>0.3</v>
      </c>
      <c r="BR86" s="82">
        <v>0.2</v>
      </c>
      <c r="BS86" s="82">
        <v>0.2</v>
      </c>
      <c r="BT86" s="82">
        <v>4627</v>
      </c>
      <c r="BU86" s="82">
        <v>1060</v>
      </c>
      <c r="BV86" s="82">
        <v>211</v>
      </c>
      <c r="BW86" s="82">
        <v>2510</v>
      </c>
      <c r="BX86" s="82">
        <v>9.6999999999999993</v>
      </c>
      <c r="BY86" s="82">
        <v>2.1</v>
      </c>
      <c r="BZ86" s="82">
        <v>6.5</v>
      </c>
      <c r="CA86" s="82">
        <v>14.1</v>
      </c>
      <c r="CB86" s="82">
        <v>17.7</v>
      </c>
      <c r="CC86" s="82">
        <v>19.3</v>
      </c>
      <c r="CD86" s="82">
        <v>16.399999999999999</v>
      </c>
      <c r="CE86" s="82">
        <v>10.199999999999999</v>
      </c>
      <c r="CF86" s="82">
        <v>3.3</v>
      </c>
      <c r="CG86" s="82">
        <v>0.5</v>
      </c>
      <c r="CH86" s="82">
        <v>0.2</v>
      </c>
      <c r="CI86" s="82">
        <v>0</v>
      </c>
      <c r="CJ86" s="82">
        <f t="shared" si="8"/>
        <v>8408</v>
      </c>
      <c r="CK86" s="82">
        <f t="shared" si="9"/>
        <v>13920.317891794264</v>
      </c>
      <c r="CL86" s="95">
        <f ca="1">$CK86*SUM(OFFSET($AJ86,0,(COUNTA($CL$1:CL$1)-1)*4,1,4))/100</f>
        <v>2157.6492732281108</v>
      </c>
      <c r="CM86" s="95">
        <f ca="1">$CK86*SUM(OFFSET($AJ86,0,(COUNTA($CL$1:CM$1)-1)*4,1,4))/100</f>
        <v>2185.4899090116996</v>
      </c>
      <c r="CN86" s="95">
        <f ca="1">$CK86*SUM(OFFSET($AJ86,0,(COUNTA($CL$1:CN$1)-1)*4,1,4))/100</f>
        <v>2449.9759489557905</v>
      </c>
      <c r="CO86" s="95">
        <f ca="1">$CK86*SUM(OFFSET($AJ86,0,(COUNTA($CL$1:CO$1)-1)*4,1,4))/100</f>
        <v>2213.330544795288</v>
      </c>
      <c r="CP86" s="95">
        <f ca="1">$CK86*SUM(OFFSET($AJ86,0,(COUNTA($CL$1:CP$1)-1)*4,1,4))/100</f>
        <v>2157.6492732281108</v>
      </c>
      <c r="CQ86" s="95">
        <f ca="1">$CK86*SUM(OFFSET($AJ86,0,(COUNTA($CL$1:CQ$1)-1)*4,1,4))/100</f>
        <v>1419.8724249630147</v>
      </c>
      <c r="CR86" s="95">
        <f ca="1">$CK86*SUM(OFFSET($AJ86,0,(COUNTA($CL$1:CR$1)-1)*4,1,4))/100</f>
        <v>835.21907350765582</v>
      </c>
      <c r="CS86" s="95">
        <f ca="1">$CK86*SUM(OFFSET($AJ86,0,(COUNTA($CL$1:CS$1)-1)*4,1,4))/100</f>
        <v>348.00794729485659</v>
      </c>
      <c r="CT86" s="95">
        <f ca="1">$CK86*SUM(OFFSET($AJ86,0,(COUNTA($CL$1:CT$1)-1)*4,1,4))/100</f>
        <v>139.20317891794264</v>
      </c>
      <c r="CU86" s="96">
        <f t="shared" si="10"/>
        <v>11982</v>
      </c>
      <c r="CV86" s="96">
        <f t="shared" si="11"/>
        <v>1.1617691446999052</v>
      </c>
    </row>
    <row r="87" spans="1:100">
      <c r="A87" s="82" t="str">
        <f ca="1">IF(ISERROR(OFFSET(Map!$E$2,MATCH(D87,Map!$B$3:$B$239,0),0)),OFFSET(Map!$E$2,MATCH(D87,Map!$C$3:$C$239,0),0),OFFSET(Map!$E$2,MATCH(D87,Map!$B$3:$B$239,0),0))</f>
        <v>Namakwa</v>
      </c>
      <c r="B87" s="82">
        <v>86</v>
      </c>
      <c r="C87" s="82" t="s">
        <v>61</v>
      </c>
      <c r="D87" s="82" t="s">
        <v>374</v>
      </c>
      <c r="E87" s="82" t="s">
        <v>375</v>
      </c>
      <c r="F87" s="82">
        <v>47041</v>
      </c>
      <c r="G87" s="82">
        <v>24.9</v>
      </c>
      <c r="H87" s="82">
        <v>66.900000000000006</v>
      </c>
      <c r="I87" s="82">
        <f t="shared" si="6"/>
        <v>31470</v>
      </c>
      <c r="J87" s="82">
        <v>8.1999999999999993</v>
      </c>
      <c r="K87" s="82">
        <v>49.4</v>
      </c>
      <c r="L87" s="82">
        <v>97.4</v>
      </c>
      <c r="M87" s="82">
        <v>0.47</v>
      </c>
      <c r="N87" s="82">
        <v>3</v>
      </c>
      <c r="O87" s="82">
        <v>22.9</v>
      </c>
      <c r="P87" s="82">
        <f t="shared" si="7"/>
        <v>24264</v>
      </c>
      <c r="Q87" s="82">
        <v>30.1</v>
      </c>
      <c r="R87" s="82">
        <v>2.2000000000000002</v>
      </c>
      <c r="S87" s="82">
        <v>7.9</v>
      </c>
      <c r="T87" s="82">
        <v>20</v>
      </c>
      <c r="U87" s="82">
        <v>13193</v>
      </c>
      <c r="V87" s="82">
        <v>1906</v>
      </c>
      <c r="W87" s="82">
        <v>3.4</v>
      </c>
      <c r="X87" s="82">
        <v>39.200000000000003</v>
      </c>
      <c r="Y87" s="82">
        <v>94.7</v>
      </c>
      <c r="Z87" s="82">
        <v>72.5</v>
      </c>
      <c r="AA87" s="82">
        <v>63.5</v>
      </c>
      <c r="AB87" s="82">
        <v>89.4</v>
      </c>
      <c r="AC87" s="82">
        <v>74.900000000000006</v>
      </c>
      <c r="AD87" s="82">
        <v>93.7</v>
      </c>
      <c r="AE87" s="82">
        <v>4.2</v>
      </c>
      <c r="AF87" s="82">
        <v>88.1</v>
      </c>
      <c r="AG87" s="82">
        <v>0.5</v>
      </c>
      <c r="AH87" s="82">
        <v>6.6</v>
      </c>
      <c r="AI87" s="82">
        <v>0.8</v>
      </c>
      <c r="AJ87" s="82">
        <v>4.2</v>
      </c>
      <c r="AK87" s="82">
        <v>3.8</v>
      </c>
      <c r="AL87" s="82">
        <v>4.2</v>
      </c>
      <c r="AM87" s="82">
        <v>3.9</v>
      </c>
      <c r="AN87" s="82">
        <v>4.5</v>
      </c>
      <c r="AO87" s="82">
        <v>4.3</v>
      </c>
      <c r="AP87" s="82">
        <v>4.9000000000000004</v>
      </c>
      <c r="AQ87" s="82">
        <v>4.5</v>
      </c>
      <c r="AR87" s="82">
        <v>3.9</v>
      </c>
      <c r="AS87" s="82">
        <v>3.8</v>
      </c>
      <c r="AT87" s="82">
        <v>3.6</v>
      </c>
      <c r="AU87" s="82">
        <v>3.7</v>
      </c>
      <c r="AV87" s="82">
        <v>3.5</v>
      </c>
      <c r="AW87" s="82">
        <v>3.6</v>
      </c>
      <c r="AX87" s="82">
        <v>3.4</v>
      </c>
      <c r="AY87" s="82">
        <v>3.4</v>
      </c>
      <c r="AZ87" s="82">
        <v>3.3</v>
      </c>
      <c r="BA87" s="82">
        <v>3.8</v>
      </c>
      <c r="BB87" s="82">
        <v>3.1</v>
      </c>
      <c r="BC87" s="82">
        <v>3.1</v>
      </c>
      <c r="BD87" s="82">
        <v>2.7</v>
      </c>
      <c r="BE87" s="82">
        <v>3</v>
      </c>
      <c r="BF87" s="82">
        <v>2.4</v>
      </c>
      <c r="BG87" s="82">
        <v>2.7</v>
      </c>
      <c r="BH87" s="82">
        <v>1.9</v>
      </c>
      <c r="BI87" s="82">
        <v>2.1</v>
      </c>
      <c r="BJ87" s="82">
        <v>1.4</v>
      </c>
      <c r="BK87" s="82">
        <v>1.7</v>
      </c>
      <c r="BL87" s="82">
        <v>1.1000000000000001</v>
      </c>
      <c r="BM87" s="82">
        <v>1.2</v>
      </c>
      <c r="BN87" s="82">
        <v>0.5</v>
      </c>
      <c r="BO87" s="82">
        <v>0.8</v>
      </c>
      <c r="BP87" s="82">
        <v>0.3</v>
      </c>
      <c r="BQ87" s="82">
        <v>0.5</v>
      </c>
      <c r="BR87" s="82">
        <v>0.2</v>
      </c>
      <c r="BS87" s="82">
        <v>0.4</v>
      </c>
      <c r="BT87" s="82">
        <v>12351</v>
      </c>
      <c r="BU87" s="82">
        <v>3665</v>
      </c>
      <c r="BV87" s="82">
        <v>1935</v>
      </c>
      <c r="BW87" s="82">
        <v>13526</v>
      </c>
      <c r="BX87" s="82">
        <v>9.5</v>
      </c>
      <c r="BY87" s="82">
        <v>2.5</v>
      </c>
      <c r="BZ87" s="82">
        <v>5</v>
      </c>
      <c r="CA87" s="82">
        <v>17.399999999999999</v>
      </c>
      <c r="CB87" s="82">
        <v>20.8</v>
      </c>
      <c r="CC87" s="82">
        <v>18.3</v>
      </c>
      <c r="CD87" s="82">
        <v>13.2</v>
      </c>
      <c r="CE87" s="82">
        <v>8.1999999999999993</v>
      </c>
      <c r="CF87" s="82">
        <v>3.9</v>
      </c>
      <c r="CG87" s="82">
        <v>0.9</v>
      </c>
      <c r="CH87" s="82">
        <v>0.2</v>
      </c>
      <c r="CI87" s="82">
        <v>0.3</v>
      </c>
      <c r="CJ87" s="82">
        <f t="shared" si="8"/>
        <v>31477</v>
      </c>
      <c r="CK87" s="82">
        <f t="shared" si="9"/>
        <v>49068.656341514674</v>
      </c>
      <c r="CL87" s="95">
        <f ca="1">$CK87*SUM(OFFSET($AJ87,0,(COUNTA($CL$1:CL$1)-1)*4,1,4))/100</f>
        <v>7900.0536709838616</v>
      </c>
      <c r="CM87" s="95">
        <f ca="1">$CK87*SUM(OFFSET($AJ87,0,(COUNTA($CL$1:CM$1)-1)*4,1,4))/100</f>
        <v>8930.4954541556726</v>
      </c>
      <c r="CN87" s="95">
        <f ca="1">$CK87*SUM(OFFSET($AJ87,0,(COUNTA($CL$1:CN$1)-1)*4,1,4))/100</f>
        <v>7360.2984512272014</v>
      </c>
      <c r="CO87" s="95">
        <f ca="1">$CK87*SUM(OFFSET($AJ87,0,(COUNTA($CL$1:CO$1)-1)*4,1,4))/100</f>
        <v>6820.5432314705395</v>
      </c>
      <c r="CP87" s="95">
        <f ca="1">$CK87*SUM(OFFSET($AJ87,0,(COUNTA($CL$1:CP$1)-1)*4,1,4))/100</f>
        <v>6526.1312934214502</v>
      </c>
      <c r="CQ87" s="95">
        <f ca="1">$CK87*SUM(OFFSET($AJ87,0,(COUNTA($CL$1:CQ$1)-1)*4,1,4))/100</f>
        <v>5299.4148848835857</v>
      </c>
      <c r="CR87" s="95">
        <f ca="1">$CK87*SUM(OFFSET($AJ87,0,(COUNTA($CL$1:CR$1)-1)*4,1,4))/100</f>
        <v>3483.8746002475423</v>
      </c>
      <c r="CS87" s="95">
        <f ca="1">$CK87*SUM(OFFSET($AJ87,0,(COUNTA($CL$1:CS$1)-1)*4,1,4))/100</f>
        <v>1766.471628294528</v>
      </c>
      <c r="CT87" s="95">
        <f ca="1">$CK87*SUM(OFFSET($AJ87,0,(COUNTA($CL$1:CT$1)-1)*4,1,4))/100</f>
        <v>686.96118878120546</v>
      </c>
      <c r="CU87" s="96">
        <f t="shared" si="10"/>
        <v>15680.333333333334</v>
      </c>
      <c r="CV87" s="96">
        <f t="shared" si="11"/>
        <v>3.1293120687175873</v>
      </c>
    </row>
    <row r="88" spans="1:100">
      <c r="A88" s="82" t="str">
        <f ca="1">IF(ISERROR(OFFSET(Map!$E$2,MATCH(D88,Map!$B$3:$B$239,0),0)),OFFSET(Map!$E$2,MATCH(D88,Map!$C$3:$C$239,0),0),OFFSET(Map!$E$2,MATCH(D88,Map!$B$3:$B$239,0),0))</f>
        <v>Namakwa</v>
      </c>
      <c r="B88" s="82">
        <v>87</v>
      </c>
      <c r="C88" s="82" t="s">
        <v>61</v>
      </c>
      <c r="D88" s="82" t="s">
        <v>376</v>
      </c>
      <c r="E88" s="82" t="s">
        <v>377</v>
      </c>
      <c r="F88" s="82">
        <v>10187</v>
      </c>
      <c r="G88" s="82">
        <v>26.5</v>
      </c>
      <c r="H88" s="82">
        <v>63.3</v>
      </c>
      <c r="I88" s="82">
        <f t="shared" si="6"/>
        <v>6448</v>
      </c>
      <c r="J88" s="82">
        <v>10.199999999999999</v>
      </c>
      <c r="K88" s="82">
        <v>57.9</v>
      </c>
      <c r="L88" s="82">
        <v>101.7</v>
      </c>
      <c r="M88" s="82">
        <v>-0.54</v>
      </c>
      <c r="N88" s="82">
        <v>1</v>
      </c>
      <c r="O88" s="82">
        <v>30.8</v>
      </c>
      <c r="P88" s="82">
        <f t="shared" si="7"/>
        <v>4462</v>
      </c>
      <c r="Q88" s="82">
        <v>40.4</v>
      </c>
      <c r="R88" s="82">
        <v>5.2</v>
      </c>
      <c r="S88" s="82">
        <v>4.3</v>
      </c>
      <c r="T88" s="82">
        <v>16.399999999999999</v>
      </c>
      <c r="U88" s="82">
        <v>3143</v>
      </c>
      <c r="V88" s="82">
        <v>913</v>
      </c>
      <c r="W88" s="82">
        <v>3</v>
      </c>
      <c r="X88" s="82">
        <v>40.9</v>
      </c>
      <c r="Y88" s="82">
        <v>95.6</v>
      </c>
      <c r="Z88" s="82">
        <v>63.9</v>
      </c>
      <c r="AA88" s="82">
        <v>38.799999999999997</v>
      </c>
      <c r="AB88" s="82">
        <v>79.400000000000006</v>
      </c>
      <c r="AC88" s="82">
        <v>41.7</v>
      </c>
      <c r="AD88" s="82">
        <v>87.4</v>
      </c>
      <c r="AE88" s="82">
        <v>5.3</v>
      </c>
      <c r="AF88" s="82">
        <v>85.6</v>
      </c>
      <c r="AG88" s="82">
        <v>0.5</v>
      </c>
      <c r="AH88" s="82">
        <v>8.1</v>
      </c>
      <c r="AI88" s="82">
        <v>0.5</v>
      </c>
      <c r="AJ88" s="82">
        <v>4.5</v>
      </c>
      <c r="AK88" s="82">
        <v>4</v>
      </c>
      <c r="AL88" s="82">
        <v>4.5</v>
      </c>
      <c r="AM88" s="82">
        <v>3.9</v>
      </c>
      <c r="AN88" s="82">
        <v>4.9000000000000004</v>
      </c>
      <c r="AO88" s="82">
        <v>4.7</v>
      </c>
      <c r="AP88" s="82">
        <v>5.2</v>
      </c>
      <c r="AQ88" s="82">
        <v>4</v>
      </c>
      <c r="AR88" s="82">
        <v>3.4</v>
      </c>
      <c r="AS88" s="82">
        <v>3.2</v>
      </c>
      <c r="AT88" s="82">
        <v>3</v>
      </c>
      <c r="AU88" s="82">
        <v>3.2</v>
      </c>
      <c r="AV88" s="82">
        <v>2.9</v>
      </c>
      <c r="AW88" s="82">
        <v>2.9</v>
      </c>
      <c r="AX88" s="82">
        <v>3</v>
      </c>
      <c r="AY88" s="82">
        <v>3.2</v>
      </c>
      <c r="AZ88" s="82">
        <v>3.3</v>
      </c>
      <c r="BA88" s="82">
        <v>3.2</v>
      </c>
      <c r="BB88" s="82">
        <v>3.6</v>
      </c>
      <c r="BC88" s="82">
        <v>3.6</v>
      </c>
      <c r="BD88" s="82">
        <v>2.9</v>
      </c>
      <c r="BE88" s="82">
        <v>3</v>
      </c>
      <c r="BF88" s="82">
        <v>2.5</v>
      </c>
      <c r="BG88" s="82">
        <v>2.6</v>
      </c>
      <c r="BH88" s="82">
        <v>2.2999999999999998</v>
      </c>
      <c r="BI88" s="82">
        <v>2.2999999999999998</v>
      </c>
      <c r="BJ88" s="82">
        <v>1.6</v>
      </c>
      <c r="BK88" s="82">
        <v>2.2000000000000002</v>
      </c>
      <c r="BL88" s="82">
        <v>1.2</v>
      </c>
      <c r="BM88" s="82">
        <v>1.4</v>
      </c>
      <c r="BN88" s="82">
        <v>0.8</v>
      </c>
      <c r="BO88" s="82">
        <v>1</v>
      </c>
      <c r="BP88" s="82">
        <v>0.5</v>
      </c>
      <c r="BQ88" s="82">
        <v>0.6</v>
      </c>
      <c r="BR88" s="82">
        <v>0.3</v>
      </c>
      <c r="BS88" s="82">
        <v>0.5</v>
      </c>
      <c r="BT88" s="82">
        <v>2204</v>
      </c>
      <c r="BU88" s="82">
        <v>981</v>
      </c>
      <c r="BV88" s="82">
        <v>732</v>
      </c>
      <c r="BW88" s="82">
        <v>2535</v>
      </c>
      <c r="BX88" s="82">
        <v>10.8</v>
      </c>
      <c r="BY88" s="82">
        <v>3.8</v>
      </c>
      <c r="BZ88" s="82">
        <v>5.9</v>
      </c>
      <c r="CA88" s="82">
        <v>22.4</v>
      </c>
      <c r="CB88" s="82">
        <v>23.9</v>
      </c>
      <c r="CC88" s="82">
        <v>14.7</v>
      </c>
      <c r="CD88" s="82">
        <v>9.3000000000000007</v>
      </c>
      <c r="CE88" s="82">
        <v>6.1</v>
      </c>
      <c r="CF88" s="82">
        <v>1.9</v>
      </c>
      <c r="CG88" s="82">
        <v>0.6</v>
      </c>
      <c r="CH88" s="82">
        <v>0.2</v>
      </c>
      <c r="CI88" s="82">
        <v>0.4</v>
      </c>
      <c r="CJ88" s="82">
        <f t="shared" si="8"/>
        <v>6452</v>
      </c>
      <c r="CK88" s="82">
        <f t="shared" si="9"/>
        <v>9702.4720474629466</v>
      </c>
      <c r="CL88" s="95">
        <f ca="1">$CK88*SUM(OFFSET($AJ88,0,(COUNTA($CL$1:CL$1)-1)*4,1,4))/100</f>
        <v>1639.717776021238</v>
      </c>
      <c r="CM88" s="95">
        <f ca="1">$CK88*SUM(OFFSET($AJ88,0,(COUNTA($CL$1:CM$1)-1)*4,1,4))/100</f>
        <v>1824.0647449230341</v>
      </c>
      <c r="CN88" s="95">
        <f ca="1">$CK88*SUM(OFFSET($AJ88,0,(COUNTA($CL$1:CN$1)-1)*4,1,4))/100</f>
        <v>1241.9164220752573</v>
      </c>
      <c r="CO88" s="95">
        <f ca="1">$CK88*SUM(OFFSET($AJ88,0,(COUNTA($CL$1:CO$1)-1)*4,1,4))/100</f>
        <v>1164.2966456955537</v>
      </c>
      <c r="CP88" s="95">
        <f ca="1">$CK88*SUM(OFFSET($AJ88,0,(COUNTA($CL$1:CP$1)-1)*4,1,4))/100</f>
        <v>1329.2386705024235</v>
      </c>
      <c r="CQ88" s="95">
        <f ca="1">$CK88*SUM(OFFSET($AJ88,0,(COUNTA($CL$1:CQ$1)-1)*4,1,4))/100</f>
        <v>1067.2719252209242</v>
      </c>
      <c r="CR88" s="95">
        <f ca="1">$CK88*SUM(OFFSET($AJ88,0,(COUNTA($CL$1:CR$1)-1)*4,1,4))/100</f>
        <v>815.00765198688737</v>
      </c>
      <c r="CS88" s="95">
        <f ca="1">$CK88*SUM(OFFSET($AJ88,0,(COUNTA($CL$1:CS$1)-1)*4,1,4))/100</f>
        <v>426.90877008836958</v>
      </c>
      <c r="CT88" s="95">
        <f ca="1">$CK88*SUM(OFFSET($AJ88,0,(COUNTA($CL$1:CT$1)-1)*4,1,4))/100</f>
        <v>184.346968901796</v>
      </c>
      <c r="CU88" s="96">
        <f t="shared" si="10"/>
        <v>10187</v>
      </c>
      <c r="CV88" s="96">
        <f t="shared" si="11"/>
        <v>0.95243663958603575</v>
      </c>
    </row>
    <row r="89" spans="1:100">
      <c r="A89" s="82" t="str">
        <f ca="1">IF(ISERROR(OFFSET(Map!$E$2,MATCH(D89,Map!$B$3:$B$239,0),0)),OFFSET(Map!$E$2,MATCH(D89,Map!$C$3:$C$239,0),0),OFFSET(Map!$E$2,MATCH(D89,Map!$B$3:$B$239,0),0))</f>
        <v>Namakwa</v>
      </c>
      <c r="B89" s="82">
        <v>88</v>
      </c>
      <c r="C89" s="82" t="s">
        <v>61</v>
      </c>
      <c r="D89" s="82" t="s">
        <v>378</v>
      </c>
      <c r="E89" s="82" t="s">
        <v>379</v>
      </c>
      <c r="F89" s="82">
        <v>21578</v>
      </c>
      <c r="G89" s="82">
        <v>27.5</v>
      </c>
      <c r="H89" s="82">
        <v>64.3</v>
      </c>
      <c r="I89" s="82">
        <f t="shared" si="6"/>
        <v>13875</v>
      </c>
      <c r="J89" s="82">
        <v>8.3000000000000007</v>
      </c>
      <c r="K89" s="82">
        <v>55.6</v>
      </c>
      <c r="L89" s="82">
        <v>100.4</v>
      </c>
      <c r="M89" s="82">
        <v>0.59</v>
      </c>
      <c r="N89" s="82">
        <v>1</v>
      </c>
      <c r="O89" s="82">
        <v>11.8</v>
      </c>
      <c r="P89" s="82">
        <f t="shared" si="7"/>
        <v>12237</v>
      </c>
      <c r="Q89" s="82">
        <v>15.3</v>
      </c>
      <c r="R89" s="82">
        <v>14.4</v>
      </c>
      <c r="S89" s="82">
        <v>8.1</v>
      </c>
      <c r="T89" s="82">
        <v>18.8</v>
      </c>
      <c r="U89" s="82">
        <v>6340</v>
      </c>
      <c r="V89" s="82">
        <v>1256</v>
      </c>
      <c r="W89" s="82">
        <v>3.2</v>
      </c>
      <c r="X89" s="82">
        <v>33.6</v>
      </c>
      <c r="Y89" s="82">
        <v>96.9</v>
      </c>
      <c r="Z89" s="82">
        <v>54</v>
      </c>
      <c r="AA89" s="82">
        <v>53.7</v>
      </c>
      <c r="AB89" s="82">
        <v>72.5</v>
      </c>
      <c r="AC89" s="82">
        <v>59.8</v>
      </c>
      <c r="AD89" s="82">
        <v>76.900000000000006</v>
      </c>
      <c r="AE89" s="82">
        <v>4.4000000000000004</v>
      </c>
      <c r="AF89" s="82">
        <v>82.2</v>
      </c>
      <c r="AG89" s="82">
        <v>0.7</v>
      </c>
      <c r="AH89" s="82">
        <v>12.1</v>
      </c>
      <c r="AI89" s="82">
        <v>0.6</v>
      </c>
      <c r="AJ89" s="82">
        <v>4.8</v>
      </c>
      <c r="AK89" s="82">
        <v>4.2</v>
      </c>
      <c r="AL89" s="82">
        <v>4.7</v>
      </c>
      <c r="AM89" s="82">
        <v>4.3</v>
      </c>
      <c r="AN89" s="82">
        <v>4.8</v>
      </c>
      <c r="AO89" s="82">
        <v>4.5</v>
      </c>
      <c r="AP89" s="82">
        <v>4.5999999999999996</v>
      </c>
      <c r="AQ89" s="82">
        <v>4.2</v>
      </c>
      <c r="AR89" s="82">
        <v>3.9</v>
      </c>
      <c r="AS89" s="82">
        <v>3.7</v>
      </c>
      <c r="AT89" s="82">
        <v>3.7</v>
      </c>
      <c r="AU89" s="82">
        <v>3.5</v>
      </c>
      <c r="AV89" s="82">
        <v>2.9</v>
      </c>
      <c r="AW89" s="82">
        <v>2.8</v>
      </c>
      <c r="AX89" s="82">
        <v>3.2</v>
      </c>
      <c r="AY89" s="82">
        <v>3.3</v>
      </c>
      <c r="AZ89" s="82">
        <v>3.4</v>
      </c>
      <c r="BA89" s="82">
        <v>3.5</v>
      </c>
      <c r="BB89" s="82">
        <v>3.3</v>
      </c>
      <c r="BC89" s="82">
        <v>3.3</v>
      </c>
      <c r="BD89" s="82">
        <v>2.9</v>
      </c>
      <c r="BE89" s="82">
        <v>3.1</v>
      </c>
      <c r="BF89" s="82">
        <v>2.4</v>
      </c>
      <c r="BG89" s="82">
        <v>2.5</v>
      </c>
      <c r="BH89" s="82">
        <v>1.9</v>
      </c>
      <c r="BI89" s="82">
        <v>2</v>
      </c>
      <c r="BJ89" s="82">
        <v>1.4</v>
      </c>
      <c r="BK89" s="82">
        <v>1.6</v>
      </c>
      <c r="BL89" s="82">
        <v>1</v>
      </c>
      <c r="BM89" s="82">
        <v>1.2</v>
      </c>
      <c r="BN89" s="82">
        <v>0.6</v>
      </c>
      <c r="BO89" s="82">
        <v>0.8</v>
      </c>
      <c r="BP89" s="82">
        <v>0.3</v>
      </c>
      <c r="BQ89" s="82">
        <v>0.6</v>
      </c>
      <c r="BR89" s="82">
        <v>0.2</v>
      </c>
      <c r="BS89" s="82">
        <v>0.5</v>
      </c>
      <c r="BT89" s="82">
        <v>6247</v>
      </c>
      <c r="BU89" s="82">
        <v>838</v>
      </c>
      <c r="BV89" s="82">
        <v>446</v>
      </c>
      <c r="BW89" s="82">
        <v>6335</v>
      </c>
      <c r="BX89" s="82">
        <v>6.8</v>
      </c>
      <c r="BY89" s="82">
        <v>2.5</v>
      </c>
      <c r="BZ89" s="82">
        <v>4.8</v>
      </c>
      <c r="CA89" s="82">
        <v>21.1</v>
      </c>
      <c r="CB89" s="82">
        <v>24.8</v>
      </c>
      <c r="CC89" s="82">
        <v>16.2</v>
      </c>
      <c r="CD89" s="82">
        <v>10.3</v>
      </c>
      <c r="CE89" s="82">
        <v>8</v>
      </c>
      <c r="CF89" s="82">
        <v>3.4</v>
      </c>
      <c r="CG89" s="82">
        <v>1.2</v>
      </c>
      <c r="CH89" s="82">
        <v>0.6</v>
      </c>
      <c r="CI89" s="82">
        <v>0.3</v>
      </c>
      <c r="CJ89" s="82">
        <f t="shared" si="8"/>
        <v>13866</v>
      </c>
      <c r="CK89" s="82">
        <f t="shared" si="9"/>
        <v>22751.208060613466</v>
      </c>
      <c r="CL89" s="95">
        <f ca="1">$CK89*SUM(OFFSET($AJ89,0,(COUNTA($CL$1:CL$1)-1)*4,1,4))/100</f>
        <v>4095.2174509104238</v>
      </c>
      <c r="CM89" s="95">
        <f ca="1">$CK89*SUM(OFFSET($AJ89,0,(COUNTA($CL$1:CM$1)-1)*4,1,4))/100</f>
        <v>4117.9686589710373</v>
      </c>
      <c r="CN89" s="95">
        <f ca="1">$CK89*SUM(OFFSET($AJ89,0,(COUNTA($CL$1:CN$1)-1)*4,1,4))/100</f>
        <v>3367.178792970793</v>
      </c>
      <c r="CO89" s="95">
        <f ca="1">$CK89*SUM(OFFSET($AJ89,0,(COUNTA($CL$1:CO$1)-1)*4,1,4))/100</f>
        <v>2775.6473833948426</v>
      </c>
      <c r="CP89" s="95">
        <f ca="1">$CK89*SUM(OFFSET($AJ89,0,(COUNTA($CL$1:CP$1)-1)*4,1,4))/100</f>
        <v>3071.4130881828182</v>
      </c>
      <c r="CQ89" s="95">
        <f ca="1">$CK89*SUM(OFFSET($AJ89,0,(COUNTA($CL$1:CQ$1)-1)*4,1,4))/100</f>
        <v>2479.8816786068678</v>
      </c>
      <c r="CR89" s="95">
        <f ca="1">$CK89*SUM(OFFSET($AJ89,0,(COUNTA($CL$1:CR$1)-1)*4,1,4))/100</f>
        <v>1569.8333561823292</v>
      </c>
      <c r="CS89" s="95">
        <f ca="1">$CK89*SUM(OFFSET($AJ89,0,(COUNTA($CL$1:CS$1)-1)*4,1,4))/100</f>
        <v>819.04349018208495</v>
      </c>
      <c r="CT89" s="95">
        <f ca="1">$CK89*SUM(OFFSET($AJ89,0,(COUNTA($CL$1:CT$1)-1)*4,1,4))/100</f>
        <v>364.01932896981538</v>
      </c>
      <c r="CU89" s="96">
        <f t="shared" si="10"/>
        <v>21578</v>
      </c>
      <c r="CV89" s="96">
        <f t="shared" si="11"/>
        <v>1.0543705654191058</v>
      </c>
    </row>
    <row r="90" spans="1:100">
      <c r="A90" s="82" t="str">
        <f ca="1">IF(ISERROR(OFFSET(Map!$E$2,MATCH(D90,Map!$B$3:$B$239,0),0)),OFFSET(Map!$E$2,MATCH(D90,Map!$C$3:$C$239,0),0),OFFSET(Map!$E$2,MATCH(D90,Map!$B$3:$B$239,0),0))</f>
        <v>Namakwa</v>
      </c>
      <c r="B90" s="82">
        <v>89</v>
      </c>
      <c r="C90" s="82" t="s">
        <v>61</v>
      </c>
      <c r="D90" s="82" t="s">
        <v>380</v>
      </c>
      <c r="E90" s="82" t="s">
        <v>381</v>
      </c>
      <c r="F90" s="82">
        <v>12588</v>
      </c>
      <c r="G90" s="82">
        <v>27.7</v>
      </c>
      <c r="H90" s="82">
        <v>62.3</v>
      </c>
      <c r="I90" s="82">
        <f t="shared" si="6"/>
        <v>7842</v>
      </c>
      <c r="J90" s="82">
        <v>10</v>
      </c>
      <c r="K90" s="82">
        <v>60.5</v>
      </c>
      <c r="L90" s="82">
        <v>98.7</v>
      </c>
      <c r="M90" s="82">
        <v>1.8</v>
      </c>
      <c r="N90" s="82">
        <v>0</v>
      </c>
      <c r="O90" s="82">
        <v>14.6</v>
      </c>
      <c r="P90" s="82">
        <f t="shared" si="7"/>
        <v>6697</v>
      </c>
      <c r="Q90" s="82">
        <v>20</v>
      </c>
      <c r="R90" s="82">
        <v>18.399999999999999</v>
      </c>
      <c r="S90" s="82">
        <v>8.6999999999999993</v>
      </c>
      <c r="T90" s="82">
        <v>16.899999999999999</v>
      </c>
      <c r="U90" s="82">
        <v>3842</v>
      </c>
      <c r="V90" s="82">
        <v>862</v>
      </c>
      <c r="W90" s="82">
        <v>3</v>
      </c>
      <c r="X90" s="82">
        <v>30.6</v>
      </c>
      <c r="Y90" s="82">
        <v>96.9</v>
      </c>
      <c r="Z90" s="82">
        <v>47.3</v>
      </c>
      <c r="AA90" s="82">
        <v>39.4</v>
      </c>
      <c r="AB90" s="82">
        <v>62.7</v>
      </c>
      <c r="AC90" s="82">
        <v>59.8</v>
      </c>
      <c r="AD90" s="82">
        <v>64.900000000000006</v>
      </c>
      <c r="AE90" s="82">
        <v>5.5</v>
      </c>
      <c r="AF90" s="82">
        <v>78.900000000000006</v>
      </c>
      <c r="AG90" s="82">
        <v>0.7</v>
      </c>
      <c r="AH90" s="82">
        <v>14.6</v>
      </c>
      <c r="AI90" s="82">
        <v>0.4</v>
      </c>
      <c r="AJ90" s="82">
        <v>4.4000000000000004</v>
      </c>
      <c r="AK90" s="82">
        <v>4.5999999999999996</v>
      </c>
      <c r="AL90" s="82">
        <v>5.0999999999999996</v>
      </c>
      <c r="AM90" s="82">
        <v>4.3</v>
      </c>
      <c r="AN90" s="82">
        <v>4.8</v>
      </c>
      <c r="AO90" s="82">
        <v>4.4000000000000004</v>
      </c>
      <c r="AP90" s="82">
        <v>4.0999999999999996</v>
      </c>
      <c r="AQ90" s="82">
        <v>4</v>
      </c>
      <c r="AR90" s="82">
        <v>3.1</v>
      </c>
      <c r="AS90" s="82">
        <v>3.3</v>
      </c>
      <c r="AT90" s="82">
        <v>3.1</v>
      </c>
      <c r="AU90" s="82">
        <v>2.9</v>
      </c>
      <c r="AV90" s="82">
        <v>2.9</v>
      </c>
      <c r="AW90" s="82">
        <v>2.8</v>
      </c>
      <c r="AX90" s="82">
        <v>3.5</v>
      </c>
      <c r="AY90" s="82">
        <v>3.8</v>
      </c>
      <c r="AZ90" s="82">
        <v>3.6</v>
      </c>
      <c r="BA90" s="82">
        <v>3.6</v>
      </c>
      <c r="BB90" s="82">
        <v>3.6</v>
      </c>
      <c r="BC90" s="82">
        <v>3.6</v>
      </c>
      <c r="BD90" s="82">
        <v>2.9</v>
      </c>
      <c r="BE90" s="82">
        <v>2.6</v>
      </c>
      <c r="BF90" s="82">
        <v>2.4</v>
      </c>
      <c r="BG90" s="82">
        <v>2.7</v>
      </c>
      <c r="BH90" s="82">
        <v>1.9</v>
      </c>
      <c r="BI90" s="82">
        <v>2.2000000000000002</v>
      </c>
      <c r="BJ90" s="82">
        <v>1.8</v>
      </c>
      <c r="BK90" s="82">
        <v>2</v>
      </c>
      <c r="BL90" s="82">
        <v>1.1000000000000001</v>
      </c>
      <c r="BM90" s="82">
        <v>1.4</v>
      </c>
      <c r="BN90" s="82">
        <v>0.5</v>
      </c>
      <c r="BO90" s="82">
        <v>0.9</v>
      </c>
      <c r="BP90" s="82">
        <v>0.4</v>
      </c>
      <c r="BQ90" s="82">
        <v>0.6</v>
      </c>
      <c r="BR90" s="82">
        <v>0.5</v>
      </c>
      <c r="BS90" s="82">
        <v>0.8</v>
      </c>
      <c r="BT90" s="82">
        <v>3655</v>
      </c>
      <c r="BU90" s="82">
        <v>623</v>
      </c>
      <c r="BV90" s="82">
        <v>395</v>
      </c>
      <c r="BW90" s="82">
        <v>3170</v>
      </c>
      <c r="BX90" s="82">
        <v>6.3</v>
      </c>
      <c r="BY90" s="82">
        <v>2.4</v>
      </c>
      <c r="BZ90" s="82">
        <v>5</v>
      </c>
      <c r="CA90" s="82">
        <v>24.9</v>
      </c>
      <c r="CB90" s="82">
        <v>26.2</v>
      </c>
      <c r="CC90" s="82">
        <v>13.7</v>
      </c>
      <c r="CD90" s="82">
        <v>9.1999999999999993</v>
      </c>
      <c r="CE90" s="82">
        <v>6.2</v>
      </c>
      <c r="CF90" s="82">
        <v>3.9</v>
      </c>
      <c r="CG90" s="82">
        <v>1.5</v>
      </c>
      <c r="CH90" s="82">
        <v>0.4</v>
      </c>
      <c r="CI90" s="82">
        <v>0.4</v>
      </c>
      <c r="CJ90" s="82">
        <f t="shared" si="8"/>
        <v>7843</v>
      </c>
      <c r="CK90" s="82">
        <f t="shared" si="9"/>
        <v>14780.418676581961</v>
      </c>
      <c r="CL90" s="95">
        <f ca="1">$CK90*SUM(OFFSET($AJ90,0,(COUNTA($CL$1:CL$1)-1)*4,1,4))/100</f>
        <v>2719.5970364910809</v>
      </c>
      <c r="CM90" s="95">
        <f ca="1">$CK90*SUM(OFFSET($AJ90,0,(COUNTA($CL$1:CM$1)-1)*4,1,4))/100</f>
        <v>2557.012431048679</v>
      </c>
      <c r="CN90" s="95">
        <f ca="1">$CK90*SUM(OFFSET($AJ90,0,(COUNTA($CL$1:CN$1)-1)*4,1,4))/100</f>
        <v>1832.7719158961634</v>
      </c>
      <c r="CO90" s="95">
        <f ca="1">$CK90*SUM(OFFSET($AJ90,0,(COUNTA($CL$1:CO$1)-1)*4,1,4))/100</f>
        <v>1921.4544279556549</v>
      </c>
      <c r="CP90" s="95">
        <f ca="1">$CK90*SUM(OFFSET($AJ90,0,(COUNTA($CL$1:CP$1)-1)*4,1,4))/100</f>
        <v>2128.3802894278024</v>
      </c>
      <c r="CQ90" s="95">
        <f ca="1">$CK90*SUM(OFFSET($AJ90,0,(COUNTA($CL$1:CQ$1)-1)*4,1,4))/100</f>
        <v>1566.7243797176882</v>
      </c>
      <c r="CR90" s="95">
        <f ca="1">$CK90*SUM(OFFSET($AJ90,0,(COUNTA($CL$1:CR$1)-1)*4,1,4))/100</f>
        <v>1167.6530754499749</v>
      </c>
      <c r="CS90" s="95">
        <f ca="1">$CK90*SUM(OFFSET($AJ90,0,(COUNTA($CL$1:CS$1)-1)*4,1,4))/100</f>
        <v>576.43632838669646</v>
      </c>
      <c r="CT90" s="95">
        <f ca="1">$CK90*SUM(OFFSET($AJ90,0,(COUNTA($CL$1:CT$1)-1)*4,1,4))/100</f>
        <v>339.94962956138511</v>
      </c>
      <c r="CU90" s="96">
        <f t="shared" si="10"/>
        <v>0</v>
      </c>
      <c r="CV90" s="96">
        <f t="shared" si="11"/>
        <v>0</v>
      </c>
    </row>
    <row r="91" spans="1:100">
      <c r="A91" s="82" t="str">
        <f ca="1">IF(ISERROR(OFFSET(Map!$E$2,MATCH(D91,Map!$B$3:$B$239,0),0)),OFFSET(Map!$E$2,MATCH(D91,Map!$C$3:$C$239,0),0),OFFSET(Map!$E$2,MATCH(D91,Map!$B$3:$B$239,0),0))</f>
        <v>Namakwa</v>
      </c>
      <c r="B91" s="82">
        <v>90</v>
      </c>
      <c r="C91" s="82" t="s">
        <v>61</v>
      </c>
      <c r="D91" s="82" t="s">
        <v>382</v>
      </c>
      <c r="E91" s="82" t="s">
        <v>383</v>
      </c>
      <c r="F91" s="82">
        <v>12465</v>
      </c>
      <c r="G91" s="82">
        <v>25.9</v>
      </c>
      <c r="H91" s="82">
        <v>68.599999999999994</v>
      </c>
      <c r="I91" s="82">
        <f t="shared" si="6"/>
        <v>8551</v>
      </c>
      <c r="J91" s="82">
        <v>5.5</v>
      </c>
      <c r="K91" s="82">
        <v>45.7</v>
      </c>
      <c r="L91" s="82">
        <v>111.1</v>
      </c>
      <c r="M91" s="82">
        <v>0.83</v>
      </c>
      <c r="N91" s="82">
        <v>1</v>
      </c>
      <c r="O91" s="82">
        <v>22.1</v>
      </c>
      <c r="P91" s="82">
        <f t="shared" si="7"/>
        <v>6661</v>
      </c>
      <c r="Q91" s="82">
        <v>23.6</v>
      </c>
      <c r="R91" s="82">
        <v>3.9</v>
      </c>
      <c r="S91" s="82">
        <v>5.8</v>
      </c>
      <c r="T91" s="82">
        <v>18.100000000000001</v>
      </c>
      <c r="U91" s="82">
        <v>3796</v>
      </c>
      <c r="V91" s="82">
        <v>810</v>
      </c>
      <c r="W91" s="82">
        <v>3.2</v>
      </c>
      <c r="X91" s="82">
        <v>34</v>
      </c>
      <c r="Y91" s="82">
        <v>86.1</v>
      </c>
      <c r="Z91" s="82">
        <v>46.6</v>
      </c>
      <c r="AA91" s="82">
        <v>69</v>
      </c>
      <c r="AB91" s="82">
        <v>75.599999999999994</v>
      </c>
      <c r="AC91" s="82">
        <v>45.5</v>
      </c>
      <c r="AD91" s="82">
        <v>89.6</v>
      </c>
      <c r="AE91" s="82">
        <v>17.600000000000001</v>
      </c>
      <c r="AF91" s="82">
        <v>75.099999999999994</v>
      </c>
      <c r="AG91" s="82">
        <v>0.4</v>
      </c>
      <c r="AH91" s="82">
        <v>6</v>
      </c>
      <c r="AI91" s="82">
        <v>0.8</v>
      </c>
      <c r="AJ91" s="82">
        <v>4.5</v>
      </c>
      <c r="AK91" s="82">
        <v>4.3</v>
      </c>
      <c r="AL91" s="82">
        <v>4.7</v>
      </c>
      <c r="AM91" s="82">
        <v>4</v>
      </c>
      <c r="AN91" s="82">
        <v>4.4000000000000004</v>
      </c>
      <c r="AO91" s="82">
        <v>4</v>
      </c>
      <c r="AP91" s="82">
        <v>4.2</v>
      </c>
      <c r="AQ91" s="82">
        <v>3.9</v>
      </c>
      <c r="AR91" s="82">
        <v>5.5</v>
      </c>
      <c r="AS91" s="82">
        <v>4.8</v>
      </c>
      <c r="AT91" s="82">
        <v>5.3</v>
      </c>
      <c r="AU91" s="82">
        <v>4.5</v>
      </c>
      <c r="AV91" s="82">
        <v>4.8</v>
      </c>
      <c r="AW91" s="82">
        <v>3.8</v>
      </c>
      <c r="AX91" s="82">
        <v>4.0999999999999996</v>
      </c>
      <c r="AY91" s="82">
        <v>3.2</v>
      </c>
      <c r="AZ91" s="82">
        <v>3.8</v>
      </c>
      <c r="BA91" s="82">
        <v>3.3</v>
      </c>
      <c r="BB91" s="82">
        <v>3</v>
      </c>
      <c r="BC91" s="82">
        <v>3</v>
      </c>
      <c r="BD91" s="82">
        <v>2.6</v>
      </c>
      <c r="BE91" s="82">
        <v>2.5</v>
      </c>
      <c r="BF91" s="82">
        <v>2.1</v>
      </c>
      <c r="BG91" s="82">
        <v>1.8</v>
      </c>
      <c r="BH91" s="82">
        <v>1.3</v>
      </c>
      <c r="BI91" s="82">
        <v>1.3</v>
      </c>
      <c r="BJ91" s="82">
        <v>0.9</v>
      </c>
      <c r="BK91" s="82">
        <v>1.2</v>
      </c>
      <c r="BL91" s="82">
        <v>0.6</v>
      </c>
      <c r="BM91" s="82">
        <v>0.8</v>
      </c>
      <c r="BN91" s="82">
        <v>0.4</v>
      </c>
      <c r="BO91" s="82">
        <v>0.5</v>
      </c>
      <c r="BP91" s="82">
        <v>0.1</v>
      </c>
      <c r="BQ91" s="82">
        <v>0.4</v>
      </c>
      <c r="BR91" s="82">
        <v>0.2</v>
      </c>
      <c r="BS91" s="82">
        <v>0.4</v>
      </c>
      <c r="BT91" s="82">
        <v>4600</v>
      </c>
      <c r="BU91" s="82">
        <v>1304</v>
      </c>
      <c r="BV91" s="82">
        <v>322</v>
      </c>
      <c r="BW91" s="82">
        <v>2327</v>
      </c>
      <c r="BX91" s="82">
        <v>8.4</v>
      </c>
      <c r="BY91" s="82">
        <v>2.6</v>
      </c>
      <c r="BZ91" s="82">
        <v>5</v>
      </c>
      <c r="CA91" s="82">
        <v>17.7</v>
      </c>
      <c r="CB91" s="82">
        <v>22.3</v>
      </c>
      <c r="CC91" s="82">
        <v>18.7</v>
      </c>
      <c r="CD91" s="82">
        <v>13.4</v>
      </c>
      <c r="CE91" s="82">
        <v>7</v>
      </c>
      <c r="CF91" s="82">
        <v>4</v>
      </c>
      <c r="CG91" s="82">
        <v>0.6</v>
      </c>
      <c r="CH91" s="82">
        <v>0.2</v>
      </c>
      <c r="CI91" s="82">
        <v>0.1</v>
      </c>
      <c r="CJ91" s="82">
        <f t="shared" si="8"/>
        <v>8553</v>
      </c>
      <c r="CK91" s="82">
        <f t="shared" si="9"/>
        <v>13427.65540986238</v>
      </c>
      <c r="CL91" s="95">
        <f ca="1">$CK91*SUM(OFFSET($AJ91,0,(COUNTA($CL$1:CL$1)-1)*4,1,4))/100</f>
        <v>2349.8396967259164</v>
      </c>
      <c r="CM91" s="95">
        <f ca="1">$CK91*SUM(OFFSET($AJ91,0,(COUNTA($CL$1:CM$1)-1)*4,1,4))/100</f>
        <v>2215.563142627293</v>
      </c>
      <c r="CN91" s="95">
        <f ca="1">$CK91*SUM(OFFSET($AJ91,0,(COUNTA($CL$1:CN$1)-1)*4,1,4))/100</f>
        <v>2698.9587373823388</v>
      </c>
      <c r="CO91" s="95">
        <f ca="1">$CK91*SUM(OFFSET($AJ91,0,(COUNTA($CL$1:CO$1)-1)*4,1,4))/100</f>
        <v>2134.9972101681183</v>
      </c>
      <c r="CP91" s="95">
        <f ca="1">$CK91*SUM(OFFSET($AJ91,0,(COUNTA($CL$1:CP$1)-1)*4,1,4))/100</f>
        <v>1759.0228586919716</v>
      </c>
      <c r="CQ91" s="95">
        <f ca="1">$CK91*SUM(OFFSET($AJ91,0,(COUNTA($CL$1:CQ$1)-1)*4,1,4))/100</f>
        <v>1208.4889868876141</v>
      </c>
      <c r="CR91" s="95">
        <f ca="1">$CK91*SUM(OFFSET($AJ91,0,(COUNTA($CL$1:CR$1)-1)*4,1,4))/100</f>
        <v>631.09980426353195</v>
      </c>
      <c r="CS91" s="95">
        <f ca="1">$CK91*SUM(OFFSET($AJ91,0,(COUNTA($CL$1:CS$1)-1)*4,1,4))/100</f>
        <v>308.83607442683473</v>
      </c>
      <c r="CT91" s="95">
        <f ca="1">$CK91*SUM(OFFSET($AJ91,0,(COUNTA($CL$1:CT$1)-1)*4,1,4))/100</f>
        <v>147.7042095084862</v>
      </c>
      <c r="CU91" s="96">
        <f t="shared" si="10"/>
        <v>12465</v>
      </c>
      <c r="CV91" s="96">
        <f t="shared" si="11"/>
        <v>1.0772286730735965</v>
      </c>
    </row>
    <row r="92" spans="1:100">
      <c r="A92" s="82" t="str">
        <f ca="1">IF(ISERROR(OFFSET(Map!$E$2,MATCH(D92,Map!$B$3:$B$239,0),0)),OFFSET(Map!$E$2,MATCH(D92,Map!$C$3:$C$239,0),0),OFFSET(Map!$E$2,MATCH(D92,Map!$B$3:$B$239,0),0))</f>
        <v>Pixley ka Seme</v>
      </c>
      <c r="B92" s="82">
        <v>91</v>
      </c>
      <c r="C92" s="82" t="s">
        <v>61</v>
      </c>
      <c r="D92" s="82" t="s">
        <v>384</v>
      </c>
      <c r="E92" s="82" t="s">
        <v>385</v>
      </c>
      <c r="F92" s="82">
        <v>18601</v>
      </c>
      <c r="G92" s="82">
        <v>33.299999999999997</v>
      </c>
      <c r="H92" s="82">
        <v>61.1</v>
      </c>
      <c r="I92" s="82">
        <f t="shared" si="6"/>
        <v>11365</v>
      </c>
      <c r="J92" s="82">
        <v>5.6</v>
      </c>
      <c r="K92" s="82">
        <v>63.5</v>
      </c>
      <c r="L92" s="82">
        <v>98.4</v>
      </c>
      <c r="M92" s="82">
        <v>1.27</v>
      </c>
      <c r="N92" s="82">
        <v>1</v>
      </c>
      <c r="O92" s="82">
        <v>29.1</v>
      </c>
      <c r="P92" s="82">
        <f t="shared" si="7"/>
        <v>8058</v>
      </c>
      <c r="Q92" s="82">
        <v>34.799999999999997</v>
      </c>
      <c r="R92" s="82">
        <v>16.399999999999999</v>
      </c>
      <c r="S92" s="82">
        <v>6</v>
      </c>
      <c r="T92" s="82">
        <v>18.7</v>
      </c>
      <c r="U92" s="82">
        <v>5129</v>
      </c>
      <c r="V92" s="82">
        <v>1490</v>
      </c>
      <c r="W92" s="82">
        <v>3.5</v>
      </c>
      <c r="X92" s="82">
        <v>34.6</v>
      </c>
      <c r="Y92" s="82">
        <v>87.6</v>
      </c>
      <c r="Z92" s="82">
        <v>54.7</v>
      </c>
      <c r="AA92" s="82">
        <v>64.3</v>
      </c>
      <c r="AB92" s="82">
        <v>66.599999999999994</v>
      </c>
      <c r="AC92" s="82">
        <v>49.2</v>
      </c>
      <c r="AD92" s="82">
        <v>84.8</v>
      </c>
      <c r="AE92" s="82">
        <v>21.3</v>
      </c>
      <c r="AF92" s="82">
        <v>69.8</v>
      </c>
      <c r="AG92" s="82">
        <v>0.5</v>
      </c>
      <c r="AH92" s="82">
        <v>7.6</v>
      </c>
      <c r="AI92" s="82">
        <v>0.8</v>
      </c>
      <c r="AJ92" s="82">
        <v>5.7</v>
      </c>
      <c r="AK92" s="82">
        <v>5.8</v>
      </c>
      <c r="AL92" s="82">
        <v>5.7</v>
      </c>
      <c r="AM92" s="82">
        <v>5.9</v>
      </c>
      <c r="AN92" s="82">
        <v>5.2</v>
      </c>
      <c r="AO92" s="82">
        <v>4.9000000000000004</v>
      </c>
      <c r="AP92" s="82">
        <v>4.5</v>
      </c>
      <c r="AQ92" s="82">
        <v>4.4000000000000004</v>
      </c>
      <c r="AR92" s="82">
        <v>4.4000000000000004</v>
      </c>
      <c r="AS92" s="82">
        <v>4.2</v>
      </c>
      <c r="AT92" s="82">
        <v>3.9</v>
      </c>
      <c r="AU92" s="82">
        <v>3.5</v>
      </c>
      <c r="AV92" s="82">
        <v>3.3</v>
      </c>
      <c r="AW92" s="82">
        <v>3.2</v>
      </c>
      <c r="AX92" s="82">
        <v>3.3</v>
      </c>
      <c r="AY92" s="82">
        <v>3.3</v>
      </c>
      <c r="AZ92" s="82">
        <v>3</v>
      </c>
      <c r="BA92" s="82">
        <v>3.1</v>
      </c>
      <c r="BB92" s="82">
        <v>2.7</v>
      </c>
      <c r="BC92" s="82">
        <v>2.7</v>
      </c>
      <c r="BD92" s="82">
        <v>2.2999999999999998</v>
      </c>
      <c r="BE92" s="82">
        <v>2.2999999999999998</v>
      </c>
      <c r="BF92" s="82">
        <v>1.8</v>
      </c>
      <c r="BG92" s="82">
        <v>2.2000000000000002</v>
      </c>
      <c r="BH92" s="82">
        <v>1.4</v>
      </c>
      <c r="BI92" s="82">
        <v>1.6</v>
      </c>
      <c r="BJ92" s="82">
        <v>1.1000000000000001</v>
      </c>
      <c r="BK92" s="82">
        <v>1.1000000000000001</v>
      </c>
      <c r="BL92" s="82">
        <v>0.6</v>
      </c>
      <c r="BM92" s="82">
        <v>0.8</v>
      </c>
      <c r="BN92" s="82">
        <v>0.4</v>
      </c>
      <c r="BO92" s="82">
        <v>0.6</v>
      </c>
      <c r="BP92" s="82">
        <v>0.1</v>
      </c>
      <c r="BQ92" s="82">
        <v>0.3</v>
      </c>
      <c r="BR92" s="82">
        <v>0.2</v>
      </c>
      <c r="BS92" s="82">
        <v>0.4</v>
      </c>
      <c r="BT92" s="82">
        <v>5028</v>
      </c>
      <c r="BU92" s="82">
        <v>2063</v>
      </c>
      <c r="BV92" s="82">
        <v>508</v>
      </c>
      <c r="BW92" s="82">
        <v>3775</v>
      </c>
      <c r="BX92" s="82">
        <v>11.5</v>
      </c>
      <c r="BY92" s="82">
        <v>3.5</v>
      </c>
      <c r="BZ92" s="82">
        <v>6.1</v>
      </c>
      <c r="CA92" s="82">
        <v>24.1</v>
      </c>
      <c r="CB92" s="82">
        <v>24</v>
      </c>
      <c r="CC92" s="82">
        <v>13.5</v>
      </c>
      <c r="CD92" s="82">
        <v>7.8</v>
      </c>
      <c r="CE92" s="82">
        <v>5.3</v>
      </c>
      <c r="CF92" s="82">
        <v>2.7</v>
      </c>
      <c r="CG92" s="82">
        <v>0.8</v>
      </c>
      <c r="CH92" s="82">
        <v>0.4</v>
      </c>
      <c r="CI92" s="82">
        <v>0.2</v>
      </c>
      <c r="CJ92" s="82">
        <f t="shared" si="8"/>
        <v>11374</v>
      </c>
      <c r="CK92" s="82">
        <f t="shared" si="9"/>
        <v>20838.362207799888</v>
      </c>
      <c r="CL92" s="95">
        <f ca="1">$CK92*SUM(OFFSET($AJ92,0,(COUNTA($CL$1:CL$1)-1)*4,1,4))/100</f>
        <v>4813.6616700017739</v>
      </c>
      <c r="CM92" s="95">
        <f ca="1">$CK92*SUM(OFFSET($AJ92,0,(COUNTA($CL$1:CM$1)-1)*4,1,4))/100</f>
        <v>3959.2888194819784</v>
      </c>
      <c r="CN92" s="95">
        <f ca="1">$CK92*SUM(OFFSET($AJ92,0,(COUNTA($CL$1:CN$1)-1)*4,1,4))/100</f>
        <v>3334.1379532479823</v>
      </c>
      <c r="CO92" s="95">
        <f ca="1">$CK92*SUM(OFFSET($AJ92,0,(COUNTA($CL$1:CO$1)-1)*4,1,4))/100</f>
        <v>2729.8254492217857</v>
      </c>
      <c r="CP92" s="95">
        <f ca="1">$CK92*SUM(OFFSET($AJ92,0,(COUNTA($CL$1:CP$1)-1)*4,1,4))/100</f>
        <v>2396.411653896987</v>
      </c>
      <c r="CQ92" s="95">
        <f ca="1">$CK92*SUM(OFFSET($AJ92,0,(COUNTA($CL$1:CQ$1)-1)*4,1,4))/100</f>
        <v>1792.0991498707904</v>
      </c>
      <c r="CR92" s="95">
        <f ca="1">$CK92*SUM(OFFSET($AJ92,0,(COUNTA($CL$1:CR$1)-1)*4,1,4))/100</f>
        <v>1083.594834805594</v>
      </c>
      <c r="CS92" s="95">
        <f ca="1">$CK92*SUM(OFFSET($AJ92,0,(COUNTA($CL$1:CS$1)-1)*4,1,4))/100</f>
        <v>500.12069298719734</v>
      </c>
      <c r="CT92" s="95">
        <f ca="1">$CK92*SUM(OFFSET($AJ92,0,(COUNTA($CL$1:CT$1)-1)*4,1,4))/100</f>
        <v>208.38362207799889</v>
      </c>
      <c r="CU92" s="96">
        <f t="shared" si="10"/>
        <v>18601</v>
      </c>
      <c r="CV92" s="96">
        <f t="shared" si="11"/>
        <v>1.1202818239771994</v>
      </c>
    </row>
    <row r="93" spans="1:100">
      <c r="A93" s="82" t="str">
        <f ca="1">IF(ISERROR(OFFSET(Map!$E$2,MATCH(D93,Map!$B$3:$B$239,0),0)),OFFSET(Map!$E$2,MATCH(D93,Map!$C$3:$C$239,0),0),OFFSET(Map!$E$2,MATCH(D93,Map!$B$3:$B$239,0),0))</f>
        <v>Pixley ka Seme</v>
      </c>
      <c r="B93" s="82">
        <v>92</v>
      </c>
      <c r="C93" s="82" t="s">
        <v>61</v>
      </c>
      <c r="D93" s="82" t="s">
        <v>386</v>
      </c>
      <c r="E93" s="82" t="s">
        <v>387</v>
      </c>
      <c r="F93" s="82">
        <v>28376</v>
      </c>
      <c r="G93" s="82">
        <v>31.4</v>
      </c>
      <c r="H93" s="82">
        <v>62.8</v>
      </c>
      <c r="I93" s="82">
        <f t="shared" si="6"/>
        <v>17820</v>
      </c>
      <c r="J93" s="82">
        <v>5.8</v>
      </c>
      <c r="K93" s="82">
        <v>59.3</v>
      </c>
      <c r="L93" s="82">
        <v>93.2</v>
      </c>
      <c r="M93" s="82">
        <v>1.83</v>
      </c>
      <c r="N93" s="82">
        <v>4</v>
      </c>
      <c r="O93" s="82">
        <v>33</v>
      </c>
      <c r="P93" s="82">
        <f t="shared" si="7"/>
        <v>11939</v>
      </c>
      <c r="Q93" s="82">
        <v>40.4</v>
      </c>
      <c r="R93" s="82">
        <v>16.3</v>
      </c>
      <c r="S93" s="82">
        <v>6.3</v>
      </c>
      <c r="T93" s="82">
        <v>23.1</v>
      </c>
      <c r="U93" s="82">
        <v>7841</v>
      </c>
      <c r="V93" s="82">
        <v>1060</v>
      </c>
      <c r="W93" s="82">
        <v>3.5</v>
      </c>
      <c r="X93" s="82">
        <v>41.5</v>
      </c>
      <c r="Y93" s="82">
        <v>88.2</v>
      </c>
      <c r="Z93" s="82">
        <v>52.7</v>
      </c>
      <c r="AA93" s="82">
        <v>68.7</v>
      </c>
      <c r="AB93" s="82">
        <v>76.3</v>
      </c>
      <c r="AC93" s="82">
        <v>45.1</v>
      </c>
      <c r="AD93" s="82">
        <v>86.7</v>
      </c>
      <c r="AE93" s="82">
        <v>62.6</v>
      </c>
      <c r="AF93" s="82">
        <v>30.6</v>
      </c>
      <c r="AG93" s="82">
        <v>0.5</v>
      </c>
      <c r="AH93" s="82">
        <v>5.7</v>
      </c>
      <c r="AI93" s="82">
        <v>0.7</v>
      </c>
      <c r="AJ93" s="82">
        <v>5.0999999999999996</v>
      </c>
      <c r="AK93" s="82">
        <v>5.5</v>
      </c>
      <c r="AL93" s="82">
        <v>5.2</v>
      </c>
      <c r="AM93" s="82">
        <v>5.4</v>
      </c>
      <c r="AN93" s="82">
        <v>5.2</v>
      </c>
      <c r="AO93" s="82">
        <v>4.9000000000000004</v>
      </c>
      <c r="AP93" s="82">
        <v>4.9000000000000004</v>
      </c>
      <c r="AQ93" s="82">
        <v>4.5999999999999996</v>
      </c>
      <c r="AR93" s="82">
        <v>4.2</v>
      </c>
      <c r="AS93" s="82">
        <v>4.3</v>
      </c>
      <c r="AT93" s="82">
        <v>4.5</v>
      </c>
      <c r="AU93" s="82">
        <v>4.3</v>
      </c>
      <c r="AV93" s="82">
        <v>3.8</v>
      </c>
      <c r="AW93" s="82">
        <v>3.7</v>
      </c>
      <c r="AX93" s="82">
        <v>3</v>
      </c>
      <c r="AY93" s="82">
        <v>2.8</v>
      </c>
      <c r="AZ93" s="82">
        <v>2.7</v>
      </c>
      <c r="BA93" s="82">
        <v>2.9</v>
      </c>
      <c r="BB93" s="82">
        <v>2.5</v>
      </c>
      <c r="BC93" s="82">
        <v>2.5</v>
      </c>
      <c r="BD93" s="82">
        <v>1.9</v>
      </c>
      <c r="BE93" s="82">
        <v>2.6</v>
      </c>
      <c r="BF93" s="82">
        <v>1.7</v>
      </c>
      <c r="BG93" s="82">
        <v>2.2999999999999998</v>
      </c>
      <c r="BH93" s="82">
        <v>1.4</v>
      </c>
      <c r="BI93" s="82">
        <v>1.8</v>
      </c>
      <c r="BJ93" s="82">
        <v>1</v>
      </c>
      <c r="BK93" s="82">
        <v>1.2</v>
      </c>
      <c r="BL93" s="82">
        <v>0.5</v>
      </c>
      <c r="BM93" s="82">
        <v>1</v>
      </c>
      <c r="BN93" s="82">
        <v>0.4</v>
      </c>
      <c r="BO93" s="82">
        <v>0.5</v>
      </c>
      <c r="BP93" s="82">
        <v>0.2</v>
      </c>
      <c r="BQ93" s="82">
        <v>0.4</v>
      </c>
      <c r="BR93" s="82">
        <v>0.2</v>
      </c>
      <c r="BS93" s="82">
        <v>0.4</v>
      </c>
      <c r="BT93" s="82">
        <v>6117</v>
      </c>
      <c r="BU93" s="82">
        <v>3019</v>
      </c>
      <c r="BV93" s="82">
        <v>1188</v>
      </c>
      <c r="BW93" s="82">
        <v>7492</v>
      </c>
      <c r="BX93" s="82">
        <v>13.5</v>
      </c>
      <c r="BY93" s="82">
        <v>4.5</v>
      </c>
      <c r="BZ93" s="82">
        <v>6.3</v>
      </c>
      <c r="CA93" s="82">
        <v>21.1</v>
      </c>
      <c r="CB93" s="82">
        <v>21.7</v>
      </c>
      <c r="CC93" s="82">
        <v>14.5</v>
      </c>
      <c r="CD93" s="82">
        <v>9.8000000000000007</v>
      </c>
      <c r="CE93" s="82">
        <v>5.4</v>
      </c>
      <c r="CF93" s="82">
        <v>2.2999999999999998</v>
      </c>
      <c r="CG93" s="82">
        <v>0.6</v>
      </c>
      <c r="CH93" s="82">
        <v>0.2</v>
      </c>
      <c r="CI93" s="82">
        <v>0.3</v>
      </c>
      <c r="CJ93" s="82">
        <f t="shared" si="8"/>
        <v>17816</v>
      </c>
      <c r="CK93" s="82">
        <f t="shared" si="9"/>
        <v>33406.645565926781</v>
      </c>
      <c r="CL93" s="95">
        <f ca="1">$CK93*SUM(OFFSET($AJ93,0,(COUNTA($CL$1:CL$1)-1)*4,1,4))/100</f>
        <v>7082.2088599764793</v>
      </c>
      <c r="CM93" s="95">
        <f ca="1">$CK93*SUM(OFFSET($AJ93,0,(COUNTA($CL$1:CM$1)-1)*4,1,4))/100</f>
        <v>6547.7025309216497</v>
      </c>
      <c r="CN93" s="95">
        <f ca="1">$CK93*SUM(OFFSET($AJ93,0,(COUNTA($CL$1:CN$1)-1)*4,1,4))/100</f>
        <v>5779.3496829053329</v>
      </c>
      <c r="CO93" s="95">
        <f ca="1">$CK93*SUM(OFFSET($AJ93,0,(COUNTA($CL$1:CO$1)-1)*4,1,4))/100</f>
        <v>4443.0838602682625</v>
      </c>
      <c r="CP93" s="95">
        <f ca="1">$CK93*SUM(OFFSET($AJ93,0,(COUNTA($CL$1:CP$1)-1)*4,1,4))/100</f>
        <v>3541.1044299882387</v>
      </c>
      <c r="CQ93" s="95">
        <f ca="1">$CK93*SUM(OFFSET($AJ93,0,(COUNTA($CL$1:CQ$1)-1)*4,1,4))/100</f>
        <v>2839.5648731037763</v>
      </c>
      <c r="CR93" s="95">
        <f ca="1">$CK93*SUM(OFFSET($AJ93,0,(COUNTA($CL$1:CR$1)-1)*4,1,4))/100</f>
        <v>1803.9588605600466</v>
      </c>
      <c r="CS93" s="95">
        <f ca="1">$CK93*SUM(OFFSET($AJ93,0,(COUNTA($CL$1:CS$1)-1)*4,1,4))/100</f>
        <v>801.75949358224273</v>
      </c>
      <c r="CT93" s="95">
        <f ca="1">$CK93*SUM(OFFSET($AJ93,0,(COUNTA($CL$1:CT$1)-1)*4,1,4))/100</f>
        <v>400.87974679112142</v>
      </c>
      <c r="CU93" s="96">
        <f t="shared" si="10"/>
        <v>7094</v>
      </c>
      <c r="CV93" s="96">
        <f t="shared" si="11"/>
        <v>4.7091409030063129</v>
      </c>
    </row>
    <row r="94" spans="1:100">
      <c r="A94" s="82" t="str">
        <f ca="1">IF(ISERROR(OFFSET(Map!$E$2,MATCH(D94,Map!$B$3:$B$239,0),0)),OFFSET(Map!$E$2,MATCH(D94,Map!$C$3:$C$239,0),0),OFFSET(Map!$E$2,MATCH(D94,Map!$B$3:$B$239,0),0))</f>
        <v>Pixley ka Seme</v>
      </c>
      <c r="B94" s="82">
        <v>93</v>
      </c>
      <c r="C94" s="82" t="s">
        <v>61</v>
      </c>
      <c r="D94" s="82" t="s">
        <v>388</v>
      </c>
      <c r="E94" s="82" t="s">
        <v>389</v>
      </c>
      <c r="F94" s="82">
        <v>42356</v>
      </c>
      <c r="G94" s="82">
        <v>31.7</v>
      </c>
      <c r="H94" s="82">
        <v>62.5</v>
      </c>
      <c r="I94" s="82">
        <f t="shared" si="6"/>
        <v>26473</v>
      </c>
      <c r="J94" s="82">
        <v>5.8</v>
      </c>
      <c r="K94" s="82">
        <v>60.1</v>
      </c>
      <c r="L94" s="82">
        <v>95.8</v>
      </c>
      <c r="M94" s="82">
        <v>1.69</v>
      </c>
      <c r="N94" s="82">
        <v>3</v>
      </c>
      <c r="O94" s="82">
        <v>28</v>
      </c>
      <c r="P94" s="82">
        <f t="shared" si="7"/>
        <v>19060</v>
      </c>
      <c r="Q94" s="82">
        <v>37.200000000000003</v>
      </c>
      <c r="R94" s="82">
        <v>11</v>
      </c>
      <c r="S94" s="82">
        <v>6.6</v>
      </c>
      <c r="T94" s="82">
        <v>24.7</v>
      </c>
      <c r="U94" s="82">
        <v>10457</v>
      </c>
      <c r="V94" s="82">
        <v>1307</v>
      </c>
      <c r="W94" s="82">
        <v>3.9</v>
      </c>
      <c r="X94" s="82">
        <v>39.4</v>
      </c>
      <c r="Y94" s="82">
        <v>95.4</v>
      </c>
      <c r="Z94" s="82">
        <v>60.3</v>
      </c>
      <c r="AA94" s="82">
        <v>79.599999999999994</v>
      </c>
      <c r="AB94" s="82">
        <v>83.3</v>
      </c>
      <c r="AC94" s="82">
        <v>59.8</v>
      </c>
      <c r="AD94" s="82">
        <v>92.6</v>
      </c>
      <c r="AE94" s="82">
        <v>33.200000000000003</v>
      </c>
      <c r="AF94" s="82">
        <v>57.7</v>
      </c>
      <c r="AG94" s="82">
        <v>0.6</v>
      </c>
      <c r="AH94" s="82">
        <v>8</v>
      </c>
      <c r="AI94" s="82">
        <v>0.6</v>
      </c>
      <c r="AJ94" s="82">
        <v>5.6</v>
      </c>
      <c r="AK94" s="82">
        <v>5.3</v>
      </c>
      <c r="AL94" s="82">
        <v>5.4</v>
      </c>
      <c r="AM94" s="82">
        <v>5.4</v>
      </c>
      <c r="AN94" s="82">
        <v>5.0999999999999996</v>
      </c>
      <c r="AO94" s="82">
        <v>5</v>
      </c>
      <c r="AP94" s="82">
        <v>4.8</v>
      </c>
      <c r="AQ94" s="82">
        <v>4.7</v>
      </c>
      <c r="AR94" s="82">
        <v>4.2</v>
      </c>
      <c r="AS94" s="82">
        <v>4.2</v>
      </c>
      <c r="AT94" s="82">
        <v>4</v>
      </c>
      <c r="AU94" s="82">
        <v>4</v>
      </c>
      <c r="AV94" s="82">
        <v>3.5</v>
      </c>
      <c r="AW94" s="82">
        <v>3.3</v>
      </c>
      <c r="AX94" s="82">
        <v>3.1</v>
      </c>
      <c r="AY94" s="82">
        <v>2.9</v>
      </c>
      <c r="AZ94" s="82">
        <v>2.8</v>
      </c>
      <c r="BA94" s="82">
        <v>3.1</v>
      </c>
      <c r="BB94" s="82">
        <v>2.5</v>
      </c>
      <c r="BC94" s="82">
        <v>2.5</v>
      </c>
      <c r="BD94" s="82">
        <v>2.2999999999999998</v>
      </c>
      <c r="BE94" s="82">
        <v>2.6</v>
      </c>
      <c r="BF94" s="82">
        <v>1.9</v>
      </c>
      <c r="BG94" s="82">
        <v>2.2999999999999998</v>
      </c>
      <c r="BH94" s="82">
        <v>1.4</v>
      </c>
      <c r="BI94" s="82">
        <v>1.9</v>
      </c>
      <c r="BJ94" s="82">
        <v>1.1000000000000001</v>
      </c>
      <c r="BK94" s="82">
        <v>1.3</v>
      </c>
      <c r="BL94" s="82">
        <v>0.6</v>
      </c>
      <c r="BM94" s="82">
        <v>1</v>
      </c>
      <c r="BN94" s="82">
        <v>0.4</v>
      </c>
      <c r="BO94" s="82">
        <v>0.6</v>
      </c>
      <c r="BP94" s="82">
        <v>0.2</v>
      </c>
      <c r="BQ94" s="82">
        <v>0.3</v>
      </c>
      <c r="BR94" s="82">
        <v>0.1</v>
      </c>
      <c r="BS94" s="82">
        <v>0.3</v>
      </c>
      <c r="BT94" s="82">
        <v>9866</v>
      </c>
      <c r="BU94" s="82">
        <v>3833</v>
      </c>
      <c r="BV94" s="82">
        <v>1203</v>
      </c>
      <c r="BW94" s="82">
        <v>11561</v>
      </c>
      <c r="BX94" s="82">
        <v>8.8000000000000007</v>
      </c>
      <c r="BY94" s="82">
        <v>3.2</v>
      </c>
      <c r="BZ94" s="82">
        <v>4.8</v>
      </c>
      <c r="CA94" s="82">
        <v>18.100000000000001</v>
      </c>
      <c r="CB94" s="82">
        <v>22.5</v>
      </c>
      <c r="CC94" s="82">
        <v>16.8</v>
      </c>
      <c r="CD94" s="82">
        <v>12.1</v>
      </c>
      <c r="CE94" s="82">
        <v>9</v>
      </c>
      <c r="CF94" s="82">
        <v>3.5</v>
      </c>
      <c r="CG94" s="82">
        <v>0.7</v>
      </c>
      <c r="CH94" s="82">
        <v>0.3</v>
      </c>
      <c r="CI94" s="82">
        <v>0.2</v>
      </c>
      <c r="CJ94" s="82">
        <f t="shared" si="8"/>
        <v>26463</v>
      </c>
      <c r="CK94" s="82">
        <f t="shared" si="9"/>
        <v>49251.466405352017</v>
      </c>
      <c r="CL94" s="95">
        <f ca="1">$CK94*SUM(OFFSET($AJ94,0,(COUNTA($CL$1:CL$1)-1)*4,1,4))/100</f>
        <v>10687.568209961384</v>
      </c>
      <c r="CM94" s="95">
        <f ca="1">$CK94*SUM(OFFSET($AJ94,0,(COUNTA($CL$1:CM$1)-1)*4,1,4))/100</f>
        <v>9653.2874154489946</v>
      </c>
      <c r="CN94" s="95">
        <f ca="1">$CK94*SUM(OFFSET($AJ94,0,(COUNTA($CL$1:CN$1)-1)*4,1,4))/100</f>
        <v>8077.2404904777304</v>
      </c>
      <c r="CO94" s="95">
        <f ca="1">$CK94*SUM(OFFSET($AJ94,0,(COUNTA($CL$1:CO$1)-1)*4,1,4))/100</f>
        <v>6304.1876998850585</v>
      </c>
      <c r="CP94" s="95">
        <f ca="1">$CK94*SUM(OFFSET($AJ94,0,(COUNTA($CL$1:CP$1)-1)*4,1,4))/100</f>
        <v>5368.4098381833701</v>
      </c>
      <c r="CQ94" s="95">
        <f ca="1">$CK94*SUM(OFFSET($AJ94,0,(COUNTA($CL$1:CQ$1)-1)*4,1,4))/100</f>
        <v>4481.8834428870341</v>
      </c>
      <c r="CR94" s="95">
        <f ca="1">$CK94*SUM(OFFSET($AJ94,0,(COUNTA($CL$1:CR$1)-1)*4,1,4))/100</f>
        <v>2807.3335851050651</v>
      </c>
      <c r="CS94" s="95">
        <f ca="1">$CK94*SUM(OFFSET($AJ94,0,(COUNTA($CL$1:CS$1)-1)*4,1,4))/100</f>
        <v>1280.5381265391525</v>
      </c>
      <c r="CT94" s="95">
        <f ca="1">$CK94*SUM(OFFSET($AJ94,0,(COUNTA($CL$1:CT$1)-1)*4,1,4))/100</f>
        <v>443.26319764816816</v>
      </c>
      <c r="CU94" s="96">
        <f t="shared" si="10"/>
        <v>14118.666666666666</v>
      </c>
      <c r="CV94" s="96">
        <f t="shared" si="11"/>
        <v>3.4883935975081704</v>
      </c>
    </row>
    <row r="95" spans="1:100">
      <c r="A95" s="82" t="str">
        <f ca="1">IF(ISERROR(OFFSET(Map!$E$2,MATCH(D95,Map!$B$3:$B$239,0),0)),OFFSET(Map!$E$2,MATCH(D95,Map!$C$3:$C$239,0),0),OFFSET(Map!$E$2,MATCH(D95,Map!$B$3:$B$239,0),0))</f>
        <v>Pixley ka Seme</v>
      </c>
      <c r="B95" s="82">
        <v>94</v>
      </c>
      <c r="C95" s="82" t="s">
        <v>61</v>
      </c>
      <c r="D95" s="82" t="s">
        <v>390</v>
      </c>
      <c r="E95" s="82" t="s">
        <v>391</v>
      </c>
      <c r="F95" s="82">
        <v>11673</v>
      </c>
      <c r="G95" s="82">
        <v>29.4</v>
      </c>
      <c r="H95" s="82">
        <v>62.5</v>
      </c>
      <c r="I95" s="82">
        <f t="shared" si="6"/>
        <v>7296</v>
      </c>
      <c r="J95" s="82">
        <v>8.1</v>
      </c>
      <c r="K95" s="82">
        <v>59.9</v>
      </c>
      <c r="L95" s="82">
        <v>97.2</v>
      </c>
      <c r="M95" s="82">
        <v>2.0699999999999998</v>
      </c>
      <c r="N95" s="82">
        <v>1</v>
      </c>
      <c r="O95" s="82">
        <v>25</v>
      </c>
      <c r="P95" s="82">
        <f t="shared" si="7"/>
        <v>5472</v>
      </c>
      <c r="Q95" s="82">
        <v>32.1</v>
      </c>
      <c r="R95" s="82">
        <v>18</v>
      </c>
      <c r="S95" s="82">
        <v>5.7</v>
      </c>
      <c r="T95" s="82">
        <v>17.5</v>
      </c>
      <c r="U95" s="82">
        <v>3222</v>
      </c>
      <c r="V95" s="82">
        <v>685</v>
      </c>
      <c r="W95" s="82">
        <v>3.4</v>
      </c>
      <c r="X95" s="82">
        <v>33.6</v>
      </c>
      <c r="Y95" s="82">
        <v>89.6</v>
      </c>
      <c r="Z95" s="82">
        <v>51.7</v>
      </c>
      <c r="AA95" s="82">
        <v>55.6</v>
      </c>
      <c r="AB95" s="82">
        <v>70.900000000000006</v>
      </c>
      <c r="AC95" s="82">
        <v>41.5</v>
      </c>
      <c r="AD95" s="82">
        <v>73.599999999999994</v>
      </c>
      <c r="AE95" s="82">
        <v>4.8</v>
      </c>
      <c r="AF95" s="82">
        <v>85.1</v>
      </c>
      <c r="AG95" s="82">
        <v>0.5</v>
      </c>
      <c r="AH95" s="82">
        <v>9.1</v>
      </c>
      <c r="AI95" s="82">
        <v>0.5</v>
      </c>
      <c r="AJ95" s="82">
        <v>5.0999999999999996</v>
      </c>
      <c r="AK95" s="82">
        <v>5.4</v>
      </c>
      <c r="AL95" s="82">
        <v>4.5999999999999996</v>
      </c>
      <c r="AM95" s="82">
        <v>4.9000000000000004</v>
      </c>
      <c r="AN95" s="82">
        <v>5</v>
      </c>
      <c r="AO95" s="82">
        <v>4.4000000000000004</v>
      </c>
      <c r="AP95" s="82">
        <v>3.9</v>
      </c>
      <c r="AQ95" s="82">
        <v>4.5</v>
      </c>
      <c r="AR95" s="82">
        <v>4.0999999999999996</v>
      </c>
      <c r="AS95" s="82">
        <v>3.9</v>
      </c>
      <c r="AT95" s="82">
        <v>3.7</v>
      </c>
      <c r="AU95" s="82">
        <v>3.3</v>
      </c>
      <c r="AV95" s="82">
        <v>2.5</v>
      </c>
      <c r="AW95" s="82">
        <v>2.6</v>
      </c>
      <c r="AX95" s="82">
        <v>3.3</v>
      </c>
      <c r="AY95" s="82">
        <v>3.3</v>
      </c>
      <c r="AZ95" s="82">
        <v>3.4</v>
      </c>
      <c r="BA95" s="82">
        <v>3.2</v>
      </c>
      <c r="BB95" s="82">
        <v>3.1</v>
      </c>
      <c r="BC95" s="82">
        <v>3.1</v>
      </c>
      <c r="BD95" s="82">
        <v>2.7</v>
      </c>
      <c r="BE95" s="82">
        <v>2.8</v>
      </c>
      <c r="BF95" s="82">
        <v>2.5</v>
      </c>
      <c r="BG95" s="82">
        <v>2.5</v>
      </c>
      <c r="BH95" s="82">
        <v>2.1</v>
      </c>
      <c r="BI95" s="82">
        <v>2.1</v>
      </c>
      <c r="BJ95" s="82">
        <v>1.4</v>
      </c>
      <c r="BK95" s="82">
        <v>1.6</v>
      </c>
      <c r="BL95" s="82">
        <v>0.9</v>
      </c>
      <c r="BM95" s="82">
        <v>1</v>
      </c>
      <c r="BN95" s="82">
        <v>0.6</v>
      </c>
      <c r="BO95" s="82">
        <v>0.9</v>
      </c>
      <c r="BP95" s="82">
        <v>0.3</v>
      </c>
      <c r="BQ95" s="82">
        <v>0.5</v>
      </c>
      <c r="BR95" s="82">
        <v>0.2</v>
      </c>
      <c r="BS95" s="82">
        <v>0.7</v>
      </c>
      <c r="BT95" s="82">
        <v>2858</v>
      </c>
      <c r="BU95" s="82">
        <v>952</v>
      </c>
      <c r="BV95" s="82">
        <v>458</v>
      </c>
      <c r="BW95" s="82">
        <v>3029</v>
      </c>
      <c r="BX95" s="82">
        <v>8.6999999999999993</v>
      </c>
      <c r="BY95" s="82">
        <v>3.8</v>
      </c>
      <c r="BZ95" s="82">
        <v>6</v>
      </c>
      <c r="CA95" s="82">
        <v>24.4</v>
      </c>
      <c r="CB95" s="82">
        <v>24.3</v>
      </c>
      <c r="CC95" s="82">
        <v>13.4</v>
      </c>
      <c r="CD95" s="82">
        <v>9.5</v>
      </c>
      <c r="CE95" s="82">
        <v>5.9</v>
      </c>
      <c r="CF95" s="82">
        <v>2.9</v>
      </c>
      <c r="CG95" s="82">
        <v>0.6</v>
      </c>
      <c r="CH95" s="82">
        <v>0.3</v>
      </c>
      <c r="CI95" s="82">
        <v>0.2</v>
      </c>
      <c r="CJ95" s="82">
        <f t="shared" si="8"/>
        <v>7297</v>
      </c>
      <c r="CK95" s="82">
        <f t="shared" si="9"/>
        <v>14036.716174226656</v>
      </c>
      <c r="CL95" s="95">
        <f ca="1">$CK95*SUM(OFFSET($AJ95,0,(COUNTA($CL$1:CL$1)-1)*4,1,4))/100</f>
        <v>2807.3432348453312</v>
      </c>
      <c r="CM95" s="95">
        <f ca="1">$CK95*SUM(OFFSET($AJ95,0,(COUNTA($CL$1:CM$1)-1)*4,1,4))/100</f>
        <v>2498.5354790123451</v>
      </c>
      <c r="CN95" s="95">
        <f ca="1">$CK95*SUM(OFFSET($AJ95,0,(COUNTA($CL$1:CN$1)-1)*4,1,4))/100</f>
        <v>2105.5074261339983</v>
      </c>
      <c r="CO95" s="95">
        <f ca="1">$CK95*SUM(OFFSET($AJ95,0,(COUNTA($CL$1:CO$1)-1)*4,1,4))/100</f>
        <v>1642.2957923845188</v>
      </c>
      <c r="CP95" s="95">
        <f ca="1">$CK95*SUM(OFFSET($AJ95,0,(COUNTA($CL$1:CP$1)-1)*4,1,4))/100</f>
        <v>1796.699670301012</v>
      </c>
      <c r="CQ95" s="95">
        <f ca="1">$CK95*SUM(OFFSET($AJ95,0,(COUNTA($CL$1:CQ$1)-1)*4,1,4))/100</f>
        <v>1473.8551982937988</v>
      </c>
      <c r="CR95" s="95">
        <f ca="1">$CK95*SUM(OFFSET($AJ95,0,(COUNTA($CL$1:CR$1)-1)*4,1,4))/100</f>
        <v>1010.6435645443191</v>
      </c>
      <c r="CS95" s="95">
        <f ca="1">$CK95*SUM(OFFSET($AJ95,0,(COUNTA($CL$1:CS$1)-1)*4,1,4))/100</f>
        <v>477.24834992370626</v>
      </c>
      <c r="CT95" s="95">
        <f ca="1">$CK95*SUM(OFFSET($AJ95,0,(COUNTA($CL$1:CT$1)-1)*4,1,4))/100</f>
        <v>238.62417496185313</v>
      </c>
      <c r="CU95" s="96">
        <f t="shared" si="10"/>
        <v>11673</v>
      </c>
      <c r="CV95" s="96">
        <f t="shared" si="11"/>
        <v>1.2024943180182177</v>
      </c>
    </row>
    <row r="96" spans="1:100">
      <c r="A96" s="82" t="str">
        <f ca="1">IF(ISERROR(OFFSET(Map!$E$2,MATCH(D96,Map!$B$3:$B$239,0),0)),OFFSET(Map!$E$2,MATCH(D96,Map!$C$3:$C$239,0),0),OFFSET(Map!$E$2,MATCH(D96,Map!$B$3:$B$239,0),0))</f>
        <v>Pixley ka Seme</v>
      </c>
      <c r="B96" s="82">
        <v>95</v>
      </c>
      <c r="C96" s="82" t="s">
        <v>61</v>
      </c>
      <c r="D96" s="82" t="s">
        <v>392</v>
      </c>
      <c r="E96" s="82" t="s">
        <v>393</v>
      </c>
      <c r="F96" s="82">
        <v>10978</v>
      </c>
      <c r="G96" s="82">
        <v>32.799999999999997</v>
      </c>
      <c r="H96" s="82">
        <v>61</v>
      </c>
      <c r="I96" s="82">
        <f t="shared" si="6"/>
        <v>6697</v>
      </c>
      <c r="J96" s="82">
        <v>6.2</v>
      </c>
      <c r="K96" s="82">
        <v>64</v>
      </c>
      <c r="L96" s="82">
        <v>95.8</v>
      </c>
      <c r="M96" s="82">
        <v>1.91</v>
      </c>
      <c r="N96" s="82">
        <v>2</v>
      </c>
      <c r="O96" s="82">
        <v>26.8</v>
      </c>
      <c r="P96" s="82">
        <f t="shared" si="7"/>
        <v>4902</v>
      </c>
      <c r="Q96" s="82">
        <v>29.8</v>
      </c>
      <c r="R96" s="82">
        <v>16</v>
      </c>
      <c r="S96" s="82">
        <v>6.6</v>
      </c>
      <c r="T96" s="82">
        <v>21.8</v>
      </c>
      <c r="U96" s="82">
        <v>2995</v>
      </c>
      <c r="V96" s="82">
        <v>616</v>
      </c>
      <c r="W96" s="82">
        <v>3.4</v>
      </c>
      <c r="X96" s="82">
        <v>34.799999999999997</v>
      </c>
      <c r="Y96" s="82">
        <v>94.7</v>
      </c>
      <c r="Z96" s="82">
        <v>52.3</v>
      </c>
      <c r="AA96" s="82">
        <v>71.7</v>
      </c>
      <c r="AB96" s="82">
        <v>74.400000000000006</v>
      </c>
      <c r="AC96" s="82">
        <v>53.4</v>
      </c>
      <c r="AD96" s="82">
        <v>88.1</v>
      </c>
      <c r="AE96" s="82">
        <v>32.9</v>
      </c>
      <c r="AF96" s="82">
        <v>57.4</v>
      </c>
      <c r="AG96" s="82">
        <v>0.5</v>
      </c>
      <c r="AH96" s="82">
        <v>8.6</v>
      </c>
      <c r="AI96" s="82">
        <v>0.6</v>
      </c>
      <c r="AJ96" s="82">
        <v>5.2</v>
      </c>
      <c r="AK96" s="82">
        <v>5.4</v>
      </c>
      <c r="AL96" s="82">
        <v>6</v>
      </c>
      <c r="AM96" s="82">
        <v>5.8</v>
      </c>
      <c r="AN96" s="82">
        <v>5.0999999999999996</v>
      </c>
      <c r="AO96" s="82">
        <v>5.3</v>
      </c>
      <c r="AP96" s="82">
        <v>4.4000000000000004</v>
      </c>
      <c r="AQ96" s="82">
        <v>3.7</v>
      </c>
      <c r="AR96" s="82">
        <v>4.3</v>
      </c>
      <c r="AS96" s="82">
        <v>4</v>
      </c>
      <c r="AT96" s="82">
        <v>3.4</v>
      </c>
      <c r="AU96" s="82">
        <v>3.8</v>
      </c>
      <c r="AV96" s="82">
        <v>3.4</v>
      </c>
      <c r="AW96" s="82">
        <v>3.6</v>
      </c>
      <c r="AX96" s="82">
        <v>2.8</v>
      </c>
      <c r="AY96" s="82">
        <v>3.3</v>
      </c>
      <c r="AZ96" s="82">
        <v>2.9</v>
      </c>
      <c r="BA96" s="82">
        <v>2.9</v>
      </c>
      <c r="BB96" s="82">
        <v>2.6</v>
      </c>
      <c r="BC96" s="82">
        <v>2.6</v>
      </c>
      <c r="BD96" s="82">
        <v>2.5</v>
      </c>
      <c r="BE96" s="82">
        <v>2.2999999999999998</v>
      </c>
      <c r="BF96" s="82">
        <v>2</v>
      </c>
      <c r="BG96" s="82">
        <v>2.5</v>
      </c>
      <c r="BH96" s="82">
        <v>1.7</v>
      </c>
      <c r="BI96" s="82">
        <v>2</v>
      </c>
      <c r="BJ96" s="82">
        <v>1.1000000000000001</v>
      </c>
      <c r="BK96" s="82">
        <v>1.3</v>
      </c>
      <c r="BL96" s="82">
        <v>0.9</v>
      </c>
      <c r="BM96" s="82">
        <v>1.1000000000000001</v>
      </c>
      <c r="BN96" s="82">
        <v>0.4</v>
      </c>
      <c r="BO96" s="82">
        <v>0.5</v>
      </c>
      <c r="BP96" s="82">
        <v>0.2</v>
      </c>
      <c r="BQ96" s="82">
        <v>0.3</v>
      </c>
      <c r="BR96" s="82">
        <v>0.2</v>
      </c>
      <c r="BS96" s="82">
        <v>0.3</v>
      </c>
      <c r="BT96" s="82">
        <v>2617</v>
      </c>
      <c r="BU96" s="82">
        <v>958</v>
      </c>
      <c r="BV96" s="82">
        <v>325</v>
      </c>
      <c r="BW96" s="82">
        <v>2795</v>
      </c>
      <c r="BX96" s="82">
        <v>11.2</v>
      </c>
      <c r="BY96" s="82">
        <v>4</v>
      </c>
      <c r="BZ96" s="82">
        <v>6.4</v>
      </c>
      <c r="CA96" s="82">
        <v>23.1</v>
      </c>
      <c r="CB96" s="82">
        <v>23.4</v>
      </c>
      <c r="CC96" s="82">
        <v>13.5</v>
      </c>
      <c r="CD96" s="82">
        <v>8.8000000000000007</v>
      </c>
      <c r="CE96" s="82">
        <v>6.5</v>
      </c>
      <c r="CF96" s="82">
        <v>1.8</v>
      </c>
      <c r="CG96" s="82">
        <v>0.7</v>
      </c>
      <c r="CH96" s="82">
        <v>0.3</v>
      </c>
      <c r="CI96" s="82">
        <v>0.3</v>
      </c>
      <c r="CJ96" s="82">
        <f t="shared" si="8"/>
        <v>6695</v>
      </c>
      <c r="CK96" s="82">
        <f t="shared" si="9"/>
        <v>13015.907116639801</v>
      </c>
      <c r="CL96" s="95">
        <f ca="1">$CK96*SUM(OFFSET($AJ96,0,(COUNTA($CL$1:CL$1)-1)*4,1,4))/100</f>
        <v>2915.5631941273155</v>
      </c>
      <c r="CM96" s="95">
        <f ca="1">$CK96*SUM(OFFSET($AJ96,0,(COUNTA($CL$1:CM$1)-1)*4,1,4))/100</f>
        <v>2407.9428165783629</v>
      </c>
      <c r="CN96" s="95">
        <f ca="1">$CK96*SUM(OFFSET($AJ96,0,(COUNTA($CL$1:CN$1)-1)*4,1,4))/100</f>
        <v>2017.4656030791693</v>
      </c>
      <c r="CO96" s="95">
        <f ca="1">$CK96*SUM(OFFSET($AJ96,0,(COUNTA($CL$1:CO$1)-1)*4,1,4))/100</f>
        <v>1705.083832279814</v>
      </c>
      <c r="CP96" s="95">
        <f ca="1">$CK96*SUM(OFFSET($AJ96,0,(COUNTA($CL$1:CP$1)-1)*4,1,4))/100</f>
        <v>1431.7497828303781</v>
      </c>
      <c r="CQ96" s="95">
        <f ca="1">$CK96*SUM(OFFSET($AJ96,0,(COUNTA($CL$1:CQ$1)-1)*4,1,4))/100</f>
        <v>1210.4793618475017</v>
      </c>
      <c r="CR96" s="95">
        <f ca="1">$CK96*SUM(OFFSET($AJ96,0,(COUNTA($CL$1:CR$1)-1)*4,1,4))/100</f>
        <v>793.97033411502798</v>
      </c>
      <c r="CS96" s="95">
        <f ca="1">$CK96*SUM(OFFSET($AJ96,0,(COUNTA($CL$1:CS$1)-1)*4,1,4))/100</f>
        <v>377.4613063825542</v>
      </c>
      <c r="CT96" s="95">
        <f ca="1">$CK96*SUM(OFFSET($AJ96,0,(COUNTA($CL$1:CT$1)-1)*4,1,4))/100</f>
        <v>130.15907116639801</v>
      </c>
      <c r="CU96" s="96">
        <f t="shared" si="10"/>
        <v>5489</v>
      </c>
      <c r="CV96" s="96">
        <f t="shared" si="11"/>
        <v>2.3712711088795411</v>
      </c>
    </row>
    <row r="97" spans="1:100">
      <c r="A97" s="82" t="str">
        <f ca="1">IF(ISERROR(OFFSET(Map!$E$2,MATCH(D97,Map!$B$3:$B$239,0),0)),OFFSET(Map!$E$2,MATCH(D97,Map!$C$3:$C$239,0),0),OFFSET(Map!$E$2,MATCH(D97,Map!$B$3:$B$239,0),0))</f>
        <v>Pixley ka Seme</v>
      </c>
      <c r="B97" s="82">
        <v>96</v>
      </c>
      <c r="C97" s="82" t="s">
        <v>61</v>
      </c>
      <c r="D97" s="82" t="s">
        <v>394</v>
      </c>
      <c r="E97" s="82" t="s">
        <v>395</v>
      </c>
      <c r="F97" s="82">
        <v>15701</v>
      </c>
      <c r="G97" s="82">
        <v>30.9</v>
      </c>
      <c r="H97" s="82">
        <v>62.8</v>
      </c>
      <c r="I97" s="82">
        <f t="shared" si="6"/>
        <v>9860</v>
      </c>
      <c r="J97" s="82">
        <v>6.4</v>
      </c>
      <c r="K97" s="82">
        <v>59.3</v>
      </c>
      <c r="L97" s="82">
        <v>103.3</v>
      </c>
      <c r="M97" s="82">
        <v>0.82</v>
      </c>
      <c r="N97" s="82">
        <v>2</v>
      </c>
      <c r="O97" s="82">
        <v>28.4</v>
      </c>
      <c r="P97" s="82">
        <f t="shared" si="7"/>
        <v>7060</v>
      </c>
      <c r="Q97" s="82">
        <v>35.200000000000003</v>
      </c>
      <c r="R97" s="82">
        <v>15.1</v>
      </c>
      <c r="S97" s="82">
        <v>6.6</v>
      </c>
      <c r="T97" s="82">
        <v>19.899999999999999</v>
      </c>
      <c r="U97" s="82">
        <v>4140</v>
      </c>
      <c r="V97" s="82">
        <v>1097</v>
      </c>
      <c r="W97" s="82">
        <v>3.7</v>
      </c>
      <c r="X97" s="82">
        <v>32.299999999999997</v>
      </c>
      <c r="Y97" s="82">
        <v>77.5</v>
      </c>
      <c r="Z97" s="82">
        <v>51.4</v>
      </c>
      <c r="AA97" s="82">
        <v>60</v>
      </c>
      <c r="AB97" s="82">
        <v>68.400000000000006</v>
      </c>
      <c r="AC97" s="82">
        <v>33.5</v>
      </c>
      <c r="AD97" s="82">
        <v>75.2</v>
      </c>
      <c r="AE97" s="82">
        <v>15.2</v>
      </c>
      <c r="AF97" s="82">
        <v>70.8</v>
      </c>
      <c r="AG97" s="82">
        <v>0.5</v>
      </c>
      <c r="AH97" s="82">
        <v>13.1</v>
      </c>
      <c r="AI97" s="82">
        <v>0.4</v>
      </c>
      <c r="AJ97" s="82">
        <v>5.6</v>
      </c>
      <c r="AK97" s="82">
        <v>5</v>
      </c>
      <c r="AL97" s="82">
        <v>5.4</v>
      </c>
      <c r="AM97" s="82">
        <v>4.5999999999999996</v>
      </c>
      <c r="AN97" s="82">
        <v>5.3</v>
      </c>
      <c r="AO97" s="82">
        <v>5.0999999999999996</v>
      </c>
      <c r="AP97" s="82">
        <v>4.5999999999999996</v>
      </c>
      <c r="AQ97" s="82">
        <v>4.5999999999999996</v>
      </c>
      <c r="AR97" s="82">
        <v>4.5</v>
      </c>
      <c r="AS97" s="82">
        <v>4.3</v>
      </c>
      <c r="AT97" s="82">
        <v>4</v>
      </c>
      <c r="AU97" s="82">
        <v>4</v>
      </c>
      <c r="AV97" s="82">
        <v>3.5</v>
      </c>
      <c r="AW97" s="82">
        <v>3.2</v>
      </c>
      <c r="AX97" s="82">
        <v>3.2</v>
      </c>
      <c r="AY97" s="82">
        <v>3</v>
      </c>
      <c r="AZ97" s="82">
        <v>3</v>
      </c>
      <c r="BA97" s="82">
        <v>3.3</v>
      </c>
      <c r="BB97" s="82">
        <v>2.8</v>
      </c>
      <c r="BC97" s="82">
        <v>2.8</v>
      </c>
      <c r="BD97" s="82">
        <v>2.5</v>
      </c>
      <c r="BE97" s="82">
        <v>2.7</v>
      </c>
      <c r="BF97" s="82">
        <v>1.9</v>
      </c>
      <c r="BG97" s="82">
        <v>1.9</v>
      </c>
      <c r="BH97" s="82">
        <v>1.6</v>
      </c>
      <c r="BI97" s="82">
        <v>1.5</v>
      </c>
      <c r="BJ97" s="82">
        <v>0.9</v>
      </c>
      <c r="BK97" s="82">
        <v>1.1000000000000001</v>
      </c>
      <c r="BL97" s="82">
        <v>0.8</v>
      </c>
      <c r="BM97" s="82">
        <v>0.9</v>
      </c>
      <c r="BN97" s="82">
        <v>0.5</v>
      </c>
      <c r="BO97" s="82">
        <v>0.7</v>
      </c>
      <c r="BP97" s="82">
        <v>0.2</v>
      </c>
      <c r="BQ97" s="82">
        <v>0.3</v>
      </c>
      <c r="BR97" s="82">
        <v>0.3</v>
      </c>
      <c r="BS97" s="82">
        <v>0.5</v>
      </c>
      <c r="BT97" s="82">
        <v>3861</v>
      </c>
      <c r="BU97" s="82">
        <v>1532</v>
      </c>
      <c r="BV97" s="82">
        <v>687</v>
      </c>
      <c r="BW97" s="82">
        <v>3776</v>
      </c>
      <c r="BX97" s="82">
        <v>10.4</v>
      </c>
      <c r="BY97" s="82">
        <v>2.4</v>
      </c>
      <c r="BZ97" s="82">
        <v>4.2</v>
      </c>
      <c r="CA97" s="82">
        <v>20.2</v>
      </c>
      <c r="CB97" s="82">
        <v>25.8</v>
      </c>
      <c r="CC97" s="82">
        <v>17.8</v>
      </c>
      <c r="CD97" s="82">
        <v>9.1999999999999993</v>
      </c>
      <c r="CE97" s="82">
        <v>6.2</v>
      </c>
      <c r="CF97" s="82">
        <v>2.9</v>
      </c>
      <c r="CG97" s="82">
        <v>0.6</v>
      </c>
      <c r="CH97" s="82">
        <v>0.2</v>
      </c>
      <c r="CI97" s="82">
        <v>0.1</v>
      </c>
      <c r="CJ97" s="82">
        <f t="shared" si="8"/>
        <v>9856</v>
      </c>
      <c r="CK97" s="82">
        <f t="shared" si="9"/>
        <v>16898.476477262426</v>
      </c>
      <c r="CL97" s="95">
        <f ca="1">$CK97*SUM(OFFSET($AJ97,0,(COUNTA($CL$1:CL$1)-1)*4,1,4))/100</f>
        <v>3481.0861543160599</v>
      </c>
      <c r="CM97" s="95">
        <f ca="1">$CK97*SUM(OFFSET($AJ97,0,(COUNTA($CL$1:CM$1)-1)*4,1,4))/100</f>
        <v>3312.1013895434353</v>
      </c>
      <c r="CN97" s="95">
        <f ca="1">$CK97*SUM(OFFSET($AJ97,0,(COUNTA($CL$1:CN$1)-1)*4,1,4))/100</f>
        <v>2838.9440481800875</v>
      </c>
      <c r="CO97" s="95">
        <f ca="1">$CK97*SUM(OFFSET($AJ97,0,(COUNTA($CL$1:CO$1)-1)*4,1,4))/100</f>
        <v>2179.9034655668529</v>
      </c>
      <c r="CP97" s="95">
        <f ca="1">$CK97*SUM(OFFSET($AJ97,0,(COUNTA($CL$1:CP$1)-1)*4,1,4))/100</f>
        <v>2010.9187007942282</v>
      </c>
      <c r="CQ97" s="95">
        <f ca="1">$CK97*SUM(OFFSET($AJ97,0,(COUNTA($CL$1:CQ$1)-1)*4,1,4))/100</f>
        <v>1520.8628829536183</v>
      </c>
      <c r="CR97" s="95">
        <f ca="1">$CK97*SUM(OFFSET($AJ97,0,(COUNTA($CL$1:CR$1)-1)*4,1,4))/100</f>
        <v>861.82230034038366</v>
      </c>
      <c r="CS97" s="95">
        <f ca="1">$CK97*SUM(OFFSET($AJ97,0,(COUNTA($CL$1:CS$1)-1)*4,1,4))/100</f>
        <v>490.05581784061042</v>
      </c>
      <c r="CT97" s="95">
        <f ca="1">$CK97*SUM(OFFSET($AJ97,0,(COUNTA($CL$1:CT$1)-1)*4,1,4))/100</f>
        <v>219.68019420441152</v>
      </c>
      <c r="CU97" s="96">
        <f t="shared" si="10"/>
        <v>7850.5</v>
      </c>
      <c r="CV97" s="96">
        <f t="shared" si="11"/>
        <v>2.1525350585647316</v>
      </c>
    </row>
    <row r="98" spans="1:100">
      <c r="A98" s="82" t="str">
        <f ca="1">IF(ISERROR(OFFSET(Map!$E$2,MATCH(D98,Map!$B$3:$B$239,0),0)),OFFSET(Map!$E$2,MATCH(D98,Map!$C$3:$C$239,0),0),OFFSET(Map!$E$2,MATCH(D98,Map!$B$3:$B$239,0),0))</f>
        <v>Pixley ka Seme</v>
      </c>
      <c r="B98" s="82">
        <v>97</v>
      </c>
      <c r="C98" s="82" t="s">
        <v>61</v>
      </c>
      <c r="D98" s="82" t="s">
        <v>396</v>
      </c>
      <c r="E98" s="82" t="s">
        <v>397</v>
      </c>
      <c r="F98" s="82">
        <v>21591</v>
      </c>
      <c r="G98" s="82">
        <v>30.8</v>
      </c>
      <c r="H98" s="82">
        <v>63.2</v>
      </c>
      <c r="I98" s="82">
        <f t="shared" si="6"/>
        <v>13646</v>
      </c>
      <c r="J98" s="82">
        <v>6</v>
      </c>
      <c r="K98" s="82">
        <v>58.2</v>
      </c>
      <c r="L98" s="82">
        <v>99.3</v>
      </c>
      <c r="M98" s="82">
        <v>1.57</v>
      </c>
      <c r="N98" s="82">
        <v>1</v>
      </c>
      <c r="O98" s="82">
        <v>24.3</v>
      </c>
      <c r="P98" s="82">
        <f t="shared" si="7"/>
        <v>10330</v>
      </c>
      <c r="Q98" s="82">
        <v>30.2</v>
      </c>
      <c r="R98" s="82">
        <v>11.5</v>
      </c>
      <c r="S98" s="82">
        <v>5.3</v>
      </c>
      <c r="T98" s="82">
        <v>18</v>
      </c>
      <c r="U98" s="82">
        <v>5831</v>
      </c>
      <c r="V98" s="82">
        <v>1334</v>
      </c>
      <c r="W98" s="82">
        <v>3.6</v>
      </c>
      <c r="X98" s="82">
        <v>36.1</v>
      </c>
      <c r="Y98" s="82">
        <v>88.6</v>
      </c>
      <c r="Z98" s="82">
        <v>54.3</v>
      </c>
      <c r="AA98" s="82">
        <v>64.900000000000006</v>
      </c>
      <c r="AB98" s="82">
        <v>73.900000000000006</v>
      </c>
      <c r="AC98" s="82">
        <v>43.1</v>
      </c>
      <c r="AD98" s="82">
        <v>86.2</v>
      </c>
      <c r="AE98" s="82">
        <v>18.8</v>
      </c>
      <c r="AF98" s="82">
        <v>71.900000000000006</v>
      </c>
      <c r="AG98" s="82">
        <v>0.5</v>
      </c>
      <c r="AH98" s="82">
        <v>8.5</v>
      </c>
      <c r="AI98" s="82">
        <v>0.4</v>
      </c>
      <c r="AJ98" s="82">
        <v>5.2</v>
      </c>
      <c r="AK98" s="82">
        <v>5.0999999999999996</v>
      </c>
      <c r="AL98" s="82">
        <v>5.2</v>
      </c>
      <c r="AM98" s="82">
        <v>5</v>
      </c>
      <c r="AN98" s="82">
        <v>5.2</v>
      </c>
      <c r="AO98" s="82">
        <v>5.0999999999999996</v>
      </c>
      <c r="AP98" s="82">
        <v>4.5999999999999996</v>
      </c>
      <c r="AQ98" s="82">
        <v>4.4000000000000004</v>
      </c>
      <c r="AR98" s="82">
        <v>4</v>
      </c>
      <c r="AS98" s="82">
        <v>4</v>
      </c>
      <c r="AT98" s="82">
        <v>4.2</v>
      </c>
      <c r="AU98" s="82">
        <v>3.6</v>
      </c>
      <c r="AV98" s="82">
        <v>3.7</v>
      </c>
      <c r="AW98" s="82">
        <v>3.2</v>
      </c>
      <c r="AX98" s="82">
        <v>3.1</v>
      </c>
      <c r="AY98" s="82">
        <v>2.9</v>
      </c>
      <c r="AZ98" s="82">
        <v>3.2</v>
      </c>
      <c r="BA98" s="82">
        <v>3.2</v>
      </c>
      <c r="BB98" s="82">
        <v>2.9</v>
      </c>
      <c r="BC98" s="82">
        <v>2.9</v>
      </c>
      <c r="BD98" s="82">
        <v>2.5</v>
      </c>
      <c r="BE98" s="82">
        <v>3</v>
      </c>
      <c r="BF98" s="82">
        <v>2.1</v>
      </c>
      <c r="BG98" s="82">
        <v>2.2999999999999998</v>
      </c>
      <c r="BH98" s="82">
        <v>1.6</v>
      </c>
      <c r="BI98" s="82">
        <v>1.8</v>
      </c>
      <c r="BJ98" s="82">
        <v>1</v>
      </c>
      <c r="BK98" s="82">
        <v>1.3</v>
      </c>
      <c r="BL98" s="82">
        <v>0.6</v>
      </c>
      <c r="BM98" s="82">
        <v>1</v>
      </c>
      <c r="BN98" s="82">
        <v>0.4</v>
      </c>
      <c r="BO98" s="82">
        <v>0.7</v>
      </c>
      <c r="BP98" s="82">
        <v>0.2</v>
      </c>
      <c r="BQ98" s="82">
        <v>0.3</v>
      </c>
      <c r="BR98" s="82">
        <v>0.1</v>
      </c>
      <c r="BS98" s="82">
        <v>0.3</v>
      </c>
      <c r="BT98" s="82">
        <v>5371</v>
      </c>
      <c r="BU98" s="82">
        <v>1728</v>
      </c>
      <c r="BV98" s="82">
        <v>767</v>
      </c>
      <c r="BW98" s="82">
        <v>5787</v>
      </c>
      <c r="BX98" s="82">
        <v>7.8</v>
      </c>
      <c r="BY98" s="82">
        <v>2.9</v>
      </c>
      <c r="BZ98" s="82">
        <v>5</v>
      </c>
      <c r="CA98" s="82">
        <v>23.9</v>
      </c>
      <c r="CB98" s="82">
        <v>26</v>
      </c>
      <c r="CC98" s="82">
        <v>16.399999999999999</v>
      </c>
      <c r="CD98" s="82">
        <v>8.8000000000000007</v>
      </c>
      <c r="CE98" s="82">
        <v>5.5</v>
      </c>
      <c r="CF98" s="82">
        <v>2.8</v>
      </c>
      <c r="CG98" s="82">
        <v>0.5</v>
      </c>
      <c r="CH98" s="82">
        <v>0.2</v>
      </c>
      <c r="CI98" s="82">
        <v>0.2</v>
      </c>
      <c r="CJ98" s="82">
        <f t="shared" si="8"/>
        <v>13653</v>
      </c>
      <c r="CK98" s="82">
        <f t="shared" si="9"/>
        <v>24840.585580053543</v>
      </c>
      <c r="CL98" s="95">
        <f ca="1">$CK98*SUM(OFFSET($AJ98,0,(COUNTA($CL$1:CL$1)-1)*4,1,4))/100</f>
        <v>5092.320043910976</v>
      </c>
      <c r="CM98" s="95">
        <f ca="1">$CK98*SUM(OFFSET($AJ98,0,(COUNTA($CL$1:CM$1)-1)*4,1,4))/100</f>
        <v>4794.2330169503339</v>
      </c>
      <c r="CN98" s="95">
        <f ca="1">$CK98*SUM(OFFSET($AJ98,0,(COUNTA($CL$1:CN$1)-1)*4,1,4))/100</f>
        <v>3924.8125216484596</v>
      </c>
      <c r="CO98" s="95">
        <f ca="1">$CK98*SUM(OFFSET($AJ98,0,(COUNTA($CL$1:CO$1)-1)*4,1,4))/100</f>
        <v>3204.4355398269072</v>
      </c>
      <c r="CP98" s="95">
        <f ca="1">$CK98*SUM(OFFSET($AJ98,0,(COUNTA($CL$1:CP$1)-1)*4,1,4))/100</f>
        <v>3030.5514407665323</v>
      </c>
      <c r="CQ98" s="95">
        <f ca="1">$CK98*SUM(OFFSET($AJ98,0,(COUNTA($CL$1:CQ$1)-1)*4,1,4))/100</f>
        <v>2459.2179724253006</v>
      </c>
      <c r="CR98" s="95">
        <f ca="1">$CK98*SUM(OFFSET($AJ98,0,(COUNTA($CL$1:CR$1)-1)*4,1,4))/100</f>
        <v>1415.9133780630521</v>
      </c>
      <c r="CS98" s="95">
        <f ca="1">$CK98*SUM(OFFSET($AJ98,0,(COUNTA($CL$1:CS$1)-1)*4,1,4))/100</f>
        <v>670.69581066144576</v>
      </c>
      <c r="CT98" s="95">
        <f ca="1">$CK98*SUM(OFFSET($AJ98,0,(COUNTA($CL$1:CT$1)-1)*4,1,4))/100</f>
        <v>223.56527022048186</v>
      </c>
      <c r="CU98" s="96">
        <f t="shared" si="10"/>
        <v>21591</v>
      </c>
      <c r="CV98" s="96">
        <f t="shared" si="11"/>
        <v>1.1505064878909519</v>
      </c>
    </row>
    <row r="99" spans="1:100">
      <c r="A99" s="82" t="str">
        <f ca="1">IF(ISERROR(OFFSET(Map!$E$2,MATCH(D99,Map!$B$3:$B$239,0),0)),OFFSET(Map!$E$2,MATCH(D99,Map!$C$3:$C$239,0),0),OFFSET(Map!$E$2,MATCH(D99,Map!$B$3:$B$239,0),0))</f>
        <v>Pixley ka Seme</v>
      </c>
      <c r="B99" s="82">
        <v>98</v>
      </c>
      <c r="C99" s="82" t="s">
        <v>61</v>
      </c>
      <c r="D99" s="82" t="s">
        <v>398</v>
      </c>
      <c r="E99" s="82" t="s">
        <v>399</v>
      </c>
      <c r="F99" s="82">
        <v>37076</v>
      </c>
      <c r="G99" s="82">
        <v>31.8</v>
      </c>
      <c r="H99" s="82">
        <v>62.2</v>
      </c>
      <c r="I99" s="82">
        <f t="shared" si="6"/>
        <v>23061</v>
      </c>
      <c r="J99" s="82">
        <v>6</v>
      </c>
      <c r="K99" s="82">
        <v>60.8</v>
      </c>
      <c r="L99" s="82">
        <v>100.4</v>
      </c>
      <c r="M99" s="82">
        <v>-0.57999999999999996</v>
      </c>
      <c r="N99" s="82">
        <v>2</v>
      </c>
      <c r="O99" s="82">
        <v>28.2</v>
      </c>
      <c r="P99" s="82">
        <f t="shared" si="7"/>
        <v>16558</v>
      </c>
      <c r="Q99" s="82">
        <v>35.200000000000003</v>
      </c>
      <c r="R99" s="82">
        <v>16.7</v>
      </c>
      <c r="S99" s="82">
        <v>5.4</v>
      </c>
      <c r="T99" s="82">
        <v>16.8</v>
      </c>
      <c r="U99" s="82">
        <v>9578</v>
      </c>
      <c r="V99" s="82">
        <v>2099</v>
      </c>
      <c r="W99" s="82">
        <v>3.8</v>
      </c>
      <c r="X99" s="82">
        <v>35.700000000000003</v>
      </c>
      <c r="Y99" s="82">
        <v>73</v>
      </c>
      <c r="Z99" s="82">
        <v>39.6</v>
      </c>
      <c r="AA99" s="82">
        <v>53.4</v>
      </c>
      <c r="AB99" s="82">
        <v>62.3</v>
      </c>
      <c r="AC99" s="82">
        <v>41.4</v>
      </c>
      <c r="AD99" s="82">
        <v>82.2</v>
      </c>
      <c r="AE99" s="82">
        <v>33</v>
      </c>
      <c r="AF99" s="82">
        <v>57.5</v>
      </c>
      <c r="AG99" s="82">
        <v>0.7</v>
      </c>
      <c r="AH99" s="82">
        <v>7.5</v>
      </c>
      <c r="AI99" s="82">
        <v>1.4</v>
      </c>
      <c r="AJ99" s="82">
        <v>5.8</v>
      </c>
      <c r="AK99" s="82">
        <v>5.4</v>
      </c>
      <c r="AL99" s="82">
        <v>5.2</v>
      </c>
      <c r="AM99" s="82">
        <v>5.2</v>
      </c>
      <c r="AN99" s="82">
        <v>5.2</v>
      </c>
      <c r="AO99" s="82">
        <v>5</v>
      </c>
      <c r="AP99" s="82">
        <v>4.8</v>
      </c>
      <c r="AQ99" s="82">
        <v>4.7</v>
      </c>
      <c r="AR99" s="82">
        <v>4.2</v>
      </c>
      <c r="AS99" s="82">
        <v>4</v>
      </c>
      <c r="AT99" s="82">
        <v>4.4000000000000004</v>
      </c>
      <c r="AU99" s="82">
        <v>4.0999999999999996</v>
      </c>
      <c r="AV99" s="82">
        <v>3.4</v>
      </c>
      <c r="AW99" s="82">
        <v>3.4</v>
      </c>
      <c r="AX99" s="82">
        <v>3.3</v>
      </c>
      <c r="AY99" s="82">
        <v>3.2</v>
      </c>
      <c r="AZ99" s="82">
        <v>3.1</v>
      </c>
      <c r="BA99" s="82">
        <v>3</v>
      </c>
      <c r="BB99" s="82">
        <v>2.6</v>
      </c>
      <c r="BC99" s="82">
        <v>2.6</v>
      </c>
      <c r="BD99" s="82">
        <v>2.1</v>
      </c>
      <c r="BE99" s="82">
        <v>2.4</v>
      </c>
      <c r="BF99" s="82">
        <v>1.9</v>
      </c>
      <c r="BG99" s="82">
        <v>1.9</v>
      </c>
      <c r="BH99" s="82">
        <v>1.4</v>
      </c>
      <c r="BI99" s="82">
        <v>1.4</v>
      </c>
      <c r="BJ99" s="82">
        <v>1.1000000000000001</v>
      </c>
      <c r="BK99" s="82">
        <v>1.1000000000000001</v>
      </c>
      <c r="BL99" s="82">
        <v>0.7</v>
      </c>
      <c r="BM99" s="82">
        <v>0.8</v>
      </c>
      <c r="BN99" s="82">
        <v>0.4</v>
      </c>
      <c r="BO99" s="82">
        <v>0.7</v>
      </c>
      <c r="BP99" s="82">
        <v>0.2</v>
      </c>
      <c r="BQ99" s="82">
        <v>0.4</v>
      </c>
      <c r="BR99" s="82">
        <v>0.2</v>
      </c>
      <c r="BS99" s="82">
        <v>0.4</v>
      </c>
      <c r="BT99" s="82">
        <v>7946</v>
      </c>
      <c r="BU99" s="82">
        <v>3118</v>
      </c>
      <c r="BV99" s="82">
        <v>1422</v>
      </c>
      <c r="BW99" s="82">
        <v>10573</v>
      </c>
      <c r="BX99" s="82">
        <v>13.7</v>
      </c>
      <c r="BY99" s="82">
        <v>3</v>
      </c>
      <c r="BZ99" s="82">
        <v>5.6</v>
      </c>
      <c r="CA99" s="82">
        <v>21.4</v>
      </c>
      <c r="CB99" s="82">
        <v>24.1</v>
      </c>
      <c r="CC99" s="82">
        <v>15.2</v>
      </c>
      <c r="CD99" s="82">
        <v>7.6</v>
      </c>
      <c r="CE99" s="82">
        <v>5.4</v>
      </c>
      <c r="CF99" s="82">
        <v>2.8</v>
      </c>
      <c r="CG99" s="82">
        <v>0.8</v>
      </c>
      <c r="CH99" s="82">
        <v>0.2</v>
      </c>
      <c r="CI99" s="82">
        <v>0.2</v>
      </c>
      <c r="CJ99" s="82">
        <f t="shared" si="8"/>
        <v>23059</v>
      </c>
      <c r="CK99" s="82">
        <f t="shared" si="9"/>
        <v>35184.930921392152</v>
      </c>
      <c r="CL99" s="95">
        <f ca="1">$CK99*SUM(OFFSET($AJ99,0,(COUNTA($CL$1:CL$1)-1)*4,1,4))/100</f>
        <v>7599.9450790207038</v>
      </c>
      <c r="CM99" s="95">
        <f ca="1">$CK99*SUM(OFFSET($AJ99,0,(COUNTA($CL$1:CM$1)-1)*4,1,4))/100</f>
        <v>6931.4313915142529</v>
      </c>
      <c r="CN99" s="95">
        <f ca="1">$CK99*SUM(OFFSET($AJ99,0,(COUNTA($CL$1:CN$1)-1)*4,1,4))/100</f>
        <v>5875.8834638724893</v>
      </c>
      <c r="CO99" s="95">
        <f ca="1">$CK99*SUM(OFFSET($AJ99,0,(COUNTA($CL$1:CO$1)-1)*4,1,4))/100</f>
        <v>4679.5958125451562</v>
      </c>
      <c r="CP99" s="95">
        <f ca="1">$CK99*SUM(OFFSET($AJ99,0,(COUNTA($CL$1:CP$1)-1)*4,1,4))/100</f>
        <v>3975.8971941173131</v>
      </c>
      <c r="CQ99" s="95">
        <f ca="1">$CK99*SUM(OFFSET($AJ99,0,(COUNTA($CL$1:CQ$1)-1)*4,1,4))/100</f>
        <v>2920.349266475549</v>
      </c>
      <c r="CR99" s="95">
        <f ca="1">$CK99*SUM(OFFSET($AJ99,0,(COUNTA($CL$1:CR$1)-1)*4,1,4))/100</f>
        <v>1759.2465460696078</v>
      </c>
      <c r="CS99" s="95">
        <f ca="1">$CK99*SUM(OFFSET($AJ99,0,(COUNTA($CL$1:CS$1)-1)*4,1,4))/100</f>
        <v>914.80820395619583</v>
      </c>
      <c r="CT99" s="95">
        <f ca="1">$CK99*SUM(OFFSET($AJ99,0,(COUNTA($CL$1:CT$1)-1)*4,1,4))/100</f>
        <v>422.21917105670587</v>
      </c>
      <c r="CU99" s="96">
        <f t="shared" si="10"/>
        <v>18538</v>
      </c>
      <c r="CV99" s="96">
        <f t="shared" si="11"/>
        <v>1.8979895847120591</v>
      </c>
    </row>
    <row r="100" spans="1:100">
      <c r="A100" s="82" t="str">
        <f ca="1">IF(ISERROR(OFFSET(Map!$E$2,MATCH(D100,Map!$B$3:$B$239,0),0)),OFFSET(Map!$E$2,MATCH(D100,Map!$C$3:$C$239,0),0),OFFSET(Map!$E$2,MATCH(D100,Map!$B$3:$B$239,0),0))</f>
        <v>ZF Mgcawu</v>
      </c>
      <c r="B100" s="82">
        <v>99</v>
      </c>
      <c r="C100" s="82" t="s">
        <v>61</v>
      </c>
      <c r="D100" s="82" t="s">
        <v>400</v>
      </c>
      <c r="E100" s="82" t="s">
        <v>401</v>
      </c>
      <c r="F100" s="82">
        <v>7003</v>
      </c>
      <c r="G100" s="82">
        <v>31.6</v>
      </c>
      <c r="H100" s="82">
        <v>61.2</v>
      </c>
      <c r="I100" s="82">
        <f t="shared" si="6"/>
        <v>4286</v>
      </c>
      <c r="J100" s="82">
        <v>7.1</v>
      </c>
      <c r="K100" s="82">
        <v>63.3</v>
      </c>
      <c r="L100" s="82">
        <v>105.7</v>
      </c>
      <c r="M100" s="82">
        <v>-0.28999999999999998</v>
      </c>
      <c r="N100" s="82">
        <v>0</v>
      </c>
      <c r="O100" s="82">
        <v>30.9</v>
      </c>
      <c r="P100" s="82">
        <f t="shared" si="7"/>
        <v>2962</v>
      </c>
      <c r="Q100" s="82">
        <v>35.200000000000003</v>
      </c>
      <c r="R100" s="82">
        <v>9.1</v>
      </c>
      <c r="S100" s="82">
        <v>5.0999999999999996</v>
      </c>
      <c r="T100" s="82">
        <v>14.9</v>
      </c>
      <c r="U100" s="82">
        <v>1784</v>
      </c>
      <c r="V100" s="82">
        <v>583</v>
      </c>
      <c r="W100" s="82">
        <v>3.7</v>
      </c>
      <c r="X100" s="82">
        <v>29.7</v>
      </c>
      <c r="Y100" s="82">
        <v>89.9</v>
      </c>
      <c r="Z100" s="82">
        <v>57.9</v>
      </c>
      <c r="AA100" s="82">
        <v>40.6</v>
      </c>
      <c r="AB100" s="82">
        <v>51.1</v>
      </c>
      <c r="AC100" s="82">
        <v>32.6</v>
      </c>
      <c r="AD100" s="82">
        <v>74.3</v>
      </c>
      <c r="AE100" s="82">
        <v>4</v>
      </c>
      <c r="AF100" s="82">
        <v>90.3</v>
      </c>
      <c r="AG100" s="82">
        <v>0.6</v>
      </c>
      <c r="AH100" s="82">
        <v>4.4000000000000004</v>
      </c>
      <c r="AI100" s="82">
        <v>0.6</v>
      </c>
      <c r="AJ100" s="82">
        <v>5.9</v>
      </c>
      <c r="AK100" s="82">
        <v>4.9000000000000004</v>
      </c>
      <c r="AL100" s="82">
        <v>5.6</v>
      </c>
      <c r="AM100" s="82">
        <v>5.6</v>
      </c>
      <c r="AN100" s="82">
        <v>4.9000000000000004</v>
      </c>
      <c r="AO100" s="82">
        <v>4.7</v>
      </c>
      <c r="AP100" s="82">
        <v>4.9000000000000004</v>
      </c>
      <c r="AQ100" s="82">
        <v>4.8</v>
      </c>
      <c r="AR100" s="82">
        <v>4.2</v>
      </c>
      <c r="AS100" s="82">
        <v>4</v>
      </c>
      <c r="AT100" s="82">
        <v>3.9</v>
      </c>
      <c r="AU100" s="82">
        <v>2.9</v>
      </c>
      <c r="AV100" s="82">
        <v>3.2</v>
      </c>
      <c r="AW100" s="82">
        <v>3.1</v>
      </c>
      <c r="AX100" s="82">
        <v>3.6</v>
      </c>
      <c r="AY100" s="82">
        <v>3</v>
      </c>
      <c r="AZ100" s="82">
        <v>3.3</v>
      </c>
      <c r="BA100" s="82">
        <v>3.1</v>
      </c>
      <c r="BB100" s="82">
        <v>2.8</v>
      </c>
      <c r="BC100" s="82">
        <v>2.8</v>
      </c>
      <c r="BD100" s="82">
        <v>2.4</v>
      </c>
      <c r="BE100" s="82">
        <v>2</v>
      </c>
      <c r="BF100" s="82">
        <v>1.7</v>
      </c>
      <c r="BG100" s="82">
        <v>2.5</v>
      </c>
      <c r="BH100" s="82">
        <v>1.8</v>
      </c>
      <c r="BI100" s="82">
        <v>1.6</v>
      </c>
      <c r="BJ100" s="82">
        <v>1.1000000000000001</v>
      </c>
      <c r="BK100" s="82">
        <v>1.2</v>
      </c>
      <c r="BL100" s="82">
        <v>1</v>
      </c>
      <c r="BM100" s="82">
        <v>0.9</v>
      </c>
      <c r="BN100" s="82">
        <v>0.5</v>
      </c>
      <c r="BO100" s="82">
        <v>0.7</v>
      </c>
      <c r="BP100" s="82">
        <v>0.3</v>
      </c>
      <c r="BQ100" s="82">
        <v>0.4</v>
      </c>
      <c r="BR100" s="82">
        <v>0.4</v>
      </c>
      <c r="BS100" s="82">
        <v>0.6</v>
      </c>
      <c r="BT100" s="82">
        <v>1301</v>
      </c>
      <c r="BU100" s="82">
        <v>581</v>
      </c>
      <c r="BV100" s="82">
        <v>288</v>
      </c>
      <c r="BW100" s="82">
        <v>2119</v>
      </c>
      <c r="BX100" s="82">
        <v>9</v>
      </c>
      <c r="BY100" s="82">
        <v>3.7</v>
      </c>
      <c r="BZ100" s="82">
        <v>7.9</v>
      </c>
      <c r="CA100" s="82">
        <v>22.8</v>
      </c>
      <c r="CB100" s="82">
        <v>24.5</v>
      </c>
      <c r="CC100" s="82">
        <v>14.6</v>
      </c>
      <c r="CD100" s="82">
        <v>8.6999999999999993</v>
      </c>
      <c r="CE100" s="82">
        <v>5.6</v>
      </c>
      <c r="CF100" s="82">
        <v>2.8</v>
      </c>
      <c r="CG100" s="82">
        <v>0.3</v>
      </c>
      <c r="CH100" s="82">
        <v>0.2</v>
      </c>
      <c r="CI100" s="82">
        <v>0</v>
      </c>
      <c r="CJ100" s="82">
        <f t="shared" si="8"/>
        <v>4289</v>
      </c>
      <c r="CK100" s="82">
        <f t="shared" si="9"/>
        <v>6822.3276436302531</v>
      </c>
      <c r="CL100" s="95">
        <f ca="1">$CK100*SUM(OFFSET($AJ100,0,(COUNTA($CL$1:CL$1)-1)*4,1,4))/100</f>
        <v>1500.9120815986557</v>
      </c>
      <c r="CM100" s="95">
        <f ca="1">$CK100*SUM(OFFSET($AJ100,0,(COUNTA($CL$1:CM$1)-1)*4,1,4))/100</f>
        <v>1316.7092352206389</v>
      </c>
      <c r="CN100" s="95">
        <f ca="1">$CK100*SUM(OFFSET($AJ100,0,(COUNTA($CL$1:CN$1)-1)*4,1,4))/100</f>
        <v>1023.3491465445379</v>
      </c>
      <c r="CO100" s="95">
        <f ca="1">$CK100*SUM(OFFSET($AJ100,0,(COUNTA($CL$1:CO$1)-1)*4,1,4))/100</f>
        <v>880.08026602830273</v>
      </c>
      <c r="CP100" s="95">
        <f ca="1">$CK100*SUM(OFFSET($AJ100,0,(COUNTA($CL$1:CP$1)-1)*4,1,4))/100</f>
        <v>818.67931723563026</v>
      </c>
      <c r="CQ100" s="95">
        <f ca="1">$CK100*SUM(OFFSET($AJ100,0,(COUNTA($CL$1:CQ$1)-1)*4,1,4))/100</f>
        <v>586.72017735220186</v>
      </c>
      <c r="CR100" s="95">
        <f ca="1">$CK100*SUM(OFFSET($AJ100,0,(COUNTA($CL$1:CR$1)-1)*4,1,4))/100</f>
        <v>388.87267568692442</v>
      </c>
      <c r="CS100" s="95">
        <f ca="1">$CK100*SUM(OFFSET($AJ100,0,(COUNTA($CL$1:CS$1)-1)*4,1,4))/100</f>
        <v>211.49215695253781</v>
      </c>
      <c r="CT100" s="95">
        <f ca="1">$CK100*SUM(OFFSET($AJ100,0,(COUNTA($CL$1:CT$1)-1)*4,1,4))/100</f>
        <v>115.9795699417143</v>
      </c>
      <c r="CU100" s="96">
        <f t="shared" si="10"/>
        <v>0</v>
      </c>
      <c r="CV100" s="96">
        <f t="shared" si="11"/>
        <v>0</v>
      </c>
    </row>
    <row r="101" spans="1:100">
      <c r="A101" s="82" t="str">
        <f ca="1">IF(ISERROR(OFFSET(Map!$E$2,MATCH(D101,Map!$B$3:$B$239,0),0)),OFFSET(Map!$E$2,MATCH(D101,Map!$C$3:$C$239,0),0),OFFSET(Map!$E$2,MATCH(D101,Map!$B$3:$B$239,0),0))</f>
        <v>ZF Mgcawu</v>
      </c>
      <c r="B101" s="82">
        <v>100</v>
      </c>
      <c r="C101" s="82" t="s">
        <v>61</v>
      </c>
      <c r="D101" s="82" t="s">
        <v>402</v>
      </c>
      <c r="E101" s="82" t="s">
        <v>403</v>
      </c>
      <c r="F101" s="82">
        <v>65869</v>
      </c>
      <c r="G101" s="82">
        <v>24.4</v>
      </c>
      <c r="H101" s="82">
        <v>70.5</v>
      </c>
      <c r="I101" s="82">
        <f t="shared" si="6"/>
        <v>46438</v>
      </c>
      <c r="J101" s="82">
        <v>5.0999999999999996</v>
      </c>
      <c r="K101" s="82">
        <v>41.9</v>
      </c>
      <c r="L101" s="82">
        <v>108.5</v>
      </c>
      <c r="M101" s="82">
        <v>1.1599999999999999</v>
      </c>
      <c r="N101" s="82">
        <v>2</v>
      </c>
      <c r="O101" s="82">
        <v>10</v>
      </c>
      <c r="P101" s="82">
        <f t="shared" si="7"/>
        <v>41794</v>
      </c>
      <c r="Q101" s="82">
        <v>10</v>
      </c>
      <c r="R101" s="82">
        <v>9</v>
      </c>
      <c r="S101" s="82">
        <v>3.9</v>
      </c>
      <c r="T101" s="82">
        <v>15.5</v>
      </c>
      <c r="U101" s="82">
        <v>16703</v>
      </c>
      <c r="V101" s="82">
        <v>2076</v>
      </c>
      <c r="W101" s="82">
        <v>2.9</v>
      </c>
      <c r="X101" s="82">
        <v>34.6</v>
      </c>
      <c r="Y101" s="82">
        <v>88.4</v>
      </c>
      <c r="Z101" s="82">
        <v>43.1</v>
      </c>
      <c r="AA101" s="82">
        <v>59.6</v>
      </c>
      <c r="AB101" s="82">
        <v>53.8</v>
      </c>
      <c r="AC101" s="82">
        <v>41</v>
      </c>
      <c r="AD101" s="82">
        <v>87.4</v>
      </c>
      <c r="AE101" s="82">
        <v>28.3</v>
      </c>
      <c r="AF101" s="82">
        <v>62.2</v>
      </c>
      <c r="AG101" s="82">
        <v>0.8</v>
      </c>
      <c r="AH101" s="82">
        <v>6.3</v>
      </c>
      <c r="AI101" s="82">
        <v>2.2999999999999998</v>
      </c>
      <c r="AJ101" s="82">
        <v>4.3</v>
      </c>
      <c r="AK101" s="82">
        <v>4.0999999999999996</v>
      </c>
      <c r="AL101" s="82">
        <v>4.0999999999999996</v>
      </c>
      <c r="AM101" s="82">
        <v>3.9</v>
      </c>
      <c r="AN101" s="82">
        <v>4.0999999999999996</v>
      </c>
      <c r="AO101" s="82">
        <v>3.8</v>
      </c>
      <c r="AP101" s="82">
        <v>5</v>
      </c>
      <c r="AQ101" s="82">
        <v>4.5</v>
      </c>
      <c r="AR101" s="82">
        <v>7</v>
      </c>
      <c r="AS101" s="82">
        <v>5.8</v>
      </c>
      <c r="AT101" s="82">
        <v>6</v>
      </c>
      <c r="AU101" s="82">
        <v>4.9000000000000004</v>
      </c>
      <c r="AV101" s="82">
        <v>4.7</v>
      </c>
      <c r="AW101" s="82">
        <v>3.8</v>
      </c>
      <c r="AX101" s="82">
        <v>3.7</v>
      </c>
      <c r="AY101" s="82">
        <v>3.3</v>
      </c>
      <c r="AZ101" s="82">
        <v>3.1</v>
      </c>
      <c r="BA101" s="82">
        <v>2.8</v>
      </c>
      <c r="BB101" s="82">
        <v>2.6</v>
      </c>
      <c r="BC101" s="82">
        <v>2.6</v>
      </c>
      <c r="BD101" s="82">
        <v>2.2999999999999998</v>
      </c>
      <c r="BE101" s="82">
        <v>2.2999999999999998</v>
      </c>
      <c r="BF101" s="82">
        <v>1.7</v>
      </c>
      <c r="BG101" s="82">
        <v>1.7</v>
      </c>
      <c r="BH101" s="82">
        <v>1.2</v>
      </c>
      <c r="BI101" s="82">
        <v>1.4</v>
      </c>
      <c r="BJ101" s="82">
        <v>0.8</v>
      </c>
      <c r="BK101" s="82">
        <v>1</v>
      </c>
      <c r="BL101" s="82">
        <v>0.6</v>
      </c>
      <c r="BM101" s="82">
        <v>0.8</v>
      </c>
      <c r="BN101" s="82">
        <v>0.4</v>
      </c>
      <c r="BO101" s="82">
        <v>0.5</v>
      </c>
      <c r="BP101" s="82">
        <v>0.2</v>
      </c>
      <c r="BQ101" s="82">
        <v>0.3</v>
      </c>
      <c r="BR101" s="82">
        <v>0.2</v>
      </c>
      <c r="BS101" s="82">
        <v>0.3</v>
      </c>
      <c r="BT101" s="82">
        <v>27853</v>
      </c>
      <c r="BU101" s="82">
        <v>3096</v>
      </c>
      <c r="BV101" s="82">
        <v>939</v>
      </c>
      <c r="BW101" s="82">
        <v>14534</v>
      </c>
      <c r="BX101" s="82">
        <v>6.1</v>
      </c>
      <c r="BY101" s="82">
        <v>2.2999999999999998</v>
      </c>
      <c r="BZ101" s="82">
        <v>4.5</v>
      </c>
      <c r="CA101" s="82">
        <v>25.7</v>
      </c>
      <c r="CB101" s="82">
        <v>26.7</v>
      </c>
      <c r="CC101" s="82">
        <v>18.100000000000001</v>
      </c>
      <c r="CD101" s="82">
        <v>8.1</v>
      </c>
      <c r="CE101" s="82">
        <v>4.9000000000000004</v>
      </c>
      <c r="CF101" s="82">
        <v>2.6</v>
      </c>
      <c r="CG101" s="82">
        <v>0.6</v>
      </c>
      <c r="CH101" s="82">
        <v>0.3</v>
      </c>
      <c r="CI101" s="82">
        <v>0.2</v>
      </c>
      <c r="CJ101" s="82">
        <f t="shared" si="8"/>
        <v>46422</v>
      </c>
      <c r="CK101" s="82">
        <f t="shared" si="9"/>
        <v>73073.592036994567</v>
      </c>
      <c r="CL101" s="95">
        <f ca="1">$CK101*SUM(OFFSET($AJ101,0,(COUNTA($CL$1:CL$1)-1)*4,1,4))/100</f>
        <v>11984.069094067108</v>
      </c>
      <c r="CM101" s="95">
        <f ca="1">$CK101*SUM(OFFSET($AJ101,0,(COUNTA($CL$1:CM$1)-1)*4,1,4))/100</f>
        <v>12714.805014437054</v>
      </c>
      <c r="CN101" s="95">
        <f ca="1">$CK101*SUM(OFFSET($AJ101,0,(COUNTA($CL$1:CN$1)-1)*4,1,4))/100</f>
        <v>17318.441312767714</v>
      </c>
      <c r="CO101" s="95">
        <f ca="1">$CK101*SUM(OFFSET($AJ101,0,(COUNTA($CL$1:CO$1)-1)*4,1,4))/100</f>
        <v>11326.406765734158</v>
      </c>
      <c r="CP101" s="95">
        <f ca="1">$CK101*SUM(OFFSET($AJ101,0,(COUNTA($CL$1:CP$1)-1)*4,1,4))/100</f>
        <v>8111.1687161063965</v>
      </c>
      <c r="CQ101" s="95">
        <f ca="1">$CK101*SUM(OFFSET($AJ101,0,(COUNTA($CL$1:CQ$1)-1)*4,1,4))/100</f>
        <v>5845.8873629595655</v>
      </c>
      <c r="CR101" s="95">
        <f ca="1">$CK101*SUM(OFFSET($AJ101,0,(COUNTA($CL$1:CR$1)-1)*4,1,4))/100</f>
        <v>3215.2380496277606</v>
      </c>
      <c r="CS101" s="95">
        <f ca="1">$CK101*SUM(OFFSET($AJ101,0,(COUNTA($CL$1:CS$1)-1)*4,1,4))/100</f>
        <v>1680.6926168508749</v>
      </c>
      <c r="CT101" s="95">
        <f ca="1">$CK101*SUM(OFFSET($AJ101,0,(COUNTA($CL$1:CT$1)-1)*4,1,4))/100</f>
        <v>730.73592036994569</v>
      </c>
      <c r="CU101" s="96">
        <f t="shared" si="10"/>
        <v>32934.5</v>
      </c>
      <c r="CV101" s="96">
        <f t="shared" si="11"/>
        <v>2.218755166679153</v>
      </c>
    </row>
    <row r="102" spans="1:100">
      <c r="A102" s="82" t="str">
        <f ca="1">IF(ISERROR(OFFSET(Map!$E$2,MATCH(D102,Map!$B$3:$B$239,0),0)),OFFSET(Map!$E$2,MATCH(D102,Map!$C$3:$C$239,0),0),OFFSET(Map!$E$2,MATCH(D102,Map!$B$3:$B$239,0),0))</f>
        <v>ZF Mgcawu</v>
      </c>
      <c r="B102" s="82">
        <v>101</v>
      </c>
      <c r="C102" s="82" t="s">
        <v>61</v>
      </c>
      <c r="D102" s="82" t="s">
        <v>404</v>
      </c>
      <c r="E102" s="82" t="s">
        <v>405</v>
      </c>
      <c r="F102" s="82">
        <v>93494</v>
      </c>
      <c r="G102" s="82">
        <v>29.8</v>
      </c>
      <c r="H102" s="82">
        <v>64.599999999999994</v>
      </c>
      <c r="I102" s="82">
        <f t="shared" si="6"/>
        <v>60397</v>
      </c>
      <c r="J102" s="82">
        <v>5.5</v>
      </c>
      <c r="K102" s="82">
        <v>54.7</v>
      </c>
      <c r="L102" s="82">
        <v>97</v>
      </c>
      <c r="M102" s="82">
        <v>1.82</v>
      </c>
      <c r="N102" s="82">
        <v>4</v>
      </c>
      <c r="O102" s="82">
        <v>22.1</v>
      </c>
      <c r="P102" s="82">
        <f t="shared" si="7"/>
        <v>47049</v>
      </c>
      <c r="Q102" s="82">
        <v>29</v>
      </c>
      <c r="R102" s="82">
        <v>7.1</v>
      </c>
      <c r="S102" s="82">
        <v>7.8</v>
      </c>
      <c r="T102" s="82">
        <v>26</v>
      </c>
      <c r="U102" s="82">
        <v>23245</v>
      </c>
      <c r="V102" s="82">
        <v>2243</v>
      </c>
      <c r="W102" s="82">
        <v>3.9</v>
      </c>
      <c r="X102" s="82">
        <v>40.5</v>
      </c>
      <c r="Y102" s="82">
        <v>75.2</v>
      </c>
      <c r="Z102" s="82">
        <v>54.1</v>
      </c>
      <c r="AA102" s="82">
        <v>68.3</v>
      </c>
      <c r="AB102" s="82">
        <v>87.2</v>
      </c>
      <c r="AC102" s="82">
        <v>56</v>
      </c>
      <c r="AD102" s="82">
        <v>91.1</v>
      </c>
      <c r="AE102" s="82">
        <v>23.1</v>
      </c>
      <c r="AF102" s="82">
        <v>65.2</v>
      </c>
      <c r="AG102" s="82">
        <v>0.7</v>
      </c>
      <c r="AH102" s="82">
        <v>9.9</v>
      </c>
      <c r="AI102" s="82">
        <v>1.2</v>
      </c>
      <c r="AJ102" s="82">
        <v>5.0999999999999996</v>
      </c>
      <c r="AK102" s="82">
        <v>4.9000000000000004</v>
      </c>
      <c r="AL102" s="82">
        <v>4.9000000000000004</v>
      </c>
      <c r="AM102" s="82">
        <v>4.9000000000000004</v>
      </c>
      <c r="AN102" s="82">
        <v>5.0999999999999996</v>
      </c>
      <c r="AO102" s="82">
        <v>4.9000000000000004</v>
      </c>
      <c r="AP102" s="82">
        <v>5</v>
      </c>
      <c r="AQ102" s="82">
        <v>4.9000000000000004</v>
      </c>
      <c r="AR102" s="82">
        <v>4.5</v>
      </c>
      <c r="AS102" s="82">
        <v>4.3</v>
      </c>
      <c r="AT102" s="82">
        <v>4.4000000000000004</v>
      </c>
      <c r="AU102" s="82">
        <v>4.0999999999999996</v>
      </c>
      <c r="AV102" s="82">
        <v>3.8</v>
      </c>
      <c r="AW102" s="82">
        <v>3.7</v>
      </c>
      <c r="AX102" s="82">
        <v>3.4</v>
      </c>
      <c r="AY102" s="82">
        <v>3.4</v>
      </c>
      <c r="AZ102" s="82">
        <v>3.2</v>
      </c>
      <c r="BA102" s="82">
        <v>3.4</v>
      </c>
      <c r="BB102" s="82">
        <v>2.6</v>
      </c>
      <c r="BC102" s="82">
        <v>2.6</v>
      </c>
      <c r="BD102" s="82">
        <v>2.2000000000000002</v>
      </c>
      <c r="BE102" s="82">
        <v>2.5</v>
      </c>
      <c r="BF102" s="82">
        <v>1.6</v>
      </c>
      <c r="BG102" s="82">
        <v>2</v>
      </c>
      <c r="BH102" s="82">
        <v>1.2</v>
      </c>
      <c r="BI102" s="82">
        <v>1.6</v>
      </c>
      <c r="BJ102" s="82">
        <v>0.8</v>
      </c>
      <c r="BK102" s="82">
        <v>1.1000000000000001</v>
      </c>
      <c r="BL102" s="82">
        <v>0.6</v>
      </c>
      <c r="BM102" s="82">
        <v>0.9</v>
      </c>
      <c r="BN102" s="82">
        <v>0.4</v>
      </c>
      <c r="BO102" s="82">
        <v>0.6</v>
      </c>
      <c r="BP102" s="82">
        <v>0.2</v>
      </c>
      <c r="BQ102" s="82">
        <v>0.3</v>
      </c>
      <c r="BR102" s="82">
        <v>0.2</v>
      </c>
      <c r="BS102" s="82">
        <v>0.3</v>
      </c>
      <c r="BT102" s="82">
        <v>25123</v>
      </c>
      <c r="BU102" s="82">
        <v>7110</v>
      </c>
      <c r="BV102" s="82">
        <v>2290</v>
      </c>
      <c r="BW102" s="82">
        <v>25902</v>
      </c>
      <c r="BX102" s="82">
        <v>10.5</v>
      </c>
      <c r="BY102" s="82">
        <v>2.6</v>
      </c>
      <c r="BZ102" s="82">
        <v>4.3</v>
      </c>
      <c r="CA102" s="82">
        <v>16.3</v>
      </c>
      <c r="CB102" s="82">
        <v>21.2</v>
      </c>
      <c r="CC102" s="82">
        <v>16.5</v>
      </c>
      <c r="CD102" s="82">
        <v>12.5</v>
      </c>
      <c r="CE102" s="82">
        <v>9.8000000000000007</v>
      </c>
      <c r="CF102" s="82">
        <v>4.5</v>
      </c>
      <c r="CG102" s="82">
        <v>1.1000000000000001</v>
      </c>
      <c r="CH102" s="82">
        <v>0.4</v>
      </c>
      <c r="CI102" s="82">
        <v>0.3</v>
      </c>
      <c r="CJ102" s="82">
        <f t="shared" si="8"/>
        <v>60425</v>
      </c>
      <c r="CK102" s="82">
        <f t="shared" si="9"/>
        <v>109971.86116613429</v>
      </c>
      <c r="CL102" s="95">
        <f ca="1">$CK102*SUM(OFFSET($AJ102,0,(COUNTA($CL$1:CL$1)-1)*4,1,4))/100</f>
        <v>21774.428510894588</v>
      </c>
      <c r="CM102" s="95">
        <f ca="1">$CK102*SUM(OFFSET($AJ102,0,(COUNTA($CL$1:CM$1)-1)*4,1,4))/100</f>
        <v>21884.400372060725</v>
      </c>
      <c r="CN102" s="95">
        <f ca="1">$CK102*SUM(OFFSET($AJ102,0,(COUNTA($CL$1:CN$1)-1)*4,1,4))/100</f>
        <v>19025.131981741233</v>
      </c>
      <c r="CO102" s="95">
        <f ca="1">$CK102*SUM(OFFSET($AJ102,0,(COUNTA($CL$1:CO$1)-1)*4,1,4))/100</f>
        <v>15725.976146757204</v>
      </c>
      <c r="CP102" s="95">
        <f ca="1">$CK102*SUM(OFFSET($AJ102,0,(COUNTA($CL$1:CP$1)-1)*4,1,4))/100</f>
        <v>12976.679617603844</v>
      </c>
      <c r="CQ102" s="95">
        <f ca="1">$CK102*SUM(OFFSET($AJ102,0,(COUNTA($CL$1:CQ$1)-1)*4,1,4))/100</f>
        <v>9127.6644767891466</v>
      </c>
      <c r="CR102" s="95">
        <f ca="1">$CK102*SUM(OFFSET($AJ102,0,(COUNTA($CL$1:CR$1)-1)*4,1,4))/100</f>
        <v>5168.6774748083108</v>
      </c>
      <c r="CS102" s="95">
        <f ca="1">$CK102*SUM(OFFSET($AJ102,0,(COUNTA($CL$1:CS$1)-1)*4,1,4))/100</f>
        <v>2749.2965291533574</v>
      </c>
      <c r="CT102" s="95">
        <f ca="1">$CK102*SUM(OFFSET($AJ102,0,(COUNTA($CL$1:CT$1)-1)*4,1,4))/100</f>
        <v>1099.7186116613429</v>
      </c>
      <c r="CU102" s="96">
        <f t="shared" si="10"/>
        <v>23373.5</v>
      </c>
      <c r="CV102" s="96">
        <f t="shared" si="11"/>
        <v>4.7049804764427359</v>
      </c>
    </row>
    <row r="103" spans="1:100">
      <c r="A103" s="82" t="str">
        <f ca="1">IF(ISERROR(OFFSET(Map!$E$2,MATCH(D103,Map!$B$3:$B$239,0),0)),OFFSET(Map!$E$2,MATCH(D103,Map!$C$3:$C$239,0),0),OFFSET(Map!$E$2,MATCH(D103,Map!$B$3:$B$239,0),0))</f>
        <v>ZF Mgcawu</v>
      </c>
      <c r="B103" s="82">
        <v>102</v>
      </c>
      <c r="C103" s="82" t="s">
        <v>61</v>
      </c>
      <c r="D103" s="82" t="s">
        <v>406</v>
      </c>
      <c r="E103" s="82" t="s">
        <v>407</v>
      </c>
      <c r="F103" s="82">
        <v>16637</v>
      </c>
      <c r="G103" s="82">
        <v>35</v>
      </c>
      <c r="H103" s="82">
        <v>60.3</v>
      </c>
      <c r="I103" s="82">
        <f t="shared" si="6"/>
        <v>10032</v>
      </c>
      <c r="J103" s="82">
        <v>4.7</v>
      </c>
      <c r="K103" s="82">
        <v>65.900000000000006</v>
      </c>
      <c r="L103" s="82">
        <v>102.2</v>
      </c>
      <c r="M103" s="82">
        <v>0.06</v>
      </c>
      <c r="N103" s="82">
        <v>1</v>
      </c>
      <c r="O103" s="82">
        <v>28</v>
      </c>
      <c r="P103" s="82">
        <f t="shared" si="7"/>
        <v>7223</v>
      </c>
      <c r="Q103" s="82">
        <v>34.299999999999997</v>
      </c>
      <c r="R103" s="82">
        <v>13.5</v>
      </c>
      <c r="S103" s="82">
        <v>4.5</v>
      </c>
      <c r="T103" s="82">
        <v>14</v>
      </c>
      <c r="U103" s="82">
        <v>4146</v>
      </c>
      <c r="V103" s="82">
        <v>1209</v>
      </c>
      <c r="W103" s="82">
        <v>3.9</v>
      </c>
      <c r="X103" s="82">
        <v>33.6</v>
      </c>
      <c r="Y103" s="82">
        <v>66.3</v>
      </c>
      <c r="Z103" s="82">
        <v>67.099999999999994</v>
      </c>
      <c r="AA103" s="82">
        <v>27</v>
      </c>
      <c r="AB103" s="82">
        <v>53.3</v>
      </c>
      <c r="AC103" s="82">
        <v>16.7</v>
      </c>
      <c r="AD103" s="82">
        <v>64</v>
      </c>
      <c r="AE103" s="82">
        <v>6.9</v>
      </c>
      <c r="AF103" s="82">
        <v>85.4</v>
      </c>
      <c r="AG103" s="82">
        <v>1</v>
      </c>
      <c r="AH103" s="82">
        <v>5.4</v>
      </c>
      <c r="AI103" s="82">
        <v>1.4</v>
      </c>
      <c r="AJ103" s="82">
        <v>6.1</v>
      </c>
      <c r="AK103" s="82">
        <v>5.8</v>
      </c>
      <c r="AL103" s="82">
        <v>5.8</v>
      </c>
      <c r="AM103" s="82">
        <v>6</v>
      </c>
      <c r="AN103" s="82">
        <v>5.8</v>
      </c>
      <c r="AO103" s="82">
        <v>5.5</v>
      </c>
      <c r="AP103" s="82">
        <v>4.5</v>
      </c>
      <c r="AQ103" s="82">
        <v>4.7</v>
      </c>
      <c r="AR103" s="82">
        <v>3.8</v>
      </c>
      <c r="AS103" s="82">
        <v>3.3</v>
      </c>
      <c r="AT103" s="82">
        <v>3.6</v>
      </c>
      <c r="AU103" s="82">
        <v>3.6</v>
      </c>
      <c r="AV103" s="82">
        <v>4.2</v>
      </c>
      <c r="AW103" s="82">
        <v>3.5</v>
      </c>
      <c r="AX103" s="82">
        <v>3.5</v>
      </c>
      <c r="AY103" s="82">
        <v>3.3</v>
      </c>
      <c r="AZ103" s="82">
        <v>2.9</v>
      </c>
      <c r="BA103" s="82">
        <v>2.9</v>
      </c>
      <c r="BB103" s="82">
        <v>3</v>
      </c>
      <c r="BC103" s="82">
        <v>3</v>
      </c>
      <c r="BD103" s="82">
        <v>2</v>
      </c>
      <c r="BE103" s="82">
        <v>2.2999999999999998</v>
      </c>
      <c r="BF103" s="82">
        <v>1.9</v>
      </c>
      <c r="BG103" s="82">
        <v>2.1</v>
      </c>
      <c r="BH103" s="82">
        <v>1.5</v>
      </c>
      <c r="BI103" s="82">
        <v>1.5</v>
      </c>
      <c r="BJ103" s="82">
        <v>0.9</v>
      </c>
      <c r="BK103" s="82">
        <v>1</v>
      </c>
      <c r="BL103" s="82">
        <v>0.6</v>
      </c>
      <c r="BM103" s="82">
        <v>0.7</v>
      </c>
      <c r="BN103" s="82">
        <v>0.4</v>
      </c>
      <c r="BO103" s="82">
        <v>0.5</v>
      </c>
      <c r="BP103" s="82">
        <v>0.1</v>
      </c>
      <c r="BQ103" s="82">
        <v>0.2</v>
      </c>
      <c r="BR103" s="82">
        <v>0.2</v>
      </c>
      <c r="BS103" s="82">
        <v>0.2</v>
      </c>
      <c r="BT103" s="82">
        <v>4047</v>
      </c>
      <c r="BU103" s="82">
        <v>1570</v>
      </c>
      <c r="BV103" s="82">
        <v>551</v>
      </c>
      <c r="BW103" s="82">
        <v>3862</v>
      </c>
      <c r="BX103" s="82">
        <v>7.7</v>
      </c>
      <c r="BY103" s="82">
        <v>3.3</v>
      </c>
      <c r="BZ103" s="82">
        <v>7</v>
      </c>
      <c r="CA103" s="82">
        <v>22.2</v>
      </c>
      <c r="CB103" s="82">
        <v>28.3</v>
      </c>
      <c r="CC103" s="82">
        <v>16.2</v>
      </c>
      <c r="CD103" s="82">
        <v>7.1</v>
      </c>
      <c r="CE103" s="82">
        <v>4.5999999999999996</v>
      </c>
      <c r="CF103" s="82">
        <v>2.2999999999999998</v>
      </c>
      <c r="CG103" s="82">
        <v>0.7</v>
      </c>
      <c r="CH103" s="82">
        <v>0.3</v>
      </c>
      <c r="CI103" s="82">
        <v>0.3</v>
      </c>
      <c r="CJ103" s="82">
        <f t="shared" si="8"/>
        <v>10030</v>
      </c>
      <c r="CK103" s="82">
        <f t="shared" si="9"/>
        <v>16727.055717653559</v>
      </c>
      <c r="CL103" s="95">
        <f ca="1">$CK103*SUM(OFFSET($AJ103,0,(COUNTA($CL$1:CL$1)-1)*4,1,4))/100</f>
        <v>3964.3122050838933</v>
      </c>
      <c r="CM103" s="95">
        <f ca="1">$CK103*SUM(OFFSET($AJ103,0,(COUNTA($CL$1:CM$1)-1)*4,1,4))/100</f>
        <v>3429.0464221189795</v>
      </c>
      <c r="CN103" s="95">
        <f ca="1">$CK103*SUM(OFFSET($AJ103,0,(COUNTA($CL$1:CN$1)-1)*4,1,4))/100</f>
        <v>2391.9689676244584</v>
      </c>
      <c r="CO103" s="95">
        <f ca="1">$CK103*SUM(OFFSET($AJ103,0,(COUNTA($CL$1:CO$1)-1)*4,1,4))/100</f>
        <v>2425.4230790597662</v>
      </c>
      <c r="CP103" s="95">
        <f ca="1">$CK103*SUM(OFFSET($AJ103,0,(COUNTA($CL$1:CP$1)-1)*4,1,4))/100</f>
        <v>1973.7925746831199</v>
      </c>
      <c r="CQ103" s="95">
        <f ca="1">$CK103*SUM(OFFSET($AJ103,0,(COUNTA($CL$1:CQ$1)-1)*4,1,4))/100</f>
        <v>1388.3456245652453</v>
      </c>
      <c r="CR103" s="95">
        <f ca="1">$CK103*SUM(OFFSET($AJ103,0,(COUNTA($CL$1:CR$1)-1)*4,1,4))/100</f>
        <v>819.62573016502438</v>
      </c>
      <c r="CS103" s="95">
        <f ca="1">$CK103*SUM(OFFSET($AJ103,0,(COUNTA($CL$1:CS$1)-1)*4,1,4))/100</f>
        <v>367.99522578837821</v>
      </c>
      <c r="CT103" s="95">
        <f ca="1">$CK103*SUM(OFFSET($AJ103,0,(COUNTA($CL$1:CT$1)-1)*4,1,4))/100</f>
        <v>117.08939002357491</v>
      </c>
      <c r="CU103" s="96">
        <f t="shared" si="10"/>
        <v>16637</v>
      </c>
      <c r="CV103" s="96">
        <f t="shared" si="11"/>
        <v>1.0054129781603389</v>
      </c>
    </row>
    <row r="104" spans="1:100">
      <c r="A104" s="82" t="str">
        <f ca="1">IF(ISERROR(OFFSET(Map!$E$2,MATCH(D104,Map!$B$3:$B$239,0),0)),OFFSET(Map!$E$2,MATCH(D104,Map!$C$3:$C$239,0),0),OFFSET(Map!$E$2,MATCH(D104,Map!$B$3:$B$239,0),0))</f>
        <v>ZF Mgcawu</v>
      </c>
      <c r="B104" s="82">
        <v>103</v>
      </c>
      <c r="C104" s="82" t="s">
        <v>61</v>
      </c>
      <c r="D104" s="82" t="s">
        <v>408</v>
      </c>
      <c r="E104" s="82" t="s">
        <v>409</v>
      </c>
      <c r="F104" s="82">
        <v>35093</v>
      </c>
      <c r="G104" s="82">
        <v>27.9</v>
      </c>
      <c r="H104" s="82">
        <v>67.599999999999994</v>
      </c>
      <c r="I104" s="82">
        <f t="shared" si="6"/>
        <v>23723</v>
      </c>
      <c r="J104" s="82">
        <v>4.4000000000000004</v>
      </c>
      <c r="K104" s="82">
        <v>47.8</v>
      </c>
      <c r="L104" s="82">
        <v>109.8</v>
      </c>
      <c r="M104" s="82">
        <v>2.59</v>
      </c>
      <c r="N104" s="82">
        <v>2</v>
      </c>
      <c r="O104" s="82">
        <v>26.1</v>
      </c>
      <c r="P104" s="82">
        <f t="shared" si="7"/>
        <v>17531</v>
      </c>
      <c r="Q104" s="82">
        <v>32.299999999999997</v>
      </c>
      <c r="R104" s="82">
        <v>13.7</v>
      </c>
      <c r="S104" s="82">
        <v>6.3</v>
      </c>
      <c r="T104" s="82">
        <v>25.3</v>
      </c>
      <c r="U104" s="82">
        <v>9839</v>
      </c>
      <c r="V104" s="82">
        <v>1132</v>
      </c>
      <c r="W104" s="82">
        <v>3.5</v>
      </c>
      <c r="X104" s="82">
        <v>31.3</v>
      </c>
      <c r="Y104" s="82">
        <v>71.8</v>
      </c>
      <c r="Z104" s="82">
        <v>44.7</v>
      </c>
      <c r="AA104" s="82">
        <v>66.7</v>
      </c>
      <c r="AB104" s="82">
        <v>57.4</v>
      </c>
      <c r="AC104" s="82">
        <v>45.3</v>
      </c>
      <c r="AD104" s="82">
        <v>83.5</v>
      </c>
      <c r="AE104" s="82">
        <v>52.8</v>
      </c>
      <c r="AF104" s="82">
        <v>37.6</v>
      </c>
      <c r="AG104" s="82">
        <v>0.6</v>
      </c>
      <c r="AH104" s="82">
        <v>8.4</v>
      </c>
      <c r="AI104" s="82">
        <v>0.6</v>
      </c>
      <c r="AJ104" s="82">
        <v>5.3</v>
      </c>
      <c r="AK104" s="82">
        <v>5.3</v>
      </c>
      <c r="AL104" s="82">
        <v>4.3</v>
      </c>
      <c r="AM104" s="82">
        <v>4.4000000000000004</v>
      </c>
      <c r="AN104" s="82">
        <v>4.5999999999999996</v>
      </c>
      <c r="AO104" s="82">
        <v>4.2</v>
      </c>
      <c r="AP104" s="82">
        <v>4.4000000000000004</v>
      </c>
      <c r="AQ104" s="82">
        <v>4.2</v>
      </c>
      <c r="AR104" s="82">
        <v>5.9</v>
      </c>
      <c r="AS104" s="82">
        <v>4.8</v>
      </c>
      <c r="AT104" s="82">
        <v>6.1</v>
      </c>
      <c r="AU104" s="82">
        <v>4.5999999999999996</v>
      </c>
      <c r="AV104" s="82">
        <v>5.2</v>
      </c>
      <c r="AW104" s="82">
        <v>3.7</v>
      </c>
      <c r="AX104" s="82">
        <v>3.8</v>
      </c>
      <c r="AY104" s="82">
        <v>3.4</v>
      </c>
      <c r="AZ104" s="82">
        <v>3.1</v>
      </c>
      <c r="BA104" s="82">
        <v>2.8</v>
      </c>
      <c r="BB104" s="82">
        <v>2.6</v>
      </c>
      <c r="BC104" s="82">
        <v>2.6</v>
      </c>
      <c r="BD104" s="82">
        <v>2.2000000000000002</v>
      </c>
      <c r="BE104" s="82">
        <v>2.2999999999999998</v>
      </c>
      <c r="BF104" s="82">
        <v>1.7</v>
      </c>
      <c r="BG104" s="82">
        <v>1.6</v>
      </c>
      <c r="BH104" s="82">
        <v>1.3</v>
      </c>
      <c r="BI104" s="82">
        <v>1.4</v>
      </c>
      <c r="BJ104" s="82">
        <v>0.7</v>
      </c>
      <c r="BK104" s="82">
        <v>1</v>
      </c>
      <c r="BL104" s="82">
        <v>0.5</v>
      </c>
      <c r="BM104" s="82">
        <v>0.7</v>
      </c>
      <c r="BN104" s="82">
        <v>0.3</v>
      </c>
      <c r="BO104" s="82">
        <v>0.5</v>
      </c>
      <c r="BP104" s="82">
        <v>0.1</v>
      </c>
      <c r="BQ104" s="82">
        <v>0.2</v>
      </c>
      <c r="BR104" s="82">
        <v>0.1</v>
      </c>
      <c r="BS104" s="82">
        <v>0.3</v>
      </c>
      <c r="BT104" s="82">
        <v>10760</v>
      </c>
      <c r="BU104" s="82">
        <v>3795</v>
      </c>
      <c r="BV104" s="82">
        <v>419</v>
      </c>
      <c r="BW104" s="82">
        <v>8764</v>
      </c>
      <c r="BX104" s="82">
        <v>12.9</v>
      </c>
      <c r="BY104" s="82">
        <v>2.7</v>
      </c>
      <c r="BZ104" s="82">
        <v>4.2</v>
      </c>
      <c r="CA104" s="82">
        <v>14.1</v>
      </c>
      <c r="CB104" s="82">
        <v>18.5</v>
      </c>
      <c r="CC104" s="82">
        <v>16.5</v>
      </c>
      <c r="CD104" s="82">
        <v>14.2</v>
      </c>
      <c r="CE104" s="82">
        <v>9.6</v>
      </c>
      <c r="CF104" s="82">
        <v>5.0999999999999996</v>
      </c>
      <c r="CG104" s="82">
        <v>1.4</v>
      </c>
      <c r="CH104" s="82">
        <v>0.5</v>
      </c>
      <c r="CI104" s="82">
        <v>0.3</v>
      </c>
      <c r="CJ104" s="82">
        <f t="shared" si="8"/>
        <v>23738</v>
      </c>
      <c r="CK104" s="82">
        <f t="shared" si="9"/>
        <v>44173.902140387632</v>
      </c>
      <c r="CL104" s="95">
        <f ca="1">$CK104*SUM(OFFSET($AJ104,0,(COUNTA($CL$1:CL$1)-1)*4,1,4))/100</f>
        <v>8525.5631130948113</v>
      </c>
      <c r="CM104" s="95">
        <f ca="1">$CK104*SUM(OFFSET($AJ104,0,(COUNTA($CL$1:CM$1)-1)*4,1,4))/100</f>
        <v>7686.2589724274494</v>
      </c>
      <c r="CN104" s="95">
        <f ca="1">$CK104*SUM(OFFSET($AJ104,0,(COUNTA($CL$1:CN$1)-1)*4,1,4))/100</f>
        <v>9453.2150580429534</v>
      </c>
      <c r="CO104" s="95">
        <f ca="1">$CK104*SUM(OFFSET($AJ104,0,(COUNTA($CL$1:CO$1)-1)*4,1,4))/100</f>
        <v>7111.9982446024078</v>
      </c>
      <c r="CP104" s="95">
        <f ca="1">$CK104*SUM(OFFSET($AJ104,0,(COUNTA($CL$1:CP$1)-1)*4,1,4))/100</f>
        <v>4903.3031375830269</v>
      </c>
      <c r="CQ104" s="95">
        <f ca="1">$CK104*SUM(OFFSET($AJ104,0,(COUNTA($CL$1:CQ$1)-1)*4,1,4))/100</f>
        <v>3445.5643669502356</v>
      </c>
      <c r="CR104" s="95">
        <f ca="1">$CK104*SUM(OFFSET($AJ104,0,(COUNTA($CL$1:CR$1)-1)*4,1,4))/100</f>
        <v>1943.651694177056</v>
      </c>
      <c r="CS104" s="95">
        <f ca="1">$CK104*SUM(OFFSET($AJ104,0,(COUNTA($CL$1:CS$1)-1)*4,1,4))/100</f>
        <v>883.47804280775267</v>
      </c>
      <c r="CT104" s="95">
        <f ca="1">$CK104*SUM(OFFSET($AJ104,0,(COUNTA($CL$1:CT$1)-1)*4,1,4))/100</f>
        <v>309.21731498271339</v>
      </c>
      <c r="CU104" s="96">
        <f t="shared" si="10"/>
        <v>17546.5</v>
      </c>
      <c r="CV104" s="96">
        <f t="shared" si="11"/>
        <v>2.5175335332053477</v>
      </c>
    </row>
    <row r="105" spans="1:100">
      <c r="A105" s="82" t="str">
        <f ca="1">IF(ISERROR(OFFSET(Map!$E$2,MATCH(D105,Map!$B$3:$B$239,0),0)),OFFSET(Map!$E$2,MATCH(D105,Map!$C$3:$C$239,0),0),OFFSET(Map!$E$2,MATCH(D105,Map!$B$3:$B$239,0),0))</f>
        <v>ZF Mgcawu</v>
      </c>
      <c r="B105" s="82">
        <v>104</v>
      </c>
      <c r="C105" s="82" t="s">
        <v>61</v>
      </c>
      <c r="D105" s="82" t="s">
        <v>410</v>
      </c>
      <c r="E105" s="82" t="s">
        <v>411</v>
      </c>
      <c r="F105" s="82">
        <v>18687</v>
      </c>
      <c r="G105" s="82">
        <v>29.5</v>
      </c>
      <c r="H105" s="82">
        <v>66.400000000000006</v>
      </c>
      <c r="I105" s="82">
        <f t="shared" si="6"/>
        <v>12408</v>
      </c>
      <c r="J105" s="82">
        <v>4.0999999999999996</v>
      </c>
      <c r="K105" s="82">
        <v>50.6</v>
      </c>
      <c r="L105" s="82">
        <v>102.8</v>
      </c>
      <c r="M105" s="82">
        <v>2.37</v>
      </c>
      <c r="N105" s="82">
        <v>8</v>
      </c>
      <c r="O105" s="82">
        <v>22.3</v>
      </c>
      <c r="P105" s="82">
        <f t="shared" si="7"/>
        <v>9641</v>
      </c>
      <c r="Q105" s="82">
        <v>29.1</v>
      </c>
      <c r="R105" s="82">
        <v>12.2</v>
      </c>
      <c r="S105" s="82">
        <v>9.1</v>
      </c>
      <c r="T105" s="82">
        <v>25.5</v>
      </c>
      <c r="U105" s="82">
        <v>5381</v>
      </c>
      <c r="V105" s="82">
        <v>937</v>
      </c>
      <c r="W105" s="82">
        <v>3.4</v>
      </c>
      <c r="X105" s="82">
        <v>29.7</v>
      </c>
      <c r="Y105" s="82">
        <v>89.7</v>
      </c>
      <c r="Z105" s="82">
        <v>36.1</v>
      </c>
      <c r="AA105" s="82">
        <v>89.2</v>
      </c>
      <c r="AB105" s="82">
        <v>91.7</v>
      </c>
      <c r="AC105" s="82">
        <v>74.400000000000006</v>
      </c>
      <c r="AD105" s="82">
        <v>91.7</v>
      </c>
      <c r="AE105" s="82">
        <v>49.9</v>
      </c>
      <c r="AF105" s="82">
        <v>38.9</v>
      </c>
      <c r="AG105" s="82">
        <v>0.7</v>
      </c>
      <c r="AH105" s="82">
        <v>9.8000000000000007</v>
      </c>
      <c r="AI105" s="82">
        <v>0.8</v>
      </c>
      <c r="AJ105" s="82">
        <v>5</v>
      </c>
      <c r="AK105" s="82">
        <v>5.6</v>
      </c>
      <c r="AL105" s="82">
        <v>5</v>
      </c>
      <c r="AM105" s="82">
        <v>4.8</v>
      </c>
      <c r="AN105" s="82">
        <v>4.7</v>
      </c>
      <c r="AO105" s="82">
        <v>4.4000000000000004</v>
      </c>
      <c r="AP105" s="82">
        <v>4.9000000000000004</v>
      </c>
      <c r="AQ105" s="82">
        <v>4.2</v>
      </c>
      <c r="AR105" s="82">
        <v>4.5</v>
      </c>
      <c r="AS105" s="82">
        <v>4.5999999999999996</v>
      </c>
      <c r="AT105" s="82">
        <v>5</v>
      </c>
      <c r="AU105" s="82">
        <v>4.7</v>
      </c>
      <c r="AV105" s="82">
        <v>4.4000000000000004</v>
      </c>
      <c r="AW105" s="82">
        <v>3.8</v>
      </c>
      <c r="AX105" s="82">
        <v>3.4</v>
      </c>
      <c r="AY105" s="82">
        <v>3.2</v>
      </c>
      <c r="AZ105" s="82">
        <v>3.1</v>
      </c>
      <c r="BA105" s="82">
        <v>3.2</v>
      </c>
      <c r="BB105" s="82">
        <v>3</v>
      </c>
      <c r="BC105" s="82">
        <v>3</v>
      </c>
      <c r="BD105" s="82">
        <v>2.8</v>
      </c>
      <c r="BE105" s="82">
        <v>2.2999999999999998</v>
      </c>
      <c r="BF105" s="82">
        <v>1.9</v>
      </c>
      <c r="BG105" s="82">
        <v>1.8</v>
      </c>
      <c r="BH105" s="82">
        <v>1.2</v>
      </c>
      <c r="BI105" s="82">
        <v>1.3</v>
      </c>
      <c r="BJ105" s="82">
        <v>0.7</v>
      </c>
      <c r="BK105" s="82">
        <v>0.9</v>
      </c>
      <c r="BL105" s="82">
        <v>0.5</v>
      </c>
      <c r="BM105" s="82">
        <v>0.7</v>
      </c>
      <c r="BN105" s="82">
        <v>0.3</v>
      </c>
      <c r="BO105" s="82">
        <v>0.3</v>
      </c>
      <c r="BP105" s="82">
        <v>0.1</v>
      </c>
      <c r="BQ105" s="82">
        <v>0.2</v>
      </c>
      <c r="BR105" s="82">
        <v>0.1</v>
      </c>
      <c r="BS105" s="82">
        <v>0.2</v>
      </c>
      <c r="BT105" s="82">
        <v>5365</v>
      </c>
      <c r="BU105" s="82">
        <v>1544</v>
      </c>
      <c r="BV105" s="82">
        <v>474</v>
      </c>
      <c r="BW105" s="82">
        <v>5029</v>
      </c>
      <c r="BX105" s="82">
        <v>9.8000000000000007</v>
      </c>
      <c r="BY105" s="82">
        <v>2.7</v>
      </c>
      <c r="BZ105" s="82">
        <v>4.4000000000000004</v>
      </c>
      <c r="CA105" s="82">
        <v>16.3</v>
      </c>
      <c r="CB105" s="82">
        <v>19.7</v>
      </c>
      <c r="CC105" s="82">
        <v>16.2</v>
      </c>
      <c r="CD105" s="82">
        <v>14.4</v>
      </c>
      <c r="CE105" s="82">
        <v>9.8000000000000007</v>
      </c>
      <c r="CF105" s="82">
        <v>4.7</v>
      </c>
      <c r="CG105" s="82">
        <v>1.3</v>
      </c>
      <c r="CH105" s="82">
        <v>0.5</v>
      </c>
      <c r="CI105" s="82">
        <v>0.2</v>
      </c>
      <c r="CJ105" s="82">
        <f t="shared" si="8"/>
        <v>12412</v>
      </c>
      <c r="CK105" s="82">
        <f t="shared" si="9"/>
        <v>23072.460713906654</v>
      </c>
      <c r="CL105" s="95">
        <f ca="1">$CK105*SUM(OFFSET($AJ105,0,(COUNTA($CL$1:CL$1)-1)*4,1,4))/100</f>
        <v>4706.781985636957</v>
      </c>
      <c r="CM105" s="95">
        <f ca="1">$CK105*SUM(OFFSET($AJ105,0,(COUNTA($CL$1:CM$1)-1)*4,1,4))/100</f>
        <v>4199.1878499310114</v>
      </c>
      <c r="CN105" s="95">
        <f ca="1">$CK105*SUM(OFFSET($AJ105,0,(COUNTA($CL$1:CN$1)-1)*4,1,4))/100</f>
        <v>4337.6226142144515</v>
      </c>
      <c r="CO105" s="95">
        <f ca="1">$CK105*SUM(OFFSET($AJ105,0,(COUNTA($CL$1:CO$1)-1)*4,1,4))/100</f>
        <v>3414.724185658185</v>
      </c>
      <c r="CP105" s="95">
        <f ca="1">$CK105*SUM(OFFSET($AJ105,0,(COUNTA($CL$1:CP$1)-1)*4,1,4))/100</f>
        <v>2837.9126678105185</v>
      </c>
      <c r="CQ105" s="95">
        <f ca="1">$CK105*SUM(OFFSET($AJ105,0,(COUNTA($CL$1:CQ$1)-1)*4,1,4))/100</f>
        <v>2030.3765428237855</v>
      </c>
      <c r="CR105" s="95">
        <f ca="1">$CK105*SUM(OFFSET($AJ105,0,(COUNTA($CL$1:CR$1)-1)*4,1,4))/100</f>
        <v>945.97088927017296</v>
      </c>
      <c r="CS105" s="95">
        <f ca="1">$CK105*SUM(OFFSET($AJ105,0,(COUNTA($CL$1:CS$1)-1)*4,1,4))/100</f>
        <v>415.30429285031977</v>
      </c>
      <c r="CT105" s="95">
        <f ca="1">$CK105*SUM(OFFSET($AJ105,0,(COUNTA($CL$1:CT$1)-1)*4,1,4))/100</f>
        <v>138.43476428343993</v>
      </c>
      <c r="CU105" s="96">
        <f t="shared" si="10"/>
        <v>2335.875</v>
      </c>
      <c r="CV105" s="96">
        <f t="shared" si="11"/>
        <v>9.8774380966047648</v>
      </c>
    </row>
    <row r="106" spans="1:100">
      <c r="A106" s="82" t="str">
        <f ca="1">IF(ISERROR(OFFSET(Map!$E$2,MATCH(D106,Map!$B$3:$B$239,0),0)),OFFSET(Map!$E$2,MATCH(D106,Map!$C$3:$C$239,0),0),OFFSET(Map!$E$2,MATCH(D106,Map!$B$3:$B$239,0),0))</f>
        <v>Frances Baard</v>
      </c>
      <c r="B106" s="82">
        <v>105</v>
      </c>
      <c r="C106" s="82" t="s">
        <v>61</v>
      </c>
      <c r="D106" s="82" t="s">
        <v>412</v>
      </c>
      <c r="E106" s="82" t="s">
        <v>413</v>
      </c>
      <c r="F106" s="82">
        <v>248041</v>
      </c>
      <c r="G106" s="82">
        <v>28.3</v>
      </c>
      <c r="H106" s="82">
        <v>66.2</v>
      </c>
      <c r="I106" s="82">
        <f t="shared" si="6"/>
        <v>164203</v>
      </c>
      <c r="J106" s="82">
        <v>5.5</v>
      </c>
      <c r="K106" s="82">
        <v>51</v>
      </c>
      <c r="L106" s="82">
        <v>94</v>
      </c>
      <c r="M106" s="82">
        <v>2.04</v>
      </c>
      <c r="N106" s="82">
        <v>79</v>
      </c>
      <c r="O106" s="82">
        <v>31.9</v>
      </c>
      <c r="P106" s="82">
        <f t="shared" si="7"/>
        <v>111822</v>
      </c>
      <c r="Q106" s="82">
        <v>41.7</v>
      </c>
      <c r="R106" s="82">
        <v>7.1</v>
      </c>
      <c r="S106" s="82">
        <v>10.4</v>
      </c>
      <c r="T106" s="82">
        <v>29.2</v>
      </c>
      <c r="U106" s="82">
        <v>60297</v>
      </c>
      <c r="V106" s="82">
        <v>5715</v>
      </c>
      <c r="W106" s="82">
        <v>3.9</v>
      </c>
      <c r="X106" s="82">
        <v>41</v>
      </c>
      <c r="Y106" s="82">
        <v>81.599999999999994</v>
      </c>
      <c r="Z106" s="82">
        <v>61.2</v>
      </c>
      <c r="AA106" s="82">
        <v>82.8</v>
      </c>
      <c r="AB106" s="82">
        <v>84.3</v>
      </c>
      <c r="AC106" s="82">
        <v>61.9</v>
      </c>
      <c r="AD106" s="82">
        <v>84.9</v>
      </c>
      <c r="AE106" s="82">
        <v>61.2</v>
      </c>
      <c r="AF106" s="82">
        <v>27.4</v>
      </c>
      <c r="AG106" s="82">
        <v>1.2</v>
      </c>
      <c r="AH106" s="82">
        <v>7.5</v>
      </c>
      <c r="AI106" s="82">
        <v>2.7</v>
      </c>
      <c r="AJ106" s="82">
        <v>5.3</v>
      </c>
      <c r="AK106" s="82">
        <v>5.0999999999999996</v>
      </c>
      <c r="AL106" s="82">
        <v>4.7</v>
      </c>
      <c r="AM106" s="82">
        <v>4.5</v>
      </c>
      <c r="AN106" s="82">
        <v>4.5</v>
      </c>
      <c r="AO106" s="82">
        <v>4.3</v>
      </c>
      <c r="AP106" s="82">
        <v>4.7</v>
      </c>
      <c r="AQ106" s="82">
        <v>4.7</v>
      </c>
      <c r="AR106" s="82">
        <v>4.7</v>
      </c>
      <c r="AS106" s="82">
        <v>4.8</v>
      </c>
      <c r="AT106" s="82">
        <v>4.7</v>
      </c>
      <c r="AU106" s="82">
        <v>4.8</v>
      </c>
      <c r="AV106" s="82">
        <v>4</v>
      </c>
      <c r="AW106" s="82">
        <v>4.0999999999999996</v>
      </c>
      <c r="AX106" s="82">
        <v>3.3</v>
      </c>
      <c r="AY106" s="82">
        <v>3.6</v>
      </c>
      <c r="AZ106" s="82">
        <v>2.9</v>
      </c>
      <c r="BA106" s="82">
        <v>3.3</v>
      </c>
      <c r="BB106" s="82">
        <v>2.5</v>
      </c>
      <c r="BC106" s="82">
        <v>2.5</v>
      </c>
      <c r="BD106" s="82">
        <v>2.2000000000000002</v>
      </c>
      <c r="BE106" s="82">
        <v>2.6</v>
      </c>
      <c r="BF106" s="82">
        <v>1.6</v>
      </c>
      <c r="BG106" s="82">
        <v>2.1</v>
      </c>
      <c r="BH106" s="82">
        <v>1.3</v>
      </c>
      <c r="BI106" s="82">
        <v>1.6</v>
      </c>
      <c r="BJ106" s="82">
        <v>0.8</v>
      </c>
      <c r="BK106" s="82">
        <v>1.1000000000000001</v>
      </c>
      <c r="BL106" s="82">
        <v>0.6</v>
      </c>
      <c r="BM106" s="82">
        <v>0.9</v>
      </c>
      <c r="BN106" s="82">
        <v>0.4</v>
      </c>
      <c r="BO106" s="82">
        <v>0.6</v>
      </c>
      <c r="BP106" s="82">
        <v>0.2</v>
      </c>
      <c r="BQ106" s="82">
        <v>0.4</v>
      </c>
      <c r="BR106" s="82">
        <v>0.1</v>
      </c>
      <c r="BS106" s="82">
        <v>0.3</v>
      </c>
      <c r="BT106" s="82">
        <v>63049</v>
      </c>
      <c r="BU106" s="82">
        <v>29514</v>
      </c>
      <c r="BV106" s="82">
        <v>7474</v>
      </c>
      <c r="BW106" s="82">
        <v>64250</v>
      </c>
      <c r="BX106" s="82">
        <v>11.7</v>
      </c>
      <c r="BY106" s="82">
        <v>3.3</v>
      </c>
      <c r="BZ106" s="82">
        <v>5.3</v>
      </c>
      <c r="CA106" s="82">
        <v>16.100000000000001</v>
      </c>
      <c r="CB106" s="82">
        <v>18.7</v>
      </c>
      <c r="CC106" s="82">
        <v>14.9</v>
      </c>
      <c r="CD106" s="82">
        <v>12</v>
      </c>
      <c r="CE106" s="82">
        <v>9.6</v>
      </c>
      <c r="CF106" s="82">
        <v>5.8</v>
      </c>
      <c r="CG106" s="82">
        <v>1.8</v>
      </c>
      <c r="CH106" s="82">
        <v>0.4</v>
      </c>
      <c r="CI106" s="82">
        <v>0.4</v>
      </c>
      <c r="CJ106" s="82">
        <f t="shared" si="8"/>
        <v>164287</v>
      </c>
      <c r="CK106" s="82">
        <f t="shared" si="9"/>
        <v>297479.82889429195</v>
      </c>
      <c r="CL106" s="95">
        <f ca="1">$CK106*SUM(OFFSET($AJ106,0,(COUNTA($CL$1:CL$1)-1)*4,1,4))/100</f>
        <v>58306.046463281215</v>
      </c>
      <c r="CM106" s="95">
        <f ca="1">$CK106*SUM(OFFSET($AJ106,0,(COUNTA($CL$1:CM$1)-1)*4,1,4))/100</f>
        <v>54141.328858761139</v>
      </c>
      <c r="CN106" s="95">
        <f ca="1">$CK106*SUM(OFFSET($AJ106,0,(COUNTA($CL$1:CN$1)-1)*4,1,4))/100</f>
        <v>56521.167489915475</v>
      </c>
      <c r="CO106" s="95">
        <f ca="1">$CK106*SUM(OFFSET($AJ106,0,(COUNTA($CL$1:CO$1)-1)*4,1,4))/100</f>
        <v>44621.974334143779</v>
      </c>
      <c r="CP106" s="95">
        <f ca="1">$CK106*SUM(OFFSET($AJ106,0,(COUNTA($CL$1:CP$1)-1)*4,1,4))/100</f>
        <v>33317.740836160694</v>
      </c>
      <c r="CQ106" s="95">
        <f ca="1">$CK106*SUM(OFFSET($AJ106,0,(COUNTA($CL$1:CQ$1)-1)*4,1,4))/100</f>
        <v>25285.785456014815</v>
      </c>
      <c r="CR106" s="95">
        <f ca="1">$CK106*SUM(OFFSET($AJ106,0,(COUNTA($CL$1:CR$1)-1)*4,1,4))/100</f>
        <v>14279.031786926016</v>
      </c>
      <c r="CS106" s="95">
        <f ca="1">$CK106*SUM(OFFSET($AJ106,0,(COUNTA($CL$1:CS$1)-1)*4,1,4))/100</f>
        <v>7436.9957223572992</v>
      </c>
      <c r="CT106" s="95">
        <f ca="1">$CK106*SUM(OFFSET($AJ106,0,(COUNTA($CL$1:CT$1)-1)*4,1,4))/100</f>
        <v>2974.7982889429195</v>
      </c>
      <c r="CU106" s="96">
        <f t="shared" si="10"/>
        <v>3139.7594936708861</v>
      </c>
      <c r="CV106" s="96">
        <f t="shared" si="11"/>
        <v>94.746056025612958</v>
      </c>
    </row>
    <row r="107" spans="1:100">
      <c r="A107" s="82" t="str">
        <f ca="1">IF(ISERROR(OFFSET(Map!$E$2,MATCH(D107,Map!$B$3:$B$239,0),0)),OFFSET(Map!$E$2,MATCH(D107,Map!$C$3:$C$239,0),0),OFFSET(Map!$E$2,MATCH(D107,Map!$B$3:$B$239,0),0))</f>
        <v>Frances Baard</v>
      </c>
      <c r="B107" s="82">
        <v>106</v>
      </c>
      <c r="C107" s="82" t="s">
        <v>61</v>
      </c>
      <c r="D107" s="82" t="s">
        <v>414</v>
      </c>
      <c r="E107" s="82" t="s">
        <v>415</v>
      </c>
      <c r="F107" s="82">
        <v>46841</v>
      </c>
      <c r="G107" s="82">
        <v>31.6</v>
      </c>
      <c r="H107" s="82">
        <v>63.1</v>
      </c>
      <c r="I107" s="82">
        <f t="shared" si="6"/>
        <v>29557</v>
      </c>
      <c r="J107" s="82">
        <v>5.3</v>
      </c>
      <c r="K107" s="82">
        <v>58.5</v>
      </c>
      <c r="L107" s="82">
        <v>97</v>
      </c>
      <c r="M107" s="82">
        <v>2.02</v>
      </c>
      <c r="N107" s="82">
        <v>6</v>
      </c>
      <c r="O107" s="82">
        <v>39.700000000000003</v>
      </c>
      <c r="P107" s="82">
        <f t="shared" si="7"/>
        <v>17823</v>
      </c>
      <c r="Q107" s="82">
        <v>49</v>
      </c>
      <c r="R107" s="82">
        <v>17.7</v>
      </c>
      <c r="S107" s="82">
        <v>2.7</v>
      </c>
      <c r="T107" s="82">
        <v>20.3</v>
      </c>
      <c r="U107" s="82">
        <v>11967</v>
      </c>
      <c r="V107" s="82">
        <v>2611</v>
      </c>
      <c r="W107" s="82">
        <v>3.7</v>
      </c>
      <c r="X107" s="82">
        <v>35.4</v>
      </c>
      <c r="Y107" s="82">
        <v>78.5</v>
      </c>
      <c r="Z107" s="82">
        <v>47.1</v>
      </c>
      <c r="AA107" s="82">
        <v>60</v>
      </c>
      <c r="AB107" s="82">
        <v>49.6</v>
      </c>
      <c r="AC107" s="82">
        <v>30.7</v>
      </c>
      <c r="AD107" s="82">
        <v>75.900000000000006</v>
      </c>
      <c r="AE107" s="82">
        <v>58.5</v>
      </c>
      <c r="AF107" s="82">
        <v>28.5</v>
      </c>
      <c r="AG107" s="82">
        <v>0.6</v>
      </c>
      <c r="AH107" s="82">
        <v>3.6</v>
      </c>
      <c r="AI107" s="82">
        <v>8.9</v>
      </c>
      <c r="AJ107" s="82">
        <v>5.7</v>
      </c>
      <c r="AK107" s="82">
        <v>5.5</v>
      </c>
      <c r="AL107" s="82">
        <v>5.3</v>
      </c>
      <c r="AM107" s="82">
        <v>5.3</v>
      </c>
      <c r="AN107" s="82">
        <v>5.0999999999999996</v>
      </c>
      <c r="AO107" s="82">
        <v>4.8</v>
      </c>
      <c r="AP107" s="82">
        <v>4.5999999999999996</v>
      </c>
      <c r="AQ107" s="82">
        <v>4.5999999999999996</v>
      </c>
      <c r="AR107" s="82">
        <v>4.5999999999999996</v>
      </c>
      <c r="AS107" s="82">
        <v>4.5999999999999996</v>
      </c>
      <c r="AT107" s="82">
        <v>4.3</v>
      </c>
      <c r="AU107" s="82">
        <v>4.4000000000000004</v>
      </c>
      <c r="AV107" s="82">
        <v>3.8</v>
      </c>
      <c r="AW107" s="82">
        <v>3.7</v>
      </c>
      <c r="AX107" s="82">
        <v>3.2</v>
      </c>
      <c r="AY107" s="82">
        <v>3.3</v>
      </c>
      <c r="AZ107" s="82">
        <v>2.9</v>
      </c>
      <c r="BA107" s="82">
        <v>2.9</v>
      </c>
      <c r="BB107" s="82">
        <v>2.2999999999999998</v>
      </c>
      <c r="BC107" s="82">
        <v>2.2999999999999998</v>
      </c>
      <c r="BD107" s="82">
        <v>2.2999999999999998</v>
      </c>
      <c r="BE107" s="82">
        <v>2.2999999999999998</v>
      </c>
      <c r="BF107" s="82">
        <v>1.7</v>
      </c>
      <c r="BG107" s="82">
        <v>1.9</v>
      </c>
      <c r="BH107" s="82">
        <v>1.4</v>
      </c>
      <c r="BI107" s="82">
        <v>1.4</v>
      </c>
      <c r="BJ107" s="82">
        <v>0.9</v>
      </c>
      <c r="BK107" s="82">
        <v>1.2</v>
      </c>
      <c r="BL107" s="82">
        <v>0.5</v>
      </c>
      <c r="BM107" s="82">
        <v>0.8</v>
      </c>
      <c r="BN107" s="82">
        <v>0.4</v>
      </c>
      <c r="BO107" s="82">
        <v>0.6</v>
      </c>
      <c r="BP107" s="82">
        <v>0.2</v>
      </c>
      <c r="BQ107" s="82">
        <v>0.3</v>
      </c>
      <c r="BR107" s="82">
        <v>0.2</v>
      </c>
      <c r="BS107" s="82">
        <v>0.3</v>
      </c>
      <c r="BT107" s="82">
        <v>7841</v>
      </c>
      <c r="BU107" s="82">
        <v>5164</v>
      </c>
      <c r="BV107" s="82">
        <v>2041</v>
      </c>
      <c r="BW107" s="82">
        <v>14510</v>
      </c>
      <c r="BX107" s="82">
        <v>15.2</v>
      </c>
      <c r="BY107" s="82">
        <v>5.2</v>
      </c>
      <c r="BZ107" s="82">
        <v>7.2</v>
      </c>
      <c r="CA107" s="82">
        <v>24.3</v>
      </c>
      <c r="CB107" s="82">
        <v>23.4</v>
      </c>
      <c r="CC107" s="82">
        <v>12.7</v>
      </c>
      <c r="CD107" s="82">
        <v>6.6</v>
      </c>
      <c r="CE107" s="82">
        <v>3.4</v>
      </c>
      <c r="CF107" s="82">
        <v>1.5</v>
      </c>
      <c r="CG107" s="82">
        <v>0.3</v>
      </c>
      <c r="CH107" s="82">
        <v>0.1</v>
      </c>
      <c r="CI107" s="82">
        <v>0.1</v>
      </c>
      <c r="CJ107" s="82">
        <f t="shared" si="8"/>
        <v>29556</v>
      </c>
      <c r="CK107" s="82">
        <f t="shared" si="9"/>
        <v>56078.19557705734</v>
      </c>
      <c r="CL107" s="95">
        <f ca="1">$CK107*SUM(OFFSET($AJ107,0,(COUNTA($CL$1:CL$1)-1)*4,1,4))/100</f>
        <v>12225.046635798501</v>
      </c>
      <c r="CM107" s="95">
        <f ca="1">$CK107*SUM(OFFSET($AJ107,0,(COUNTA($CL$1:CM$1)-1)*4,1,4))/100</f>
        <v>10710.935355217951</v>
      </c>
      <c r="CN107" s="95">
        <f ca="1">$CK107*SUM(OFFSET($AJ107,0,(COUNTA($CL$1:CN$1)-1)*4,1,4))/100</f>
        <v>10037.997008293263</v>
      </c>
      <c r="CO107" s="95">
        <f ca="1">$CK107*SUM(OFFSET($AJ107,0,(COUNTA($CL$1:CO$1)-1)*4,1,4))/100</f>
        <v>7850.9473807880286</v>
      </c>
      <c r="CP107" s="95">
        <f ca="1">$CK107*SUM(OFFSET($AJ107,0,(COUNTA($CL$1:CP$1)-1)*4,1,4))/100</f>
        <v>5832.1323400139627</v>
      </c>
      <c r="CQ107" s="95">
        <f ca="1">$CK107*SUM(OFFSET($AJ107,0,(COUNTA($CL$1:CQ$1)-1)*4,1,4))/100</f>
        <v>4598.4120373187016</v>
      </c>
      <c r="CR107" s="95">
        <f ca="1">$CK107*SUM(OFFSET($AJ107,0,(COUNTA($CL$1:CR$1)-1)*4,1,4))/100</f>
        <v>2747.8315832758094</v>
      </c>
      <c r="CS107" s="95">
        <f ca="1">$CK107*SUM(OFFSET($AJ107,0,(COUNTA($CL$1:CS$1)-1)*4,1,4))/100</f>
        <v>1289.798498272319</v>
      </c>
      <c r="CT107" s="95">
        <f ca="1">$CK107*SUM(OFFSET($AJ107,0,(COUNTA($CL$1:CT$1)-1)*4,1,4))/100</f>
        <v>560.7819557705734</v>
      </c>
      <c r="CU107" s="96">
        <f t="shared" si="10"/>
        <v>7806.833333333333</v>
      </c>
      <c r="CV107" s="96">
        <f t="shared" si="11"/>
        <v>7.1832192622348812</v>
      </c>
    </row>
    <row r="108" spans="1:100">
      <c r="A108" s="82" t="str">
        <f ca="1">IF(ISERROR(OFFSET(Map!$E$2,MATCH(D108,Map!$B$3:$B$239,0),0)),OFFSET(Map!$E$2,MATCH(D108,Map!$C$3:$C$239,0),0),OFFSET(Map!$E$2,MATCH(D108,Map!$B$3:$B$239,0),0))</f>
        <v>Frances Baard</v>
      </c>
      <c r="B108" s="82">
        <v>107</v>
      </c>
      <c r="C108" s="82" t="s">
        <v>61</v>
      </c>
      <c r="D108" s="82" t="s">
        <v>416</v>
      </c>
      <c r="E108" s="82" t="s">
        <v>417</v>
      </c>
      <c r="F108" s="82">
        <v>24204</v>
      </c>
      <c r="G108" s="82">
        <v>31.4</v>
      </c>
      <c r="H108" s="82">
        <v>62.2</v>
      </c>
      <c r="I108" s="82">
        <f t="shared" si="6"/>
        <v>15055</v>
      </c>
      <c r="J108" s="82">
        <v>6.4</v>
      </c>
      <c r="K108" s="82">
        <v>60.7</v>
      </c>
      <c r="L108" s="82">
        <v>94.1</v>
      </c>
      <c r="M108" s="82">
        <v>1.08</v>
      </c>
      <c r="N108" s="82">
        <v>16</v>
      </c>
      <c r="O108" s="82">
        <v>41.2</v>
      </c>
      <c r="P108" s="82">
        <f t="shared" si="7"/>
        <v>8852</v>
      </c>
      <c r="Q108" s="82">
        <v>51.8</v>
      </c>
      <c r="R108" s="82">
        <v>16.600000000000001</v>
      </c>
      <c r="S108" s="82">
        <v>3.5</v>
      </c>
      <c r="T108" s="82">
        <v>24</v>
      </c>
      <c r="U108" s="82">
        <v>6120</v>
      </c>
      <c r="V108" s="82">
        <v>1082</v>
      </c>
      <c r="W108" s="82">
        <v>3.9</v>
      </c>
      <c r="X108" s="82">
        <v>41.7</v>
      </c>
      <c r="Y108" s="82">
        <v>87.1</v>
      </c>
      <c r="Z108" s="82">
        <v>58.6</v>
      </c>
      <c r="AA108" s="82">
        <v>81.2</v>
      </c>
      <c r="AB108" s="82">
        <v>63.3</v>
      </c>
      <c r="AC108" s="82">
        <v>37</v>
      </c>
      <c r="AD108" s="82">
        <v>85</v>
      </c>
      <c r="AE108" s="82">
        <v>80</v>
      </c>
      <c r="AF108" s="82">
        <v>13.9</v>
      </c>
      <c r="AG108" s="82">
        <v>0.7</v>
      </c>
      <c r="AH108" s="82">
        <v>5.0999999999999996</v>
      </c>
      <c r="AI108" s="82">
        <v>0.3</v>
      </c>
      <c r="AJ108" s="82">
        <v>5.5</v>
      </c>
      <c r="AK108" s="82">
        <v>5.6</v>
      </c>
      <c r="AL108" s="82">
        <v>5.4</v>
      </c>
      <c r="AM108" s="82">
        <v>4.9000000000000004</v>
      </c>
      <c r="AN108" s="82">
        <v>5.2</v>
      </c>
      <c r="AO108" s="82">
        <v>4.8</v>
      </c>
      <c r="AP108" s="82">
        <v>4.8</v>
      </c>
      <c r="AQ108" s="82">
        <v>4.8</v>
      </c>
      <c r="AR108" s="82">
        <v>5</v>
      </c>
      <c r="AS108" s="82">
        <v>4.5999999999999996</v>
      </c>
      <c r="AT108" s="82">
        <v>3.9</v>
      </c>
      <c r="AU108" s="82">
        <v>4.0999999999999996</v>
      </c>
      <c r="AV108" s="82">
        <v>3.3</v>
      </c>
      <c r="AW108" s="82">
        <v>3.8</v>
      </c>
      <c r="AX108" s="82">
        <v>2.8</v>
      </c>
      <c r="AY108" s="82">
        <v>3.2</v>
      </c>
      <c r="AZ108" s="82">
        <v>2.4</v>
      </c>
      <c r="BA108" s="82">
        <v>2.8</v>
      </c>
      <c r="BB108" s="82">
        <v>2.2999999999999998</v>
      </c>
      <c r="BC108" s="82">
        <v>2.2999999999999998</v>
      </c>
      <c r="BD108" s="82">
        <v>2.2999999999999998</v>
      </c>
      <c r="BE108" s="82">
        <v>2.4</v>
      </c>
      <c r="BF108" s="82">
        <v>2</v>
      </c>
      <c r="BG108" s="82">
        <v>2.2000000000000002</v>
      </c>
      <c r="BH108" s="82">
        <v>1.2</v>
      </c>
      <c r="BI108" s="82">
        <v>1.7</v>
      </c>
      <c r="BJ108" s="82">
        <v>1</v>
      </c>
      <c r="BK108" s="82">
        <v>1.3</v>
      </c>
      <c r="BL108" s="82">
        <v>0.7</v>
      </c>
      <c r="BM108" s="82">
        <v>1.1000000000000001</v>
      </c>
      <c r="BN108" s="82">
        <v>0.4</v>
      </c>
      <c r="BO108" s="82">
        <v>0.7</v>
      </c>
      <c r="BP108" s="82">
        <v>0.2</v>
      </c>
      <c r="BQ108" s="82">
        <v>0.4</v>
      </c>
      <c r="BR108" s="82">
        <v>0.2</v>
      </c>
      <c r="BS108" s="82">
        <v>0.3</v>
      </c>
      <c r="BT108" s="82">
        <v>3669</v>
      </c>
      <c r="BU108" s="82">
        <v>2570</v>
      </c>
      <c r="BV108" s="82">
        <v>1304</v>
      </c>
      <c r="BW108" s="82">
        <v>7515</v>
      </c>
      <c r="BX108" s="82">
        <v>15.3</v>
      </c>
      <c r="BY108" s="82">
        <v>4.8</v>
      </c>
      <c r="BZ108" s="82">
        <v>7.8</v>
      </c>
      <c r="CA108" s="82">
        <v>23.5</v>
      </c>
      <c r="CB108" s="82">
        <v>23.4</v>
      </c>
      <c r="CC108" s="82">
        <v>11.8</v>
      </c>
      <c r="CD108" s="82">
        <v>7.2</v>
      </c>
      <c r="CE108" s="82">
        <v>4.0999999999999996</v>
      </c>
      <c r="CF108" s="82">
        <v>1.6</v>
      </c>
      <c r="CG108" s="82">
        <v>0.2</v>
      </c>
      <c r="CH108" s="82">
        <v>0.2</v>
      </c>
      <c r="CI108" s="82">
        <v>0.1</v>
      </c>
      <c r="CJ108" s="82">
        <f t="shared" si="8"/>
        <v>15058</v>
      </c>
      <c r="CK108" s="82">
        <f t="shared" si="9"/>
        <v>26660.865472205911</v>
      </c>
      <c r="CL108" s="95">
        <f ca="1">$CK108*SUM(OFFSET($AJ108,0,(COUNTA($CL$1:CL$1)-1)*4,1,4))/100</f>
        <v>5705.4252110520647</v>
      </c>
      <c r="CM108" s="95">
        <f ca="1">$CK108*SUM(OFFSET($AJ108,0,(COUNTA($CL$1:CM$1)-1)*4,1,4))/100</f>
        <v>5225.5296325523586</v>
      </c>
      <c r="CN108" s="95">
        <f ca="1">$CK108*SUM(OFFSET($AJ108,0,(COUNTA($CL$1:CN$1)-1)*4,1,4))/100</f>
        <v>4692.3123231082409</v>
      </c>
      <c r="CO108" s="95">
        <f ca="1">$CK108*SUM(OFFSET($AJ108,0,(COUNTA($CL$1:CO$1)-1)*4,1,4))/100</f>
        <v>3492.5733768589735</v>
      </c>
      <c r="CP108" s="95">
        <f ca="1">$CK108*SUM(OFFSET($AJ108,0,(COUNTA($CL$1:CP$1)-1)*4,1,4))/100</f>
        <v>2612.7648162761789</v>
      </c>
      <c r="CQ108" s="95">
        <f ca="1">$CK108*SUM(OFFSET($AJ108,0,(COUNTA($CL$1:CQ$1)-1)*4,1,4))/100</f>
        <v>2372.8170270263258</v>
      </c>
      <c r="CR108" s="95">
        <f ca="1">$CK108*SUM(OFFSET($AJ108,0,(COUNTA($CL$1:CR$1)-1)*4,1,4))/100</f>
        <v>1386.3650045547076</v>
      </c>
      <c r="CS108" s="95">
        <f ca="1">$CK108*SUM(OFFSET($AJ108,0,(COUNTA($CL$1:CS$1)-1)*4,1,4))/100</f>
        <v>773.16509869397157</v>
      </c>
      <c r="CT108" s="95">
        <f ca="1">$CK108*SUM(OFFSET($AJ108,0,(COUNTA($CL$1:CT$1)-1)*4,1,4))/100</f>
        <v>293.26952019426506</v>
      </c>
      <c r="CU108" s="96">
        <f t="shared" si="10"/>
        <v>1512.75</v>
      </c>
      <c r="CV108" s="96">
        <f t="shared" si="11"/>
        <v>17.624105418744612</v>
      </c>
    </row>
    <row r="109" spans="1:100">
      <c r="A109" s="82" t="str">
        <f ca="1">IF(ISERROR(OFFSET(Map!$E$2,MATCH(D109,Map!$B$3:$B$239,0),0)),OFFSET(Map!$E$2,MATCH(D109,Map!$C$3:$C$239,0),0),OFFSET(Map!$E$2,MATCH(D109,Map!$B$3:$B$239,0),0))</f>
        <v>Frances Baard</v>
      </c>
      <c r="B109" s="82">
        <v>108</v>
      </c>
      <c r="C109" s="82" t="s">
        <v>61</v>
      </c>
      <c r="D109" s="82" t="s">
        <v>418</v>
      </c>
      <c r="E109" s="82" t="s">
        <v>419</v>
      </c>
      <c r="F109" s="82">
        <v>63000</v>
      </c>
      <c r="G109" s="82">
        <v>32.299999999999997</v>
      </c>
      <c r="H109" s="82">
        <v>61.9</v>
      </c>
      <c r="I109" s="82">
        <f t="shared" si="6"/>
        <v>38997</v>
      </c>
      <c r="J109" s="82">
        <v>5.7</v>
      </c>
      <c r="K109" s="82">
        <v>61.5</v>
      </c>
      <c r="L109" s="82">
        <v>93.8</v>
      </c>
      <c r="M109" s="82">
        <v>0.27</v>
      </c>
      <c r="N109" s="82">
        <v>76</v>
      </c>
      <c r="O109" s="82">
        <v>37.6</v>
      </c>
      <c r="P109" s="82">
        <f t="shared" si="7"/>
        <v>24334</v>
      </c>
      <c r="Q109" s="82">
        <v>48.3</v>
      </c>
      <c r="R109" s="82">
        <v>17.7</v>
      </c>
      <c r="S109" s="82">
        <v>6.6</v>
      </c>
      <c r="T109" s="82">
        <v>21.9</v>
      </c>
      <c r="U109" s="82">
        <v>17544</v>
      </c>
      <c r="V109" s="82">
        <v>2988</v>
      </c>
      <c r="W109" s="82">
        <v>3.6</v>
      </c>
      <c r="X109" s="82">
        <v>38</v>
      </c>
      <c r="Y109" s="82">
        <v>83.8</v>
      </c>
      <c r="Z109" s="82">
        <v>58.7</v>
      </c>
      <c r="AA109" s="82">
        <v>68.2</v>
      </c>
      <c r="AB109" s="82">
        <v>60.8</v>
      </c>
      <c r="AC109" s="82">
        <v>37.9</v>
      </c>
      <c r="AD109" s="82">
        <v>82.3</v>
      </c>
      <c r="AE109" s="82">
        <v>81.900000000000006</v>
      </c>
      <c r="AF109" s="82">
        <v>11</v>
      </c>
      <c r="AG109" s="82">
        <v>0.4</v>
      </c>
      <c r="AH109" s="82">
        <v>6.3</v>
      </c>
      <c r="AI109" s="82">
        <v>0.5</v>
      </c>
      <c r="AJ109" s="82">
        <v>5.9</v>
      </c>
      <c r="AK109" s="82">
        <v>5.7</v>
      </c>
      <c r="AL109" s="82">
        <v>5.4</v>
      </c>
      <c r="AM109" s="82">
        <v>5.3</v>
      </c>
      <c r="AN109" s="82">
        <v>5</v>
      </c>
      <c r="AO109" s="82">
        <v>5</v>
      </c>
      <c r="AP109" s="82">
        <v>4.9000000000000004</v>
      </c>
      <c r="AQ109" s="82">
        <v>4.8</v>
      </c>
      <c r="AR109" s="82">
        <v>4.4000000000000004</v>
      </c>
      <c r="AS109" s="82">
        <v>4.5999999999999996</v>
      </c>
      <c r="AT109" s="82">
        <v>3.9</v>
      </c>
      <c r="AU109" s="82">
        <v>4.3</v>
      </c>
      <c r="AV109" s="82">
        <v>3.4</v>
      </c>
      <c r="AW109" s="82">
        <v>3.6</v>
      </c>
      <c r="AX109" s="82">
        <v>2.9</v>
      </c>
      <c r="AY109" s="82">
        <v>3.3</v>
      </c>
      <c r="AZ109" s="82">
        <v>2.6</v>
      </c>
      <c r="BA109" s="82">
        <v>2.8</v>
      </c>
      <c r="BB109" s="82">
        <v>2.4</v>
      </c>
      <c r="BC109" s="82">
        <v>2.4</v>
      </c>
      <c r="BD109" s="82">
        <v>2</v>
      </c>
      <c r="BE109" s="82">
        <v>2.5</v>
      </c>
      <c r="BF109" s="82">
        <v>1.7</v>
      </c>
      <c r="BG109" s="82">
        <v>2</v>
      </c>
      <c r="BH109" s="82">
        <v>1.4</v>
      </c>
      <c r="BI109" s="82">
        <v>1.6</v>
      </c>
      <c r="BJ109" s="82">
        <v>0.9</v>
      </c>
      <c r="BK109" s="82">
        <v>1.2</v>
      </c>
      <c r="BL109" s="82">
        <v>0.7</v>
      </c>
      <c r="BM109" s="82">
        <v>0.9</v>
      </c>
      <c r="BN109" s="82">
        <v>0.4</v>
      </c>
      <c r="BO109" s="82">
        <v>0.6</v>
      </c>
      <c r="BP109" s="82">
        <v>0.2</v>
      </c>
      <c r="BQ109" s="82">
        <v>0.4</v>
      </c>
      <c r="BR109" s="82">
        <v>0.1</v>
      </c>
      <c r="BS109" s="82">
        <v>0.3</v>
      </c>
      <c r="BT109" s="82">
        <v>12611</v>
      </c>
      <c r="BU109" s="82">
        <v>7589</v>
      </c>
      <c r="BV109" s="82">
        <v>2568</v>
      </c>
      <c r="BW109" s="82">
        <v>16254</v>
      </c>
      <c r="BX109" s="82">
        <v>14.2</v>
      </c>
      <c r="BY109" s="82">
        <v>4.9000000000000004</v>
      </c>
      <c r="BZ109" s="82">
        <v>8</v>
      </c>
      <c r="CA109" s="82">
        <v>22.8</v>
      </c>
      <c r="CB109" s="82">
        <v>21.9</v>
      </c>
      <c r="CC109" s="82">
        <v>11.5</v>
      </c>
      <c r="CD109" s="82">
        <v>7.7</v>
      </c>
      <c r="CE109" s="82">
        <v>5.6</v>
      </c>
      <c r="CF109" s="82">
        <v>2.2999999999999998</v>
      </c>
      <c r="CG109" s="82">
        <v>0.5</v>
      </c>
      <c r="CH109" s="82">
        <v>0.3</v>
      </c>
      <c r="CI109" s="82">
        <v>0.2</v>
      </c>
      <c r="CJ109" s="82">
        <f t="shared" si="8"/>
        <v>39022</v>
      </c>
      <c r="CK109" s="82">
        <f t="shared" si="9"/>
        <v>64547.538305434922</v>
      </c>
      <c r="CL109" s="95">
        <f ca="1">$CK109*SUM(OFFSET($AJ109,0,(COUNTA($CL$1:CL$1)-1)*4,1,4))/100</f>
        <v>14394.101042111988</v>
      </c>
      <c r="CM109" s="95">
        <f ca="1">$CK109*SUM(OFFSET($AJ109,0,(COUNTA($CL$1:CM$1)-1)*4,1,4))/100</f>
        <v>12715.86504617068</v>
      </c>
      <c r="CN109" s="95">
        <f ca="1">$CK109*SUM(OFFSET($AJ109,0,(COUNTA($CL$1:CN$1)-1)*4,1,4))/100</f>
        <v>11102.176588534807</v>
      </c>
      <c r="CO109" s="95">
        <f ca="1">$CK109*SUM(OFFSET($AJ109,0,(COUNTA($CL$1:CO$1)-1)*4,1,4))/100</f>
        <v>8520.2750563174086</v>
      </c>
      <c r="CP109" s="95">
        <f ca="1">$CK109*SUM(OFFSET($AJ109,0,(COUNTA($CL$1:CP$1)-1)*4,1,4))/100</f>
        <v>6583.8489071543627</v>
      </c>
      <c r="CQ109" s="95">
        <f ca="1">$CK109*SUM(OFFSET($AJ109,0,(COUNTA($CL$1:CQ$1)-1)*4,1,4))/100</f>
        <v>5292.8981410456636</v>
      </c>
      <c r="CR109" s="95">
        <f ca="1">$CK109*SUM(OFFSET($AJ109,0,(COUNTA($CL$1:CR$1)-1)*4,1,4))/100</f>
        <v>3291.9244535771809</v>
      </c>
      <c r="CS109" s="95">
        <f ca="1">$CK109*SUM(OFFSET($AJ109,0,(COUNTA($CL$1:CS$1)-1)*4,1,4))/100</f>
        <v>1678.2359959413079</v>
      </c>
      <c r="CT109" s="95">
        <f ca="1">$CK109*SUM(OFFSET($AJ109,0,(COUNTA($CL$1:CT$1)-1)*4,1,4))/100</f>
        <v>645.47538305434921</v>
      </c>
      <c r="CU109" s="96">
        <f t="shared" si="10"/>
        <v>828.9473684210526</v>
      </c>
      <c r="CV109" s="96">
        <f t="shared" si="11"/>
        <v>77.866871606556415</v>
      </c>
    </row>
    <row r="110" spans="1:100">
      <c r="A110" s="82" t="str">
        <f ca="1">IF(ISERROR(OFFSET(Map!$E$2,MATCH(D110,Map!$B$3:$B$239,0),0)),OFFSET(Map!$E$2,MATCH(D110,Map!$C$3:$C$239,0),0),OFFSET(Map!$E$2,MATCH(D110,Map!$B$3:$B$239,0),0))</f>
        <v>John Taolo Gaetsewe</v>
      </c>
      <c r="B110" s="82">
        <v>109</v>
      </c>
      <c r="C110" s="82" t="s">
        <v>61</v>
      </c>
      <c r="D110" s="82" t="s">
        <v>420</v>
      </c>
      <c r="E110" s="82" t="s">
        <v>421</v>
      </c>
      <c r="F110" s="82">
        <v>89530</v>
      </c>
      <c r="G110" s="82">
        <v>39.4</v>
      </c>
      <c r="H110" s="82">
        <v>54.2</v>
      </c>
      <c r="I110" s="82">
        <f t="shared" si="6"/>
        <v>48525</v>
      </c>
      <c r="J110" s="82">
        <v>6.4</v>
      </c>
      <c r="K110" s="82">
        <v>84.6</v>
      </c>
      <c r="L110" s="82">
        <v>85.5</v>
      </c>
      <c r="M110" s="82">
        <v>-0.9</v>
      </c>
      <c r="N110" s="82">
        <v>4</v>
      </c>
      <c r="O110" s="82">
        <v>38.6</v>
      </c>
      <c r="P110" s="82">
        <f t="shared" si="7"/>
        <v>29795</v>
      </c>
      <c r="Q110" s="82">
        <v>49.5</v>
      </c>
      <c r="R110" s="82">
        <v>22.8</v>
      </c>
      <c r="S110" s="82">
        <v>4.0999999999999996</v>
      </c>
      <c r="T110" s="82">
        <v>13.4</v>
      </c>
      <c r="U110" s="82">
        <v>23707</v>
      </c>
      <c r="V110" s="82">
        <v>11494</v>
      </c>
      <c r="W110" s="82">
        <v>3.7</v>
      </c>
      <c r="X110" s="82">
        <v>50.7</v>
      </c>
      <c r="Y110" s="82">
        <v>72.5</v>
      </c>
      <c r="Z110" s="82">
        <v>52.5</v>
      </c>
      <c r="AA110" s="82">
        <v>6</v>
      </c>
      <c r="AB110" s="82">
        <v>6.1</v>
      </c>
      <c r="AC110" s="82">
        <v>9.1</v>
      </c>
      <c r="AD110" s="82">
        <v>81.8</v>
      </c>
      <c r="AE110" s="82">
        <v>96.4</v>
      </c>
      <c r="AF110" s="82">
        <v>2</v>
      </c>
      <c r="AG110" s="82">
        <v>0.3</v>
      </c>
      <c r="AH110" s="82">
        <v>1.2</v>
      </c>
      <c r="AI110" s="82">
        <v>0.2</v>
      </c>
      <c r="AJ110" s="82">
        <v>7.3</v>
      </c>
      <c r="AK110" s="82">
        <v>6.8</v>
      </c>
      <c r="AL110" s="82">
        <v>6.8</v>
      </c>
      <c r="AM110" s="82">
        <v>6.7</v>
      </c>
      <c r="AN110" s="82">
        <v>6.1</v>
      </c>
      <c r="AO110" s="82">
        <v>5.7</v>
      </c>
      <c r="AP110" s="82">
        <v>5.4</v>
      </c>
      <c r="AQ110" s="82">
        <v>5.2</v>
      </c>
      <c r="AR110" s="82">
        <v>3.5</v>
      </c>
      <c r="AS110" s="82">
        <v>4.4000000000000004</v>
      </c>
      <c r="AT110" s="82">
        <v>2.6</v>
      </c>
      <c r="AU110" s="82">
        <v>3.7</v>
      </c>
      <c r="AV110" s="82">
        <v>2.2000000000000002</v>
      </c>
      <c r="AW110" s="82">
        <v>3.2</v>
      </c>
      <c r="AX110" s="82">
        <v>1.9</v>
      </c>
      <c r="AY110" s="82">
        <v>2.8</v>
      </c>
      <c r="AZ110" s="82">
        <v>1.8</v>
      </c>
      <c r="BA110" s="82">
        <v>2.5</v>
      </c>
      <c r="BB110" s="82">
        <v>1.6</v>
      </c>
      <c r="BC110" s="82">
        <v>1.6</v>
      </c>
      <c r="BD110" s="82">
        <v>1.7</v>
      </c>
      <c r="BE110" s="82">
        <v>2.4</v>
      </c>
      <c r="BF110" s="82">
        <v>1.7</v>
      </c>
      <c r="BG110" s="82">
        <v>2.2000000000000002</v>
      </c>
      <c r="BH110" s="82">
        <v>1.2</v>
      </c>
      <c r="BI110" s="82">
        <v>1.7</v>
      </c>
      <c r="BJ110" s="82">
        <v>0.9</v>
      </c>
      <c r="BK110" s="82">
        <v>1.3</v>
      </c>
      <c r="BL110" s="82">
        <v>0.6</v>
      </c>
      <c r="BM110" s="82">
        <v>1</v>
      </c>
      <c r="BN110" s="82">
        <v>0.4</v>
      </c>
      <c r="BO110" s="82">
        <v>0.8</v>
      </c>
      <c r="BP110" s="82">
        <v>0.3</v>
      </c>
      <c r="BQ110" s="82">
        <v>0.5</v>
      </c>
      <c r="BR110" s="82">
        <v>0.2</v>
      </c>
      <c r="BS110" s="82">
        <v>0.5</v>
      </c>
      <c r="BT110" s="82">
        <v>7828</v>
      </c>
      <c r="BU110" s="82">
        <v>4912</v>
      </c>
      <c r="BV110" s="82">
        <v>6200</v>
      </c>
      <c r="BW110" s="82">
        <v>29569</v>
      </c>
      <c r="BX110" s="82">
        <v>18.3</v>
      </c>
      <c r="BY110" s="82">
        <v>6.8</v>
      </c>
      <c r="BZ110" s="82">
        <v>13</v>
      </c>
      <c r="CA110" s="82">
        <v>23.9</v>
      </c>
      <c r="CB110" s="82">
        <v>20.6</v>
      </c>
      <c r="CC110" s="82">
        <v>7.8</v>
      </c>
      <c r="CD110" s="82">
        <v>4.8</v>
      </c>
      <c r="CE110" s="82">
        <v>3.2</v>
      </c>
      <c r="CF110" s="82">
        <v>1.2</v>
      </c>
      <c r="CG110" s="82">
        <v>0.3</v>
      </c>
      <c r="CH110" s="82">
        <v>0.1</v>
      </c>
      <c r="CI110" s="82">
        <v>0.1</v>
      </c>
      <c r="CJ110" s="82">
        <f t="shared" si="8"/>
        <v>48509</v>
      </c>
      <c r="CK110" s="82">
        <f t="shared" si="9"/>
        <v>82533.730371980142</v>
      </c>
      <c r="CL110" s="95">
        <f ca="1">$CK110*SUM(OFFSET($AJ110,0,(COUNTA($CL$1:CL$1)-1)*4,1,4))/100</f>
        <v>22779.309582666516</v>
      </c>
      <c r="CM110" s="95">
        <f ca="1">$CK110*SUM(OFFSET($AJ110,0,(COUNTA($CL$1:CM$1)-1)*4,1,4))/100</f>
        <v>18487.555603323552</v>
      </c>
      <c r="CN110" s="95">
        <f ca="1">$CK110*SUM(OFFSET($AJ110,0,(COUNTA($CL$1:CN$1)-1)*4,1,4))/100</f>
        <v>11719.789712821181</v>
      </c>
      <c r="CO110" s="95">
        <f ca="1">$CK110*SUM(OFFSET($AJ110,0,(COUNTA($CL$1:CO$1)-1)*4,1,4))/100</f>
        <v>8335.9067675699953</v>
      </c>
      <c r="CP110" s="95">
        <f ca="1">$CK110*SUM(OFFSET($AJ110,0,(COUNTA($CL$1:CP$1)-1)*4,1,4))/100</f>
        <v>6190.0297778985105</v>
      </c>
      <c r="CQ110" s="95">
        <f ca="1">$CK110*SUM(OFFSET($AJ110,0,(COUNTA($CL$1:CQ$1)-1)*4,1,4))/100</f>
        <v>6602.6984297584113</v>
      </c>
      <c r="CR110" s="95">
        <f ca="1">$CK110*SUM(OFFSET($AJ110,0,(COUNTA($CL$1:CR$1)-1)*4,1,4))/100</f>
        <v>4209.2202489709871</v>
      </c>
      <c r="CS110" s="95">
        <f ca="1">$CK110*SUM(OFFSET($AJ110,0,(COUNTA($CL$1:CS$1)-1)*4,1,4))/100</f>
        <v>2310.944450415444</v>
      </c>
      <c r="CT110" s="95">
        <f ca="1">$CK110*SUM(OFFSET($AJ110,0,(COUNTA($CL$1:CT$1)-1)*4,1,4))/100</f>
        <v>1238.0059555797022</v>
      </c>
      <c r="CU110" s="96">
        <f t="shared" si="10"/>
        <v>22382.5</v>
      </c>
      <c r="CV110" s="96">
        <f t="shared" si="11"/>
        <v>3.6874223331611815</v>
      </c>
    </row>
    <row r="111" spans="1:100">
      <c r="A111" s="82" t="str">
        <f ca="1">IF(ISERROR(OFFSET(Map!$E$2,MATCH(D111,Map!$B$3:$B$239,0),0)),OFFSET(Map!$E$2,MATCH(D111,Map!$C$3:$C$239,0),0),OFFSET(Map!$E$2,MATCH(D111,Map!$B$3:$B$239,0),0))</f>
        <v>John Taolo Gaetsewe</v>
      </c>
      <c r="B111" s="82">
        <v>110</v>
      </c>
      <c r="C111" s="82" t="s">
        <v>61</v>
      </c>
      <c r="D111" s="82" t="s">
        <v>422</v>
      </c>
      <c r="E111" s="82" t="s">
        <v>423</v>
      </c>
      <c r="F111" s="82">
        <v>93651</v>
      </c>
      <c r="G111" s="82">
        <v>32.5</v>
      </c>
      <c r="H111" s="82">
        <v>63.2</v>
      </c>
      <c r="I111" s="82">
        <f t="shared" si="6"/>
        <v>59187</v>
      </c>
      <c r="J111" s="82">
        <v>4.3</v>
      </c>
      <c r="K111" s="82">
        <v>58.1</v>
      </c>
      <c r="L111" s="82">
        <v>92.5</v>
      </c>
      <c r="M111" s="82">
        <v>2.85</v>
      </c>
      <c r="N111" s="82">
        <v>21</v>
      </c>
      <c r="O111" s="82">
        <v>33.700000000000003</v>
      </c>
      <c r="P111" s="82">
        <f t="shared" si="7"/>
        <v>39241</v>
      </c>
      <c r="Q111" s="82">
        <v>43.2</v>
      </c>
      <c r="R111" s="82">
        <v>9.6999999999999993</v>
      </c>
      <c r="S111" s="82">
        <v>9.9</v>
      </c>
      <c r="T111" s="82">
        <v>23.6</v>
      </c>
      <c r="U111" s="82">
        <v>26816</v>
      </c>
      <c r="V111" s="82">
        <v>5984</v>
      </c>
      <c r="W111" s="82">
        <v>3.4</v>
      </c>
      <c r="X111" s="82">
        <v>42.7</v>
      </c>
      <c r="Y111" s="82">
        <v>81</v>
      </c>
      <c r="Z111" s="82">
        <v>65.7</v>
      </c>
      <c r="AA111" s="82">
        <v>23.4</v>
      </c>
      <c r="AB111" s="82">
        <v>17.600000000000001</v>
      </c>
      <c r="AC111" s="82">
        <v>19.899999999999999</v>
      </c>
      <c r="AD111" s="82">
        <v>91.2</v>
      </c>
      <c r="AE111" s="82">
        <v>87</v>
      </c>
      <c r="AF111" s="82">
        <v>7.6</v>
      </c>
      <c r="AG111" s="82">
        <v>0.4</v>
      </c>
      <c r="AH111" s="82">
        <v>4.5999999999999996</v>
      </c>
      <c r="AI111" s="82">
        <v>0.4</v>
      </c>
      <c r="AJ111" s="82">
        <v>6.2</v>
      </c>
      <c r="AK111" s="82">
        <v>5.8</v>
      </c>
      <c r="AL111" s="82">
        <v>5.3</v>
      </c>
      <c r="AM111" s="82">
        <v>5.3</v>
      </c>
      <c r="AN111" s="82">
        <v>5.0999999999999996</v>
      </c>
      <c r="AO111" s="82">
        <v>5</v>
      </c>
      <c r="AP111" s="82">
        <v>5</v>
      </c>
      <c r="AQ111" s="82">
        <v>5.0999999999999996</v>
      </c>
      <c r="AR111" s="82">
        <v>4.5999999999999996</v>
      </c>
      <c r="AS111" s="82">
        <v>4.7</v>
      </c>
      <c r="AT111" s="82">
        <v>4.3</v>
      </c>
      <c r="AU111" s="82">
        <v>4.7</v>
      </c>
      <c r="AV111" s="82">
        <v>3.8</v>
      </c>
      <c r="AW111" s="82">
        <v>4.2</v>
      </c>
      <c r="AX111" s="82">
        <v>3.1</v>
      </c>
      <c r="AY111" s="82">
        <v>3.6</v>
      </c>
      <c r="AZ111" s="82">
        <v>2.6</v>
      </c>
      <c r="BA111" s="82">
        <v>2.9</v>
      </c>
      <c r="BB111" s="82">
        <v>2.2000000000000002</v>
      </c>
      <c r="BC111" s="82">
        <v>2.2000000000000002</v>
      </c>
      <c r="BD111" s="82">
        <v>1.9</v>
      </c>
      <c r="BE111" s="82">
        <v>2.2999999999999998</v>
      </c>
      <c r="BF111" s="82">
        <v>1.5</v>
      </c>
      <c r="BG111" s="82">
        <v>1.9</v>
      </c>
      <c r="BH111" s="82">
        <v>1</v>
      </c>
      <c r="BI111" s="82">
        <v>1.3</v>
      </c>
      <c r="BJ111" s="82">
        <v>0.7</v>
      </c>
      <c r="BK111" s="82">
        <v>0.9</v>
      </c>
      <c r="BL111" s="82">
        <v>0.4</v>
      </c>
      <c r="BM111" s="82">
        <v>0.7</v>
      </c>
      <c r="BN111" s="82">
        <v>0.3</v>
      </c>
      <c r="BO111" s="82">
        <v>0.5</v>
      </c>
      <c r="BP111" s="82">
        <v>0.2</v>
      </c>
      <c r="BQ111" s="82">
        <v>0.3</v>
      </c>
      <c r="BR111" s="82">
        <v>0.1</v>
      </c>
      <c r="BS111" s="82">
        <v>0.3</v>
      </c>
      <c r="BT111" s="82">
        <v>19940</v>
      </c>
      <c r="BU111" s="82">
        <v>10154</v>
      </c>
      <c r="BV111" s="82">
        <v>3895</v>
      </c>
      <c r="BW111" s="82">
        <v>25238</v>
      </c>
      <c r="BX111" s="82">
        <v>16.100000000000001</v>
      </c>
      <c r="BY111" s="82">
        <v>5.0999999999999996</v>
      </c>
      <c r="BZ111" s="82">
        <v>8.8000000000000007</v>
      </c>
      <c r="CA111" s="82">
        <v>16.3</v>
      </c>
      <c r="CB111" s="82">
        <v>17.899999999999999</v>
      </c>
      <c r="CC111" s="82">
        <v>13.7</v>
      </c>
      <c r="CD111" s="82">
        <v>11.1</v>
      </c>
      <c r="CE111" s="82">
        <v>7</v>
      </c>
      <c r="CF111" s="82">
        <v>2.9</v>
      </c>
      <c r="CG111" s="82">
        <v>0.8</v>
      </c>
      <c r="CH111" s="82">
        <v>0.2</v>
      </c>
      <c r="CI111" s="82">
        <v>0.2</v>
      </c>
      <c r="CJ111" s="82">
        <f t="shared" si="8"/>
        <v>59227</v>
      </c>
      <c r="CK111" s="82">
        <f t="shared" si="9"/>
        <v>120601.0484520504</v>
      </c>
      <c r="CL111" s="95">
        <f ca="1">$CK111*SUM(OFFSET($AJ111,0,(COUNTA($CL$1:CL$1)-1)*4,1,4))/100</f>
        <v>27255.83695016339</v>
      </c>
      <c r="CM111" s="95">
        <f ca="1">$CK111*SUM(OFFSET($AJ111,0,(COUNTA($CL$1:CM$1)-1)*4,1,4))/100</f>
        <v>24361.411787314177</v>
      </c>
      <c r="CN111" s="95">
        <f ca="1">$CK111*SUM(OFFSET($AJ111,0,(COUNTA($CL$1:CN$1)-1)*4,1,4))/100</f>
        <v>22069.99186672522</v>
      </c>
      <c r="CO111" s="95">
        <f ca="1">$CK111*SUM(OFFSET($AJ111,0,(COUNTA($CL$1:CO$1)-1)*4,1,4))/100</f>
        <v>17728.354122451405</v>
      </c>
      <c r="CP111" s="95">
        <f ca="1">$CK111*SUM(OFFSET($AJ111,0,(COUNTA($CL$1:CP$1)-1)*4,1,4))/100</f>
        <v>11939.50379675299</v>
      </c>
      <c r="CQ111" s="95">
        <f ca="1">$CK111*SUM(OFFSET($AJ111,0,(COUNTA($CL$1:CQ$1)-1)*4,1,4))/100</f>
        <v>9165.6796823558288</v>
      </c>
      <c r="CR111" s="95">
        <f ca="1">$CK111*SUM(OFFSET($AJ111,0,(COUNTA($CL$1:CR$1)-1)*4,1,4))/100</f>
        <v>4703.4408896299656</v>
      </c>
      <c r="CS111" s="95">
        <f ca="1">$CK111*SUM(OFFSET($AJ111,0,(COUNTA($CL$1:CS$1)-1)*4,1,4))/100</f>
        <v>2291.4199205889577</v>
      </c>
      <c r="CT111" s="95">
        <f ca="1">$CK111*SUM(OFFSET($AJ111,0,(COUNTA($CL$1:CT$1)-1)*4,1,4))/100</f>
        <v>1085.4094360684535</v>
      </c>
      <c r="CU111" s="96">
        <f t="shared" si="10"/>
        <v>4459.5714285714284</v>
      </c>
      <c r="CV111" s="96">
        <f t="shared" si="11"/>
        <v>27.043192464501804</v>
      </c>
    </row>
    <row r="112" spans="1:100">
      <c r="A112" s="82" t="str">
        <f ca="1">IF(ISERROR(OFFSET(Map!$E$2,MATCH(D112,Map!$B$3:$B$239,0),0)),OFFSET(Map!$E$2,MATCH(D112,Map!$C$3:$C$239,0),0),OFFSET(Map!$E$2,MATCH(D112,Map!$B$3:$B$239,0),0))</f>
        <v>John Taolo Gaetsewe</v>
      </c>
      <c r="B112" s="82">
        <v>111</v>
      </c>
      <c r="C112" s="82" t="s">
        <v>61</v>
      </c>
      <c r="D112" s="82" t="s">
        <v>424</v>
      </c>
      <c r="E112" s="82" t="s">
        <v>425</v>
      </c>
      <c r="F112" s="82">
        <v>41617</v>
      </c>
      <c r="G112" s="82">
        <v>25.5</v>
      </c>
      <c r="H112" s="82">
        <v>71.900000000000006</v>
      </c>
      <c r="I112" s="82">
        <f t="shared" si="6"/>
        <v>29923</v>
      </c>
      <c r="J112" s="82">
        <v>2.6</v>
      </c>
      <c r="K112" s="82">
        <v>39</v>
      </c>
      <c r="L112" s="82">
        <v>120.1</v>
      </c>
      <c r="M112" s="82">
        <v>5.84</v>
      </c>
      <c r="N112" s="82">
        <v>16</v>
      </c>
      <c r="O112" s="82">
        <v>17.7</v>
      </c>
      <c r="P112" s="82">
        <f t="shared" si="7"/>
        <v>24626</v>
      </c>
      <c r="Q112" s="82">
        <v>22.4</v>
      </c>
      <c r="R112" s="82">
        <v>10.5</v>
      </c>
      <c r="S112" s="82">
        <v>12.6</v>
      </c>
      <c r="T112" s="82">
        <v>26.5</v>
      </c>
      <c r="U112" s="82">
        <v>10808</v>
      </c>
      <c r="V112" s="82">
        <v>1201</v>
      </c>
      <c r="W112" s="82">
        <v>3.4</v>
      </c>
      <c r="X112" s="82">
        <v>27.7</v>
      </c>
      <c r="Y112" s="82">
        <v>74.400000000000006</v>
      </c>
      <c r="Z112" s="82">
        <v>34.5</v>
      </c>
      <c r="AA112" s="82">
        <v>77.599999999999994</v>
      </c>
      <c r="AB112" s="82">
        <v>90.6</v>
      </c>
      <c r="AC112" s="82">
        <v>59.1</v>
      </c>
      <c r="AD112" s="82">
        <v>87.9</v>
      </c>
      <c r="AE112" s="82">
        <v>55</v>
      </c>
      <c r="AF112" s="82">
        <v>28.7</v>
      </c>
      <c r="AG112" s="82">
        <v>0.6</v>
      </c>
      <c r="AH112" s="82">
        <v>14</v>
      </c>
      <c r="AI112" s="82">
        <v>1.7</v>
      </c>
      <c r="AJ112" s="82">
        <v>4.9000000000000004</v>
      </c>
      <c r="AK112" s="82">
        <v>4.5999999999999996</v>
      </c>
      <c r="AL112" s="82">
        <v>4.2</v>
      </c>
      <c r="AM112" s="82">
        <v>4</v>
      </c>
      <c r="AN112" s="82">
        <v>4.0999999999999996</v>
      </c>
      <c r="AO112" s="82">
        <v>3.7</v>
      </c>
      <c r="AP112" s="82">
        <v>3.7</v>
      </c>
      <c r="AQ112" s="82">
        <v>3.9</v>
      </c>
      <c r="AR112" s="82">
        <v>6.3</v>
      </c>
      <c r="AS112" s="82">
        <v>4.9000000000000004</v>
      </c>
      <c r="AT112" s="82">
        <v>8</v>
      </c>
      <c r="AU112" s="82">
        <v>5.5</v>
      </c>
      <c r="AV112" s="82">
        <v>6.3</v>
      </c>
      <c r="AW112" s="82">
        <v>4.5</v>
      </c>
      <c r="AX112" s="82">
        <v>4.5</v>
      </c>
      <c r="AY112" s="82">
        <v>3.4</v>
      </c>
      <c r="AZ112" s="82">
        <v>3.4</v>
      </c>
      <c r="BA112" s="82">
        <v>2.5</v>
      </c>
      <c r="BB112" s="82">
        <v>2.7</v>
      </c>
      <c r="BC112" s="82">
        <v>2.7</v>
      </c>
      <c r="BD112" s="82">
        <v>2.4</v>
      </c>
      <c r="BE112" s="82">
        <v>2.1</v>
      </c>
      <c r="BF112" s="82">
        <v>1.9</v>
      </c>
      <c r="BG112" s="82">
        <v>1.4</v>
      </c>
      <c r="BH112" s="82">
        <v>1.1000000000000001</v>
      </c>
      <c r="BI112" s="82">
        <v>0.9</v>
      </c>
      <c r="BJ112" s="82">
        <v>0.5</v>
      </c>
      <c r="BK112" s="82">
        <v>0.5</v>
      </c>
      <c r="BL112" s="82">
        <v>0.3</v>
      </c>
      <c r="BM112" s="82">
        <v>0.4</v>
      </c>
      <c r="BN112" s="82">
        <v>0.2</v>
      </c>
      <c r="BO112" s="82">
        <v>0.3</v>
      </c>
      <c r="BP112" s="82">
        <v>0.1</v>
      </c>
      <c r="BQ112" s="82">
        <v>0.1</v>
      </c>
      <c r="BR112" s="82">
        <v>0.1</v>
      </c>
      <c r="BS112" s="82">
        <v>0.1</v>
      </c>
      <c r="BT112" s="82">
        <v>16058</v>
      </c>
      <c r="BU112" s="82">
        <v>3453</v>
      </c>
      <c r="BV112" s="82">
        <v>873</v>
      </c>
      <c r="BW112" s="82">
        <v>9553</v>
      </c>
      <c r="BX112" s="82">
        <v>10.1</v>
      </c>
      <c r="BY112" s="82">
        <v>1.9</v>
      </c>
      <c r="BZ112" s="82">
        <v>3.9</v>
      </c>
      <c r="CA112" s="82">
        <v>11.2</v>
      </c>
      <c r="CB112" s="82">
        <v>16.8</v>
      </c>
      <c r="CC112" s="82">
        <v>16.600000000000001</v>
      </c>
      <c r="CD112" s="82">
        <v>15.1</v>
      </c>
      <c r="CE112" s="82">
        <v>12.5</v>
      </c>
      <c r="CF112" s="82">
        <v>8.3000000000000007</v>
      </c>
      <c r="CG112" s="82">
        <v>2.7</v>
      </c>
      <c r="CH112" s="82">
        <v>0.6</v>
      </c>
      <c r="CI112" s="82">
        <v>0.3</v>
      </c>
      <c r="CJ112" s="82">
        <f t="shared" si="8"/>
        <v>29937</v>
      </c>
      <c r="CK112" s="82">
        <f t="shared" si="9"/>
        <v>69361.623704166952</v>
      </c>
      <c r="CL112" s="95">
        <f ca="1">$CK112*SUM(OFFSET($AJ112,0,(COUNTA($CL$1:CL$1)-1)*4,1,4))/100</f>
        <v>12277.007395637549</v>
      </c>
      <c r="CM112" s="95">
        <f ca="1">$CK112*SUM(OFFSET($AJ112,0,(COUNTA($CL$1:CM$1)-1)*4,1,4))/100</f>
        <v>10681.690050441712</v>
      </c>
      <c r="CN112" s="95">
        <f ca="1">$CK112*SUM(OFFSET($AJ112,0,(COUNTA($CL$1:CN$1)-1)*4,1,4))/100</f>
        <v>17132.321054929238</v>
      </c>
      <c r="CO112" s="95">
        <f ca="1">$CK112*SUM(OFFSET($AJ112,0,(COUNTA($CL$1:CO$1)-1)*4,1,4))/100</f>
        <v>12970.623632679219</v>
      </c>
      <c r="CP112" s="95">
        <f ca="1">$CK112*SUM(OFFSET($AJ112,0,(COUNTA($CL$1:CP$1)-1)*4,1,4))/100</f>
        <v>7837.8634785708655</v>
      </c>
      <c r="CQ112" s="95">
        <f ca="1">$CK112*SUM(OFFSET($AJ112,0,(COUNTA($CL$1:CQ$1)-1)*4,1,4))/100</f>
        <v>5410.2066489250228</v>
      </c>
      <c r="CR112" s="95">
        <f ca="1">$CK112*SUM(OFFSET($AJ112,0,(COUNTA($CL$1:CR$1)-1)*4,1,4))/100</f>
        <v>2080.8487111250083</v>
      </c>
      <c r="CS112" s="95">
        <f ca="1">$CK112*SUM(OFFSET($AJ112,0,(COUNTA($CL$1:CS$1)-1)*4,1,4))/100</f>
        <v>832.3394844500034</v>
      </c>
      <c r="CT112" s="95">
        <f ca="1">$CK112*SUM(OFFSET($AJ112,0,(COUNTA($CL$1:CT$1)-1)*4,1,4))/100</f>
        <v>277.44649481666784</v>
      </c>
      <c r="CU112" s="96">
        <f t="shared" si="10"/>
        <v>2601.0625</v>
      </c>
      <c r="CV112" s="96">
        <f t="shared" si="11"/>
        <v>26.666650149378167</v>
      </c>
    </row>
    <row r="113" spans="1:100">
      <c r="A113" s="82" t="str">
        <f ca="1">IF(ISERROR(OFFSET(Map!$E$2,MATCH(D113,Map!$B$3:$B$239,0),0)),OFFSET(Map!$E$2,MATCH(D113,Map!$C$3:$C$239,0),0),OFFSET(Map!$E$2,MATCH(D113,Map!$B$3:$B$239,0),0))</f>
        <v>eThekwini Metropolitan Municipality</v>
      </c>
      <c r="B113" s="82">
        <v>112</v>
      </c>
      <c r="C113" s="82" t="s">
        <v>57</v>
      </c>
      <c r="D113" s="82" t="s">
        <v>426</v>
      </c>
      <c r="E113" s="82" t="s">
        <v>427</v>
      </c>
      <c r="F113" s="82">
        <v>3442361</v>
      </c>
      <c r="G113" s="82">
        <v>25.2</v>
      </c>
      <c r="H113" s="82">
        <v>70</v>
      </c>
      <c r="I113" s="82">
        <f t="shared" si="6"/>
        <v>2409653</v>
      </c>
      <c r="J113" s="82">
        <v>4.8</v>
      </c>
      <c r="K113" s="82">
        <v>42.8</v>
      </c>
      <c r="L113" s="82">
        <v>95.6</v>
      </c>
      <c r="M113" s="82">
        <v>1.08</v>
      </c>
      <c r="N113" s="82">
        <v>1502</v>
      </c>
      <c r="O113" s="82">
        <v>30.2</v>
      </c>
      <c r="P113" s="82">
        <f t="shared" si="7"/>
        <v>1681938</v>
      </c>
      <c r="Q113" s="82">
        <v>39</v>
      </c>
      <c r="R113" s="82">
        <v>4.2</v>
      </c>
      <c r="S113" s="82">
        <v>12.3</v>
      </c>
      <c r="T113" s="82">
        <v>37.1</v>
      </c>
      <c r="U113" s="82">
        <v>956713</v>
      </c>
      <c r="V113" s="82">
        <v>105567</v>
      </c>
      <c r="W113" s="82">
        <v>3.4</v>
      </c>
      <c r="X113" s="82">
        <v>40</v>
      </c>
      <c r="Y113" s="82">
        <v>79</v>
      </c>
      <c r="Z113" s="82">
        <v>54.5</v>
      </c>
      <c r="AA113" s="82">
        <v>63.4</v>
      </c>
      <c r="AB113" s="82">
        <v>86.1</v>
      </c>
      <c r="AC113" s="82">
        <v>60.2</v>
      </c>
      <c r="AD113" s="82">
        <v>89.9</v>
      </c>
      <c r="AE113" s="82">
        <v>73.8</v>
      </c>
      <c r="AF113" s="82">
        <v>2.5</v>
      </c>
      <c r="AG113" s="82">
        <v>16.7</v>
      </c>
      <c r="AH113" s="82">
        <v>6.6</v>
      </c>
      <c r="AI113" s="82">
        <v>0.4</v>
      </c>
      <c r="AJ113" s="82">
        <v>4.8</v>
      </c>
      <c r="AK113" s="82">
        <v>4.7</v>
      </c>
      <c r="AL113" s="82">
        <v>3.9</v>
      </c>
      <c r="AM113" s="82">
        <v>3.9</v>
      </c>
      <c r="AN113" s="82">
        <v>4</v>
      </c>
      <c r="AO113" s="82">
        <v>3.9</v>
      </c>
      <c r="AP113" s="82">
        <v>4.5</v>
      </c>
      <c r="AQ113" s="82">
        <v>4.7</v>
      </c>
      <c r="AR113" s="82">
        <v>6</v>
      </c>
      <c r="AS113" s="82">
        <v>5.9</v>
      </c>
      <c r="AT113" s="82">
        <v>5.9</v>
      </c>
      <c r="AU113" s="82">
        <v>5.6</v>
      </c>
      <c r="AV113" s="82">
        <v>4.5</v>
      </c>
      <c r="AW113" s="82">
        <v>4.2</v>
      </c>
      <c r="AX113" s="82">
        <v>3.6</v>
      </c>
      <c r="AY113" s="82">
        <v>3.5</v>
      </c>
      <c r="AZ113" s="82">
        <v>2.8</v>
      </c>
      <c r="BA113" s="82">
        <v>3</v>
      </c>
      <c r="BB113" s="82">
        <v>2.2999999999999998</v>
      </c>
      <c r="BC113" s="82">
        <v>2.2999999999999998</v>
      </c>
      <c r="BD113" s="82">
        <v>1.9</v>
      </c>
      <c r="BE113" s="82">
        <v>2.2999999999999998</v>
      </c>
      <c r="BF113" s="82">
        <v>1.6</v>
      </c>
      <c r="BG113" s="82">
        <v>1.9</v>
      </c>
      <c r="BH113" s="82">
        <v>1.2</v>
      </c>
      <c r="BI113" s="82">
        <v>1.6</v>
      </c>
      <c r="BJ113" s="82">
        <v>0.8</v>
      </c>
      <c r="BK113" s="82">
        <v>1.1000000000000001</v>
      </c>
      <c r="BL113" s="82">
        <v>0.5</v>
      </c>
      <c r="BM113" s="82">
        <v>0.8</v>
      </c>
      <c r="BN113" s="82">
        <v>0.3</v>
      </c>
      <c r="BO113" s="82">
        <v>0.5</v>
      </c>
      <c r="BP113" s="82">
        <v>0.2</v>
      </c>
      <c r="BQ113" s="82">
        <v>0.3</v>
      </c>
      <c r="BR113" s="82">
        <v>0.1</v>
      </c>
      <c r="BS113" s="82">
        <v>0.2</v>
      </c>
      <c r="BT113" s="82">
        <v>992560</v>
      </c>
      <c r="BU113" s="82">
        <v>430318</v>
      </c>
      <c r="BV113" s="82">
        <v>114230</v>
      </c>
      <c r="BW113" s="82">
        <v>873581</v>
      </c>
      <c r="BX113" s="82">
        <v>17.100000000000001</v>
      </c>
      <c r="BY113" s="82">
        <v>4.2</v>
      </c>
      <c r="BZ113" s="82">
        <v>6.2</v>
      </c>
      <c r="CA113" s="82">
        <v>14.3</v>
      </c>
      <c r="CB113" s="82">
        <v>16.899999999999999</v>
      </c>
      <c r="CC113" s="82">
        <v>13.4</v>
      </c>
      <c r="CD113" s="82">
        <v>10.7</v>
      </c>
      <c r="CE113" s="82">
        <v>8.6</v>
      </c>
      <c r="CF113" s="82">
        <v>5.7</v>
      </c>
      <c r="CG113" s="82">
        <v>2</v>
      </c>
      <c r="CH113" s="82">
        <v>0.6</v>
      </c>
      <c r="CI113" s="82">
        <v>0.3</v>
      </c>
      <c r="CJ113" s="82">
        <f t="shared" si="8"/>
        <v>2410689</v>
      </c>
      <c r="CK113" s="82">
        <f t="shared" si="9"/>
        <v>3791783.3220859454</v>
      </c>
      <c r="CL113" s="95">
        <f ca="1">$CK113*SUM(OFFSET($AJ113,0,(COUNTA($CL$1:CL$1)-1)*4,1,4))/100</f>
        <v>655978.51472086867</v>
      </c>
      <c r="CM113" s="95">
        <f ca="1">$CK113*SUM(OFFSET($AJ113,0,(COUNTA($CL$1:CM$1)-1)*4,1,4))/100</f>
        <v>648394.94807669672</v>
      </c>
      <c r="CN113" s="95">
        <f ca="1">$CK113*SUM(OFFSET($AJ113,0,(COUNTA($CL$1:CN$1)-1)*4,1,4))/100</f>
        <v>887277.29736811121</v>
      </c>
      <c r="CO113" s="95">
        <f ca="1">$CK113*SUM(OFFSET($AJ113,0,(COUNTA($CL$1:CO$1)-1)*4,1,4))/100</f>
        <v>599101.76488957938</v>
      </c>
      <c r="CP113" s="95">
        <f ca="1">$CK113*SUM(OFFSET($AJ113,0,(COUNTA($CL$1:CP$1)-1)*4,1,4))/100</f>
        <v>394345.46549693833</v>
      </c>
      <c r="CQ113" s="95">
        <f ca="1">$CK113*SUM(OFFSET($AJ113,0,(COUNTA($CL$1:CQ$1)-1)*4,1,4))/100</f>
        <v>291967.3158006178</v>
      </c>
      <c r="CR113" s="95">
        <f ca="1">$CK113*SUM(OFFSET($AJ113,0,(COUNTA($CL$1:CR$1)-1)*4,1,4))/100</f>
        <v>178213.81613803943</v>
      </c>
      <c r="CS113" s="95">
        <f ca="1">$CK113*SUM(OFFSET($AJ113,0,(COUNTA($CL$1:CS$1)-1)*4,1,4))/100</f>
        <v>79627.449763804863</v>
      </c>
      <c r="CT113" s="95">
        <f ca="1">$CK113*SUM(OFFSET($AJ113,0,(COUNTA($CL$1:CT$1)-1)*4,1,4))/100</f>
        <v>30334.266576687562</v>
      </c>
      <c r="CU113" s="96">
        <f t="shared" si="10"/>
        <v>2291.8515312916111</v>
      </c>
      <c r="CV113" s="96">
        <f t="shared" si="11"/>
        <v>1654.4628961846506</v>
      </c>
    </row>
    <row r="114" spans="1:100">
      <c r="A114" s="82" t="str">
        <f ca="1">IF(ISERROR(OFFSET(Map!$E$2,MATCH(D114,Map!$B$3:$B$239,0),0)),OFFSET(Map!$E$2,MATCH(D114,Map!$C$3:$C$239,0),0),OFFSET(Map!$E$2,MATCH(D114,Map!$B$3:$B$239,0),0))</f>
        <v>eThekwini Metropolitan Municipality</v>
      </c>
      <c r="B114" s="82">
        <v>113</v>
      </c>
      <c r="C114" s="82" t="s">
        <v>57</v>
      </c>
      <c r="D114" s="82" t="s">
        <v>428</v>
      </c>
      <c r="E114" s="82" t="s">
        <v>429</v>
      </c>
      <c r="F114" s="82">
        <v>77403</v>
      </c>
      <c r="G114" s="82">
        <v>36.9</v>
      </c>
      <c r="H114" s="82">
        <v>56.9</v>
      </c>
      <c r="I114" s="82">
        <f t="shared" si="6"/>
        <v>44042</v>
      </c>
      <c r="J114" s="82">
        <v>6.2</v>
      </c>
      <c r="K114" s="82">
        <v>75.7</v>
      </c>
      <c r="L114" s="82">
        <v>87.2</v>
      </c>
      <c r="M114" s="82">
        <v>-0.69</v>
      </c>
      <c r="N114" s="82">
        <v>81</v>
      </c>
      <c r="O114" s="82">
        <v>52.6</v>
      </c>
      <c r="P114" s="82">
        <f t="shared" si="7"/>
        <v>20876</v>
      </c>
      <c r="Q114" s="82">
        <v>62.8</v>
      </c>
      <c r="R114" s="82">
        <v>24.2</v>
      </c>
      <c r="S114" s="82">
        <v>2.2999999999999998</v>
      </c>
      <c r="T114" s="82">
        <v>20.8</v>
      </c>
      <c r="U114" s="82">
        <v>16135</v>
      </c>
      <c r="V114" s="82">
        <v>8211</v>
      </c>
      <c r="W114" s="82">
        <v>4.7</v>
      </c>
      <c r="X114" s="82">
        <v>55.3</v>
      </c>
      <c r="Y114" s="82">
        <v>30.5</v>
      </c>
      <c r="Z114" s="82">
        <v>63.4</v>
      </c>
      <c r="AA114" s="82">
        <v>2.8</v>
      </c>
      <c r="AB114" s="82">
        <v>1.7</v>
      </c>
      <c r="AC114" s="82">
        <v>5.6</v>
      </c>
      <c r="AD114" s="82">
        <v>36.9</v>
      </c>
      <c r="AE114" s="82">
        <v>98.9</v>
      </c>
      <c r="AF114" s="82">
        <v>0.2</v>
      </c>
      <c r="AG114" s="82">
        <v>0.5</v>
      </c>
      <c r="AH114" s="82">
        <v>0.3</v>
      </c>
      <c r="AI114" s="82">
        <v>0.1</v>
      </c>
      <c r="AJ114" s="82">
        <v>6.7</v>
      </c>
      <c r="AK114" s="82">
        <v>6.6</v>
      </c>
      <c r="AL114" s="82">
        <v>5.9</v>
      </c>
      <c r="AM114" s="82">
        <v>5.8</v>
      </c>
      <c r="AN114" s="82">
        <v>6.1</v>
      </c>
      <c r="AO114" s="82">
        <v>5.6</v>
      </c>
      <c r="AP114" s="82">
        <v>6.1</v>
      </c>
      <c r="AQ114" s="82">
        <v>6.1</v>
      </c>
      <c r="AR114" s="82">
        <v>4.5999999999999996</v>
      </c>
      <c r="AS114" s="82">
        <v>4.8</v>
      </c>
      <c r="AT114" s="82">
        <v>3.2</v>
      </c>
      <c r="AU114" s="82">
        <v>3.8</v>
      </c>
      <c r="AV114" s="82">
        <v>2.2999999999999998</v>
      </c>
      <c r="AW114" s="82">
        <v>2.8</v>
      </c>
      <c r="AX114" s="82">
        <v>2.1</v>
      </c>
      <c r="AY114" s="82">
        <v>2.5</v>
      </c>
      <c r="AZ114" s="82">
        <v>1.6</v>
      </c>
      <c r="BA114" s="82">
        <v>2.4</v>
      </c>
      <c r="BB114" s="82">
        <v>1.7</v>
      </c>
      <c r="BC114" s="82">
        <v>1.7</v>
      </c>
      <c r="BD114" s="82">
        <v>1.6</v>
      </c>
      <c r="BE114" s="82">
        <v>2.4</v>
      </c>
      <c r="BF114" s="82">
        <v>1.3</v>
      </c>
      <c r="BG114" s="82">
        <v>1.9</v>
      </c>
      <c r="BH114" s="82">
        <v>1.3</v>
      </c>
      <c r="BI114" s="82">
        <v>1.7</v>
      </c>
      <c r="BJ114" s="82">
        <v>0.8</v>
      </c>
      <c r="BK114" s="82">
        <v>1.3</v>
      </c>
      <c r="BL114" s="82">
        <v>0.5</v>
      </c>
      <c r="BM114" s="82">
        <v>1.1000000000000001</v>
      </c>
      <c r="BN114" s="82">
        <v>0.3</v>
      </c>
      <c r="BO114" s="82">
        <v>0.8</v>
      </c>
      <c r="BP114" s="82">
        <v>0.2</v>
      </c>
      <c r="BQ114" s="82">
        <v>0.7</v>
      </c>
      <c r="BR114" s="82">
        <v>0.1</v>
      </c>
      <c r="BS114" s="82">
        <v>0.4</v>
      </c>
      <c r="BT114" s="82">
        <v>5894</v>
      </c>
      <c r="BU114" s="82">
        <v>6551</v>
      </c>
      <c r="BV114" s="82">
        <v>5165</v>
      </c>
      <c r="BW114" s="82">
        <v>26447</v>
      </c>
      <c r="BX114" s="82">
        <v>13.7</v>
      </c>
      <c r="BY114" s="82">
        <v>5.9</v>
      </c>
      <c r="BZ114" s="82">
        <v>10.4</v>
      </c>
      <c r="CA114" s="82">
        <v>29.6</v>
      </c>
      <c r="CB114" s="82">
        <v>25.1</v>
      </c>
      <c r="CC114" s="82">
        <v>9.5</v>
      </c>
      <c r="CD114" s="82">
        <v>3.2</v>
      </c>
      <c r="CE114" s="82">
        <v>1.6</v>
      </c>
      <c r="CF114" s="82">
        <v>0.8</v>
      </c>
      <c r="CG114" s="82">
        <v>0.2</v>
      </c>
      <c r="CH114" s="82">
        <v>0.1</v>
      </c>
      <c r="CI114" s="82">
        <v>0.1</v>
      </c>
      <c r="CJ114" s="82">
        <f t="shared" si="8"/>
        <v>44057</v>
      </c>
      <c r="CK114" s="82">
        <f t="shared" si="9"/>
        <v>72726.825383884308</v>
      </c>
      <c r="CL114" s="95">
        <f ca="1">$CK114*SUM(OFFSET($AJ114,0,(COUNTA($CL$1:CL$1)-1)*4,1,4))/100</f>
        <v>18181.706345971081</v>
      </c>
      <c r="CM114" s="95">
        <f ca="1">$CK114*SUM(OFFSET($AJ114,0,(COUNTA($CL$1:CM$1)-1)*4,1,4))/100</f>
        <v>17381.711266748349</v>
      </c>
      <c r="CN114" s="95">
        <f ca="1">$CK114*SUM(OFFSET($AJ114,0,(COUNTA($CL$1:CN$1)-1)*4,1,4))/100</f>
        <v>11927.199362957026</v>
      </c>
      <c r="CO114" s="95">
        <f ca="1">$CK114*SUM(OFFSET($AJ114,0,(COUNTA($CL$1:CO$1)-1)*4,1,4))/100</f>
        <v>7054.5020622367774</v>
      </c>
      <c r="CP114" s="95">
        <f ca="1">$CK114*SUM(OFFSET($AJ114,0,(COUNTA($CL$1:CP$1)-1)*4,1,4))/100</f>
        <v>5381.785078407439</v>
      </c>
      <c r="CQ114" s="95">
        <f ca="1">$CK114*SUM(OFFSET($AJ114,0,(COUNTA($CL$1:CQ$1)-1)*4,1,4))/100</f>
        <v>5236.3314276396695</v>
      </c>
      <c r="CR114" s="95">
        <f ca="1">$CK114*SUM(OFFSET($AJ114,0,(COUNTA($CL$1:CR$1)-1)*4,1,4))/100</f>
        <v>3709.0680945780996</v>
      </c>
      <c r="CS114" s="95">
        <f ca="1">$CK114*SUM(OFFSET($AJ114,0,(COUNTA($CL$1:CS$1)-1)*4,1,4))/100</f>
        <v>1963.6242853648766</v>
      </c>
      <c r="CT114" s="95">
        <f ca="1">$CK114*SUM(OFFSET($AJ114,0,(COUNTA($CL$1:CT$1)-1)*4,1,4))/100</f>
        <v>1018.1755553743802</v>
      </c>
      <c r="CU114" s="96">
        <f t="shared" si="10"/>
        <v>955.59259259259261</v>
      </c>
      <c r="CV114" s="96">
        <f t="shared" si="11"/>
        <v>76.106518559934742</v>
      </c>
    </row>
    <row r="115" spans="1:100">
      <c r="A115" s="82" t="str">
        <f ca="1">IF(ISERROR(OFFSET(Map!$E$2,MATCH(D115,Map!$B$3:$B$239,0),0)),OFFSET(Map!$E$2,MATCH(D115,Map!$C$3:$C$239,0),0),OFFSET(Map!$E$2,MATCH(D115,Map!$B$3:$B$239,0),0))</f>
        <v>Ugu</v>
      </c>
      <c r="B115" s="82">
        <v>114</v>
      </c>
      <c r="C115" s="82" t="s">
        <v>57</v>
      </c>
      <c r="D115" s="82" t="s">
        <v>430</v>
      </c>
      <c r="E115" s="82" t="s">
        <v>431</v>
      </c>
      <c r="F115" s="82">
        <v>78875</v>
      </c>
      <c r="G115" s="82">
        <v>26.8</v>
      </c>
      <c r="H115" s="82">
        <v>65.5</v>
      </c>
      <c r="I115" s="82">
        <f t="shared" si="6"/>
        <v>51663</v>
      </c>
      <c r="J115" s="82">
        <v>7.7</v>
      </c>
      <c r="K115" s="82">
        <v>52.7</v>
      </c>
      <c r="L115" s="82">
        <v>94.4</v>
      </c>
      <c r="M115" s="82">
        <v>2.35</v>
      </c>
      <c r="N115" s="82">
        <v>314</v>
      </c>
      <c r="O115" s="82">
        <v>33.299999999999997</v>
      </c>
      <c r="P115" s="82">
        <f t="shared" si="7"/>
        <v>34459</v>
      </c>
      <c r="Q115" s="82">
        <v>43.3</v>
      </c>
      <c r="R115" s="82">
        <v>8.6999999999999993</v>
      </c>
      <c r="S115" s="82">
        <v>8.3000000000000007</v>
      </c>
      <c r="T115" s="82">
        <v>30.8</v>
      </c>
      <c r="U115" s="82">
        <v>22869</v>
      </c>
      <c r="V115" s="82">
        <v>4632</v>
      </c>
      <c r="W115" s="82">
        <v>3.2</v>
      </c>
      <c r="X115" s="82">
        <v>42.4</v>
      </c>
      <c r="Y115" s="82">
        <v>74.3</v>
      </c>
      <c r="Z115" s="82">
        <v>57.3</v>
      </c>
      <c r="AA115" s="82">
        <v>34.200000000000003</v>
      </c>
      <c r="AB115" s="82">
        <v>52.5</v>
      </c>
      <c r="AC115" s="82">
        <v>40.6</v>
      </c>
      <c r="AD115" s="82">
        <v>76.3</v>
      </c>
      <c r="AE115" s="82">
        <v>76.7</v>
      </c>
      <c r="AF115" s="82">
        <v>1.2</v>
      </c>
      <c r="AG115" s="82">
        <v>13.3</v>
      </c>
      <c r="AH115" s="82">
        <v>8.5</v>
      </c>
      <c r="AI115" s="82">
        <v>0.3</v>
      </c>
      <c r="AJ115" s="82">
        <v>5.0999999999999996</v>
      </c>
      <c r="AK115" s="82">
        <v>4.8</v>
      </c>
      <c r="AL115" s="82">
        <v>4.2</v>
      </c>
      <c r="AM115" s="82">
        <v>4.2</v>
      </c>
      <c r="AN115" s="82">
        <v>4.2</v>
      </c>
      <c r="AO115" s="82">
        <v>4.2</v>
      </c>
      <c r="AP115" s="82">
        <v>4.8</v>
      </c>
      <c r="AQ115" s="82">
        <v>4.8</v>
      </c>
      <c r="AR115" s="82">
        <v>5.2</v>
      </c>
      <c r="AS115" s="82">
        <v>5.2</v>
      </c>
      <c r="AT115" s="82">
        <v>5.0999999999999996</v>
      </c>
      <c r="AU115" s="82">
        <v>4.7</v>
      </c>
      <c r="AV115" s="82">
        <v>3.7</v>
      </c>
      <c r="AW115" s="82">
        <v>3.7</v>
      </c>
      <c r="AX115" s="82">
        <v>3.2</v>
      </c>
      <c r="AY115" s="82">
        <v>3.3</v>
      </c>
      <c r="AZ115" s="82">
        <v>2.5</v>
      </c>
      <c r="BA115" s="82">
        <v>2.8</v>
      </c>
      <c r="BB115" s="82">
        <v>2.5</v>
      </c>
      <c r="BC115" s="82">
        <v>2.5</v>
      </c>
      <c r="BD115" s="82">
        <v>1.9</v>
      </c>
      <c r="BE115" s="82">
        <v>2.2999999999999998</v>
      </c>
      <c r="BF115" s="82">
        <v>1.7</v>
      </c>
      <c r="BG115" s="82">
        <v>2</v>
      </c>
      <c r="BH115" s="82">
        <v>1.5</v>
      </c>
      <c r="BI115" s="82">
        <v>1.8</v>
      </c>
      <c r="BJ115" s="82">
        <v>1.2</v>
      </c>
      <c r="BK115" s="82">
        <v>1.7</v>
      </c>
      <c r="BL115" s="82">
        <v>0.9</v>
      </c>
      <c r="BM115" s="82">
        <v>1.2</v>
      </c>
      <c r="BN115" s="82">
        <v>0.5</v>
      </c>
      <c r="BO115" s="82">
        <v>0.8</v>
      </c>
      <c r="BP115" s="82">
        <v>0.3</v>
      </c>
      <c r="BQ115" s="82">
        <v>0.5</v>
      </c>
      <c r="BR115" s="82">
        <v>0.2</v>
      </c>
      <c r="BS115" s="82">
        <v>0.3</v>
      </c>
      <c r="BT115" s="82">
        <v>16698</v>
      </c>
      <c r="BU115" s="82">
        <v>8337</v>
      </c>
      <c r="BV115" s="82">
        <v>3869</v>
      </c>
      <c r="BW115" s="82">
        <v>22755</v>
      </c>
      <c r="BX115" s="82">
        <v>16.8</v>
      </c>
      <c r="BY115" s="82">
        <v>4.5</v>
      </c>
      <c r="BZ115" s="82">
        <v>7</v>
      </c>
      <c r="CA115" s="82">
        <v>21.2</v>
      </c>
      <c r="CB115" s="82">
        <v>18</v>
      </c>
      <c r="CC115" s="82">
        <v>12.2</v>
      </c>
      <c r="CD115" s="82">
        <v>9.4</v>
      </c>
      <c r="CE115" s="82">
        <v>6.4</v>
      </c>
      <c r="CF115" s="82">
        <v>3.3</v>
      </c>
      <c r="CG115" s="82">
        <v>0.8</v>
      </c>
      <c r="CH115" s="82">
        <v>0.2</v>
      </c>
      <c r="CI115" s="82">
        <v>0.2</v>
      </c>
      <c r="CJ115" s="82">
        <f t="shared" si="8"/>
        <v>51659</v>
      </c>
      <c r="CK115" s="82">
        <f t="shared" si="9"/>
        <v>97214.264608875528</v>
      </c>
      <c r="CL115" s="95">
        <f ca="1">$CK115*SUM(OFFSET($AJ115,0,(COUNTA($CL$1:CL$1)-1)*4,1,4))/100</f>
        <v>17790.210423424218</v>
      </c>
      <c r="CM115" s="95">
        <f ca="1">$CK115*SUM(OFFSET($AJ115,0,(COUNTA($CL$1:CM$1)-1)*4,1,4))/100</f>
        <v>17498.567629597594</v>
      </c>
      <c r="CN115" s="95">
        <f ca="1">$CK115*SUM(OFFSET($AJ115,0,(COUNTA($CL$1:CN$1)-1)*4,1,4))/100</f>
        <v>19637.281450992854</v>
      </c>
      <c r="CO115" s="95">
        <f ca="1">$CK115*SUM(OFFSET($AJ115,0,(COUNTA($CL$1:CO$1)-1)*4,1,4))/100</f>
        <v>13512.782780633701</v>
      </c>
      <c r="CP115" s="95">
        <f ca="1">$CK115*SUM(OFFSET($AJ115,0,(COUNTA($CL$1:CP$1)-1)*4,1,4))/100</f>
        <v>10013.069254714179</v>
      </c>
      <c r="CQ115" s="95">
        <f ca="1">$CK115*SUM(OFFSET($AJ115,0,(COUNTA($CL$1:CQ$1)-1)*4,1,4))/100</f>
        <v>7679.9269041011657</v>
      </c>
      <c r="CR115" s="95">
        <f ca="1">$CK115*SUM(OFFSET($AJ115,0,(COUNTA($CL$1:CR$1)-1)*4,1,4))/100</f>
        <v>6027.2844057502834</v>
      </c>
      <c r="CS115" s="95">
        <f ca="1">$CK115*SUM(OFFSET($AJ115,0,(COUNTA($CL$1:CS$1)-1)*4,1,4))/100</f>
        <v>3305.2849967017683</v>
      </c>
      <c r="CT115" s="95">
        <f ca="1">$CK115*SUM(OFFSET($AJ115,0,(COUNTA($CL$1:CT$1)-1)*4,1,4))/100</f>
        <v>1263.7854399153819</v>
      </c>
      <c r="CU115" s="96">
        <f t="shared" si="10"/>
        <v>251.19426751592357</v>
      </c>
      <c r="CV115" s="96">
        <f t="shared" si="11"/>
        <v>387.0082927060148</v>
      </c>
    </row>
    <row r="116" spans="1:100">
      <c r="A116" s="82" t="str">
        <f ca="1">IF(ISERROR(OFFSET(Map!$E$2,MATCH(D116,Map!$B$3:$B$239,0),0)),OFFSET(Map!$E$2,MATCH(D116,Map!$C$3:$C$239,0),0),OFFSET(Map!$E$2,MATCH(D116,Map!$B$3:$B$239,0),0))</f>
        <v>Ugu</v>
      </c>
      <c r="B116" s="82">
        <v>115</v>
      </c>
      <c r="C116" s="82" t="s">
        <v>57</v>
      </c>
      <c r="D116" s="82" t="s">
        <v>432</v>
      </c>
      <c r="E116" s="82" t="s">
        <v>433</v>
      </c>
      <c r="F116" s="82">
        <v>160975</v>
      </c>
      <c r="G116" s="82">
        <v>37.1</v>
      </c>
      <c r="H116" s="82">
        <v>56.3</v>
      </c>
      <c r="I116" s="82">
        <f t="shared" si="6"/>
        <v>90629</v>
      </c>
      <c r="J116" s="82">
        <v>6.6</v>
      </c>
      <c r="K116" s="82">
        <v>77.7</v>
      </c>
      <c r="L116" s="82">
        <v>86.8</v>
      </c>
      <c r="M116" s="82">
        <v>-1.85</v>
      </c>
      <c r="N116" s="82">
        <v>128</v>
      </c>
      <c r="O116" s="82">
        <v>51.9</v>
      </c>
      <c r="P116" s="82">
        <f t="shared" si="7"/>
        <v>43593</v>
      </c>
      <c r="Q116" s="82">
        <v>62.6</v>
      </c>
      <c r="R116" s="82">
        <v>17.3</v>
      </c>
      <c r="S116" s="82">
        <v>3.8</v>
      </c>
      <c r="T116" s="82">
        <v>20.2</v>
      </c>
      <c r="U116" s="82">
        <v>35171</v>
      </c>
      <c r="V116" s="82">
        <v>15633</v>
      </c>
      <c r="W116" s="82">
        <v>4.5</v>
      </c>
      <c r="X116" s="82">
        <v>56.5</v>
      </c>
      <c r="Y116" s="82">
        <v>47.6</v>
      </c>
      <c r="Z116" s="82">
        <v>77</v>
      </c>
      <c r="AA116" s="82">
        <v>2</v>
      </c>
      <c r="AB116" s="82">
        <v>1.2</v>
      </c>
      <c r="AC116" s="82">
        <v>5.0999999999999996</v>
      </c>
      <c r="AD116" s="82">
        <v>49</v>
      </c>
      <c r="AE116" s="82">
        <v>99.6</v>
      </c>
      <c r="AF116" s="82">
        <v>0.1</v>
      </c>
      <c r="AG116" s="82">
        <v>0.1</v>
      </c>
      <c r="AH116" s="82">
        <v>0.1</v>
      </c>
      <c r="AI116" s="82">
        <v>0.1</v>
      </c>
      <c r="AJ116" s="82">
        <v>6.7</v>
      </c>
      <c r="AK116" s="82">
        <v>6.6</v>
      </c>
      <c r="AL116" s="82">
        <v>6.1</v>
      </c>
      <c r="AM116" s="82">
        <v>5.9</v>
      </c>
      <c r="AN116" s="82">
        <v>6</v>
      </c>
      <c r="AO116" s="82">
        <v>5.7</v>
      </c>
      <c r="AP116" s="82">
        <v>6.4</v>
      </c>
      <c r="AQ116" s="82">
        <v>6.2</v>
      </c>
      <c r="AR116" s="82">
        <v>4.5999999999999996</v>
      </c>
      <c r="AS116" s="82">
        <v>4.5999999999999996</v>
      </c>
      <c r="AT116" s="82">
        <v>3.3</v>
      </c>
      <c r="AU116" s="82">
        <v>3.7</v>
      </c>
      <c r="AV116" s="82">
        <v>2.2999999999999998</v>
      </c>
      <c r="AW116" s="82">
        <v>2.7</v>
      </c>
      <c r="AX116" s="82">
        <v>1.9</v>
      </c>
      <c r="AY116" s="82">
        <v>2.4</v>
      </c>
      <c r="AZ116" s="82">
        <v>1.6</v>
      </c>
      <c r="BA116" s="82">
        <v>2.4</v>
      </c>
      <c r="BB116" s="82">
        <v>1.6</v>
      </c>
      <c r="BC116" s="82">
        <v>1.6</v>
      </c>
      <c r="BD116" s="82">
        <v>1.4</v>
      </c>
      <c r="BE116" s="82">
        <v>2.2999999999999998</v>
      </c>
      <c r="BF116" s="82">
        <v>1.3</v>
      </c>
      <c r="BG116" s="82">
        <v>1.9</v>
      </c>
      <c r="BH116" s="82">
        <v>1.3</v>
      </c>
      <c r="BI116" s="82">
        <v>1.9</v>
      </c>
      <c r="BJ116" s="82">
        <v>0.7</v>
      </c>
      <c r="BK116" s="82">
        <v>1.4</v>
      </c>
      <c r="BL116" s="82">
        <v>0.6</v>
      </c>
      <c r="BM116" s="82">
        <v>1.2</v>
      </c>
      <c r="BN116" s="82">
        <v>0.3</v>
      </c>
      <c r="BO116" s="82">
        <v>0.9</v>
      </c>
      <c r="BP116" s="82">
        <v>0.2</v>
      </c>
      <c r="BQ116" s="82">
        <v>0.8</v>
      </c>
      <c r="BR116" s="82">
        <v>0.2</v>
      </c>
      <c r="BS116" s="82">
        <v>0.4</v>
      </c>
      <c r="BT116" s="82">
        <v>12630</v>
      </c>
      <c r="BU116" s="82">
        <v>13604</v>
      </c>
      <c r="BV116" s="82">
        <v>9687</v>
      </c>
      <c r="BW116" s="82">
        <v>54679</v>
      </c>
      <c r="BX116" s="82">
        <v>15.7</v>
      </c>
      <c r="BY116" s="82">
        <v>6.1</v>
      </c>
      <c r="BZ116" s="82">
        <v>11.2</v>
      </c>
      <c r="CA116" s="82">
        <v>27.3</v>
      </c>
      <c r="CB116" s="82">
        <v>23.7</v>
      </c>
      <c r="CC116" s="82">
        <v>8.6999999999999993</v>
      </c>
      <c r="CD116" s="82">
        <v>3.8</v>
      </c>
      <c r="CE116" s="82">
        <v>2.2000000000000002</v>
      </c>
      <c r="CF116" s="82">
        <v>1</v>
      </c>
      <c r="CG116" s="82">
        <v>0.2</v>
      </c>
      <c r="CH116" s="82">
        <v>0.1</v>
      </c>
      <c r="CI116" s="82">
        <v>0.1</v>
      </c>
      <c r="CJ116" s="82">
        <f t="shared" si="8"/>
        <v>90600</v>
      </c>
      <c r="CK116" s="82">
        <f t="shared" si="9"/>
        <v>136072.75229271402</v>
      </c>
      <c r="CL116" s="95">
        <f ca="1">$CK116*SUM(OFFSET($AJ116,0,(COUNTA($CL$1:CL$1)-1)*4,1,4))/100</f>
        <v>34426.406330056641</v>
      </c>
      <c r="CM116" s="95">
        <f ca="1">$CK116*SUM(OFFSET($AJ116,0,(COUNTA($CL$1:CM$1)-1)*4,1,4))/100</f>
        <v>33065.678807129509</v>
      </c>
      <c r="CN116" s="95">
        <f ca="1">$CK116*SUM(OFFSET($AJ116,0,(COUNTA($CL$1:CN$1)-1)*4,1,4))/100</f>
        <v>22043.78587141967</v>
      </c>
      <c r="CO116" s="95">
        <f ca="1">$CK116*SUM(OFFSET($AJ116,0,(COUNTA($CL$1:CO$1)-1)*4,1,4))/100</f>
        <v>12654.765963222406</v>
      </c>
      <c r="CP116" s="95">
        <f ca="1">$CK116*SUM(OFFSET($AJ116,0,(COUNTA($CL$1:CP$1)-1)*4,1,4))/100</f>
        <v>9797.2381650754087</v>
      </c>
      <c r="CQ116" s="95">
        <f ca="1">$CK116*SUM(OFFSET($AJ116,0,(COUNTA($CL$1:CQ$1)-1)*4,1,4))/100</f>
        <v>9389.0199081972678</v>
      </c>
      <c r="CR116" s="95">
        <f ca="1">$CK116*SUM(OFFSET($AJ116,0,(COUNTA($CL$1:CR$1)-1)*4,1,4))/100</f>
        <v>7211.8558715138442</v>
      </c>
      <c r="CS116" s="95">
        <f ca="1">$CK116*SUM(OFFSET($AJ116,0,(COUNTA($CL$1:CS$1)-1)*4,1,4))/100</f>
        <v>4082.1825687814203</v>
      </c>
      <c r="CT116" s="95">
        <f ca="1">$CK116*SUM(OFFSET($AJ116,0,(COUNTA($CL$1:CT$1)-1)*4,1,4))/100</f>
        <v>2177.1640366834245</v>
      </c>
      <c r="CU116" s="96">
        <f t="shared" si="10"/>
        <v>1257.6171875</v>
      </c>
      <c r="CV116" s="96">
        <f t="shared" si="11"/>
        <v>108.19886500057397</v>
      </c>
    </row>
    <row r="117" spans="1:100">
      <c r="A117" s="82" t="str">
        <f ca="1">IF(ISERROR(OFFSET(Map!$E$2,MATCH(D117,Map!$B$3:$B$239,0),0)),OFFSET(Map!$E$2,MATCH(D117,Map!$C$3:$C$239,0),0),OFFSET(Map!$E$2,MATCH(D117,Map!$B$3:$B$239,0),0))</f>
        <v>Ugu</v>
      </c>
      <c r="B117" s="82">
        <v>116</v>
      </c>
      <c r="C117" s="82" t="s">
        <v>57</v>
      </c>
      <c r="D117" s="82" t="s">
        <v>434</v>
      </c>
      <c r="E117" s="82" t="s">
        <v>435</v>
      </c>
      <c r="F117" s="82">
        <v>96556</v>
      </c>
      <c r="G117" s="82">
        <v>40.5</v>
      </c>
      <c r="H117" s="82">
        <v>54.5</v>
      </c>
      <c r="I117" s="82">
        <f t="shared" si="6"/>
        <v>52623</v>
      </c>
      <c r="J117" s="82">
        <v>5</v>
      </c>
      <c r="K117" s="82">
        <v>83.4</v>
      </c>
      <c r="L117" s="82">
        <v>86.4</v>
      </c>
      <c r="M117" s="82">
        <v>0.45</v>
      </c>
      <c r="N117" s="82">
        <v>89</v>
      </c>
      <c r="O117" s="82">
        <v>33</v>
      </c>
      <c r="P117" s="82">
        <f t="shared" si="7"/>
        <v>35257</v>
      </c>
      <c r="Q117" s="82">
        <v>42.2</v>
      </c>
      <c r="R117" s="82">
        <v>16.3</v>
      </c>
      <c r="S117" s="82">
        <v>4.9000000000000004</v>
      </c>
      <c r="T117" s="82">
        <v>15.3</v>
      </c>
      <c r="U117" s="82">
        <v>21619</v>
      </c>
      <c r="V117" s="82">
        <v>11889</v>
      </c>
      <c r="W117" s="82">
        <v>4.3</v>
      </c>
      <c r="X117" s="82">
        <v>56.6</v>
      </c>
      <c r="Y117" s="82">
        <v>47.7</v>
      </c>
      <c r="Z117" s="82">
        <v>66.2</v>
      </c>
      <c r="AA117" s="82">
        <v>8.6999999999999993</v>
      </c>
      <c r="AB117" s="82">
        <v>15.7</v>
      </c>
      <c r="AC117" s="82">
        <v>10.3</v>
      </c>
      <c r="AD117" s="82">
        <v>80.3</v>
      </c>
      <c r="AE117" s="82">
        <v>97.9</v>
      </c>
      <c r="AF117" s="82">
        <v>1.1000000000000001</v>
      </c>
      <c r="AG117" s="82">
        <v>0.4</v>
      </c>
      <c r="AH117" s="82">
        <v>0.5</v>
      </c>
      <c r="AI117" s="82">
        <v>0.2</v>
      </c>
      <c r="AJ117" s="82">
        <v>7.4</v>
      </c>
      <c r="AK117" s="82">
        <v>7.2</v>
      </c>
      <c r="AL117" s="82">
        <v>6.7</v>
      </c>
      <c r="AM117" s="82">
        <v>6.3</v>
      </c>
      <c r="AN117" s="82">
        <v>6.6</v>
      </c>
      <c r="AO117" s="82">
        <v>6.2</v>
      </c>
      <c r="AP117" s="82">
        <v>6.6</v>
      </c>
      <c r="AQ117" s="82">
        <v>6.5</v>
      </c>
      <c r="AR117" s="82">
        <v>4.3</v>
      </c>
      <c r="AS117" s="82">
        <v>4.7</v>
      </c>
      <c r="AT117" s="82">
        <v>3.2</v>
      </c>
      <c r="AU117" s="82">
        <v>4</v>
      </c>
      <c r="AV117" s="82">
        <v>2.2000000000000002</v>
      </c>
      <c r="AW117" s="82">
        <v>2.9</v>
      </c>
      <c r="AX117" s="82">
        <v>1.9</v>
      </c>
      <c r="AY117" s="82">
        <v>2.6</v>
      </c>
      <c r="AZ117" s="82">
        <v>1.5</v>
      </c>
      <c r="BA117" s="82">
        <v>2.4</v>
      </c>
      <c r="BB117" s="82">
        <v>1.5</v>
      </c>
      <c r="BC117" s="82">
        <v>1.5</v>
      </c>
      <c r="BD117" s="82">
        <v>1.2</v>
      </c>
      <c r="BE117" s="82">
        <v>1.9</v>
      </c>
      <c r="BF117" s="82">
        <v>1</v>
      </c>
      <c r="BG117" s="82">
        <v>1.5</v>
      </c>
      <c r="BH117" s="82">
        <v>1</v>
      </c>
      <c r="BI117" s="82">
        <v>1.4</v>
      </c>
      <c r="BJ117" s="82">
        <v>0.5</v>
      </c>
      <c r="BK117" s="82">
        <v>1</v>
      </c>
      <c r="BL117" s="82">
        <v>0.4</v>
      </c>
      <c r="BM117" s="82">
        <v>1</v>
      </c>
      <c r="BN117" s="82">
        <v>0.2</v>
      </c>
      <c r="BO117" s="82">
        <v>0.7</v>
      </c>
      <c r="BP117" s="82">
        <v>0.2</v>
      </c>
      <c r="BQ117" s="82">
        <v>0.5</v>
      </c>
      <c r="BR117" s="82">
        <v>0.1</v>
      </c>
      <c r="BS117" s="82">
        <v>0.3</v>
      </c>
      <c r="BT117" s="82">
        <v>11128</v>
      </c>
      <c r="BU117" s="82">
        <v>5489</v>
      </c>
      <c r="BV117" s="82">
        <v>4489</v>
      </c>
      <c r="BW117" s="82">
        <v>31528</v>
      </c>
      <c r="BX117" s="82">
        <v>13</v>
      </c>
      <c r="BY117" s="82">
        <v>6.3</v>
      </c>
      <c r="BZ117" s="82">
        <v>13.2</v>
      </c>
      <c r="CA117" s="82">
        <v>26.8</v>
      </c>
      <c r="CB117" s="82">
        <v>23.4</v>
      </c>
      <c r="CC117" s="82">
        <v>8.4</v>
      </c>
      <c r="CD117" s="82">
        <v>4</v>
      </c>
      <c r="CE117" s="82">
        <v>2.9</v>
      </c>
      <c r="CF117" s="82">
        <v>1.6</v>
      </c>
      <c r="CG117" s="82">
        <v>0.1</v>
      </c>
      <c r="CH117" s="82">
        <v>0.2</v>
      </c>
      <c r="CI117" s="82">
        <v>0.1</v>
      </c>
      <c r="CJ117" s="82">
        <f t="shared" si="8"/>
        <v>52634</v>
      </c>
      <c r="CK117" s="82">
        <f t="shared" si="9"/>
        <v>100537.65142326252</v>
      </c>
      <c r="CL117" s="95">
        <f ca="1">$CK117*SUM(OFFSET($AJ117,0,(COUNTA($CL$1:CL$1)-1)*4,1,4))/100</f>
        <v>27748.391792820454</v>
      </c>
      <c r="CM117" s="95">
        <f ca="1">$CK117*SUM(OFFSET($AJ117,0,(COUNTA($CL$1:CM$1)-1)*4,1,4))/100</f>
        <v>26039.251718624993</v>
      </c>
      <c r="CN117" s="95">
        <f ca="1">$CK117*SUM(OFFSET($AJ117,0,(COUNTA($CL$1:CN$1)-1)*4,1,4))/100</f>
        <v>16287.099530568528</v>
      </c>
      <c r="CO117" s="95">
        <f ca="1">$CK117*SUM(OFFSET($AJ117,0,(COUNTA($CL$1:CO$1)-1)*4,1,4))/100</f>
        <v>9651.6145366332021</v>
      </c>
      <c r="CP117" s="95">
        <f ca="1">$CK117*SUM(OFFSET($AJ117,0,(COUNTA($CL$1:CP$1)-1)*4,1,4))/100</f>
        <v>6937.0979482051134</v>
      </c>
      <c r="CQ117" s="95">
        <f ca="1">$CK117*SUM(OFFSET($AJ117,0,(COUNTA($CL$1:CQ$1)-1)*4,1,4))/100</f>
        <v>5630.1084797027006</v>
      </c>
      <c r="CR117" s="95">
        <f ca="1">$CK117*SUM(OFFSET($AJ117,0,(COUNTA($CL$1:CR$1)-1)*4,1,4))/100</f>
        <v>3920.9684055072385</v>
      </c>
      <c r="CS117" s="95">
        <f ca="1">$CK117*SUM(OFFSET($AJ117,0,(COUNTA($CL$1:CS$1)-1)*4,1,4))/100</f>
        <v>2312.3659827350375</v>
      </c>
      <c r="CT117" s="95">
        <f ca="1">$CK117*SUM(OFFSET($AJ117,0,(COUNTA($CL$1:CT$1)-1)*4,1,4))/100</f>
        <v>1105.9141656558877</v>
      </c>
      <c r="CU117" s="96">
        <f t="shared" si="10"/>
        <v>1084.8988764044943</v>
      </c>
      <c r="CV117" s="96">
        <f t="shared" si="11"/>
        <v>92.670066869695972</v>
      </c>
    </row>
    <row r="118" spans="1:100">
      <c r="A118" s="82" t="str">
        <f ca="1">IF(ISERROR(OFFSET(Map!$E$2,MATCH(D118,Map!$B$3:$B$239,0),0)),OFFSET(Map!$E$2,MATCH(D118,Map!$C$3:$C$239,0),0),OFFSET(Map!$E$2,MATCH(D118,Map!$B$3:$B$239,0),0))</f>
        <v>Ugu</v>
      </c>
      <c r="B118" s="82">
        <v>117</v>
      </c>
      <c r="C118" s="82" t="s">
        <v>57</v>
      </c>
      <c r="D118" s="82" t="s">
        <v>436</v>
      </c>
      <c r="E118" s="82" t="s">
        <v>437</v>
      </c>
      <c r="F118" s="82">
        <v>52540</v>
      </c>
      <c r="G118" s="82">
        <v>37.6</v>
      </c>
      <c r="H118" s="82">
        <v>56.7</v>
      </c>
      <c r="I118" s="82">
        <f t="shared" si="6"/>
        <v>29790</v>
      </c>
      <c r="J118" s="82">
        <v>5.7</v>
      </c>
      <c r="K118" s="82">
        <v>76.400000000000006</v>
      </c>
      <c r="L118" s="82">
        <v>84.7</v>
      </c>
      <c r="M118" s="82">
        <v>-0.42</v>
      </c>
      <c r="N118" s="82">
        <v>81</v>
      </c>
      <c r="O118" s="82">
        <v>41.6</v>
      </c>
      <c r="P118" s="82">
        <f t="shared" si="7"/>
        <v>17397</v>
      </c>
      <c r="Q118" s="82">
        <v>51.9</v>
      </c>
      <c r="R118" s="82">
        <v>14.2</v>
      </c>
      <c r="S118" s="82">
        <v>4.2</v>
      </c>
      <c r="T118" s="82">
        <v>16.600000000000001</v>
      </c>
      <c r="U118" s="82">
        <v>11472</v>
      </c>
      <c r="V118" s="82">
        <v>6690</v>
      </c>
      <c r="W118" s="82">
        <v>4.3</v>
      </c>
      <c r="X118" s="82">
        <v>58.1</v>
      </c>
      <c r="Y118" s="82">
        <v>64</v>
      </c>
      <c r="Z118" s="82">
        <v>86</v>
      </c>
      <c r="AA118" s="82">
        <v>3.3</v>
      </c>
      <c r="AB118" s="82">
        <v>1.4</v>
      </c>
      <c r="AC118" s="82">
        <v>6.8</v>
      </c>
      <c r="AD118" s="82">
        <v>79.900000000000006</v>
      </c>
      <c r="AE118" s="82">
        <v>98.7</v>
      </c>
      <c r="AF118" s="82">
        <v>0.2</v>
      </c>
      <c r="AG118" s="82">
        <v>0.2</v>
      </c>
      <c r="AH118" s="82">
        <v>0.8</v>
      </c>
      <c r="AI118" s="82">
        <v>0.1</v>
      </c>
      <c r="AJ118" s="82">
        <v>6.9</v>
      </c>
      <c r="AK118" s="82">
        <v>7.1</v>
      </c>
      <c r="AL118" s="82">
        <v>6.2</v>
      </c>
      <c r="AM118" s="82">
        <v>5.9</v>
      </c>
      <c r="AN118" s="82">
        <v>5.9</v>
      </c>
      <c r="AO118" s="82">
        <v>5.6</v>
      </c>
      <c r="AP118" s="82">
        <v>6.4</v>
      </c>
      <c r="AQ118" s="82">
        <v>6.2</v>
      </c>
      <c r="AR118" s="82">
        <v>4.4000000000000004</v>
      </c>
      <c r="AS118" s="82">
        <v>4.7</v>
      </c>
      <c r="AT118" s="82">
        <v>3.3</v>
      </c>
      <c r="AU118" s="82">
        <v>4</v>
      </c>
      <c r="AV118" s="82">
        <v>2.5</v>
      </c>
      <c r="AW118" s="82">
        <v>3.2</v>
      </c>
      <c r="AX118" s="82">
        <v>2</v>
      </c>
      <c r="AY118" s="82">
        <v>2.8</v>
      </c>
      <c r="AZ118" s="82">
        <v>1.5</v>
      </c>
      <c r="BA118" s="82">
        <v>2.2999999999999998</v>
      </c>
      <c r="BB118" s="82">
        <v>1.5</v>
      </c>
      <c r="BC118" s="82">
        <v>1.5</v>
      </c>
      <c r="BD118" s="82">
        <v>1.3</v>
      </c>
      <c r="BE118" s="82">
        <v>2.2999999999999998</v>
      </c>
      <c r="BF118" s="82">
        <v>1.2</v>
      </c>
      <c r="BG118" s="82">
        <v>1.8</v>
      </c>
      <c r="BH118" s="82">
        <v>1.1000000000000001</v>
      </c>
      <c r="BI118" s="82">
        <v>1.7</v>
      </c>
      <c r="BJ118" s="82">
        <v>0.6</v>
      </c>
      <c r="BK118" s="82">
        <v>1.3</v>
      </c>
      <c r="BL118" s="82">
        <v>0.5</v>
      </c>
      <c r="BM118" s="82">
        <v>1.2</v>
      </c>
      <c r="BN118" s="82">
        <v>0.3</v>
      </c>
      <c r="BO118" s="82">
        <v>0.7</v>
      </c>
      <c r="BP118" s="82">
        <v>0.1</v>
      </c>
      <c r="BQ118" s="82">
        <v>0.5</v>
      </c>
      <c r="BR118" s="82">
        <v>0.1</v>
      </c>
      <c r="BS118" s="82">
        <v>0.4</v>
      </c>
      <c r="BT118" s="82">
        <v>5876</v>
      </c>
      <c r="BU118" s="82">
        <v>4185</v>
      </c>
      <c r="BV118" s="82">
        <v>3530</v>
      </c>
      <c r="BW118" s="82">
        <v>16195</v>
      </c>
      <c r="BX118" s="82">
        <v>11.7</v>
      </c>
      <c r="BY118" s="82">
        <v>6.1</v>
      </c>
      <c r="BZ118" s="82">
        <v>12</v>
      </c>
      <c r="CA118" s="82">
        <v>27.1</v>
      </c>
      <c r="CB118" s="82">
        <v>26.3</v>
      </c>
      <c r="CC118" s="82">
        <v>9.1</v>
      </c>
      <c r="CD118" s="82">
        <v>4.5999999999999996</v>
      </c>
      <c r="CE118" s="82">
        <v>2.1</v>
      </c>
      <c r="CF118" s="82">
        <v>0.8</v>
      </c>
      <c r="CG118" s="82">
        <v>0.1</v>
      </c>
      <c r="CH118" s="82">
        <v>0.1</v>
      </c>
      <c r="CI118" s="82">
        <v>0.1</v>
      </c>
      <c r="CJ118" s="82">
        <f t="shared" si="8"/>
        <v>29786</v>
      </c>
      <c r="CK118" s="82">
        <f t="shared" si="9"/>
        <v>50587.028075911912</v>
      </c>
      <c r="CL118" s="95">
        <f ca="1">$CK118*SUM(OFFSET($AJ118,0,(COUNTA($CL$1:CL$1)-1)*4,1,4))/100</f>
        <v>13203.21432781301</v>
      </c>
      <c r="CM118" s="95">
        <f ca="1">$CK118*SUM(OFFSET($AJ118,0,(COUNTA($CL$1:CM$1)-1)*4,1,4))/100</f>
        <v>12191.473766294768</v>
      </c>
      <c r="CN118" s="95">
        <f ca="1">$CK118*SUM(OFFSET($AJ118,0,(COUNTA($CL$1:CN$1)-1)*4,1,4))/100</f>
        <v>8296.2726044495539</v>
      </c>
      <c r="CO118" s="95">
        <f ca="1">$CK118*SUM(OFFSET($AJ118,0,(COUNTA($CL$1:CO$1)-1)*4,1,4))/100</f>
        <v>5311.6379479707512</v>
      </c>
      <c r="CP118" s="95">
        <f ca="1">$CK118*SUM(OFFSET($AJ118,0,(COUNTA($CL$1:CP$1)-1)*4,1,4))/100</f>
        <v>3439.9179091620103</v>
      </c>
      <c r="CQ118" s="95">
        <f ca="1">$CK118*SUM(OFFSET($AJ118,0,(COUNTA($CL$1:CQ$1)-1)*4,1,4))/100</f>
        <v>3338.7438530101858</v>
      </c>
      <c r="CR118" s="95">
        <f ca="1">$CK118*SUM(OFFSET($AJ118,0,(COUNTA($CL$1:CR$1)-1)*4,1,4))/100</f>
        <v>2377.5903195678602</v>
      </c>
      <c r="CS118" s="95">
        <f ca="1">$CK118*SUM(OFFSET($AJ118,0,(COUNTA($CL$1:CS$1)-1)*4,1,4))/100</f>
        <v>1365.8497580496216</v>
      </c>
      <c r="CT118" s="95">
        <f ca="1">$CK118*SUM(OFFSET($AJ118,0,(COUNTA($CL$1:CT$1)-1)*4,1,4))/100</f>
        <v>556.45730883503109</v>
      </c>
      <c r="CU118" s="96">
        <f t="shared" si="10"/>
        <v>648.64197530864203</v>
      </c>
      <c r="CV118" s="96">
        <f t="shared" si="11"/>
        <v>77.989137307743903</v>
      </c>
    </row>
    <row r="119" spans="1:100">
      <c r="A119" s="82" t="str">
        <f ca="1">IF(ISERROR(OFFSET(Map!$E$2,MATCH(D119,Map!$B$3:$B$239,0),0)),OFFSET(Map!$E$2,MATCH(D119,Map!$C$3:$C$239,0),0),OFFSET(Map!$E$2,MATCH(D119,Map!$B$3:$B$239,0),0))</f>
        <v>Ugu</v>
      </c>
      <c r="B119" s="82">
        <v>118</v>
      </c>
      <c r="C119" s="82" t="s">
        <v>57</v>
      </c>
      <c r="D119" s="82" t="s">
        <v>438</v>
      </c>
      <c r="E119" s="82" t="s">
        <v>439</v>
      </c>
      <c r="F119" s="82">
        <v>256135</v>
      </c>
      <c r="G119" s="82">
        <v>28.2</v>
      </c>
      <c r="H119" s="82">
        <v>64.599999999999994</v>
      </c>
      <c r="I119" s="82">
        <f t="shared" si="6"/>
        <v>165463</v>
      </c>
      <c r="J119" s="82">
        <v>7.2</v>
      </c>
      <c r="K119" s="82">
        <v>54.9</v>
      </c>
      <c r="L119" s="82">
        <v>89.7</v>
      </c>
      <c r="M119" s="82">
        <v>1.62</v>
      </c>
      <c r="N119" s="82">
        <v>305</v>
      </c>
      <c r="O119" s="82">
        <v>28</v>
      </c>
      <c r="P119" s="82">
        <f t="shared" si="7"/>
        <v>119134</v>
      </c>
      <c r="Q119" s="82">
        <v>37.299999999999997</v>
      </c>
      <c r="R119" s="82">
        <v>7.6</v>
      </c>
      <c r="S119" s="82">
        <v>11.2</v>
      </c>
      <c r="T119" s="82">
        <v>28.7</v>
      </c>
      <c r="U119" s="82">
        <v>72175</v>
      </c>
      <c r="V119" s="82">
        <v>17904</v>
      </c>
      <c r="W119" s="82">
        <v>3.4</v>
      </c>
      <c r="X119" s="82">
        <v>46.1</v>
      </c>
      <c r="Y119" s="82">
        <v>83.3</v>
      </c>
      <c r="Z119" s="82">
        <v>59</v>
      </c>
      <c r="AA119" s="82">
        <v>29.6</v>
      </c>
      <c r="AB119" s="82">
        <v>38.6</v>
      </c>
      <c r="AC119" s="82">
        <v>40.5</v>
      </c>
      <c r="AD119" s="82">
        <v>85.6</v>
      </c>
      <c r="AE119" s="82">
        <v>82.4</v>
      </c>
      <c r="AF119" s="82">
        <v>1.4</v>
      </c>
      <c r="AG119" s="82">
        <v>5.0999999999999996</v>
      </c>
      <c r="AH119" s="82">
        <v>10.8</v>
      </c>
      <c r="AI119" s="82">
        <v>0.2</v>
      </c>
      <c r="AJ119" s="82">
        <v>5.3</v>
      </c>
      <c r="AK119" s="82">
        <v>5.2</v>
      </c>
      <c r="AL119" s="82">
        <v>4.4000000000000004</v>
      </c>
      <c r="AM119" s="82">
        <v>4.3</v>
      </c>
      <c r="AN119" s="82">
        <v>4.5</v>
      </c>
      <c r="AO119" s="82">
        <v>4.4000000000000004</v>
      </c>
      <c r="AP119" s="82">
        <v>5.0999999999999996</v>
      </c>
      <c r="AQ119" s="82">
        <v>5.2</v>
      </c>
      <c r="AR119" s="82">
        <v>5</v>
      </c>
      <c r="AS119" s="82">
        <v>5.0999999999999996</v>
      </c>
      <c r="AT119" s="82">
        <v>5</v>
      </c>
      <c r="AU119" s="82">
        <v>5.2</v>
      </c>
      <c r="AV119" s="82">
        <v>3.4</v>
      </c>
      <c r="AW119" s="82">
        <v>3.9</v>
      </c>
      <c r="AX119" s="82">
        <v>3</v>
      </c>
      <c r="AY119" s="82">
        <v>3.3</v>
      </c>
      <c r="AZ119" s="82">
        <v>2.2999999999999998</v>
      </c>
      <c r="BA119" s="82">
        <v>2.8</v>
      </c>
      <c r="BB119" s="82">
        <v>2</v>
      </c>
      <c r="BC119" s="82">
        <v>2</v>
      </c>
      <c r="BD119" s="82">
        <v>1.7</v>
      </c>
      <c r="BE119" s="82">
        <v>2.4</v>
      </c>
      <c r="BF119" s="82">
        <v>1.5</v>
      </c>
      <c r="BG119" s="82">
        <v>2</v>
      </c>
      <c r="BH119" s="82">
        <v>1.4</v>
      </c>
      <c r="BI119" s="82">
        <v>1.8</v>
      </c>
      <c r="BJ119" s="82">
        <v>1</v>
      </c>
      <c r="BK119" s="82">
        <v>1.4</v>
      </c>
      <c r="BL119" s="82">
        <v>0.8</v>
      </c>
      <c r="BM119" s="82">
        <v>1.2</v>
      </c>
      <c r="BN119" s="82">
        <v>0.5</v>
      </c>
      <c r="BO119" s="82">
        <v>0.8</v>
      </c>
      <c r="BP119" s="82">
        <v>0.3</v>
      </c>
      <c r="BQ119" s="82">
        <v>0.6</v>
      </c>
      <c r="BR119" s="82">
        <v>0.2</v>
      </c>
      <c r="BS119" s="82">
        <v>0.4</v>
      </c>
      <c r="BT119" s="82">
        <v>64194</v>
      </c>
      <c r="BU119" s="82">
        <v>25003</v>
      </c>
      <c r="BV119" s="82">
        <v>8940</v>
      </c>
      <c r="BW119" s="82">
        <v>67207</v>
      </c>
      <c r="BX119" s="82">
        <v>13.3</v>
      </c>
      <c r="BY119" s="82">
        <v>4.2</v>
      </c>
      <c r="BZ119" s="82">
        <v>7.1</v>
      </c>
      <c r="CA119" s="82">
        <v>19.5</v>
      </c>
      <c r="CB119" s="82">
        <v>19.8</v>
      </c>
      <c r="CC119" s="82">
        <v>13.4</v>
      </c>
      <c r="CD119" s="82">
        <v>10.1</v>
      </c>
      <c r="CE119" s="82">
        <v>7.3</v>
      </c>
      <c r="CF119" s="82">
        <v>3.9</v>
      </c>
      <c r="CG119" s="82">
        <v>1</v>
      </c>
      <c r="CH119" s="82">
        <v>0.3</v>
      </c>
      <c r="CI119" s="82">
        <v>0.2</v>
      </c>
      <c r="CJ119" s="82">
        <f t="shared" si="8"/>
        <v>165344</v>
      </c>
      <c r="CK119" s="82">
        <f t="shared" si="9"/>
        <v>295993.13776535139</v>
      </c>
      <c r="CL119" s="95">
        <f ca="1">$CK119*SUM(OFFSET($AJ119,0,(COUNTA($CL$1:CL$1)-1)*4,1,4))/100</f>
        <v>56830.682450947461</v>
      </c>
      <c r="CM119" s="95">
        <f ca="1">$CK119*SUM(OFFSET($AJ119,0,(COUNTA($CL$1:CM$1)-1)*4,1,4))/100</f>
        <v>56830.682450947461</v>
      </c>
      <c r="CN119" s="95">
        <f ca="1">$CK119*SUM(OFFSET($AJ119,0,(COUNTA($CL$1:CN$1)-1)*4,1,4))/100</f>
        <v>60086.606966366329</v>
      </c>
      <c r="CO119" s="95">
        <f ca="1">$CK119*SUM(OFFSET($AJ119,0,(COUNTA($CL$1:CO$1)-1)*4,1,4))/100</f>
        <v>40255.066736087792</v>
      </c>
      <c r="CP119" s="95">
        <f ca="1">$CK119*SUM(OFFSET($AJ119,0,(COUNTA($CL$1:CP$1)-1)*4,1,4))/100</f>
        <v>26935.375536646974</v>
      </c>
      <c r="CQ119" s="95">
        <f ca="1">$CK119*SUM(OFFSET($AJ119,0,(COUNTA($CL$1:CQ$1)-1)*4,1,4))/100</f>
        <v>22495.478470166701</v>
      </c>
      <c r="CR119" s="95">
        <f ca="1">$CK119*SUM(OFFSET($AJ119,0,(COUNTA($CL$1:CR$1)-1)*4,1,4))/100</f>
        <v>16575.615714859676</v>
      </c>
      <c r="CS119" s="95">
        <f ca="1">$CK119*SUM(OFFSET($AJ119,0,(COUNTA($CL$1:CS$1)-1)*4,1,4))/100</f>
        <v>9767.7735462565961</v>
      </c>
      <c r="CT119" s="95">
        <f ca="1">$CK119*SUM(OFFSET($AJ119,0,(COUNTA($CL$1:CT$1)-1)*4,1,4))/100</f>
        <v>4439.897066480271</v>
      </c>
      <c r="CU119" s="96">
        <f t="shared" si="10"/>
        <v>839.78688524590166</v>
      </c>
      <c r="CV119" s="96">
        <f t="shared" si="11"/>
        <v>352.46220554954289</v>
      </c>
    </row>
    <row r="120" spans="1:100">
      <c r="A120" s="82" t="str">
        <f ca="1">IF(ISERROR(OFFSET(Map!$E$2,MATCH(D120,Map!$B$3:$B$239,0),0)),OFFSET(Map!$E$2,MATCH(D120,Map!$C$3:$C$239,0),0),OFFSET(Map!$E$2,MATCH(D120,Map!$B$3:$B$239,0),0))</f>
        <v>uMgungundlovu</v>
      </c>
      <c r="B120" s="82">
        <v>119</v>
      </c>
      <c r="C120" s="82" t="s">
        <v>57</v>
      </c>
      <c r="D120" s="82" t="s">
        <v>440</v>
      </c>
      <c r="E120" s="82" t="s">
        <v>441</v>
      </c>
      <c r="F120" s="82">
        <v>106374</v>
      </c>
      <c r="G120" s="82">
        <v>32.799999999999997</v>
      </c>
      <c r="H120" s="82">
        <v>62</v>
      </c>
      <c r="I120" s="82">
        <f t="shared" si="6"/>
        <v>65952</v>
      </c>
      <c r="J120" s="82">
        <v>5.2</v>
      </c>
      <c r="K120" s="82">
        <v>61.2</v>
      </c>
      <c r="L120" s="82">
        <v>90.3</v>
      </c>
      <c r="M120" s="82">
        <v>-0.19</v>
      </c>
      <c r="N120" s="82">
        <v>59</v>
      </c>
      <c r="O120" s="82">
        <v>24.9</v>
      </c>
      <c r="P120" s="82">
        <f t="shared" si="7"/>
        <v>49530</v>
      </c>
      <c r="Q120" s="82">
        <v>31.5</v>
      </c>
      <c r="R120" s="82">
        <v>15.7</v>
      </c>
      <c r="S120" s="82">
        <v>4.7</v>
      </c>
      <c r="T120" s="82">
        <v>21.3</v>
      </c>
      <c r="U120" s="82">
        <v>28124</v>
      </c>
      <c r="V120" s="82">
        <v>9329</v>
      </c>
      <c r="W120" s="82">
        <v>3.7</v>
      </c>
      <c r="X120" s="82">
        <v>49</v>
      </c>
      <c r="Y120" s="82">
        <v>62.7</v>
      </c>
      <c r="Z120" s="82">
        <v>53.3</v>
      </c>
      <c r="AA120" s="82">
        <v>13.5</v>
      </c>
      <c r="AB120" s="82">
        <v>15.1</v>
      </c>
      <c r="AC120" s="82">
        <v>22.6</v>
      </c>
      <c r="AD120" s="82">
        <v>72.7</v>
      </c>
      <c r="AE120" s="82">
        <v>95.1</v>
      </c>
      <c r="AF120" s="82">
        <v>0.2</v>
      </c>
      <c r="AG120" s="82">
        <v>1.7</v>
      </c>
      <c r="AH120" s="82">
        <v>2.7</v>
      </c>
      <c r="AI120" s="82">
        <v>0.2</v>
      </c>
      <c r="AJ120" s="82">
        <v>6</v>
      </c>
      <c r="AK120" s="82">
        <v>5.8</v>
      </c>
      <c r="AL120" s="82">
        <v>5.2</v>
      </c>
      <c r="AM120" s="82">
        <v>5.0999999999999996</v>
      </c>
      <c r="AN120" s="82">
        <v>5.4</v>
      </c>
      <c r="AO120" s="82">
        <v>5.2</v>
      </c>
      <c r="AP120" s="82">
        <v>5.7</v>
      </c>
      <c r="AQ120" s="82">
        <v>5.8</v>
      </c>
      <c r="AR120" s="82">
        <v>5</v>
      </c>
      <c r="AS120" s="82">
        <v>5.0999999999999996</v>
      </c>
      <c r="AT120" s="82">
        <v>4.2</v>
      </c>
      <c r="AU120" s="82">
        <v>4.4000000000000004</v>
      </c>
      <c r="AV120" s="82">
        <v>3.2</v>
      </c>
      <c r="AW120" s="82">
        <v>3.4</v>
      </c>
      <c r="AX120" s="82">
        <v>2.8</v>
      </c>
      <c r="AY120" s="82">
        <v>3</v>
      </c>
      <c r="AZ120" s="82">
        <v>2</v>
      </c>
      <c r="BA120" s="82">
        <v>2.5</v>
      </c>
      <c r="BB120" s="82">
        <v>1.9</v>
      </c>
      <c r="BC120" s="82">
        <v>1.9</v>
      </c>
      <c r="BD120" s="82">
        <v>1.6</v>
      </c>
      <c r="BE120" s="82">
        <v>2.2999999999999998</v>
      </c>
      <c r="BF120" s="82">
        <v>1.4</v>
      </c>
      <c r="BG120" s="82">
        <v>1.9</v>
      </c>
      <c r="BH120" s="82">
        <v>1.2</v>
      </c>
      <c r="BI120" s="82">
        <v>1.8</v>
      </c>
      <c r="BJ120" s="82">
        <v>0.6</v>
      </c>
      <c r="BK120" s="82">
        <v>1.1000000000000001</v>
      </c>
      <c r="BL120" s="82">
        <v>0.4</v>
      </c>
      <c r="BM120" s="82">
        <v>0.9</v>
      </c>
      <c r="BN120" s="82">
        <v>0.2</v>
      </c>
      <c r="BO120" s="82">
        <v>0.7</v>
      </c>
      <c r="BP120" s="82">
        <v>0.2</v>
      </c>
      <c r="BQ120" s="82">
        <v>0.5</v>
      </c>
      <c r="BR120" s="82">
        <v>0.1</v>
      </c>
      <c r="BS120" s="82">
        <v>0.4</v>
      </c>
      <c r="BT120" s="82">
        <v>21310</v>
      </c>
      <c r="BU120" s="82">
        <v>7078</v>
      </c>
      <c r="BV120" s="82">
        <v>4405</v>
      </c>
      <c r="BW120" s="82">
        <v>33177</v>
      </c>
      <c r="BX120" s="82">
        <v>9.9</v>
      </c>
      <c r="BY120" s="82">
        <v>3.9</v>
      </c>
      <c r="BZ120" s="82">
        <v>7.9</v>
      </c>
      <c r="CA120" s="82">
        <v>30.8</v>
      </c>
      <c r="CB120" s="82">
        <v>26.2</v>
      </c>
      <c r="CC120" s="82">
        <v>11.8</v>
      </c>
      <c r="CD120" s="82">
        <v>4.5999999999999996</v>
      </c>
      <c r="CE120" s="82">
        <v>2.7</v>
      </c>
      <c r="CF120" s="82">
        <v>1.7</v>
      </c>
      <c r="CG120" s="82">
        <v>0.4</v>
      </c>
      <c r="CH120" s="82">
        <v>0.1</v>
      </c>
      <c r="CI120" s="82">
        <v>0.2</v>
      </c>
      <c r="CJ120" s="82">
        <f t="shared" si="8"/>
        <v>65970</v>
      </c>
      <c r="CK120" s="82">
        <f t="shared" si="9"/>
        <v>104568.76785136104</v>
      </c>
      <c r="CL120" s="95">
        <f ca="1">$CK120*SUM(OFFSET($AJ120,0,(COUNTA($CL$1:CL$1)-1)*4,1,4))/100</f>
        <v>23109.697695150793</v>
      </c>
      <c r="CM120" s="95">
        <f ca="1">$CK120*SUM(OFFSET($AJ120,0,(COUNTA($CL$1:CM$1)-1)*4,1,4))/100</f>
        <v>23109.697695150793</v>
      </c>
      <c r="CN120" s="95">
        <f ca="1">$CK120*SUM(OFFSET($AJ120,0,(COUNTA($CL$1:CN$1)-1)*4,1,4))/100</f>
        <v>19554.359588204519</v>
      </c>
      <c r="CO120" s="95">
        <f ca="1">$CK120*SUM(OFFSET($AJ120,0,(COUNTA($CL$1:CO$1)-1)*4,1,4))/100</f>
        <v>12966.527213568768</v>
      </c>
      <c r="CP120" s="95">
        <f ca="1">$CK120*SUM(OFFSET($AJ120,0,(COUNTA($CL$1:CP$1)-1)*4,1,4))/100</f>
        <v>8679.2077316629675</v>
      </c>
      <c r="CQ120" s="95">
        <f ca="1">$CK120*SUM(OFFSET($AJ120,0,(COUNTA($CL$1:CQ$1)-1)*4,1,4))/100</f>
        <v>7528.9512852979942</v>
      </c>
      <c r="CR120" s="95">
        <f ca="1">$CK120*SUM(OFFSET($AJ120,0,(COUNTA($CL$1:CR$1)-1)*4,1,4))/100</f>
        <v>4914.7320890139699</v>
      </c>
      <c r="CS120" s="95">
        <f ca="1">$CK120*SUM(OFFSET($AJ120,0,(COUNTA($CL$1:CS$1)-1)*4,1,4))/100</f>
        <v>2300.5128927299434</v>
      </c>
      <c r="CT120" s="95">
        <f ca="1">$CK120*SUM(OFFSET($AJ120,0,(COUNTA($CL$1:CT$1)-1)*4,1,4))/100</f>
        <v>1254.8252142163326</v>
      </c>
      <c r="CU120" s="96">
        <f t="shared" si="10"/>
        <v>1802.949152542373</v>
      </c>
      <c r="CV120" s="96">
        <f t="shared" si="11"/>
        <v>57.998733743492785</v>
      </c>
    </row>
    <row r="121" spans="1:100">
      <c r="A121" s="82" t="str">
        <f ca="1">IF(ISERROR(OFFSET(Map!$E$2,MATCH(D121,Map!$B$3:$B$239,0),0)),OFFSET(Map!$E$2,MATCH(D121,Map!$C$3:$C$239,0),0),OFFSET(Map!$E$2,MATCH(D121,Map!$B$3:$B$239,0),0))</f>
        <v>uMgungundlovu</v>
      </c>
      <c r="B121" s="82">
        <v>120</v>
      </c>
      <c r="C121" s="82" t="s">
        <v>57</v>
      </c>
      <c r="D121" s="82" t="s">
        <v>442</v>
      </c>
      <c r="E121" s="82" t="s">
        <v>443</v>
      </c>
      <c r="F121" s="82">
        <v>92710</v>
      </c>
      <c r="G121" s="82">
        <v>24.3</v>
      </c>
      <c r="H121" s="82">
        <v>67.400000000000006</v>
      </c>
      <c r="I121" s="82">
        <f t="shared" si="6"/>
        <v>62487</v>
      </c>
      <c r="J121" s="82">
        <v>8.3000000000000007</v>
      </c>
      <c r="K121" s="82">
        <v>48.4</v>
      </c>
      <c r="L121" s="82">
        <v>93.7</v>
      </c>
      <c r="M121" s="82">
        <v>2.27</v>
      </c>
      <c r="N121" s="82">
        <v>59</v>
      </c>
      <c r="O121" s="82">
        <v>23.9</v>
      </c>
      <c r="P121" s="82">
        <f t="shared" si="7"/>
        <v>47552</v>
      </c>
      <c r="Q121" s="82">
        <v>32</v>
      </c>
      <c r="R121" s="82">
        <v>6.3</v>
      </c>
      <c r="S121" s="82">
        <v>15.5</v>
      </c>
      <c r="T121" s="82">
        <v>29</v>
      </c>
      <c r="U121" s="82">
        <v>30490</v>
      </c>
      <c r="V121" s="82">
        <v>6767</v>
      </c>
      <c r="W121" s="82">
        <v>2.8</v>
      </c>
      <c r="X121" s="82">
        <v>42.7</v>
      </c>
      <c r="Y121" s="82">
        <v>85.4</v>
      </c>
      <c r="Z121" s="82">
        <v>46.4</v>
      </c>
      <c r="AA121" s="82">
        <v>54.8</v>
      </c>
      <c r="AB121" s="82">
        <v>67.900000000000006</v>
      </c>
      <c r="AC121" s="82">
        <v>67.5</v>
      </c>
      <c r="AD121" s="82">
        <v>85.5</v>
      </c>
      <c r="AE121" s="82">
        <v>75</v>
      </c>
      <c r="AF121" s="82">
        <v>1.5</v>
      </c>
      <c r="AG121" s="82">
        <v>3.8</v>
      </c>
      <c r="AH121" s="82">
        <v>19.399999999999999</v>
      </c>
      <c r="AI121" s="82">
        <v>0.3</v>
      </c>
      <c r="AJ121" s="82">
        <v>4.5</v>
      </c>
      <c r="AK121" s="82">
        <v>4.2</v>
      </c>
      <c r="AL121" s="82">
        <v>4</v>
      </c>
      <c r="AM121" s="82">
        <v>3.9</v>
      </c>
      <c r="AN121" s="82">
        <v>4</v>
      </c>
      <c r="AO121" s="82">
        <v>3.9</v>
      </c>
      <c r="AP121" s="82">
        <v>4.9000000000000004</v>
      </c>
      <c r="AQ121" s="82">
        <v>4.5</v>
      </c>
      <c r="AR121" s="82">
        <v>5.0999999999999996</v>
      </c>
      <c r="AS121" s="82">
        <v>4.9000000000000004</v>
      </c>
      <c r="AT121" s="82">
        <v>5.0999999999999996</v>
      </c>
      <c r="AU121" s="82">
        <v>5</v>
      </c>
      <c r="AV121" s="82">
        <v>4.0999999999999996</v>
      </c>
      <c r="AW121" s="82">
        <v>4.0999999999999996</v>
      </c>
      <c r="AX121" s="82">
        <v>3.8</v>
      </c>
      <c r="AY121" s="82">
        <v>3.8</v>
      </c>
      <c r="AZ121" s="82">
        <v>2.9</v>
      </c>
      <c r="BA121" s="82">
        <v>3.2</v>
      </c>
      <c r="BB121" s="82">
        <v>2.1</v>
      </c>
      <c r="BC121" s="82">
        <v>2.1</v>
      </c>
      <c r="BD121" s="82">
        <v>1.8</v>
      </c>
      <c r="BE121" s="82">
        <v>2.2999999999999998</v>
      </c>
      <c r="BF121" s="82">
        <v>1.6</v>
      </c>
      <c r="BG121" s="82">
        <v>2.1</v>
      </c>
      <c r="BH121" s="82">
        <v>1.3</v>
      </c>
      <c r="BI121" s="82">
        <v>2</v>
      </c>
      <c r="BJ121" s="82">
        <v>1</v>
      </c>
      <c r="BK121" s="82">
        <v>1.4</v>
      </c>
      <c r="BL121" s="82">
        <v>0.9</v>
      </c>
      <c r="BM121" s="82">
        <v>1.3</v>
      </c>
      <c r="BN121" s="82">
        <v>0.6</v>
      </c>
      <c r="BO121" s="82">
        <v>1</v>
      </c>
      <c r="BP121" s="82">
        <v>0.4</v>
      </c>
      <c r="BQ121" s="82">
        <v>0.7</v>
      </c>
      <c r="BR121" s="82">
        <v>0.3</v>
      </c>
      <c r="BS121" s="82">
        <v>0.6</v>
      </c>
      <c r="BT121" s="82">
        <v>30844</v>
      </c>
      <c r="BU121" s="82">
        <v>9711</v>
      </c>
      <c r="BV121" s="82">
        <v>2930</v>
      </c>
      <c r="BW121" s="82">
        <v>18982</v>
      </c>
      <c r="BX121" s="82">
        <v>12.8</v>
      </c>
      <c r="BY121" s="82">
        <v>3</v>
      </c>
      <c r="BZ121" s="82">
        <v>5</v>
      </c>
      <c r="CA121" s="82">
        <v>18.3</v>
      </c>
      <c r="CB121" s="82">
        <v>20.399999999999999</v>
      </c>
      <c r="CC121" s="82">
        <v>13.4</v>
      </c>
      <c r="CD121" s="82">
        <v>10.199999999999999</v>
      </c>
      <c r="CE121" s="82">
        <v>7.8</v>
      </c>
      <c r="CF121" s="82">
        <v>5.8</v>
      </c>
      <c r="CG121" s="82">
        <v>2.4</v>
      </c>
      <c r="CH121" s="82">
        <v>0.6</v>
      </c>
      <c r="CI121" s="82">
        <v>0.3</v>
      </c>
      <c r="CJ121" s="82">
        <f t="shared" si="8"/>
        <v>62467</v>
      </c>
      <c r="CK121" s="82">
        <f t="shared" si="9"/>
        <v>113464.73015397461</v>
      </c>
      <c r="CL121" s="95">
        <f ca="1">$CK121*SUM(OFFSET($AJ121,0,(COUNTA($CL$1:CL$1)-1)*4,1,4))/100</f>
        <v>18835.145205559784</v>
      </c>
      <c r="CM121" s="95">
        <f ca="1">$CK121*SUM(OFFSET($AJ121,0,(COUNTA($CL$1:CM$1)-1)*4,1,4))/100</f>
        <v>19629.398316637609</v>
      </c>
      <c r="CN121" s="95">
        <f ca="1">$CK121*SUM(OFFSET($AJ121,0,(COUNTA($CL$1:CN$1)-1)*4,1,4))/100</f>
        <v>22806.4107609489</v>
      </c>
      <c r="CO121" s="95">
        <f ca="1">$CK121*SUM(OFFSET($AJ121,0,(COUNTA($CL$1:CO$1)-1)*4,1,4))/100</f>
        <v>17927.427364327988</v>
      </c>
      <c r="CP121" s="95">
        <f ca="1">$CK121*SUM(OFFSET($AJ121,0,(COUNTA($CL$1:CP$1)-1)*4,1,4))/100</f>
        <v>11686.867205859384</v>
      </c>
      <c r="CQ121" s="95">
        <f ca="1">$CK121*SUM(OFFSET($AJ121,0,(COUNTA($CL$1:CQ$1)-1)*4,1,4))/100</f>
        <v>8850.2489520100189</v>
      </c>
      <c r="CR121" s="95">
        <f ca="1">$CK121*SUM(OFFSET($AJ121,0,(COUNTA($CL$1:CR$1)-1)*4,1,4))/100</f>
        <v>6467.4896187765526</v>
      </c>
      <c r="CS121" s="95">
        <f ca="1">$CK121*SUM(OFFSET($AJ121,0,(COUNTA($CL$1:CS$1)-1)*4,1,4))/100</f>
        <v>4311.659745851036</v>
      </c>
      <c r="CT121" s="95">
        <f ca="1">$CK121*SUM(OFFSET($AJ121,0,(COUNTA($CL$1:CT$1)-1)*4,1,4))/100</f>
        <v>2269.2946030794924</v>
      </c>
      <c r="CU121" s="96">
        <f t="shared" si="10"/>
        <v>1571.3559322033898</v>
      </c>
      <c r="CV121" s="96">
        <f t="shared" si="11"/>
        <v>72.208166099498456</v>
      </c>
    </row>
    <row r="122" spans="1:100">
      <c r="A122" s="82" t="str">
        <f ca="1">IF(ISERROR(OFFSET(Map!$E$2,MATCH(D122,Map!$B$3:$B$239,0),0)),OFFSET(Map!$E$2,MATCH(D122,Map!$C$3:$C$239,0),0),OFFSET(Map!$E$2,MATCH(D122,Map!$B$3:$B$239,0),0))</f>
        <v>uMgungundlovu</v>
      </c>
      <c r="B122" s="82">
        <v>121</v>
      </c>
      <c r="C122" s="82" t="s">
        <v>57</v>
      </c>
      <c r="D122" s="82" t="s">
        <v>444</v>
      </c>
      <c r="E122" s="82" t="s">
        <v>445</v>
      </c>
      <c r="F122" s="82">
        <v>38103</v>
      </c>
      <c r="G122" s="82">
        <v>30.2</v>
      </c>
      <c r="H122" s="82">
        <v>65.7</v>
      </c>
      <c r="I122" s="82">
        <f t="shared" si="6"/>
        <v>25034</v>
      </c>
      <c r="J122" s="82">
        <v>4.2</v>
      </c>
      <c r="K122" s="82">
        <v>52.3</v>
      </c>
      <c r="L122" s="82">
        <v>94.2</v>
      </c>
      <c r="M122" s="82">
        <v>0.34</v>
      </c>
      <c r="N122" s="82">
        <v>21</v>
      </c>
      <c r="O122" s="82">
        <v>23.9</v>
      </c>
      <c r="P122" s="82">
        <f t="shared" si="7"/>
        <v>19051</v>
      </c>
      <c r="Q122" s="82">
        <v>29.3</v>
      </c>
      <c r="R122" s="82">
        <v>15.2</v>
      </c>
      <c r="S122" s="82">
        <v>5.7</v>
      </c>
      <c r="T122" s="82">
        <v>25.6</v>
      </c>
      <c r="U122" s="82">
        <v>10452</v>
      </c>
      <c r="V122" s="82">
        <v>3258</v>
      </c>
      <c r="W122" s="82">
        <v>3.4</v>
      </c>
      <c r="X122" s="82">
        <v>44.1</v>
      </c>
      <c r="Y122" s="82">
        <v>76.099999999999994</v>
      </c>
      <c r="Z122" s="82">
        <v>43.6</v>
      </c>
      <c r="AA122" s="82">
        <v>53.1</v>
      </c>
      <c r="AB122" s="82">
        <v>48</v>
      </c>
      <c r="AC122" s="82">
        <v>39.5</v>
      </c>
      <c r="AD122" s="82">
        <v>71.900000000000006</v>
      </c>
      <c r="AE122" s="82">
        <v>92.2</v>
      </c>
      <c r="AF122" s="82">
        <v>0.6</v>
      </c>
      <c r="AG122" s="82">
        <v>1.8</v>
      </c>
      <c r="AH122" s="82">
        <v>5.2</v>
      </c>
      <c r="AI122" s="82">
        <v>0.3</v>
      </c>
      <c r="AJ122" s="82">
        <v>5.5</v>
      </c>
      <c r="AK122" s="82">
        <v>5.4</v>
      </c>
      <c r="AL122" s="82">
        <v>4.9000000000000004</v>
      </c>
      <c r="AM122" s="82">
        <v>4.8</v>
      </c>
      <c r="AN122" s="82">
        <v>4.9000000000000004</v>
      </c>
      <c r="AO122" s="82">
        <v>4.5999999999999996</v>
      </c>
      <c r="AP122" s="82">
        <v>5.0999999999999996</v>
      </c>
      <c r="AQ122" s="82">
        <v>4.5999999999999996</v>
      </c>
      <c r="AR122" s="82">
        <v>5.4</v>
      </c>
      <c r="AS122" s="82">
        <v>5.3</v>
      </c>
      <c r="AT122" s="82">
        <v>5.3</v>
      </c>
      <c r="AU122" s="82">
        <v>5.3</v>
      </c>
      <c r="AV122" s="82">
        <v>4</v>
      </c>
      <c r="AW122" s="82">
        <v>4.0999999999999996</v>
      </c>
      <c r="AX122" s="82">
        <v>3.2</v>
      </c>
      <c r="AY122" s="82">
        <v>3.4</v>
      </c>
      <c r="AZ122" s="82">
        <v>2.4</v>
      </c>
      <c r="BA122" s="82">
        <v>3.1</v>
      </c>
      <c r="BB122" s="82">
        <v>2</v>
      </c>
      <c r="BC122" s="82">
        <v>2</v>
      </c>
      <c r="BD122" s="82">
        <v>1.6</v>
      </c>
      <c r="BE122" s="82">
        <v>2.1</v>
      </c>
      <c r="BF122" s="82">
        <v>1.4</v>
      </c>
      <c r="BG122" s="82">
        <v>1.9</v>
      </c>
      <c r="BH122" s="82">
        <v>1.3</v>
      </c>
      <c r="BI122" s="82">
        <v>1.6</v>
      </c>
      <c r="BJ122" s="82">
        <v>0.6</v>
      </c>
      <c r="BK122" s="82">
        <v>0.9</v>
      </c>
      <c r="BL122" s="82">
        <v>0.4</v>
      </c>
      <c r="BM122" s="82">
        <v>0.6</v>
      </c>
      <c r="BN122" s="82">
        <v>0.2</v>
      </c>
      <c r="BO122" s="82">
        <v>0.4</v>
      </c>
      <c r="BP122" s="82">
        <v>0.2</v>
      </c>
      <c r="BQ122" s="82">
        <v>0.4</v>
      </c>
      <c r="BR122" s="82">
        <v>0.1</v>
      </c>
      <c r="BS122" s="82">
        <v>0.4</v>
      </c>
      <c r="BT122" s="82">
        <v>10188</v>
      </c>
      <c r="BU122" s="82">
        <v>3200</v>
      </c>
      <c r="BV122" s="82">
        <v>2188</v>
      </c>
      <c r="BW122" s="82">
        <v>9448</v>
      </c>
      <c r="BX122" s="82">
        <v>11.3</v>
      </c>
      <c r="BY122" s="82">
        <v>4.3</v>
      </c>
      <c r="BZ122" s="82">
        <v>8.3000000000000007</v>
      </c>
      <c r="CA122" s="82">
        <v>23.7</v>
      </c>
      <c r="CB122" s="82">
        <v>25.9</v>
      </c>
      <c r="CC122" s="82">
        <v>13</v>
      </c>
      <c r="CD122" s="82">
        <v>6.9</v>
      </c>
      <c r="CE122" s="82">
        <v>3.4</v>
      </c>
      <c r="CF122" s="82">
        <v>2.2000000000000002</v>
      </c>
      <c r="CG122" s="82">
        <v>0.5</v>
      </c>
      <c r="CH122" s="82">
        <v>0.2</v>
      </c>
      <c r="CI122" s="82">
        <v>0.2</v>
      </c>
      <c r="CJ122" s="82">
        <f t="shared" si="8"/>
        <v>25024</v>
      </c>
      <c r="CK122" s="82">
        <f t="shared" si="9"/>
        <v>39284.935186664494</v>
      </c>
      <c r="CL122" s="95">
        <f ca="1">$CK122*SUM(OFFSET($AJ122,0,(COUNTA($CL$1:CL$1)-1)*4,1,4))/100</f>
        <v>8092.6966484528857</v>
      </c>
      <c r="CM122" s="95">
        <f ca="1">$CK122*SUM(OFFSET($AJ122,0,(COUNTA($CL$1:CM$1)-1)*4,1,4))/100</f>
        <v>7542.7075558395827</v>
      </c>
      <c r="CN122" s="95">
        <f ca="1">$CK122*SUM(OFFSET($AJ122,0,(COUNTA($CL$1:CN$1)-1)*4,1,4))/100</f>
        <v>8367.6911947595381</v>
      </c>
      <c r="CO122" s="95">
        <f ca="1">$CK122*SUM(OFFSET($AJ122,0,(COUNTA($CL$1:CO$1)-1)*4,1,4))/100</f>
        <v>5774.8854724396815</v>
      </c>
      <c r="CP122" s="95">
        <f ca="1">$CK122*SUM(OFFSET($AJ122,0,(COUNTA($CL$1:CP$1)-1)*4,1,4))/100</f>
        <v>3732.068842733127</v>
      </c>
      <c r="CQ122" s="95">
        <f ca="1">$CK122*SUM(OFFSET($AJ122,0,(COUNTA($CL$1:CQ$1)-1)*4,1,4))/100</f>
        <v>2749.9454630665145</v>
      </c>
      <c r="CR122" s="95">
        <f ca="1">$CK122*SUM(OFFSET($AJ122,0,(COUNTA($CL$1:CR$1)-1)*4,1,4))/100</f>
        <v>1728.5371482132377</v>
      </c>
      <c r="CS122" s="95">
        <f ca="1">$CK122*SUM(OFFSET($AJ122,0,(COUNTA($CL$1:CS$1)-1)*4,1,4))/100</f>
        <v>628.55896298663197</v>
      </c>
      <c r="CT122" s="95">
        <f ca="1">$CK122*SUM(OFFSET($AJ122,0,(COUNTA($CL$1:CT$1)-1)*4,1,4))/100</f>
        <v>432.13428705330944</v>
      </c>
      <c r="CU122" s="96">
        <f t="shared" si="10"/>
        <v>1814.4285714285713</v>
      </c>
      <c r="CV122" s="96">
        <f t="shared" si="11"/>
        <v>21.651409047055466</v>
      </c>
    </row>
    <row r="123" spans="1:100">
      <c r="A123" s="82" t="str">
        <f ca="1">IF(ISERROR(OFFSET(Map!$E$2,MATCH(D123,Map!$B$3:$B$239,0),0)),OFFSET(Map!$E$2,MATCH(D123,Map!$C$3:$C$239,0),0),OFFSET(Map!$E$2,MATCH(D123,Map!$B$3:$B$239,0),0))</f>
        <v>uMgungundlovu</v>
      </c>
      <c r="B123" s="82">
        <v>122</v>
      </c>
      <c r="C123" s="82" t="s">
        <v>57</v>
      </c>
      <c r="D123" s="82" t="s">
        <v>446</v>
      </c>
      <c r="E123" s="82" t="s">
        <v>447</v>
      </c>
      <c r="F123" s="82">
        <v>33105</v>
      </c>
      <c r="G123" s="82">
        <v>37.700000000000003</v>
      </c>
      <c r="H123" s="82">
        <v>55.8</v>
      </c>
      <c r="I123" s="82">
        <f t="shared" si="6"/>
        <v>18473</v>
      </c>
      <c r="J123" s="82">
        <v>6.5</v>
      </c>
      <c r="K123" s="82">
        <v>79.099999999999994</v>
      </c>
      <c r="L123" s="82">
        <v>88</v>
      </c>
      <c r="M123" s="82">
        <v>-1.34</v>
      </c>
      <c r="N123" s="82">
        <v>22</v>
      </c>
      <c r="O123" s="82">
        <v>45.1</v>
      </c>
      <c r="P123" s="82">
        <f t="shared" si="7"/>
        <v>10141</v>
      </c>
      <c r="Q123" s="82">
        <v>56.2</v>
      </c>
      <c r="R123" s="82">
        <v>14.9</v>
      </c>
      <c r="S123" s="82">
        <v>3.6</v>
      </c>
      <c r="T123" s="82">
        <v>22.2</v>
      </c>
      <c r="U123" s="82">
        <v>8203</v>
      </c>
      <c r="V123" s="82">
        <v>4630</v>
      </c>
      <c r="W123" s="82">
        <v>4</v>
      </c>
      <c r="X123" s="82">
        <v>57.4</v>
      </c>
      <c r="Y123" s="82">
        <v>44.1</v>
      </c>
      <c r="Z123" s="82">
        <v>36.200000000000003</v>
      </c>
      <c r="AA123" s="82">
        <v>4.8</v>
      </c>
      <c r="AB123" s="82">
        <v>3</v>
      </c>
      <c r="AC123" s="82">
        <v>16</v>
      </c>
      <c r="AD123" s="82">
        <v>83.6</v>
      </c>
      <c r="AE123" s="82">
        <v>98.9</v>
      </c>
      <c r="AF123" s="82">
        <v>0.3</v>
      </c>
      <c r="AG123" s="82">
        <v>0.1</v>
      </c>
      <c r="AH123" s="82">
        <v>0.5</v>
      </c>
      <c r="AI123" s="82">
        <v>0.2</v>
      </c>
      <c r="AJ123" s="82">
        <v>6.8</v>
      </c>
      <c r="AK123" s="82">
        <v>6.5</v>
      </c>
      <c r="AL123" s="82">
        <v>6.4</v>
      </c>
      <c r="AM123" s="82">
        <v>6</v>
      </c>
      <c r="AN123" s="82">
        <v>6.3</v>
      </c>
      <c r="AO123" s="82">
        <v>5.6</v>
      </c>
      <c r="AP123" s="82">
        <v>6.2</v>
      </c>
      <c r="AQ123" s="82">
        <v>6</v>
      </c>
      <c r="AR123" s="82">
        <v>4.5</v>
      </c>
      <c r="AS123" s="82">
        <v>4.5999999999999996</v>
      </c>
      <c r="AT123" s="82">
        <v>3.2</v>
      </c>
      <c r="AU123" s="82">
        <v>3.6</v>
      </c>
      <c r="AV123" s="82">
        <v>2.1</v>
      </c>
      <c r="AW123" s="82">
        <v>2.6</v>
      </c>
      <c r="AX123" s="82">
        <v>1.9</v>
      </c>
      <c r="AY123" s="82">
        <v>2.2000000000000002</v>
      </c>
      <c r="AZ123" s="82">
        <v>1.6</v>
      </c>
      <c r="BA123" s="82">
        <v>2.2000000000000002</v>
      </c>
      <c r="BB123" s="82">
        <v>1.5</v>
      </c>
      <c r="BC123" s="82">
        <v>1.5</v>
      </c>
      <c r="BD123" s="82">
        <v>1.4</v>
      </c>
      <c r="BE123" s="82">
        <v>2.4</v>
      </c>
      <c r="BF123" s="82">
        <v>1.6</v>
      </c>
      <c r="BG123" s="82">
        <v>2.4</v>
      </c>
      <c r="BH123" s="82">
        <v>1.3</v>
      </c>
      <c r="BI123" s="82">
        <v>2.1</v>
      </c>
      <c r="BJ123" s="82">
        <v>0.7</v>
      </c>
      <c r="BK123" s="82">
        <v>1.4</v>
      </c>
      <c r="BL123" s="82">
        <v>0.5</v>
      </c>
      <c r="BM123" s="82">
        <v>1.1000000000000001</v>
      </c>
      <c r="BN123" s="82">
        <v>0.3</v>
      </c>
      <c r="BO123" s="82">
        <v>0.9</v>
      </c>
      <c r="BP123" s="82">
        <v>0.2</v>
      </c>
      <c r="BQ123" s="82">
        <v>0.7</v>
      </c>
      <c r="BR123" s="82">
        <v>0.2</v>
      </c>
      <c r="BS123" s="82">
        <v>0.4</v>
      </c>
      <c r="BT123" s="82">
        <v>2347</v>
      </c>
      <c r="BU123" s="82">
        <v>1928</v>
      </c>
      <c r="BV123" s="82">
        <v>2284</v>
      </c>
      <c r="BW123" s="82">
        <v>11923</v>
      </c>
      <c r="BX123" s="82">
        <v>18</v>
      </c>
      <c r="BY123" s="82">
        <v>6.2</v>
      </c>
      <c r="BZ123" s="82">
        <v>9.4</v>
      </c>
      <c r="CA123" s="82">
        <v>30.5</v>
      </c>
      <c r="CB123" s="82">
        <v>19.3</v>
      </c>
      <c r="CC123" s="82">
        <v>8.4</v>
      </c>
      <c r="CD123" s="82">
        <v>4.0999999999999996</v>
      </c>
      <c r="CE123" s="82">
        <v>2.4</v>
      </c>
      <c r="CF123" s="82">
        <v>1.2</v>
      </c>
      <c r="CG123" s="82">
        <v>0.2</v>
      </c>
      <c r="CH123" s="82">
        <v>0.2</v>
      </c>
      <c r="CI123" s="82">
        <v>0.1</v>
      </c>
      <c r="CJ123" s="82">
        <f t="shared" si="8"/>
        <v>18482</v>
      </c>
      <c r="CK123" s="82">
        <f t="shared" si="9"/>
        <v>29319.974776480049</v>
      </c>
      <c r="CL123" s="95">
        <f ca="1">$CK123*SUM(OFFSET($AJ123,0,(COUNTA($CL$1:CL$1)-1)*4,1,4))/100</f>
        <v>7535.2335175553735</v>
      </c>
      <c r="CM123" s="95">
        <f ca="1">$CK123*SUM(OFFSET($AJ123,0,(COUNTA($CL$1:CM$1)-1)*4,1,4))/100</f>
        <v>7066.1139211316904</v>
      </c>
      <c r="CN123" s="95">
        <f ca="1">$CK123*SUM(OFFSET($AJ123,0,(COUNTA($CL$1:CN$1)-1)*4,1,4))/100</f>
        <v>4661.8759894603272</v>
      </c>
      <c r="CO123" s="95">
        <f ca="1">$CK123*SUM(OFFSET($AJ123,0,(COUNTA($CL$1:CO$1)-1)*4,1,4))/100</f>
        <v>2580.1577803302443</v>
      </c>
      <c r="CP123" s="95">
        <f ca="1">$CK123*SUM(OFFSET($AJ123,0,(COUNTA($CL$1:CP$1)-1)*4,1,4))/100</f>
        <v>1993.7582848006434</v>
      </c>
      <c r="CQ123" s="95">
        <f ca="1">$CK123*SUM(OFFSET($AJ123,0,(COUNTA($CL$1:CQ$1)-1)*4,1,4))/100</f>
        <v>2286.9580325654442</v>
      </c>
      <c r="CR123" s="95">
        <f ca="1">$CK123*SUM(OFFSET($AJ123,0,(COUNTA($CL$1:CR$1)-1)*4,1,4))/100</f>
        <v>1612.5986127064027</v>
      </c>
      <c r="CS123" s="95">
        <f ca="1">$CK123*SUM(OFFSET($AJ123,0,(COUNTA($CL$1:CS$1)-1)*4,1,4))/100</f>
        <v>820.95929374144146</v>
      </c>
      <c r="CT123" s="95">
        <f ca="1">$CK123*SUM(OFFSET($AJ123,0,(COUNTA($CL$1:CT$1)-1)*4,1,4))/100</f>
        <v>439.79962164720069</v>
      </c>
      <c r="CU123" s="96">
        <f t="shared" si="10"/>
        <v>1504.7727272727273</v>
      </c>
      <c r="CV123" s="96">
        <f t="shared" si="11"/>
        <v>19.484653227082347</v>
      </c>
    </row>
    <row r="124" spans="1:100">
      <c r="A124" s="82" t="str">
        <f ca="1">IF(ISERROR(OFFSET(Map!$E$2,MATCH(D124,Map!$B$3:$B$239,0),0)),OFFSET(Map!$E$2,MATCH(D124,Map!$C$3:$C$239,0),0),OFFSET(Map!$E$2,MATCH(D124,Map!$B$3:$B$239,0),0))</f>
        <v>uMgungundlovu</v>
      </c>
      <c r="B124" s="82">
        <v>123</v>
      </c>
      <c r="C124" s="82" t="s">
        <v>57</v>
      </c>
      <c r="D124" s="82" t="s">
        <v>448</v>
      </c>
      <c r="E124" s="82" t="s">
        <v>449</v>
      </c>
      <c r="F124" s="82">
        <v>618536</v>
      </c>
      <c r="G124" s="82">
        <v>26.6</v>
      </c>
      <c r="H124" s="82">
        <v>68.400000000000006</v>
      </c>
      <c r="I124" s="82">
        <f t="shared" si="6"/>
        <v>423079</v>
      </c>
      <c r="J124" s="82">
        <v>5</v>
      </c>
      <c r="K124" s="82">
        <v>46.2</v>
      </c>
      <c r="L124" s="82">
        <v>90.9</v>
      </c>
      <c r="M124" s="82">
        <v>1.1200000000000001</v>
      </c>
      <c r="N124" s="82">
        <v>976</v>
      </c>
      <c r="O124" s="82">
        <v>33</v>
      </c>
      <c r="P124" s="82">
        <f t="shared" si="7"/>
        <v>283463</v>
      </c>
      <c r="Q124" s="82">
        <v>43.1</v>
      </c>
      <c r="R124" s="82">
        <v>5.5</v>
      </c>
      <c r="S124" s="82">
        <v>13.1</v>
      </c>
      <c r="T124" s="82">
        <v>33.700000000000003</v>
      </c>
      <c r="U124" s="82">
        <v>163993</v>
      </c>
      <c r="V124" s="82">
        <v>35527</v>
      </c>
      <c r="W124" s="82">
        <v>3.6</v>
      </c>
      <c r="X124" s="82">
        <v>45.2</v>
      </c>
      <c r="Y124" s="82">
        <v>73.7</v>
      </c>
      <c r="Z124" s="82">
        <v>57.9</v>
      </c>
      <c r="AA124" s="82">
        <v>51.6</v>
      </c>
      <c r="AB124" s="82">
        <v>53.2</v>
      </c>
      <c r="AC124" s="82">
        <v>47.9</v>
      </c>
      <c r="AD124" s="82">
        <v>91.9</v>
      </c>
      <c r="AE124" s="82">
        <v>81.099999999999994</v>
      </c>
      <c r="AF124" s="82">
        <v>2.9</v>
      </c>
      <c r="AG124" s="82">
        <v>9.8000000000000007</v>
      </c>
      <c r="AH124" s="82">
        <v>6</v>
      </c>
      <c r="AI124" s="82">
        <v>0.3</v>
      </c>
      <c r="AJ124" s="82">
        <v>4.8</v>
      </c>
      <c r="AK124" s="82">
        <v>4.7</v>
      </c>
      <c r="AL124" s="82">
        <v>4.2</v>
      </c>
      <c r="AM124" s="82">
        <v>4.2</v>
      </c>
      <c r="AN124" s="82">
        <v>4.4000000000000004</v>
      </c>
      <c r="AO124" s="82">
        <v>4.2</v>
      </c>
      <c r="AP124" s="82">
        <v>5</v>
      </c>
      <c r="AQ124" s="82">
        <v>5.0999999999999996</v>
      </c>
      <c r="AR124" s="82">
        <v>5.8</v>
      </c>
      <c r="AS124" s="82">
        <v>5.8</v>
      </c>
      <c r="AT124" s="82">
        <v>5.2</v>
      </c>
      <c r="AU124" s="82">
        <v>5.3</v>
      </c>
      <c r="AV124" s="82">
        <v>4</v>
      </c>
      <c r="AW124" s="82">
        <v>4.0999999999999996</v>
      </c>
      <c r="AX124" s="82">
        <v>3.6</v>
      </c>
      <c r="AY124" s="82">
        <v>3.7</v>
      </c>
      <c r="AZ124" s="82">
        <v>2.7</v>
      </c>
      <c r="BA124" s="82">
        <v>3.1</v>
      </c>
      <c r="BB124" s="82">
        <v>2.1</v>
      </c>
      <c r="BC124" s="82">
        <v>2.1</v>
      </c>
      <c r="BD124" s="82">
        <v>1.7</v>
      </c>
      <c r="BE124" s="82">
        <v>2.2999999999999998</v>
      </c>
      <c r="BF124" s="82">
        <v>1.4</v>
      </c>
      <c r="BG124" s="82">
        <v>2.1</v>
      </c>
      <c r="BH124" s="82">
        <v>1.2</v>
      </c>
      <c r="BI124" s="82">
        <v>1.7</v>
      </c>
      <c r="BJ124" s="82">
        <v>0.7</v>
      </c>
      <c r="BK124" s="82">
        <v>1.1000000000000001</v>
      </c>
      <c r="BL124" s="82">
        <v>0.5</v>
      </c>
      <c r="BM124" s="82">
        <v>0.9</v>
      </c>
      <c r="BN124" s="82">
        <v>0.3</v>
      </c>
      <c r="BO124" s="82">
        <v>0.6</v>
      </c>
      <c r="BP124" s="82">
        <v>0.2</v>
      </c>
      <c r="BQ124" s="82">
        <v>0.4</v>
      </c>
      <c r="BR124" s="82">
        <v>0.1</v>
      </c>
      <c r="BS124" s="82">
        <v>0.3</v>
      </c>
      <c r="BT124" s="82">
        <v>153909</v>
      </c>
      <c r="BU124" s="82">
        <v>75763</v>
      </c>
      <c r="BV124" s="82">
        <v>25229</v>
      </c>
      <c r="BW124" s="82">
        <v>168035</v>
      </c>
      <c r="BX124" s="82">
        <v>16.100000000000001</v>
      </c>
      <c r="BY124" s="82">
        <v>4.5999999999999996</v>
      </c>
      <c r="BZ124" s="82">
        <v>6.8</v>
      </c>
      <c r="CA124" s="82">
        <v>16.100000000000001</v>
      </c>
      <c r="CB124" s="82">
        <v>16.5</v>
      </c>
      <c r="CC124" s="82">
        <v>12.6</v>
      </c>
      <c r="CD124" s="82">
        <v>10.3</v>
      </c>
      <c r="CE124" s="82">
        <v>8.8000000000000007</v>
      </c>
      <c r="CF124" s="82">
        <v>5.7</v>
      </c>
      <c r="CG124" s="82">
        <v>1.8</v>
      </c>
      <c r="CH124" s="82">
        <v>0.5</v>
      </c>
      <c r="CI124" s="82">
        <v>0.3</v>
      </c>
      <c r="CJ124" s="82">
        <f t="shared" si="8"/>
        <v>422936</v>
      </c>
      <c r="CK124" s="82">
        <f t="shared" si="9"/>
        <v>683751.87445675395</v>
      </c>
      <c r="CL124" s="95">
        <f ca="1">$CK124*SUM(OFFSET($AJ124,0,(COUNTA($CL$1:CL$1)-1)*4,1,4))/100</f>
        <v>122391.58552775896</v>
      </c>
      <c r="CM124" s="95">
        <f ca="1">$CK124*SUM(OFFSET($AJ124,0,(COUNTA($CL$1:CM$1)-1)*4,1,4))/100</f>
        <v>127861.60052341301</v>
      </c>
      <c r="CN124" s="95">
        <f ca="1">$CK124*SUM(OFFSET($AJ124,0,(COUNTA($CL$1:CN$1)-1)*4,1,4))/100</f>
        <v>151109.16425494262</v>
      </c>
      <c r="CO124" s="95">
        <f ca="1">$CK124*SUM(OFFSET($AJ124,0,(COUNTA($CL$1:CO$1)-1)*4,1,4))/100</f>
        <v>105297.7886663401</v>
      </c>
      <c r="CP124" s="95">
        <f ca="1">$CK124*SUM(OFFSET($AJ124,0,(COUNTA($CL$1:CP$1)-1)*4,1,4))/100</f>
        <v>68375.187445675401</v>
      </c>
      <c r="CQ124" s="95">
        <f ca="1">$CK124*SUM(OFFSET($AJ124,0,(COUNTA($CL$1:CQ$1)-1)*4,1,4))/100</f>
        <v>51281.390584256544</v>
      </c>
      <c r="CR124" s="95">
        <f ca="1">$CK124*SUM(OFFSET($AJ124,0,(COUNTA($CL$1:CR$1)-1)*4,1,4))/100</f>
        <v>32136.338099467433</v>
      </c>
      <c r="CS124" s="95">
        <f ca="1">$CK124*SUM(OFFSET($AJ124,0,(COUNTA($CL$1:CS$1)-1)*4,1,4))/100</f>
        <v>15726.293112505338</v>
      </c>
      <c r="CT124" s="95">
        <f ca="1">$CK124*SUM(OFFSET($AJ124,0,(COUNTA($CL$1:CT$1)-1)*4,1,4))/100</f>
        <v>6837.5187445675392</v>
      </c>
      <c r="CU124" s="96">
        <f t="shared" si="10"/>
        <v>633.74590163934431</v>
      </c>
      <c r="CV124" s="96">
        <f t="shared" si="11"/>
        <v>1078.9053983434947</v>
      </c>
    </row>
    <row r="125" spans="1:100">
      <c r="A125" s="82" t="str">
        <f ca="1">IF(ISERROR(OFFSET(Map!$E$2,MATCH(D125,Map!$B$3:$B$239,0),0)),OFFSET(Map!$E$2,MATCH(D125,Map!$C$3:$C$239,0),0),OFFSET(Map!$E$2,MATCH(D125,Map!$B$3:$B$239,0),0))</f>
        <v>uMgungundlovu</v>
      </c>
      <c r="B125" s="82">
        <v>124</v>
      </c>
      <c r="C125" s="82" t="s">
        <v>57</v>
      </c>
      <c r="D125" s="82" t="s">
        <v>450</v>
      </c>
      <c r="E125" s="82" t="s">
        <v>451</v>
      </c>
      <c r="F125" s="82">
        <v>63142</v>
      </c>
      <c r="G125" s="82">
        <v>31.7</v>
      </c>
      <c r="H125" s="82">
        <v>63.5</v>
      </c>
      <c r="I125" s="82">
        <f t="shared" si="6"/>
        <v>40095</v>
      </c>
      <c r="J125" s="82">
        <v>4.8</v>
      </c>
      <c r="K125" s="82">
        <v>57.6</v>
      </c>
      <c r="L125" s="82">
        <v>92.1</v>
      </c>
      <c r="M125" s="82">
        <v>0.67</v>
      </c>
      <c r="N125" s="82">
        <v>71</v>
      </c>
      <c r="O125" s="82">
        <v>26.8</v>
      </c>
      <c r="P125" s="82">
        <f t="shared" si="7"/>
        <v>29350</v>
      </c>
      <c r="Q125" s="82">
        <v>34.1</v>
      </c>
      <c r="R125" s="82">
        <v>18.600000000000001</v>
      </c>
      <c r="S125" s="82">
        <v>5</v>
      </c>
      <c r="T125" s="82">
        <v>20.6</v>
      </c>
      <c r="U125" s="82">
        <v>14964</v>
      </c>
      <c r="V125" s="82">
        <v>5067</v>
      </c>
      <c r="W125" s="82">
        <v>3.7</v>
      </c>
      <c r="X125" s="82">
        <v>45.5</v>
      </c>
      <c r="Y125" s="82">
        <v>48.9</v>
      </c>
      <c r="Z125" s="82">
        <v>26.5</v>
      </c>
      <c r="AA125" s="82">
        <v>8.9</v>
      </c>
      <c r="AB125" s="82">
        <v>5.5</v>
      </c>
      <c r="AC125" s="82">
        <v>14.5</v>
      </c>
      <c r="AD125" s="82">
        <v>65.2</v>
      </c>
      <c r="AE125" s="82">
        <v>94.8</v>
      </c>
      <c r="AF125" s="82">
        <v>0.3</v>
      </c>
      <c r="AG125" s="82">
        <v>1</v>
      </c>
      <c r="AH125" s="82">
        <v>3.7</v>
      </c>
      <c r="AI125" s="82">
        <v>0.2</v>
      </c>
      <c r="AJ125" s="82">
        <v>5.8</v>
      </c>
      <c r="AK125" s="82">
        <v>5.9</v>
      </c>
      <c r="AL125" s="82">
        <v>5.0999999999999996</v>
      </c>
      <c r="AM125" s="82">
        <v>5</v>
      </c>
      <c r="AN125" s="82">
        <v>5</v>
      </c>
      <c r="AO125" s="82">
        <v>4.9000000000000004</v>
      </c>
      <c r="AP125" s="82">
        <v>5.4</v>
      </c>
      <c r="AQ125" s="82">
        <v>5.2</v>
      </c>
      <c r="AR125" s="82">
        <v>5.4</v>
      </c>
      <c r="AS125" s="82">
        <v>5.4</v>
      </c>
      <c r="AT125" s="82">
        <v>4.8</v>
      </c>
      <c r="AU125" s="82">
        <v>4.9000000000000004</v>
      </c>
      <c r="AV125" s="82">
        <v>3.5</v>
      </c>
      <c r="AW125" s="82">
        <v>3.7</v>
      </c>
      <c r="AX125" s="82">
        <v>2.9</v>
      </c>
      <c r="AY125" s="82">
        <v>3.1</v>
      </c>
      <c r="AZ125" s="82">
        <v>2.2000000000000002</v>
      </c>
      <c r="BA125" s="82">
        <v>2.6</v>
      </c>
      <c r="BB125" s="82">
        <v>2</v>
      </c>
      <c r="BC125" s="82">
        <v>2</v>
      </c>
      <c r="BD125" s="82">
        <v>1.5</v>
      </c>
      <c r="BE125" s="82">
        <v>2.1</v>
      </c>
      <c r="BF125" s="82">
        <v>1.5</v>
      </c>
      <c r="BG125" s="82">
        <v>1.9</v>
      </c>
      <c r="BH125" s="82">
        <v>1.2</v>
      </c>
      <c r="BI125" s="82">
        <v>1.7</v>
      </c>
      <c r="BJ125" s="82">
        <v>0.7</v>
      </c>
      <c r="BK125" s="82">
        <v>1</v>
      </c>
      <c r="BL125" s="82">
        <v>0.4</v>
      </c>
      <c r="BM125" s="82">
        <v>0.8</v>
      </c>
      <c r="BN125" s="82">
        <v>0.2</v>
      </c>
      <c r="BO125" s="82">
        <v>0.5</v>
      </c>
      <c r="BP125" s="82">
        <v>0.2</v>
      </c>
      <c r="BQ125" s="82">
        <v>0.5</v>
      </c>
      <c r="BR125" s="82">
        <v>0.1</v>
      </c>
      <c r="BS125" s="82">
        <v>0.3</v>
      </c>
      <c r="BT125" s="82">
        <v>13444</v>
      </c>
      <c r="BU125" s="82">
        <v>4913</v>
      </c>
      <c r="BV125" s="82">
        <v>3171</v>
      </c>
      <c r="BW125" s="82">
        <v>18546</v>
      </c>
      <c r="BX125" s="82">
        <v>9</v>
      </c>
      <c r="BY125" s="82">
        <v>4.2</v>
      </c>
      <c r="BZ125" s="82">
        <v>9.3000000000000007</v>
      </c>
      <c r="CA125" s="82">
        <v>31.6</v>
      </c>
      <c r="CB125" s="82">
        <v>24.3</v>
      </c>
      <c r="CC125" s="82">
        <v>10.6</v>
      </c>
      <c r="CD125" s="82">
        <v>4.7</v>
      </c>
      <c r="CE125" s="82">
        <v>3.2</v>
      </c>
      <c r="CF125" s="82">
        <v>2</v>
      </c>
      <c r="CG125" s="82">
        <v>0.6</v>
      </c>
      <c r="CH125" s="82">
        <v>0.2</v>
      </c>
      <c r="CI125" s="82">
        <v>0.1</v>
      </c>
      <c r="CJ125" s="82">
        <f t="shared" si="8"/>
        <v>40074</v>
      </c>
      <c r="CK125" s="82">
        <f t="shared" si="9"/>
        <v>67053.113962886957</v>
      </c>
      <c r="CL125" s="95">
        <f ca="1">$CK125*SUM(OFFSET($AJ125,0,(COUNTA($CL$1:CL$1)-1)*4,1,4))/100</f>
        <v>14617.578843909356</v>
      </c>
      <c r="CM125" s="95">
        <f ca="1">$CK125*SUM(OFFSET($AJ125,0,(COUNTA($CL$1:CM$1)-1)*4,1,4))/100</f>
        <v>13745.888362391826</v>
      </c>
      <c r="CN125" s="95">
        <f ca="1">$CK125*SUM(OFFSET($AJ125,0,(COUNTA($CL$1:CN$1)-1)*4,1,4))/100</f>
        <v>13745.888362391826</v>
      </c>
      <c r="CO125" s="95">
        <f ca="1">$CK125*SUM(OFFSET($AJ125,0,(COUNTA($CL$1:CO$1)-1)*4,1,4))/100</f>
        <v>8851.011043101078</v>
      </c>
      <c r="CP125" s="95">
        <f ca="1">$CK125*SUM(OFFSET($AJ125,0,(COUNTA($CL$1:CP$1)-1)*4,1,4))/100</f>
        <v>5900.6740287340526</v>
      </c>
      <c r="CQ125" s="95">
        <f ca="1">$CK125*SUM(OFFSET($AJ125,0,(COUNTA($CL$1:CQ$1)-1)*4,1,4))/100</f>
        <v>4693.7179774020869</v>
      </c>
      <c r="CR125" s="95">
        <f ca="1">$CK125*SUM(OFFSET($AJ125,0,(COUNTA($CL$1:CR$1)-1)*4,1,4))/100</f>
        <v>3084.4432422927998</v>
      </c>
      <c r="CS125" s="95">
        <f ca="1">$CK125*SUM(OFFSET($AJ125,0,(COUNTA($CL$1:CS$1)-1)*4,1,4))/100</f>
        <v>1274.0091652948522</v>
      </c>
      <c r="CT125" s="95">
        <f ca="1">$CK125*SUM(OFFSET($AJ125,0,(COUNTA($CL$1:CT$1)-1)*4,1,4))/100</f>
        <v>737.58425359175646</v>
      </c>
      <c r="CU125" s="96">
        <f t="shared" si="10"/>
        <v>889.32394366197184</v>
      </c>
      <c r="CV125" s="96">
        <f t="shared" si="11"/>
        <v>75.397850739048081</v>
      </c>
    </row>
    <row r="126" spans="1:100">
      <c r="A126" s="82" t="str">
        <f ca="1">IF(ISERROR(OFFSET(Map!$E$2,MATCH(D126,Map!$B$3:$B$239,0),0)),OFFSET(Map!$E$2,MATCH(D126,Map!$C$3:$C$239,0),0),OFFSET(Map!$E$2,MATCH(D126,Map!$B$3:$B$239,0),0))</f>
        <v>uMgungundlovu</v>
      </c>
      <c r="B126" s="82">
        <v>125</v>
      </c>
      <c r="C126" s="82" t="s">
        <v>57</v>
      </c>
      <c r="D126" s="82" t="s">
        <v>452</v>
      </c>
      <c r="E126" s="82" t="s">
        <v>453</v>
      </c>
      <c r="F126" s="82">
        <v>65793</v>
      </c>
      <c r="G126" s="82">
        <v>33.5</v>
      </c>
      <c r="H126" s="82">
        <v>61.7</v>
      </c>
      <c r="I126" s="82">
        <f t="shared" si="6"/>
        <v>40594</v>
      </c>
      <c r="J126" s="82">
        <v>4.7</v>
      </c>
      <c r="K126" s="82">
        <v>62</v>
      </c>
      <c r="L126" s="82">
        <v>94</v>
      </c>
      <c r="M126" s="82">
        <v>0.4</v>
      </c>
      <c r="N126" s="82">
        <v>52</v>
      </c>
      <c r="O126" s="82">
        <v>26.3</v>
      </c>
      <c r="P126" s="82">
        <f t="shared" si="7"/>
        <v>29918</v>
      </c>
      <c r="Q126" s="82">
        <v>33.200000000000003</v>
      </c>
      <c r="R126" s="82">
        <v>16.100000000000001</v>
      </c>
      <c r="S126" s="82">
        <v>4.2</v>
      </c>
      <c r="T126" s="82">
        <v>21.7</v>
      </c>
      <c r="U126" s="82">
        <v>16440</v>
      </c>
      <c r="V126" s="82">
        <v>5629</v>
      </c>
      <c r="W126" s="82">
        <v>3.8</v>
      </c>
      <c r="X126" s="82">
        <v>48.8</v>
      </c>
      <c r="Y126" s="82">
        <v>54.7</v>
      </c>
      <c r="Z126" s="82">
        <v>44.5</v>
      </c>
      <c r="AA126" s="82">
        <v>12.6</v>
      </c>
      <c r="AB126" s="82">
        <v>15.5</v>
      </c>
      <c r="AC126" s="82">
        <v>20.2</v>
      </c>
      <c r="AD126" s="82">
        <v>81.5</v>
      </c>
      <c r="AE126" s="82">
        <v>95.2</v>
      </c>
      <c r="AF126" s="82">
        <v>0.9</v>
      </c>
      <c r="AG126" s="82">
        <v>1.1000000000000001</v>
      </c>
      <c r="AH126" s="82">
        <v>2.6</v>
      </c>
      <c r="AI126" s="82">
        <v>0.2</v>
      </c>
      <c r="AJ126" s="82">
        <v>6.3</v>
      </c>
      <c r="AK126" s="82">
        <v>5.9</v>
      </c>
      <c r="AL126" s="82">
        <v>5.7</v>
      </c>
      <c r="AM126" s="82">
        <v>5.4</v>
      </c>
      <c r="AN126" s="82">
        <v>5.3</v>
      </c>
      <c r="AO126" s="82">
        <v>4.9000000000000004</v>
      </c>
      <c r="AP126" s="82">
        <v>5.0999999999999996</v>
      </c>
      <c r="AQ126" s="82">
        <v>5.0999999999999996</v>
      </c>
      <c r="AR126" s="82">
        <v>5.2</v>
      </c>
      <c r="AS126" s="82">
        <v>5.0999999999999996</v>
      </c>
      <c r="AT126" s="82">
        <v>4.7</v>
      </c>
      <c r="AU126" s="82">
        <v>4.5</v>
      </c>
      <c r="AV126" s="82">
        <v>3.7</v>
      </c>
      <c r="AW126" s="82">
        <v>3.5</v>
      </c>
      <c r="AX126" s="82">
        <v>3.1</v>
      </c>
      <c r="AY126" s="82">
        <v>3.2</v>
      </c>
      <c r="AZ126" s="82">
        <v>2.2999999999999998</v>
      </c>
      <c r="BA126" s="82">
        <v>2.7</v>
      </c>
      <c r="BB126" s="82">
        <v>1.8</v>
      </c>
      <c r="BC126" s="82">
        <v>1.8</v>
      </c>
      <c r="BD126" s="82">
        <v>1.4</v>
      </c>
      <c r="BE126" s="82">
        <v>1.9</v>
      </c>
      <c r="BF126" s="82">
        <v>1.3</v>
      </c>
      <c r="BG126" s="82">
        <v>2</v>
      </c>
      <c r="BH126" s="82">
        <v>1.1000000000000001</v>
      </c>
      <c r="BI126" s="82">
        <v>1.5</v>
      </c>
      <c r="BJ126" s="82">
        <v>0.6</v>
      </c>
      <c r="BK126" s="82">
        <v>0.9</v>
      </c>
      <c r="BL126" s="82">
        <v>0.4</v>
      </c>
      <c r="BM126" s="82">
        <v>0.8</v>
      </c>
      <c r="BN126" s="82">
        <v>0.2</v>
      </c>
      <c r="BO126" s="82">
        <v>0.6</v>
      </c>
      <c r="BP126" s="82">
        <v>0.1</v>
      </c>
      <c r="BQ126" s="82">
        <v>0.6</v>
      </c>
      <c r="BR126" s="82">
        <v>0.2</v>
      </c>
      <c r="BS126" s="82">
        <v>0.4</v>
      </c>
      <c r="BT126" s="82">
        <v>13337</v>
      </c>
      <c r="BU126" s="82">
        <v>4753</v>
      </c>
      <c r="BV126" s="82">
        <v>4014</v>
      </c>
      <c r="BW126" s="82">
        <v>18505</v>
      </c>
      <c r="BX126" s="82">
        <v>11.1</v>
      </c>
      <c r="BY126" s="82">
        <v>4.9000000000000004</v>
      </c>
      <c r="BZ126" s="82">
        <v>10.7</v>
      </c>
      <c r="CA126" s="82">
        <v>29.4</v>
      </c>
      <c r="CB126" s="82">
        <v>23.5</v>
      </c>
      <c r="CC126" s="82">
        <v>10.4</v>
      </c>
      <c r="CD126" s="82">
        <v>4.5999999999999996</v>
      </c>
      <c r="CE126" s="82">
        <v>3</v>
      </c>
      <c r="CF126" s="82">
        <v>1.9</v>
      </c>
      <c r="CG126" s="82">
        <v>0.3</v>
      </c>
      <c r="CH126" s="82">
        <v>0.1</v>
      </c>
      <c r="CI126" s="82">
        <v>0.1</v>
      </c>
      <c r="CJ126" s="82">
        <f t="shared" si="8"/>
        <v>40609</v>
      </c>
      <c r="CK126" s="82">
        <f t="shared" si="9"/>
        <v>68199.800601898576</v>
      </c>
      <c r="CL126" s="95">
        <f ca="1">$CK126*SUM(OFFSET($AJ126,0,(COUNTA($CL$1:CL$1)-1)*4,1,4))/100</f>
        <v>15890.553540242365</v>
      </c>
      <c r="CM126" s="95">
        <f ca="1">$CK126*SUM(OFFSET($AJ126,0,(COUNTA($CL$1:CM$1)-1)*4,1,4))/100</f>
        <v>13912.759322787309</v>
      </c>
      <c r="CN126" s="95">
        <f ca="1">$CK126*SUM(OFFSET($AJ126,0,(COUNTA($CL$1:CN$1)-1)*4,1,4))/100</f>
        <v>13298.961117370221</v>
      </c>
      <c r="CO126" s="95">
        <f ca="1">$CK126*SUM(OFFSET($AJ126,0,(COUNTA($CL$1:CO$1)-1)*4,1,4))/100</f>
        <v>9206.9730812563066</v>
      </c>
      <c r="CP126" s="95">
        <f ca="1">$CK126*SUM(OFFSET($AJ126,0,(COUNTA($CL$1:CP$1)-1)*4,1,4))/100</f>
        <v>5865.1828517632766</v>
      </c>
      <c r="CQ126" s="95">
        <f ca="1">$CK126*SUM(OFFSET($AJ126,0,(COUNTA($CL$1:CQ$1)-1)*4,1,4))/100</f>
        <v>4501.1868397253056</v>
      </c>
      <c r="CR126" s="95">
        <f ca="1">$CK126*SUM(OFFSET($AJ126,0,(COUNTA($CL$1:CR$1)-1)*4,1,4))/100</f>
        <v>2796.1918246778423</v>
      </c>
      <c r="CS126" s="95">
        <f ca="1">$CK126*SUM(OFFSET($AJ126,0,(COUNTA($CL$1:CS$1)-1)*4,1,4))/100</f>
        <v>1363.9960120379715</v>
      </c>
      <c r="CT126" s="95">
        <f ca="1">$CK126*SUM(OFFSET($AJ126,0,(COUNTA($CL$1:CT$1)-1)*4,1,4))/100</f>
        <v>886.59740782468145</v>
      </c>
      <c r="CU126" s="96">
        <f t="shared" si="10"/>
        <v>1265.25</v>
      </c>
      <c r="CV126" s="96">
        <f t="shared" si="11"/>
        <v>53.90223323603918</v>
      </c>
    </row>
    <row r="127" spans="1:100">
      <c r="A127" s="82" t="str">
        <f ca="1">IF(ISERROR(OFFSET(Map!$E$2,MATCH(D127,Map!$B$3:$B$239,0),0)),OFFSET(Map!$E$2,MATCH(D127,Map!$C$3:$C$239,0),0),OFFSET(Map!$E$2,MATCH(D127,Map!$B$3:$B$239,0),0))</f>
        <v>Uthukela</v>
      </c>
      <c r="B127" s="82">
        <v>126</v>
      </c>
      <c r="C127" s="82" t="s">
        <v>57</v>
      </c>
      <c r="D127" s="82" t="s">
        <v>454</v>
      </c>
      <c r="E127" s="82" t="s">
        <v>455</v>
      </c>
      <c r="F127" s="82">
        <v>237437</v>
      </c>
      <c r="G127" s="82">
        <v>33.299999999999997</v>
      </c>
      <c r="H127" s="82">
        <v>62.2</v>
      </c>
      <c r="I127" s="82">
        <f t="shared" si="6"/>
        <v>147686</v>
      </c>
      <c r="J127" s="82">
        <v>4.5</v>
      </c>
      <c r="K127" s="82">
        <v>60.7</v>
      </c>
      <c r="L127" s="82">
        <v>88.7</v>
      </c>
      <c r="M127" s="82">
        <v>0.52</v>
      </c>
      <c r="N127" s="82">
        <v>80</v>
      </c>
      <c r="O127" s="82">
        <v>34</v>
      </c>
      <c r="P127" s="82">
        <f t="shared" si="7"/>
        <v>97473</v>
      </c>
      <c r="Q127" s="82">
        <v>43.4</v>
      </c>
      <c r="R127" s="82">
        <v>8.1</v>
      </c>
      <c r="S127" s="82">
        <v>9</v>
      </c>
      <c r="T127" s="82">
        <v>30.9</v>
      </c>
      <c r="U127" s="82">
        <v>58058</v>
      </c>
      <c r="V127" s="82">
        <v>19004</v>
      </c>
      <c r="W127" s="82">
        <v>4</v>
      </c>
      <c r="X127" s="82">
        <v>49.4</v>
      </c>
      <c r="Y127" s="82">
        <v>80.5</v>
      </c>
      <c r="Z127" s="82">
        <v>49.7</v>
      </c>
      <c r="AA127" s="82">
        <v>56.1</v>
      </c>
      <c r="AB127" s="82">
        <v>58.1</v>
      </c>
      <c r="AC127" s="82">
        <v>45.4</v>
      </c>
      <c r="AD127" s="82">
        <v>82.1</v>
      </c>
      <c r="AE127" s="82">
        <v>91.8</v>
      </c>
      <c r="AF127" s="82">
        <v>1</v>
      </c>
      <c r="AG127" s="82">
        <v>4.4000000000000004</v>
      </c>
      <c r="AH127" s="82">
        <v>2.7</v>
      </c>
      <c r="AI127" s="82">
        <v>0.2</v>
      </c>
      <c r="AJ127" s="82">
        <v>6.1</v>
      </c>
      <c r="AK127" s="82">
        <v>6.1</v>
      </c>
      <c r="AL127" s="82">
        <v>5.3</v>
      </c>
      <c r="AM127" s="82">
        <v>5.4</v>
      </c>
      <c r="AN127" s="82">
        <v>5.4</v>
      </c>
      <c r="AO127" s="82">
        <v>5.0999999999999996</v>
      </c>
      <c r="AP127" s="82">
        <v>5.2</v>
      </c>
      <c r="AQ127" s="82">
        <v>5.2</v>
      </c>
      <c r="AR127" s="82">
        <v>4.7</v>
      </c>
      <c r="AS127" s="82">
        <v>5.2</v>
      </c>
      <c r="AT127" s="82">
        <v>4.5999999999999996</v>
      </c>
      <c r="AU127" s="82">
        <v>4.9000000000000004</v>
      </c>
      <c r="AV127" s="82">
        <v>3.5</v>
      </c>
      <c r="AW127" s="82">
        <v>3.8</v>
      </c>
      <c r="AX127" s="82">
        <v>2.9</v>
      </c>
      <c r="AY127" s="82">
        <v>3.1</v>
      </c>
      <c r="AZ127" s="82">
        <v>2.2000000000000002</v>
      </c>
      <c r="BA127" s="82">
        <v>2.7</v>
      </c>
      <c r="BB127" s="82">
        <v>1.9</v>
      </c>
      <c r="BC127" s="82">
        <v>1.9</v>
      </c>
      <c r="BD127" s="82">
        <v>1.6</v>
      </c>
      <c r="BE127" s="82">
        <v>2.2999999999999998</v>
      </c>
      <c r="BF127" s="82">
        <v>1.3</v>
      </c>
      <c r="BG127" s="82">
        <v>1.9</v>
      </c>
      <c r="BH127" s="82">
        <v>1</v>
      </c>
      <c r="BI127" s="82">
        <v>1.6</v>
      </c>
      <c r="BJ127" s="82">
        <v>0.5</v>
      </c>
      <c r="BK127" s="82">
        <v>1</v>
      </c>
      <c r="BL127" s="82">
        <v>0.4</v>
      </c>
      <c r="BM127" s="82">
        <v>0.8</v>
      </c>
      <c r="BN127" s="82">
        <v>0.2</v>
      </c>
      <c r="BO127" s="82">
        <v>0.5</v>
      </c>
      <c r="BP127" s="82">
        <v>0.1</v>
      </c>
      <c r="BQ127" s="82">
        <v>0.4</v>
      </c>
      <c r="BR127" s="82">
        <v>0.1</v>
      </c>
      <c r="BS127" s="82">
        <v>0.3</v>
      </c>
      <c r="BT127" s="82">
        <v>47651</v>
      </c>
      <c r="BU127" s="82">
        <v>24598</v>
      </c>
      <c r="BV127" s="82">
        <v>10411</v>
      </c>
      <c r="BW127" s="82">
        <v>65130</v>
      </c>
      <c r="BX127" s="82">
        <v>14.8</v>
      </c>
      <c r="BY127" s="82">
        <v>5.3</v>
      </c>
      <c r="BZ127" s="82">
        <v>9</v>
      </c>
      <c r="CA127" s="82">
        <v>20</v>
      </c>
      <c r="CB127" s="82">
        <v>19.899999999999999</v>
      </c>
      <c r="CC127" s="82">
        <v>12.4</v>
      </c>
      <c r="CD127" s="82">
        <v>8.5</v>
      </c>
      <c r="CE127" s="82">
        <v>6</v>
      </c>
      <c r="CF127" s="82">
        <v>3.2</v>
      </c>
      <c r="CG127" s="82">
        <v>0.6</v>
      </c>
      <c r="CH127" s="82">
        <v>0.2</v>
      </c>
      <c r="CI127" s="82">
        <v>0.2</v>
      </c>
      <c r="CJ127" s="82">
        <f t="shared" si="8"/>
        <v>147790</v>
      </c>
      <c r="CK127" s="82">
        <f t="shared" si="9"/>
        <v>248783.00864713063</v>
      </c>
      <c r="CL127" s="95">
        <f ca="1">$CK127*SUM(OFFSET($AJ127,0,(COUNTA($CL$1:CL$1)-1)*4,1,4))/100</f>
        <v>56971.308980192916</v>
      </c>
      <c r="CM127" s="95">
        <f ca="1">$CK127*SUM(OFFSET($AJ127,0,(COUNTA($CL$1:CM$1)-1)*4,1,4))/100</f>
        <v>51995.648807250298</v>
      </c>
      <c r="CN127" s="95">
        <f ca="1">$CK127*SUM(OFFSET($AJ127,0,(COUNTA($CL$1:CN$1)-1)*4,1,4))/100</f>
        <v>48263.903677543334</v>
      </c>
      <c r="CO127" s="95">
        <f ca="1">$CK127*SUM(OFFSET($AJ127,0,(COUNTA($CL$1:CO$1)-1)*4,1,4))/100</f>
        <v>33088.140150068371</v>
      </c>
      <c r="CP127" s="95">
        <f ca="1">$CK127*SUM(OFFSET($AJ127,0,(COUNTA($CL$1:CP$1)-1)*4,1,4))/100</f>
        <v>21644.121752300369</v>
      </c>
      <c r="CQ127" s="95">
        <f ca="1">$CK127*SUM(OFFSET($AJ127,0,(COUNTA($CL$1:CQ$1)-1)*4,1,4))/100</f>
        <v>17663.593613946272</v>
      </c>
      <c r="CR127" s="95">
        <f ca="1">$CK127*SUM(OFFSET($AJ127,0,(COUNTA($CL$1:CR$1)-1)*4,1,4))/100</f>
        <v>10200.103354532353</v>
      </c>
      <c r="CS127" s="95">
        <f ca="1">$CK127*SUM(OFFSET($AJ127,0,(COUNTA($CL$1:CS$1)-1)*4,1,4))/100</f>
        <v>4726.8771642954825</v>
      </c>
      <c r="CT127" s="95">
        <f ca="1">$CK127*SUM(OFFSET($AJ127,0,(COUNTA($CL$1:CT$1)-1)*4,1,4))/100</f>
        <v>2239.0470778241752</v>
      </c>
      <c r="CU127" s="96">
        <f t="shared" si="10"/>
        <v>2967.9625000000001</v>
      </c>
      <c r="CV127" s="96">
        <f t="shared" si="11"/>
        <v>83.822827494326702</v>
      </c>
    </row>
    <row r="128" spans="1:100">
      <c r="A128" s="82" t="str">
        <f ca="1">IF(ISERROR(OFFSET(Map!$E$2,MATCH(D128,Map!$B$3:$B$239,0),0)),OFFSET(Map!$E$2,MATCH(D128,Map!$C$3:$C$239,0),0),OFFSET(Map!$E$2,MATCH(D128,Map!$B$3:$B$239,0),0))</f>
        <v>Uthukela</v>
      </c>
      <c r="B128" s="82">
        <v>127</v>
      </c>
      <c r="C128" s="82" t="s">
        <v>57</v>
      </c>
      <c r="D128" s="82" t="s">
        <v>456</v>
      </c>
      <c r="E128" s="82" t="s">
        <v>457</v>
      </c>
      <c r="F128" s="82">
        <v>103116</v>
      </c>
      <c r="G128" s="82">
        <v>43.1</v>
      </c>
      <c r="H128" s="82">
        <v>51.6</v>
      </c>
      <c r="I128" s="82">
        <f t="shared" si="6"/>
        <v>53208</v>
      </c>
      <c r="J128" s="82">
        <v>5.3</v>
      </c>
      <c r="K128" s="82">
        <v>93.8</v>
      </c>
      <c r="L128" s="82">
        <v>82.2</v>
      </c>
      <c r="M128" s="82">
        <v>-0.97</v>
      </c>
      <c r="N128" s="82">
        <v>104</v>
      </c>
      <c r="O128" s="82">
        <v>57.2</v>
      </c>
      <c r="P128" s="82">
        <f t="shared" si="7"/>
        <v>22773</v>
      </c>
      <c r="Q128" s="82">
        <v>66.8</v>
      </c>
      <c r="R128" s="82">
        <v>22</v>
      </c>
      <c r="S128" s="82">
        <v>2.4</v>
      </c>
      <c r="T128" s="82">
        <v>20.5</v>
      </c>
      <c r="U128" s="82">
        <v>20035</v>
      </c>
      <c r="V128" s="82">
        <v>11493</v>
      </c>
      <c r="W128" s="82">
        <v>5.0999999999999996</v>
      </c>
      <c r="X128" s="82">
        <v>62.8</v>
      </c>
      <c r="Y128" s="82">
        <v>61</v>
      </c>
      <c r="Z128" s="82">
        <v>49.3</v>
      </c>
      <c r="AA128" s="82">
        <v>13.4</v>
      </c>
      <c r="AB128" s="82">
        <v>13.4</v>
      </c>
      <c r="AC128" s="82">
        <v>10.6</v>
      </c>
      <c r="AD128" s="82">
        <v>58.2</v>
      </c>
      <c r="AE128" s="82">
        <v>99.6</v>
      </c>
      <c r="AF128" s="82">
        <v>0.1</v>
      </c>
      <c r="AG128" s="82">
        <v>0.2</v>
      </c>
      <c r="AH128" s="82">
        <v>0.1</v>
      </c>
      <c r="AI128" s="82">
        <v>0</v>
      </c>
      <c r="AJ128" s="82">
        <v>8.1</v>
      </c>
      <c r="AK128" s="82">
        <v>7.7</v>
      </c>
      <c r="AL128" s="82">
        <v>7.1</v>
      </c>
      <c r="AM128" s="82">
        <v>6.9</v>
      </c>
      <c r="AN128" s="82">
        <v>6.8</v>
      </c>
      <c r="AO128" s="82">
        <v>6.5</v>
      </c>
      <c r="AP128" s="82">
        <v>6.5</v>
      </c>
      <c r="AQ128" s="82">
        <v>6.7</v>
      </c>
      <c r="AR128" s="82">
        <v>3.8</v>
      </c>
      <c r="AS128" s="82">
        <v>5</v>
      </c>
      <c r="AT128" s="82">
        <v>2.5</v>
      </c>
      <c r="AU128" s="82">
        <v>3.9</v>
      </c>
      <c r="AV128" s="82">
        <v>1.9</v>
      </c>
      <c r="AW128" s="82">
        <v>2.7</v>
      </c>
      <c r="AX128" s="82">
        <v>1.6</v>
      </c>
      <c r="AY128" s="82">
        <v>2.2000000000000002</v>
      </c>
      <c r="AZ128" s="82">
        <v>1.2</v>
      </c>
      <c r="BA128" s="82">
        <v>2</v>
      </c>
      <c r="BB128" s="82">
        <v>1.3</v>
      </c>
      <c r="BC128" s="82">
        <v>1.3</v>
      </c>
      <c r="BD128" s="82">
        <v>1</v>
      </c>
      <c r="BE128" s="82">
        <v>1.9</v>
      </c>
      <c r="BF128" s="82">
        <v>1</v>
      </c>
      <c r="BG128" s="82">
        <v>1.7</v>
      </c>
      <c r="BH128" s="82">
        <v>0.9</v>
      </c>
      <c r="BI128" s="82">
        <v>1.7</v>
      </c>
      <c r="BJ128" s="82">
        <v>0.5</v>
      </c>
      <c r="BK128" s="82">
        <v>1.2</v>
      </c>
      <c r="BL128" s="82">
        <v>0.4</v>
      </c>
      <c r="BM128" s="82">
        <v>1</v>
      </c>
      <c r="BN128" s="82">
        <v>0.2</v>
      </c>
      <c r="BO128" s="82">
        <v>0.8</v>
      </c>
      <c r="BP128" s="82">
        <v>0.1</v>
      </c>
      <c r="BQ128" s="82">
        <v>0.6</v>
      </c>
      <c r="BR128" s="82">
        <v>0.1</v>
      </c>
      <c r="BS128" s="82">
        <v>0.4</v>
      </c>
      <c r="BT128" s="82">
        <v>4350</v>
      </c>
      <c r="BU128" s="82">
        <v>5817</v>
      </c>
      <c r="BV128" s="82">
        <v>7688</v>
      </c>
      <c r="BW128" s="82">
        <v>35356</v>
      </c>
      <c r="BX128" s="82">
        <v>15</v>
      </c>
      <c r="BY128" s="82">
        <v>6.3</v>
      </c>
      <c r="BZ128" s="82">
        <v>14.6</v>
      </c>
      <c r="CA128" s="82">
        <v>26.9</v>
      </c>
      <c r="CB128" s="82">
        <v>24.3</v>
      </c>
      <c r="CC128" s="82">
        <v>7.2</v>
      </c>
      <c r="CD128" s="82">
        <v>3.2</v>
      </c>
      <c r="CE128" s="82">
        <v>1.4</v>
      </c>
      <c r="CF128" s="82">
        <v>0.7</v>
      </c>
      <c r="CG128" s="82">
        <v>0.1</v>
      </c>
      <c r="CH128" s="82">
        <v>0.1</v>
      </c>
      <c r="CI128" s="82">
        <v>0.1</v>
      </c>
      <c r="CJ128" s="82">
        <f t="shared" si="8"/>
        <v>53211</v>
      </c>
      <c r="CK128" s="82">
        <f t="shared" si="9"/>
        <v>94455.460414118483</v>
      </c>
      <c r="CL128" s="95">
        <f ca="1">$CK128*SUM(OFFSET($AJ128,0,(COUNTA($CL$1:CL$1)-1)*4,1,4))/100</f>
        <v>28147.727203407307</v>
      </c>
      <c r="CM128" s="95">
        <f ca="1">$CK128*SUM(OFFSET($AJ128,0,(COUNTA($CL$1:CM$1)-1)*4,1,4))/100</f>
        <v>25030.697009741398</v>
      </c>
      <c r="CN128" s="95">
        <f ca="1">$CK128*SUM(OFFSET($AJ128,0,(COUNTA($CL$1:CN$1)-1)*4,1,4))/100</f>
        <v>14357.22998294601</v>
      </c>
      <c r="CO128" s="95">
        <f ca="1">$CK128*SUM(OFFSET($AJ128,0,(COUNTA($CL$1:CO$1)-1)*4,1,4))/100</f>
        <v>7934.2586747859514</v>
      </c>
      <c r="CP128" s="95">
        <f ca="1">$CK128*SUM(OFFSET($AJ128,0,(COUNTA($CL$1:CP$1)-1)*4,1,4))/100</f>
        <v>5478.4167040188713</v>
      </c>
      <c r="CQ128" s="95">
        <f ca="1">$CK128*SUM(OFFSET($AJ128,0,(COUNTA($CL$1:CQ$1)-1)*4,1,4))/100</f>
        <v>5289.5057831906352</v>
      </c>
      <c r="CR128" s="95">
        <f ca="1">$CK128*SUM(OFFSET($AJ128,0,(COUNTA($CL$1:CR$1)-1)*4,1,4))/100</f>
        <v>4061.5847978070947</v>
      </c>
      <c r="CS128" s="95">
        <f ca="1">$CK128*SUM(OFFSET($AJ128,0,(COUNTA($CL$1:CS$1)-1)*4,1,4))/100</f>
        <v>2266.9310499388434</v>
      </c>
      <c r="CT128" s="95">
        <f ca="1">$CK128*SUM(OFFSET($AJ128,0,(COUNTA($CL$1:CT$1)-1)*4,1,4))/100</f>
        <v>1133.4655249694217</v>
      </c>
      <c r="CU128" s="96">
        <f t="shared" si="10"/>
        <v>991.5</v>
      </c>
      <c r="CV128" s="96">
        <f t="shared" si="11"/>
        <v>95.265214739403419</v>
      </c>
    </row>
    <row r="129" spans="1:100">
      <c r="A129" s="82" t="str">
        <f ca="1">IF(ISERROR(OFFSET(Map!$E$2,MATCH(D129,Map!$B$3:$B$239,0),0)),OFFSET(Map!$E$2,MATCH(D129,Map!$C$3:$C$239,0),0),OFFSET(Map!$E$2,MATCH(D129,Map!$B$3:$B$239,0),0))</f>
        <v>Uthukela</v>
      </c>
      <c r="B129" s="82">
        <v>128</v>
      </c>
      <c r="C129" s="82" t="s">
        <v>57</v>
      </c>
      <c r="D129" s="82" t="s">
        <v>458</v>
      </c>
      <c r="E129" s="82" t="s">
        <v>459</v>
      </c>
      <c r="F129" s="82">
        <v>83153</v>
      </c>
      <c r="G129" s="82">
        <v>34.4</v>
      </c>
      <c r="H129" s="82">
        <v>61.5</v>
      </c>
      <c r="I129" s="82">
        <f t="shared" si="6"/>
        <v>51139</v>
      </c>
      <c r="J129" s="82">
        <v>4.2</v>
      </c>
      <c r="K129" s="82">
        <v>62.7</v>
      </c>
      <c r="L129" s="82">
        <v>86.7</v>
      </c>
      <c r="M129" s="82">
        <v>3.25</v>
      </c>
      <c r="N129" s="82">
        <v>42</v>
      </c>
      <c r="O129" s="82">
        <v>36.9</v>
      </c>
      <c r="P129" s="82">
        <f t="shared" si="7"/>
        <v>32269</v>
      </c>
      <c r="Q129" s="82">
        <v>47</v>
      </c>
      <c r="R129" s="82">
        <v>16.899999999999999</v>
      </c>
      <c r="S129" s="82">
        <v>7.8</v>
      </c>
      <c r="T129" s="82">
        <v>26.7</v>
      </c>
      <c r="U129" s="82">
        <v>19252</v>
      </c>
      <c r="V129" s="82">
        <v>7000</v>
      </c>
      <c r="W129" s="82">
        <v>4.2</v>
      </c>
      <c r="X129" s="82">
        <v>48.9</v>
      </c>
      <c r="Y129" s="82">
        <v>68.900000000000006</v>
      </c>
      <c r="Z129" s="82">
        <v>56</v>
      </c>
      <c r="AA129" s="82">
        <v>47.3</v>
      </c>
      <c r="AB129" s="82">
        <v>50.3</v>
      </c>
      <c r="AC129" s="82">
        <v>42.9</v>
      </c>
      <c r="AD129" s="82">
        <v>73.2</v>
      </c>
      <c r="AE129" s="82">
        <v>90.2</v>
      </c>
      <c r="AF129" s="82">
        <v>1.4</v>
      </c>
      <c r="AG129" s="82">
        <v>5.8</v>
      </c>
      <c r="AH129" s="82">
        <v>2.2999999999999998</v>
      </c>
      <c r="AI129" s="82">
        <v>0.3</v>
      </c>
      <c r="AJ129" s="82">
        <v>6.1</v>
      </c>
      <c r="AK129" s="82">
        <v>6</v>
      </c>
      <c r="AL129" s="82">
        <v>5.6</v>
      </c>
      <c r="AM129" s="82">
        <v>5.6</v>
      </c>
      <c r="AN129" s="82">
        <v>5.4</v>
      </c>
      <c r="AO129" s="82">
        <v>5.6</v>
      </c>
      <c r="AP129" s="82">
        <v>5.0999999999999996</v>
      </c>
      <c r="AQ129" s="82">
        <v>5.4</v>
      </c>
      <c r="AR129" s="82">
        <v>4.9000000000000004</v>
      </c>
      <c r="AS129" s="82">
        <v>5</v>
      </c>
      <c r="AT129" s="82">
        <v>4.3</v>
      </c>
      <c r="AU129" s="82">
        <v>4.9000000000000004</v>
      </c>
      <c r="AV129" s="82">
        <v>3.1</v>
      </c>
      <c r="AW129" s="82">
        <v>3.7</v>
      </c>
      <c r="AX129" s="82">
        <v>2.7</v>
      </c>
      <c r="AY129" s="82">
        <v>3.4</v>
      </c>
      <c r="AZ129" s="82">
        <v>2.2000000000000002</v>
      </c>
      <c r="BA129" s="82">
        <v>2.9</v>
      </c>
      <c r="BB129" s="82">
        <v>1.9</v>
      </c>
      <c r="BC129" s="82">
        <v>1.9</v>
      </c>
      <c r="BD129" s="82">
        <v>1.5</v>
      </c>
      <c r="BE129" s="82">
        <v>2</v>
      </c>
      <c r="BF129" s="82">
        <v>1.3</v>
      </c>
      <c r="BG129" s="82">
        <v>1.8</v>
      </c>
      <c r="BH129" s="82">
        <v>1.1000000000000001</v>
      </c>
      <c r="BI129" s="82">
        <v>1.7</v>
      </c>
      <c r="BJ129" s="82">
        <v>0.6</v>
      </c>
      <c r="BK129" s="82">
        <v>1</v>
      </c>
      <c r="BL129" s="82">
        <v>0.4</v>
      </c>
      <c r="BM129" s="82">
        <v>0.7</v>
      </c>
      <c r="BN129" s="82">
        <v>0.2</v>
      </c>
      <c r="BO129" s="82">
        <v>0.4</v>
      </c>
      <c r="BP129" s="82">
        <v>0.1</v>
      </c>
      <c r="BQ129" s="82">
        <v>0.4</v>
      </c>
      <c r="BR129" s="82">
        <v>0.1</v>
      </c>
      <c r="BS129" s="82">
        <v>0.3</v>
      </c>
      <c r="BT129" s="82">
        <v>13342</v>
      </c>
      <c r="BU129" s="82">
        <v>7800</v>
      </c>
      <c r="BV129" s="82">
        <v>7161</v>
      </c>
      <c r="BW129" s="82">
        <v>22802</v>
      </c>
      <c r="BX129" s="82">
        <v>12.8</v>
      </c>
      <c r="BY129" s="82">
        <v>6.3</v>
      </c>
      <c r="BZ129" s="82">
        <v>11.3</v>
      </c>
      <c r="CA129" s="82">
        <v>20.3</v>
      </c>
      <c r="CB129" s="82">
        <v>19.5</v>
      </c>
      <c r="CC129" s="82">
        <v>10.9</v>
      </c>
      <c r="CD129" s="82">
        <v>8.5</v>
      </c>
      <c r="CE129" s="82">
        <v>6</v>
      </c>
      <c r="CF129" s="82">
        <v>3.3</v>
      </c>
      <c r="CG129" s="82">
        <v>0.6</v>
      </c>
      <c r="CH129" s="82">
        <v>0.3</v>
      </c>
      <c r="CI129" s="82">
        <v>0.2</v>
      </c>
      <c r="CJ129" s="82">
        <f t="shared" si="8"/>
        <v>51105</v>
      </c>
      <c r="CK129" s="82">
        <f t="shared" si="9"/>
        <v>110888.99956325504</v>
      </c>
      <c r="CL129" s="95">
        <f ca="1">$CK129*SUM(OFFSET($AJ129,0,(COUNTA($CL$1:CL$1)-1)*4,1,4))/100</f>
        <v>25837.136898238423</v>
      </c>
      <c r="CM129" s="95">
        <f ca="1">$CK129*SUM(OFFSET($AJ129,0,(COUNTA($CL$1:CM$1)-1)*4,1,4))/100</f>
        <v>23841.134906099833</v>
      </c>
      <c r="CN129" s="95">
        <f ca="1">$CK129*SUM(OFFSET($AJ129,0,(COUNTA($CL$1:CN$1)-1)*4,1,4))/100</f>
        <v>21179.798916581716</v>
      </c>
      <c r="CO129" s="95">
        <f ca="1">$CK129*SUM(OFFSET($AJ129,0,(COUNTA($CL$1:CO$1)-1)*4,1,4))/100</f>
        <v>14304.6809436599</v>
      </c>
      <c r="CP129" s="95">
        <f ca="1">$CK129*SUM(OFFSET($AJ129,0,(COUNTA($CL$1:CP$1)-1)*4,1,4))/100</f>
        <v>9869.1209611296999</v>
      </c>
      <c r="CQ129" s="95">
        <f ca="1">$CK129*SUM(OFFSET($AJ129,0,(COUNTA($CL$1:CQ$1)-1)*4,1,4))/100</f>
        <v>7318.6739711748323</v>
      </c>
      <c r="CR129" s="95">
        <f ca="1">$CK129*SUM(OFFSET($AJ129,0,(COUNTA($CL$1:CR$1)-1)*4,1,4))/100</f>
        <v>4879.1159807832228</v>
      </c>
      <c r="CS129" s="95">
        <f ca="1">$CK129*SUM(OFFSET($AJ129,0,(COUNTA($CL$1:CS$1)-1)*4,1,4))/100</f>
        <v>1885.112992575336</v>
      </c>
      <c r="CT129" s="95">
        <f ca="1">$CK129*SUM(OFFSET($AJ129,0,(COUNTA($CL$1:CT$1)-1)*4,1,4))/100</f>
        <v>998.00099606929518</v>
      </c>
      <c r="CU129" s="96">
        <f t="shared" si="10"/>
        <v>1979.8333333333333</v>
      </c>
      <c r="CV129" s="96">
        <f t="shared" si="11"/>
        <v>56.009259818126971</v>
      </c>
    </row>
    <row r="130" spans="1:100">
      <c r="A130" s="82" t="str">
        <f ca="1">IF(ISERROR(OFFSET(Map!$E$2,MATCH(D130,Map!$B$3:$B$239,0),0)),OFFSET(Map!$E$2,MATCH(D130,Map!$C$3:$C$239,0),0),OFFSET(Map!$E$2,MATCH(D130,Map!$B$3:$B$239,0),0))</f>
        <v>Uthukela</v>
      </c>
      <c r="B130" s="82">
        <v>129</v>
      </c>
      <c r="C130" s="82" t="s">
        <v>57</v>
      </c>
      <c r="D130" s="82" t="s">
        <v>460</v>
      </c>
      <c r="E130" s="82" t="s">
        <v>461</v>
      </c>
      <c r="F130" s="82">
        <v>132068</v>
      </c>
      <c r="G130" s="82">
        <v>39.200000000000003</v>
      </c>
      <c r="H130" s="82">
        <v>55.9</v>
      </c>
      <c r="I130" s="82">
        <f t="shared" ref="I130:I193" si="12">ROUND(F130*H130/100,0)</f>
        <v>73826</v>
      </c>
      <c r="J130" s="82">
        <v>4.9000000000000004</v>
      </c>
      <c r="K130" s="82">
        <v>79</v>
      </c>
      <c r="L130" s="82">
        <v>87.5</v>
      </c>
      <c r="M130" s="82">
        <v>-0.43</v>
      </c>
      <c r="N130" s="82">
        <v>33</v>
      </c>
      <c r="O130" s="82">
        <v>43.4</v>
      </c>
      <c r="P130" s="82">
        <f t="shared" ref="P130:P193" si="13">ROUND(F130*(H130/100)*(100-O130)/100,0)</f>
        <v>41786</v>
      </c>
      <c r="Q130" s="82">
        <v>52.3</v>
      </c>
      <c r="R130" s="82">
        <v>17.2</v>
      </c>
      <c r="S130" s="82">
        <v>4.4000000000000004</v>
      </c>
      <c r="T130" s="82">
        <v>23.2</v>
      </c>
      <c r="U130" s="82">
        <v>27576</v>
      </c>
      <c r="V130" s="82">
        <v>15091</v>
      </c>
      <c r="W130" s="82">
        <v>4.5999999999999996</v>
      </c>
      <c r="X130" s="82">
        <v>53.8</v>
      </c>
      <c r="Y130" s="82">
        <v>42.8</v>
      </c>
      <c r="Z130" s="82">
        <v>40.9</v>
      </c>
      <c r="AA130" s="82">
        <v>8.6999999999999993</v>
      </c>
      <c r="AB130" s="82">
        <v>9.1999999999999993</v>
      </c>
      <c r="AC130" s="82">
        <v>16.899999999999999</v>
      </c>
      <c r="AD130" s="82">
        <v>75.400000000000006</v>
      </c>
      <c r="AE130" s="82">
        <v>97.1</v>
      </c>
      <c r="AF130" s="82">
        <v>0.2</v>
      </c>
      <c r="AG130" s="82">
        <v>0.4</v>
      </c>
      <c r="AH130" s="82">
        <v>2.1</v>
      </c>
      <c r="AI130" s="82">
        <v>0.2</v>
      </c>
      <c r="AJ130" s="82">
        <v>7.1</v>
      </c>
      <c r="AK130" s="82">
        <v>7.1</v>
      </c>
      <c r="AL130" s="82">
        <v>6.4</v>
      </c>
      <c r="AM130" s="82">
        <v>6.3</v>
      </c>
      <c r="AN130" s="82">
        <v>6.4</v>
      </c>
      <c r="AO130" s="82">
        <v>5.9</v>
      </c>
      <c r="AP130" s="82">
        <v>6.1</v>
      </c>
      <c r="AQ130" s="82">
        <v>5.9</v>
      </c>
      <c r="AR130" s="82">
        <v>4.0999999999999996</v>
      </c>
      <c r="AS130" s="82">
        <v>4.8</v>
      </c>
      <c r="AT130" s="82">
        <v>3.3</v>
      </c>
      <c r="AU130" s="82">
        <v>4.4000000000000004</v>
      </c>
      <c r="AV130" s="82">
        <v>2.5</v>
      </c>
      <c r="AW130" s="82">
        <v>3.2</v>
      </c>
      <c r="AX130" s="82">
        <v>2.2000000000000002</v>
      </c>
      <c r="AY130" s="82">
        <v>2.5</v>
      </c>
      <c r="AZ130" s="82">
        <v>1.7</v>
      </c>
      <c r="BA130" s="82">
        <v>2.4</v>
      </c>
      <c r="BB130" s="82">
        <v>1.5</v>
      </c>
      <c r="BC130" s="82">
        <v>1.5</v>
      </c>
      <c r="BD130" s="82">
        <v>1.3</v>
      </c>
      <c r="BE130" s="82">
        <v>1.9</v>
      </c>
      <c r="BF130" s="82">
        <v>1.2</v>
      </c>
      <c r="BG130" s="82">
        <v>1.8</v>
      </c>
      <c r="BH130" s="82">
        <v>1.1000000000000001</v>
      </c>
      <c r="BI130" s="82">
        <v>1.6</v>
      </c>
      <c r="BJ130" s="82">
        <v>0.6</v>
      </c>
      <c r="BK130" s="82">
        <v>1.1000000000000001</v>
      </c>
      <c r="BL130" s="82">
        <v>0.5</v>
      </c>
      <c r="BM130" s="82">
        <v>0.9</v>
      </c>
      <c r="BN130" s="82">
        <v>0.3</v>
      </c>
      <c r="BO130" s="82">
        <v>0.6</v>
      </c>
      <c r="BP130" s="82">
        <v>0.2</v>
      </c>
      <c r="BQ130" s="82">
        <v>0.5</v>
      </c>
      <c r="BR130" s="82">
        <v>0.1</v>
      </c>
      <c r="BS130" s="82">
        <v>0.3</v>
      </c>
      <c r="BT130" s="82">
        <v>13718</v>
      </c>
      <c r="BU130" s="82">
        <v>10501</v>
      </c>
      <c r="BV130" s="82">
        <v>9709</v>
      </c>
      <c r="BW130" s="82">
        <v>39853</v>
      </c>
      <c r="BX130" s="82">
        <v>15.6</v>
      </c>
      <c r="BY130" s="82">
        <v>6.7</v>
      </c>
      <c r="BZ130" s="82">
        <v>13.4</v>
      </c>
      <c r="CA130" s="82">
        <v>24.2</v>
      </c>
      <c r="CB130" s="82">
        <v>21.5</v>
      </c>
      <c r="CC130" s="82">
        <v>9.1999999999999993</v>
      </c>
      <c r="CD130" s="82">
        <v>4.5999999999999996</v>
      </c>
      <c r="CE130" s="82">
        <v>2.8</v>
      </c>
      <c r="CF130" s="82">
        <v>1.4</v>
      </c>
      <c r="CG130" s="82">
        <v>0.3</v>
      </c>
      <c r="CH130" s="82">
        <v>0.2</v>
      </c>
      <c r="CI130" s="82">
        <v>0.1</v>
      </c>
      <c r="CJ130" s="82">
        <f t="shared" ref="CJ130:CJ193" si="14">SUM(BT130:BW130)</f>
        <v>73781</v>
      </c>
      <c r="CK130" s="82">
        <f t="shared" ref="CK130:CK193" si="15">F130*(1+M130/100)^9</f>
        <v>127044.00178044605</v>
      </c>
      <c r="CL130" s="95">
        <f ca="1">$CK130*SUM(OFFSET($AJ130,0,(COUNTA($CL$1:CL$1)-1)*4,1,4))/100</f>
        <v>34174.836478939993</v>
      </c>
      <c r="CM130" s="95">
        <f ca="1">$CK130*SUM(OFFSET($AJ130,0,(COUNTA($CL$1:CM$1)-1)*4,1,4))/100</f>
        <v>30871.692432648386</v>
      </c>
      <c r="CN130" s="95">
        <f ca="1">$CK130*SUM(OFFSET($AJ130,0,(COUNTA($CL$1:CN$1)-1)*4,1,4))/100</f>
        <v>21089.304295554044</v>
      </c>
      <c r="CO130" s="95">
        <f ca="1">$CK130*SUM(OFFSET($AJ130,0,(COUNTA($CL$1:CO$1)-1)*4,1,4))/100</f>
        <v>13212.576185166388</v>
      </c>
      <c r="CP130" s="95">
        <f ca="1">$CK130*SUM(OFFSET($AJ130,0,(COUNTA($CL$1:CP$1)-1)*4,1,4))/100</f>
        <v>9020.1241264116688</v>
      </c>
      <c r="CQ130" s="95">
        <f ca="1">$CK130*SUM(OFFSET($AJ130,0,(COUNTA($CL$1:CQ$1)-1)*4,1,4))/100</f>
        <v>7876.7281103876558</v>
      </c>
      <c r="CR130" s="95">
        <f ca="1">$CK130*SUM(OFFSET($AJ130,0,(COUNTA($CL$1:CR$1)-1)*4,1,4))/100</f>
        <v>5589.9360783396269</v>
      </c>
      <c r="CS130" s="95">
        <f ca="1">$CK130*SUM(OFFSET($AJ130,0,(COUNTA($CL$1:CS$1)-1)*4,1,4))/100</f>
        <v>2922.0120409502588</v>
      </c>
      <c r="CT130" s="95">
        <f ca="1">$CK130*SUM(OFFSET($AJ130,0,(COUNTA($CL$1:CT$1)-1)*4,1,4))/100</f>
        <v>1397.4840195849063</v>
      </c>
      <c r="CU130" s="96">
        <f t="shared" ref="CU130:CU193" si="16">IF(N130 = 0,0,F130/N130)</f>
        <v>4002.060606060606</v>
      </c>
      <c r="CV130" s="96">
        <f t="shared" ref="CV130:CV193" si="17">IF(CU130=0,0,CK130/CU130)</f>
        <v>31.744647142038342</v>
      </c>
    </row>
    <row r="131" spans="1:100">
      <c r="A131" s="82" t="str">
        <f ca="1">IF(ISERROR(OFFSET(Map!$E$2,MATCH(D131,Map!$B$3:$B$239,0),0)),OFFSET(Map!$E$2,MATCH(D131,Map!$C$3:$C$239,0),0),OFFSET(Map!$E$2,MATCH(D131,Map!$B$3:$B$239,0),0))</f>
        <v>Uthukela</v>
      </c>
      <c r="B131" s="82">
        <v>130</v>
      </c>
      <c r="C131" s="82" t="s">
        <v>57</v>
      </c>
      <c r="D131" s="82" t="s">
        <v>462</v>
      </c>
      <c r="E131" s="82" t="s">
        <v>463</v>
      </c>
      <c r="F131" s="82">
        <v>113073</v>
      </c>
      <c r="G131" s="82">
        <v>37.5</v>
      </c>
      <c r="H131" s="82">
        <v>57.9</v>
      </c>
      <c r="I131" s="82">
        <f t="shared" si="12"/>
        <v>65469</v>
      </c>
      <c r="J131" s="82">
        <v>4.5999999999999996</v>
      </c>
      <c r="K131" s="82">
        <v>72.7</v>
      </c>
      <c r="L131" s="82">
        <v>87.7</v>
      </c>
      <c r="M131" s="82">
        <v>-0.65</v>
      </c>
      <c r="N131" s="82">
        <v>79</v>
      </c>
      <c r="O131" s="82">
        <v>48.6</v>
      </c>
      <c r="P131" s="82">
        <f t="shared" si="13"/>
        <v>33651</v>
      </c>
      <c r="Q131" s="82">
        <v>58.6</v>
      </c>
      <c r="R131" s="82">
        <v>15.5</v>
      </c>
      <c r="S131" s="82">
        <v>3.4</v>
      </c>
      <c r="T131" s="82">
        <v>26.1</v>
      </c>
      <c r="U131" s="82">
        <v>22365</v>
      </c>
      <c r="V131" s="82">
        <v>12653</v>
      </c>
      <c r="W131" s="82">
        <v>5</v>
      </c>
      <c r="X131" s="82">
        <v>53.8</v>
      </c>
      <c r="Y131" s="82">
        <v>58.5</v>
      </c>
      <c r="Z131" s="82">
        <v>64.3</v>
      </c>
      <c r="AA131" s="82">
        <v>1.1000000000000001</v>
      </c>
      <c r="AB131" s="82">
        <v>0.9</v>
      </c>
      <c r="AC131" s="82">
        <v>3.9</v>
      </c>
      <c r="AD131" s="82">
        <v>69.2</v>
      </c>
      <c r="AE131" s="82">
        <v>99.5</v>
      </c>
      <c r="AF131" s="82">
        <v>0.1</v>
      </c>
      <c r="AG131" s="82">
        <v>0.1</v>
      </c>
      <c r="AH131" s="82">
        <v>0.2</v>
      </c>
      <c r="AI131" s="82">
        <v>0.1</v>
      </c>
      <c r="AJ131" s="82">
        <v>7</v>
      </c>
      <c r="AK131" s="82">
        <v>6.7</v>
      </c>
      <c r="AL131" s="82">
        <v>6.1</v>
      </c>
      <c r="AM131" s="82">
        <v>6</v>
      </c>
      <c r="AN131" s="82">
        <v>5.9</v>
      </c>
      <c r="AO131" s="82">
        <v>5.8</v>
      </c>
      <c r="AP131" s="82">
        <v>6.1</v>
      </c>
      <c r="AQ131" s="82">
        <v>6.2</v>
      </c>
      <c r="AR131" s="82">
        <v>4.7</v>
      </c>
      <c r="AS131" s="82">
        <v>5</v>
      </c>
      <c r="AT131" s="82">
        <v>3.8</v>
      </c>
      <c r="AU131" s="82">
        <v>4.4000000000000004</v>
      </c>
      <c r="AV131" s="82">
        <v>2.6</v>
      </c>
      <c r="AW131" s="82">
        <v>3.2</v>
      </c>
      <c r="AX131" s="82">
        <v>2.2000000000000002</v>
      </c>
      <c r="AY131" s="82">
        <v>2.6</v>
      </c>
      <c r="AZ131" s="82">
        <v>1.7</v>
      </c>
      <c r="BA131" s="82">
        <v>2.2000000000000002</v>
      </c>
      <c r="BB131" s="82">
        <v>1.6</v>
      </c>
      <c r="BC131" s="82">
        <v>1.6</v>
      </c>
      <c r="BD131" s="82">
        <v>1.4</v>
      </c>
      <c r="BE131" s="82">
        <v>2</v>
      </c>
      <c r="BF131" s="82">
        <v>1.3</v>
      </c>
      <c r="BG131" s="82">
        <v>1.8</v>
      </c>
      <c r="BH131" s="82">
        <v>1.1000000000000001</v>
      </c>
      <c r="BI131" s="82">
        <v>1.8</v>
      </c>
      <c r="BJ131" s="82">
        <v>0.5</v>
      </c>
      <c r="BK131" s="82">
        <v>1</v>
      </c>
      <c r="BL131" s="82">
        <v>0.4</v>
      </c>
      <c r="BM131" s="82">
        <v>0.9</v>
      </c>
      <c r="BN131" s="82">
        <v>0.2</v>
      </c>
      <c r="BO131" s="82">
        <v>0.5</v>
      </c>
      <c r="BP131" s="82">
        <v>0.1</v>
      </c>
      <c r="BQ131" s="82">
        <v>0.5</v>
      </c>
      <c r="BR131" s="82">
        <v>0.1</v>
      </c>
      <c r="BS131" s="82">
        <v>0.4</v>
      </c>
      <c r="BT131" s="82">
        <v>10673</v>
      </c>
      <c r="BU131" s="82">
        <v>10084</v>
      </c>
      <c r="BV131" s="82">
        <v>6454</v>
      </c>
      <c r="BW131" s="82">
        <v>38272</v>
      </c>
      <c r="BX131" s="82">
        <v>16.899999999999999</v>
      </c>
      <c r="BY131" s="82">
        <v>6.7</v>
      </c>
      <c r="BZ131" s="82">
        <v>13.6</v>
      </c>
      <c r="CA131" s="82">
        <v>23.5</v>
      </c>
      <c r="CB131" s="82">
        <v>22.3</v>
      </c>
      <c r="CC131" s="82">
        <v>9.5</v>
      </c>
      <c r="CD131" s="82">
        <v>3.9</v>
      </c>
      <c r="CE131" s="82">
        <v>2.1</v>
      </c>
      <c r="CF131" s="82">
        <v>1.1000000000000001</v>
      </c>
      <c r="CG131" s="82">
        <v>0.2</v>
      </c>
      <c r="CH131" s="82">
        <v>0.2</v>
      </c>
      <c r="CI131" s="82">
        <v>0.1</v>
      </c>
      <c r="CJ131" s="82">
        <f t="shared" si="14"/>
        <v>65483</v>
      </c>
      <c r="CK131" s="82">
        <f t="shared" si="15"/>
        <v>106627.63037604388</v>
      </c>
      <c r="CL131" s="95">
        <f ca="1">$CK131*SUM(OFFSET($AJ131,0,(COUNTA($CL$1:CL$1)-1)*4,1,4))/100</f>
        <v>27509.928637019315</v>
      </c>
      <c r="CM131" s="95">
        <f ca="1">$CK131*SUM(OFFSET($AJ131,0,(COUNTA($CL$1:CM$1)-1)*4,1,4))/100</f>
        <v>25590.631290250527</v>
      </c>
      <c r="CN131" s="95">
        <f ca="1">$CK131*SUM(OFFSET($AJ131,0,(COUNTA($CL$1:CN$1)-1)*4,1,4))/100</f>
        <v>19086.345837311852</v>
      </c>
      <c r="CO131" s="95">
        <f ca="1">$CK131*SUM(OFFSET($AJ131,0,(COUNTA($CL$1:CO$1)-1)*4,1,4))/100</f>
        <v>11302.52881986065</v>
      </c>
      <c r="CP131" s="95">
        <f ca="1">$CK131*SUM(OFFSET($AJ131,0,(COUNTA($CL$1:CP$1)-1)*4,1,4))/100</f>
        <v>7570.5617566991141</v>
      </c>
      <c r="CQ131" s="95">
        <f ca="1">$CK131*SUM(OFFSET($AJ131,0,(COUNTA($CL$1:CQ$1)-1)*4,1,4))/100</f>
        <v>6930.7959744428517</v>
      </c>
      <c r="CR131" s="95">
        <f ca="1">$CK131*SUM(OFFSET($AJ131,0,(COUNTA($CL$1:CR$1)-1)*4,1,4))/100</f>
        <v>4691.6157365459312</v>
      </c>
      <c r="CS131" s="95">
        <f ca="1">$CK131*SUM(OFFSET($AJ131,0,(COUNTA($CL$1:CS$1)-1)*4,1,4))/100</f>
        <v>2132.5526075208777</v>
      </c>
      <c r="CT131" s="95">
        <f ca="1">$CK131*SUM(OFFSET($AJ131,0,(COUNTA($CL$1:CT$1)-1)*4,1,4))/100</f>
        <v>1172.9039341364828</v>
      </c>
      <c r="CU131" s="96">
        <f t="shared" si="16"/>
        <v>1431.3037974683543</v>
      </c>
      <c r="CV131" s="96">
        <f t="shared" si="17"/>
        <v>74.496854242015928</v>
      </c>
    </row>
    <row r="132" spans="1:100">
      <c r="A132" s="82" t="str">
        <f ca="1">IF(ISERROR(OFFSET(Map!$E$2,MATCH(D132,Map!$B$3:$B$239,0),0)),OFFSET(Map!$E$2,MATCH(D132,Map!$C$3:$C$239,0),0),OFFSET(Map!$E$2,MATCH(D132,Map!$B$3:$B$239,0),0))</f>
        <v>Umzinyathi</v>
      </c>
      <c r="B132" s="82">
        <v>131</v>
      </c>
      <c r="C132" s="82" t="s">
        <v>57</v>
      </c>
      <c r="D132" s="82" t="s">
        <v>464</v>
      </c>
      <c r="E132" s="82" t="s">
        <v>465</v>
      </c>
      <c r="F132" s="82">
        <v>64862</v>
      </c>
      <c r="G132" s="82">
        <v>31.4</v>
      </c>
      <c r="H132" s="82">
        <v>63.8</v>
      </c>
      <c r="I132" s="82">
        <f t="shared" si="12"/>
        <v>41382</v>
      </c>
      <c r="J132" s="82">
        <v>4.8</v>
      </c>
      <c r="K132" s="82">
        <v>56.8</v>
      </c>
      <c r="L132" s="82">
        <v>95.2</v>
      </c>
      <c r="M132" s="82">
        <v>2.38</v>
      </c>
      <c r="N132" s="82">
        <v>40</v>
      </c>
      <c r="O132" s="82">
        <v>26.4</v>
      </c>
      <c r="P132" s="82">
        <f t="shared" si="13"/>
        <v>30457</v>
      </c>
      <c r="Q132" s="82">
        <v>36.200000000000003</v>
      </c>
      <c r="R132" s="82">
        <v>7</v>
      </c>
      <c r="S132" s="82">
        <v>10.7</v>
      </c>
      <c r="T132" s="82">
        <v>31.8</v>
      </c>
      <c r="U132" s="82">
        <v>16851</v>
      </c>
      <c r="V132" s="82">
        <v>3184</v>
      </c>
      <c r="W132" s="82">
        <v>3.7</v>
      </c>
      <c r="X132" s="82">
        <v>42.3</v>
      </c>
      <c r="Y132" s="82">
        <v>87.1</v>
      </c>
      <c r="Z132" s="82">
        <v>55.8</v>
      </c>
      <c r="AA132" s="82">
        <v>76.099999999999994</v>
      </c>
      <c r="AB132" s="82">
        <v>76.7</v>
      </c>
      <c r="AC132" s="82">
        <v>61.9</v>
      </c>
      <c r="AD132" s="82">
        <v>79.099999999999994</v>
      </c>
      <c r="AE132" s="82">
        <v>83.9</v>
      </c>
      <c r="AF132" s="82">
        <v>2.6</v>
      </c>
      <c r="AG132" s="82">
        <v>5.9</v>
      </c>
      <c r="AH132" s="82">
        <v>7.2</v>
      </c>
      <c r="AI132" s="82">
        <v>0.4</v>
      </c>
      <c r="AJ132" s="82">
        <v>5.3</v>
      </c>
      <c r="AK132" s="82">
        <v>5.3</v>
      </c>
      <c r="AL132" s="82">
        <v>5.0999999999999996</v>
      </c>
      <c r="AM132" s="82">
        <v>5.3</v>
      </c>
      <c r="AN132" s="82">
        <v>5.3</v>
      </c>
      <c r="AO132" s="82">
        <v>5.0999999999999996</v>
      </c>
      <c r="AP132" s="82">
        <v>5.5</v>
      </c>
      <c r="AQ132" s="82">
        <v>5.3</v>
      </c>
      <c r="AR132" s="82">
        <v>5.3</v>
      </c>
      <c r="AS132" s="82">
        <v>4.9000000000000004</v>
      </c>
      <c r="AT132" s="82">
        <v>4.8</v>
      </c>
      <c r="AU132" s="82">
        <v>4.7</v>
      </c>
      <c r="AV132" s="82">
        <v>3.6</v>
      </c>
      <c r="AW132" s="82">
        <v>3.4</v>
      </c>
      <c r="AX132" s="82">
        <v>3.1</v>
      </c>
      <c r="AY132" s="82">
        <v>3.2</v>
      </c>
      <c r="AZ132" s="82">
        <v>2.5</v>
      </c>
      <c r="BA132" s="82">
        <v>2.8</v>
      </c>
      <c r="BB132" s="82">
        <v>2.1</v>
      </c>
      <c r="BC132" s="82">
        <v>2.1</v>
      </c>
      <c r="BD132" s="82">
        <v>1.7</v>
      </c>
      <c r="BE132" s="82">
        <v>2.1</v>
      </c>
      <c r="BF132" s="82">
        <v>1.5</v>
      </c>
      <c r="BG132" s="82">
        <v>1.8</v>
      </c>
      <c r="BH132" s="82">
        <v>1.1000000000000001</v>
      </c>
      <c r="BI132" s="82">
        <v>1.4</v>
      </c>
      <c r="BJ132" s="82">
        <v>0.8</v>
      </c>
      <c r="BK132" s="82">
        <v>1.1000000000000001</v>
      </c>
      <c r="BL132" s="82">
        <v>0.5</v>
      </c>
      <c r="BM132" s="82">
        <v>0.8</v>
      </c>
      <c r="BN132" s="82">
        <v>0.3</v>
      </c>
      <c r="BO132" s="82">
        <v>0.5</v>
      </c>
      <c r="BP132" s="82">
        <v>0.1</v>
      </c>
      <c r="BQ132" s="82">
        <v>0.3</v>
      </c>
      <c r="BR132" s="82">
        <v>0.1</v>
      </c>
      <c r="BS132" s="82">
        <v>0.3</v>
      </c>
      <c r="BT132" s="82">
        <v>15228</v>
      </c>
      <c r="BU132" s="82">
        <v>5465</v>
      </c>
      <c r="BV132" s="82">
        <v>2222</v>
      </c>
      <c r="BW132" s="82">
        <v>18444</v>
      </c>
      <c r="BX132" s="82">
        <v>12.4</v>
      </c>
      <c r="BY132" s="82">
        <v>4.4000000000000004</v>
      </c>
      <c r="BZ132" s="82">
        <v>7.7</v>
      </c>
      <c r="CA132" s="82">
        <v>19.399999999999999</v>
      </c>
      <c r="CB132" s="82">
        <v>18.7</v>
      </c>
      <c r="CC132" s="82">
        <v>13.5</v>
      </c>
      <c r="CD132" s="82">
        <v>10.199999999999999</v>
      </c>
      <c r="CE132" s="82">
        <v>8</v>
      </c>
      <c r="CF132" s="82">
        <v>4.2</v>
      </c>
      <c r="CG132" s="82">
        <v>1</v>
      </c>
      <c r="CH132" s="82">
        <v>0.2</v>
      </c>
      <c r="CI132" s="82">
        <v>0.2</v>
      </c>
      <c r="CJ132" s="82">
        <f t="shared" si="14"/>
        <v>41359</v>
      </c>
      <c r="CK132" s="82">
        <f t="shared" si="15"/>
        <v>80154.233022937638</v>
      </c>
      <c r="CL132" s="95">
        <f ca="1">$CK132*SUM(OFFSET($AJ132,0,(COUNTA($CL$1:CL$1)-1)*4,1,4))/100</f>
        <v>16832.388934816903</v>
      </c>
      <c r="CM132" s="95">
        <f ca="1">$CK132*SUM(OFFSET($AJ132,0,(COUNTA($CL$1:CM$1)-1)*4,1,4))/100</f>
        <v>16992.69740086278</v>
      </c>
      <c r="CN132" s="95">
        <f ca="1">$CK132*SUM(OFFSET($AJ132,0,(COUNTA($CL$1:CN$1)-1)*4,1,4))/100</f>
        <v>15790.383905518715</v>
      </c>
      <c r="CO132" s="95">
        <f ca="1">$CK132*SUM(OFFSET($AJ132,0,(COUNTA($CL$1:CO$1)-1)*4,1,4))/100</f>
        <v>10660.512992050706</v>
      </c>
      <c r="CP132" s="95">
        <f ca="1">$CK132*SUM(OFFSET($AJ132,0,(COUNTA($CL$1:CP$1)-1)*4,1,4))/100</f>
        <v>7614.6521371790759</v>
      </c>
      <c r="CQ132" s="95">
        <f ca="1">$CK132*SUM(OFFSET($AJ132,0,(COUNTA($CL$1:CQ$1)-1)*4,1,4))/100</f>
        <v>5690.9505446285721</v>
      </c>
      <c r="CR132" s="95">
        <f ca="1">$CK132*SUM(OFFSET($AJ132,0,(COUNTA($CL$1:CR$1)-1)*4,1,4))/100</f>
        <v>3526.7862530092561</v>
      </c>
      <c r="CS132" s="95">
        <f ca="1">$CK132*SUM(OFFSET($AJ132,0,(COUNTA($CL$1:CS$1)-1)*4,1,4))/100</f>
        <v>1683.2388934816906</v>
      </c>
      <c r="CT132" s="95">
        <f ca="1">$CK132*SUM(OFFSET($AJ132,0,(COUNTA($CL$1:CT$1)-1)*4,1,4))/100</f>
        <v>641.23386418350117</v>
      </c>
      <c r="CU132" s="96">
        <f t="shared" si="16"/>
        <v>1621.55</v>
      </c>
      <c r="CV132" s="96">
        <f t="shared" si="17"/>
        <v>49.430626883498903</v>
      </c>
    </row>
    <row r="133" spans="1:100">
      <c r="A133" s="82" t="str">
        <f ca="1">IF(ISERROR(OFFSET(Map!$E$2,MATCH(D133,Map!$B$3:$B$239,0),0)),OFFSET(Map!$E$2,MATCH(D133,Map!$C$3:$C$239,0),0),OFFSET(Map!$E$2,MATCH(D133,Map!$B$3:$B$239,0),0))</f>
        <v>Umzinyathi</v>
      </c>
      <c r="B133" s="82">
        <v>132</v>
      </c>
      <c r="C133" s="82" t="s">
        <v>57</v>
      </c>
      <c r="D133" s="82" t="s">
        <v>466</v>
      </c>
      <c r="E133" s="82" t="s">
        <v>467</v>
      </c>
      <c r="F133" s="82">
        <v>165307</v>
      </c>
      <c r="G133" s="82">
        <v>42.4</v>
      </c>
      <c r="H133" s="82">
        <v>52.5</v>
      </c>
      <c r="I133" s="82">
        <f t="shared" si="12"/>
        <v>86786</v>
      </c>
      <c r="J133" s="82">
        <v>5.0999999999999996</v>
      </c>
      <c r="K133" s="82">
        <v>90.6</v>
      </c>
      <c r="L133" s="82">
        <v>83.4</v>
      </c>
      <c r="M133" s="82">
        <v>-0.25</v>
      </c>
      <c r="N133" s="82">
        <v>84</v>
      </c>
      <c r="O133" s="82">
        <v>44.4</v>
      </c>
      <c r="P133" s="82">
        <f t="shared" si="13"/>
        <v>48253</v>
      </c>
      <c r="Q133" s="82">
        <v>53.3</v>
      </c>
      <c r="R133" s="82">
        <v>18.100000000000001</v>
      </c>
      <c r="S133" s="82">
        <v>3.8</v>
      </c>
      <c r="T133" s="82">
        <v>20.3</v>
      </c>
      <c r="U133" s="82">
        <v>31612</v>
      </c>
      <c r="V133" s="82">
        <v>19997</v>
      </c>
      <c r="W133" s="82">
        <v>5.0999999999999996</v>
      </c>
      <c r="X133" s="82">
        <v>60.1</v>
      </c>
      <c r="Y133" s="82">
        <v>63.1</v>
      </c>
      <c r="Z133" s="82">
        <v>50.4</v>
      </c>
      <c r="AA133" s="82">
        <v>5.0999999999999996</v>
      </c>
      <c r="AB133" s="82">
        <v>8.5</v>
      </c>
      <c r="AC133" s="82">
        <v>8</v>
      </c>
      <c r="AD133" s="82">
        <v>53</v>
      </c>
      <c r="AE133" s="82">
        <v>99.7</v>
      </c>
      <c r="AF133" s="82">
        <v>0.1</v>
      </c>
      <c r="AG133" s="82">
        <v>0.1</v>
      </c>
      <c r="AH133" s="82">
        <v>0.1</v>
      </c>
      <c r="AI133" s="82">
        <v>0.1</v>
      </c>
      <c r="AJ133" s="82">
        <v>7.5</v>
      </c>
      <c r="AK133" s="82">
        <v>7.5</v>
      </c>
      <c r="AL133" s="82">
        <v>7</v>
      </c>
      <c r="AM133" s="82">
        <v>6.8</v>
      </c>
      <c r="AN133" s="82">
        <v>7.1</v>
      </c>
      <c r="AO133" s="82">
        <v>6.5</v>
      </c>
      <c r="AP133" s="82">
        <v>6.7</v>
      </c>
      <c r="AQ133" s="82">
        <v>6.5</v>
      </c>
      <c r="AR133" s="82">
        <v>4</v>
      </c>
      <c r="AS133" s="82">
        <v>5.0999999999999996</v>
      </c>
      <c r="AT133" s="82">
        <v>2.7</v>
      </c>
      <c r="AU133" s="82">
        <v>3.9</v>
      </c>
      <c r="AV133" s="82">
        <v>1.9</v>
      </c>
      <c r="AW133" s="82">
        <v>2.9</v>
      </c>
      <c r="AX133" s="82">
        <v>1.6</v>
      </c>
      <c r="AY133" s="82">
        <v>2.2999999999999998</v>
      </c>
      <c r="AZ133" s="82">
        <v>1.3</v>
      </c>
      <c r="BA133" s="82">
        <v>2.1</v>
      </c>
      <c r="BB133" s="82">
        <v>1.2</v>
      </c>
      <c r="BC133" s="82">
        <v>1.2</v>
      </c>
      <c r="BD133" s="82">
        <v>1</v>
      </c>
      <c r="BE133" s="82">
        <v>1.9</v>
      </c>
      <c r="BF133" s="82">
        <v>1.1000000000000001</v>
      </c>
      <c r="BG133" s="82">
        <v>1.8</v>
      </c>
      <c r="BH133" s="82">
        <v>0.9</v>
      </c>
      <c r="BI133" s="82">
        <v>1.4</v>
      </c>
      <c r="BJ133" s="82">
        <v>0.6</v>
      </c>
      <c r="BK133" s="82">
        <v>1.1000000000000001</v>
      </c>
      <c r="BL133" s="82">
        <v>0.4</v>
      </c>
      <c r="BM133" s="82">
        <v>0.9</v>
      </c>
      <c r="BN133" s="82">
        <v>0.2</v>
      </c>
      <c r="BO133" s="82">
        <v>0.7</v>
      </c>
      <c r="BP133" s="82">
        <v>0.1</v>
      </c>
      <c r="BQ133" s="82">
        <v>0.6</v>
      </c>
      <c r="BR133" s="82">
        <v>0.1</v>
      </c>
      <c r="BS133" s="82">
        <v>0.4</v>
      </c>
      <c r="BT133" s="82">
        <v>9946</v>
      </c>
      <c r="BU133" s="82">
        <v>7943</v>
      </c>
      <c r="BV133" s="82">
        <v>12918</v>
      </c>
      <c r="BW133" s="82">
        <v>55934</v>
      </c>
      <c r="BX133" s="82">
        <v>12.4</v>
      </c>
      <c r="BY133" s="82">
        <v>5.5</v>
      </c>
      <c r="BZ133" s="82">
        <v>12.5</v>
      </c>
      <c r="CA133" s="82">
        <v>25.2</v>
      </c>
      <c r="CB133" s="82">
        <v>27.8</v>
      </c>
      <c r="CC133" s="82">
        <v>9.8000000000000007</v>
      </c>
      <c r="CD133" s="82">
        <v>4</v>
      </c>
      <c r="CE133" s="82">
        <v>1.9</v>
      </c>
      <c r="CF133" s="82">
        <v>0.8</v>
      </c>
      <c r="CG133" s="82">
        <v>0.1</v>
      </c>
      <c r="CH133" s="82">
        <v>0.1</v>
      </c>
      <c r="CI133" s="82">
        <v>0.1</v>
      </c>
      <c r="CJ133" s="82">
        <f t="shared" si="14"/>
        <v>86741</v>
      </c>
      <c r="CK133" s="82">
        <f t="shared" si="15"/>
        <v>161624.57042115228</v>
      </c>
      <c r="CL133" s="95">
        <f ca="1">$CK133*SUM(OFFSET($AJ133,0,(COUNTA($CL$1:CL$1)-1)*4,1,4))/100</f>
        <v>46547.876281291858</v>
      </c>
      <c r="CM133" s="95">
        <f ca="1">$CK133*SUM(OFFSET($AJ133,0,(COUNTA($CL$1:CM$1)-1)*4,1,4))/100</f>
        <v>43315.384872868817</v>
      </c>
      <c r="CN133" s="95">
        <f ca="1">$CK133*SUM(OFFSET($AJ133,0,(COUNTA($CL$1:CN$1)-1)*4,1,4))/100</f>
        <v>25375.057556120912</v>
      </c>
      <c r="CO133" s="95">
        <f ca="1">$CK133*SUM(OFFSET($AJ133,0,(COUNTA($CL$1:CO$1)-1)*4,1,4))/100</f>
        <v>14061.337626640247</v>
      </c>
      <c r="CP133" s="95">
        <f ca="1">$CK133*SUM(OFFSET($AJ133,0,(COUNTA($CL$1:CP$1)-1)*4,1,4))/100</f>
        <v>9374.2250844268347</v>
      </c>
      <c r="CQ133" s="95">
        <f ca="1">$CK133*SUM(OFFSET($AJ133,0,(COUNTA($CL$1:CQ$1)-1)*4,1,4))/100</f>
        <v>9374.2250844268328</v>
      </c>
      <c r="CR133" s="95">
        <f ca="1">$CK133*SUM(OFFSET($AJ133,0,(COUNTA($CL$1:CR$1)-1)*4,1,4))/100</f>
        <v>6464.9828168460917</v>
      </c>
      <c r="CS133" s="95">
        <f ca="1">$CK133*SUM(OFFSET($AJ133,0,(COUNTA($CL$1:CS$1)-1)*4,1,4))/100</f>
        <v>3555.7405492653506</v>
      </c>
      <c r="CT133" s="95">
        <f ca="1">$CK133*SUM(OFFSET($AJ133,0,(COUNTA($CL$1:CT$1)-1)*4,1,4))/100</f>
        <v>1939.4948450538275</v>
      </c>
      <c r="CU133" s="96">
        <f t="shared" si="16"/>
        <v>1967.9404761904761</v>
      </c>
      <c r="CV133" s="96">
        <f t="shared" si="17"/>
        <v>82.128790162405664</v>
      </c>
    </row>
    <row r="134" spans="1:100">
      <c r="A134" s="82" t="str">
        <f ca="1">IF(ISERROR(OFFSET(Map!$E$2,MATCH(D134,Map!$B$3:$B$239,0),0)),OFFSET(Map!$E$2,MATCH(D134,Map!$C$3:$C$239,0),0),OFFSET(Map!$E$2,MATCH(D134,Map!$B$3:$B$239,0),0))</f>
        <v>Umzinyathi</v>
      </c>
      <c r="B134" s="82">
        <v>133</v>
      </c>
      <c r="C134" s="82" t="s">
        <v>57</v>
      </c>
      <c r="D134" s="82" t="s">
        <v>468</v>
      </c>
      <c r="E134" s="82" t="s">
        <v>469</v>
      </c>
      <c r="F134" s="82">
        <v>177577</v>
      </c>
      <c r="G134" s="82">
        <v>43.7</v>
      </c>
      <c r="H134" s="82">
        <v>50.8</v>
      </c>
      <c r="I134" s="82">
        <f t="shared" si="12"/>
        <v>90209</v>
      </c>
      <c r="J134" s="82">
        <v>5.5</v>
      </c>
      <c r="K134" s="82">
        <v>96.8</v>
      </c>
      <c r="L134" s="82">
        <v>76.8</v>
      </c>
      <c r="M134" s="82">
        <v>0.6</v>
      </c>
      <c r="N134" s="82">
        <v>71</v>
      </c>
      <c r="O134" s="82">
        <v>49.5</v>
      </c>
      <c r="P134" s="82">
        <f t="shared" si="13"/>
        <v>45556</v>
      </c>
      <c r="Q134" s="82">
        <v>58.2</v>
      </c>
      <c r="R134" s="82">
        <v>41.2</v>
      </c>
      <c r="S134" s="82">
        <v>3.2</v>
      </c>
      <c r="T134" s="82">
        <v>17</v>
      </c>
      <c r="U134" s="82">
        <v>37724</v>
      </c>
      <c r="V134" s="82">
        <v>19999</v>
      </c>
      <c r="W134" s="82">
        <v>4.5999999999999996</v>
      </c>
      <c r="X134" s="82">
        <v>66.7</v>
      </c>
      <c r="Y134" s="82">
        <v>32.5</v>
      </c>
      <c r="Z134" s="82">
        <v>70.2</v>
      </c>
      <c r="AA134" s="82">
        <v>1.7</v>
      </c>
      <c r="AB134" s="82">
        <v>1.3</v>
      </c>
      <c r="AC134" s="82">
        <v>3.7</v>
      </c>
      <c r="AD134" s="82">
        <v>25.1</v>
      </c>
      <c r="AE134" s="82">
        <v>99.6</v>
      </c>
      <c r="AF134" s="82">
        <v>0.1</v>
      </c>
      <c r="AG134" s="82">
        <v>0.1</v>
      </c>
      <c r="AH134" s="82">
        <v>0.2</v>
      </c>
      <c r="AI134" s="82">
        <v>0.1</v>
      </c>
      <c r="AJ134" s="82">
        <v>7.9</v>
      </c>
      <c r="AK134" s="82">
        <v>7.9</v>
      </c>
      <c r="AL134" s="82">
        <v>7.2</v>
      </c>
      <c r="AM134" s="82">
        <v>7</v>
      </c>
      <c r="AN134" s="82">
        <v>7.1</v>
      </c>
      <c r="AO134" s="82">
        <v>6.7</v>
      </c>
      <c r="AP134" s="82">
        <v>6.6</v>
      </c>
      <c r="AQ134" s="82">
        <v>6.8</v>
      </c>
      <c r="AR134" s="82">
        <v>3.2</v>
      </c>
      <c r="AS134" s="82">
        <v>4.7</v>
      </c>
      <c r="AT134" s="82">
        <v>2.1</v>
      </c>
      <c r="AU134" s="82">
        <v>3.9</v>
      </c>
      <c r="AV134" s="82">
        <v>1.6</v>
      </c>
      <c r="AW134" s="82">
        <v>3</v>
      </c>
      <c r="AX134" s="82">
        <v>1.5</v>
      </c>
      <c r="AY134" s="82">
        <v>2.6</v>
      </c>
      <c r="AZ134" s="82">
        <v>1.2</v>
      </c>
      <c r="BA134" s="82">
        <v>2.2000000000000002</v>
      </c>
      <c r="BB134" s="82">
        <v>1.1000000000000001</v>
      </c>
      <c r="BC134" s="82">
        <v>1.1000000000000001</v>
      </c>
      <c r="BD134" s="82">
        <v>0.9</v>
      </c>
      <c r="BE134" s="82">
        <v>1.8</v>
      </c>
      <c r="BF134" s="82">
        <v>0.9</v>
      </c>
      <c r="BG134" s="82">
        <v>1.8</v>
      </c>
      <c r="BH134" s="82">
        <v>0.9</v>
      </c>
      <c r="BI134" s="82">
        <v>1.8</v>
      </c>
      <c r="BJ134" s="82">
        <v>0.5</v>
      </c>
      <c r="BK134" s="82">
        <v>1.1000000000000001</v>
      </c>
      <c r="BL134" s="82">
        <v>0.4</v>
      </c>
      <c r="BM134" s="82">
        <v>1</v>
      </c>
      <c r="BN134" s="82">
        <v>0.2</v>
      </c>
      <c r="BO134" s="82">
        <v>0.6</v>
      </c>
      <c r="BP134" s="82">
        <v>0.2</v>
      </c>
      <c r="BQ134" s="82">
        <v>0.7</v>
      </c>
      <c r="BR134" s="82">
        <v>0.1</v>
      </c>
      <c r="BS134" s="82">
        <v>0.6</v>
      </c>
      <c r="BT134" s="82">
        <v>8632</v>
      </c>
      <c r="BU134" s="82">
        <v>8477</v>
      </c>
      <c r="BV134" s="82">
        <v>17670</v>
      </c>
      <c r="BW134" s="82">
        <v>55452</v>
      </c>
      <c r="BX134" s="82">
        <v>11.8</v>
      </c>
      <c r="BY134" s="82">
        <v>7.6</v>
      </c>
      <c r="BZ134" s="82">
        <v>16</v>
      </c>
      <c r="CA134" s="82">
        <v>28.9</v>
      </c>
      <c r="CB134" s="82">
        <v>22.4</v>
      </c>
      <c r="CC134" s="82">
        <v>6.6</v>
      </c>
      <c r="CD134" s="82">
        <v>3.4</v>
      </c>
      <c r="CE134" s="82">
        <v>1.9</v>
      </c>
      <c r="CF134" s="82">
        <v>0.9</v>
      </c>
      <c r="CG134" s="82">
        <v>0.1</v>
      </c>
      <c r="CH134" s="82">
        <v>0.1</v>
      </c>
      <c r="CI134" s="82">
        <v>0.1</v>
      </c>
      <c r="CJ134" s="82">
        <f t="shared" si="14"/>
        <v>90231</v>
      </c>
      <c r="CK134" s="82">
        <f t="shared" si="15"/>
        <v>187399.5489213852</v>
      </c>
      <c r="CL134" s="95">
        <f ca="1">$CK134*SUM(OFFSET($AJ134,0,(COUNTA($CL$1:CL$1)-1)*4,1,4))/100</f>
        <v>56219.864676415556</v>
      </c>
      <c r="CM134" s="95">
        <f ca="1">$CK134*SUM(OFFSET($AJ134,0,(COUNTA($CL$1:CM$1)-1)*4,1,4))/100</f>
        <v>50972.677306616773</v>
      </c>
      <c r="CN134" s="95">
        <f ca="1">$CK134*SUM(OFFSET($AJ134,0,(COUNTA($CL$1:CN$1)-1)*4,1,4))/100</f>
        <v>26048.537300072545</v>
      </c>
      <c r="CO134" s="95">
        <f ca="1">$CK134*SUM(OFFSET($AJ134,0,(COUNTA($CL$1:CO$1)-1)*4,1,4))/100</f>
        <v>16303.760756160509</v>
      </c>
      <c r="CP134" s="95">
        <f ca="1">$CK134*SUM(OFFSET($AJ134,0,(COUNTA($CL$1:CP$1)-1)*4,1,4))/100</f>
        <v>10494.37473959757</v>
      </c>
      <c r="CQ134" s="95">
        <f ca="1">$CK134*SUM(OFFSET($AJ134,0,(COUNTA($CL$1:CQ$1)-1)*4,1,4))/100</f>
        <v>10119.575641754802</v>
      </c>
      <c r="CR134" s="95">
        <f ca="1">$CK134*SUM(OFFSET($AJ134,0,(COUNTA($CL$1:CR$1)-1)*4,1,4))/100</f>
        <v>8058.1806036195649</v>
      </c>
      <c r="CS134" s="95">
        <f ca="1">$CK134*SUM(OFFSET($AJ134,0,(COUNTA($CL$1:CS$1)-1)*4,1,4))/100</f>
        <v>4122.7900762704739</v>
      </c>
      <c r="CT134" s="95">
        <f ca="1">$CK134*SUM(OFFSET($AJ134,0,(COUNTA($CL$1:CT$1)-1)*4,1,4))/100</f>
        <v>2998.392782742163</v>
      </c>
      <c r="CU134" s="96">
        <f t="shared" si="16"/>
        <v>2501.0845070422533</v>
      </c>
      <c r="CV134" s="96">
        <f t="shared" si="17"/>
        <v>74.927315887859066</v>
      </c>
    </row>
    <row r="135" spans="1:100">
      <c r="A135" s="82" t="str">
        <f ca="1">IF(ISERROR(OFFSET(Map!$E$2,MATCH(D135,Map!$B$3:$B$239,0),0)),OFFSET(Map!$E$2,MATCH(D135,Map!$C$3:$C$239,0),0),OFFSET(Map!$E$2,MATCH(D135,Map!$B$3:$B$239,0),0))</f>
        <v>Umzinyathi</v>
      </c>
      <c r="B135" s="82">
        <v>134</v>
      </c>
      <c r="C135" s="82" t="s">
        <v>57</v>
      </c>
      <c r="D135" s="82" t="s">
        <v>470</v>
      </c>
      <c r="E135" s="82" t="s">
        <v>471</v>
      </c>
      <c r="F135" s="82">
        <v>103093</v>
      </c>
      <c r="G135" s="82">
        <v>35.799999999999997</v>
      </c>
      <c r="H135" s="82">
        <v>58.9</v>
      </c>
      <c r="I135" s="82">
        <f t="shared" si="12"/>
        <v>60722</v>
      </c>
      <c r="J135" s="82">
        <v>5.3</v>
      </c>
      <c r="K135" s="82">
        <v>69.7</v>
      </c>
      <c r="L135" s="82">
        <v>79.3</v>
      </c>
      <c r="M135" s="82">
        <v>1.1100000000000001</v>
      </c>
      <c r="N135" s="82">
        <v>41</v>
      </c>
      <c r="O135" s="82">
        <v>30.4</v>
      </c>
      <c r="P135" s="82">
        <f t="shared" si="13"/>
        <v>42262</v>
      </c>
      <c r="Q135" s="82">
        <v>38</v>
      </c>
      <c r="R135" s="82">
        <v>26.6</v>
      </c>
      <c r="S135" s="82">
        <v>4.8</v>
      </c>
      <c r="T135" s="82">
        <v>22.8</v>
      </c>
      <c r="U135" s="82">
        <v>27282</v>
      </c>
      <c r="V135" s="82">
        <v>8444</v>
      </c>
      <c r="W135" s="82">
        <v>3.7</v>
      </c>
      <c r="X135" s="82">
        <v>57.6</v>
      </c>
      <c r="Y135" s="82">
        <v>53.5</v>
      </c>
      <c r="Z135" s="82">
        <v>58.7</v>
      </c>
      <c r="AA135" s="82">
        <v>23.4</v>
      </c>
      <c r="AB135" s="82">
        <v>24.9</v>
      </c>
      <c r="AC135" s="82">
        <v>20.2</v>
      </c>
      <c r="AD135" s="82">
        <v>58.3</v>
      </c>
      <c r="AE135" s="82">
        <v>94.6</v>
      </c>
      <c r="AF135" s="82">
        <v>0.8</v>
      </c>
      <c r="AG135" s="82">
        <v>2.2000000000000002</v>
      </c>
      <c r="AH135" s="82">
        <v>2.2000000000000002</v>
      </c>
      <c r="AI135" s="82">
        <v>0.2</v>
      </c>
      <c r="AJ135" s="82">
        <v>6.3</v>
      </c>
      <c r="AK135" s="82">
        <v>6.5</v>
      </c>
      <c r="AL135" s="82">
        <v>5.6</v>
      </c>
      <c r="AM135" s="82">
        <v>5.7</v>
      </c>
      <c r="AN135" s="82">
        <v>5.9</v>
      </c>
      <c r="AO135" s="82">
        <v>5.8</v>
      </c>
      <c r="AP135" s="82">
        <v>5.8</v>
      </c>
      <c r="AQ135" s="82">
        <v>6.1</v>
      </c>
      <c r="AR135" s="82">
        <v>4.2</v>
      </c>
      <c r="AS135" s="82">
        <v>5.3</v>
      </c>
      <c r="AT135" s="82">
        <v>3.3</v>
      </c>
      <c r="AU135" s="82">
        <v>4.5</v>
      </c>
      <c r="AV135" s="82">
        <v>2.5</v>
      </c>
      <c r="AW135" s="82">
        <v>3.6</v>
      </c>
      <c r="AX135" s="82">
        <v>2.1</v>
      </c>
      <c r="AY135" s="82">
        <v>3.1</v>
      </c>
      <c r="AZ135" s="82">
        <v>1.8</v>
      </c>
      <c r="BA135" s="82">
        <v>2.8</v>
      </c>
      <c r="BB135" s="82">
        <v>1.6</v>
      </c>
      <c r="BC135" s="82">
        <v>1.6</v>
      </c>
      <c r="BD135" s="82">
        <v>1.3</v>
      </c>
      <c r="BE135" s="82">
        <v>2.2999999999999998</v>
      </c>
      <c r="BF135" s="82">
        <v>1.2</v>
      </c>
      <c r="BG135" s="82">
        <v>2</v>
      </c>
      <c r="BH135" s="82">
        <v>1</v>
      </c>
      <c r="BI135" s="82">
        <v>1.6</v>
      </c>
      <c r="BJ135" s="82">
        <v>0.6</v>
      </c>
      <c r="BK135" s="82">
        <v>1.3</v>
      </c>
      <c r="BL135" s="82">
        <v>0.4</v>
      </c>
      <c r="BM135" s="82">
        <v>0.9</v>
      </c>
      <c r="BN135" s="82">
        <v>0.2</v>
      </c>
      <c r="BO135" s="82">
        <v>0.5</v>
      </c>
      <c r="BP135" s="82">
        <v>0.1</v>
      </c>
      <c r="BQ135" s="82">
        <v>0.5</v>
      </c>
      <c r="BR135" s="82">
        <v>0.1</v>
      </c>
      <c r="BS135" s="82">
        <v>0.6</v>
      </c>
      <c r="BT135" s="82">
        <v>16741</v>
      </c>
      <c r="BU135" s="82">
        <v>7306</v>
      </c>
      <c r="BV135" s="82">
        <v>4470</v>
      </c>
      <c r="BW135" s="82">
        <v>32216</v>
      </c>
      <c r="BX135" s="82">
        <v>12.3</v>
      </c>
      <c r="BY135" s="82">
        <v>6.3</v>
      </c>
      <c r="BZ135" s="82">
        <v>10.8</v>
      </c>
      <c r="CA135" s="82">
        <v>27.5</v>
      </c>
      <c r="CB135" s="82">
        <v>23.5</v>
      </c>
      <c r="CC135" s="82">
        <v>9.1</v>
      </c>
      <c r="CD135" s="82">
        <v>5.0999999999999996</v>
      </c>
      <c r="CE135" s="82">
        <v>3.1</v>
      </c>
      <c r="CF135" s="82">
        <v>1.6</v>
      </c>
      <c r="CG135" s="82">
        <v>0.4</v>
      </c>
      <c r="CH135" s="82">
        <v>0.2</v>
      </c>
      <c r="CI135" s="82">
        <v>0.2</v>
      </c>
      <c r="CJ135" s="82">
        <f t="shared" si="14"/>
        <v>60733</v>
      </c>
      <c r="CK135" s="82">
        <f t="shared" si="15"/>
        <v>113861.30871260849</v>
      </c>
      <c r="CL135" s="95">
        <f ca="1">$CK135*SUM(OFFSET($AJ135,0,(COUNTA($CL$1:CL$1)-1)*4,1,4))/100</f>
        <v>27440.575399738642</v>
      </c>
      <c r="CM135" s="95">
        <f ca="1">$CK135*SUM(OFFSET($AJ135,0,(COUNTA($CL$1:CM$1)-1)*4,1,4))/100</f>
        <v>26871.268856175604</v>
      </c>
      <c r="CN135" s="95">
        <f ca="1">$CK135*SUM(OFFSET($AJ135,0,(COUNTA($CL$1:CN$1)-1)*4,1,4))/100</f>
        <v>19698.006407281271</v>
      </c>
      <c r="CO135" s="95">
        <f ca="1">$CK135*SUM(OFFSET($AJ135,0,(COUNTA($CL$1:CO$1)-1)*4,1,4))/100</f>
        <v>12866.327884524759</v>
      </c>
      <c r="CP135" s="95">
        <f ca="1">$CK135*SUM(OFFSET($AJ135,0,(COUNTA($CL$1:CP$1)-1)*4,1,4))/100</f>
        <v>8881.182079583461</v>
      </c>
      <c r="CQ135" s="95">
        <f ca="1">$CK135*SUM(OFFSET($AJ135,0,(COUNTA($CL$1:CQ$1)-1)*4,1,4))/100</f>
        <v>7742.5689924573771</v>
      </c>
      <c r="CR135" s="95">
        <f ca="1">$CK135*SUM(OFFSET($AJ135,0,(COUNTA($CL$1:CR$1)-1)*4,1,4))/100</f>
        <v>5123.7588920673825</v>
      </c>
      <c r="CS135" s="95">
        <f ca="1">$CK135*SUM(OFFSET($AJ135,0,(COUNTA($CL$1:CS$1)-1)*4,1,4))/100</f>
        <v>2277.2261742521696</v>
      </c>
      <c r="CT135" s="95">
        <f ca="1">$CK135*SUM(OFFSET($AJ135,0,(COUNTA($CL$1:CT$1)-1)*4,1,4))/100</f>
        <v>1480.1970132639101</v>
      </c>
      <c r="CU135" s="96">
        <f t="shared" si="16"/>
        <v>2514.4634146341464</v>
      </c>
      <c r="CV135" s="96">
        <f t="shared" si="17"/>
        <v>45.282547381654894</v>
      </c>
    </row>
    <row r="136" spans="1:100">
      <c r="A136" s="82" t="str">
        <f ca="1">IF(ISERROR(OFFSET(Map!$E$2,MATCH(D136,Map!$B$3:$B$239,0),0)),OFFSET(Map!$E$2,MATCH(D136,Map!$C$3:$C$239,0),0),OFFSET(Map!$E$2,MATCH(D136,Map!$B$3:$B$239,0),0))</f>
        <v>Amajuba</v>
      </c>
      <c r="B136" s="82">
        <v>135</v>
      </c>
      <c r="C136" s="82" t="s">
        <v>57</v>
      </c>
      <c r="D136" s="82" t="s">
        <v>472</v>
      </c>
      <c r="E136" s="82" t="s">
        <v>473</v>
      </c>
      <c r="F136" s="82">
        <v>363236</v>
      </c>
      <c r="G136" s="82">
        <v>32.200000000000003</v>
      </c>
      <c r="H136" s="82">
        <v>63.3</v>
      </c>
      <c r="I136" s="82">
        <f t="shared" si="12"/>
        <v>229928</v>
      </c>
      <c r="J136" s="82">
        <v>4.5</v>
      </c>
      <c r="K136" s="82">
        <v>58</v>
      </c>
      <c r="L136" s="82">
        <v>90.8</v>
      </c>
      <c r="M136" s="82">
        <v>0.87</v>
      </c>
      <c r="N136" s="82">
        <v>196</v>
      </c>
      <c r="O136" s="82">
        <v>37.4</v>
      </c>
      <c r="P136" s="82">
        <f t="shared" si="13"/>
        <v>143935</v>
      </c>
      <c r="Q136" s="82">
        <v>49</v>
      </c>
      <c r="R136" s="82">
        <v>7.1</v>
      </c>
      <c r="S136" s="82">
        <v>11.2</v>
      </c>
      <c r="T136" s="82">
        <v>33.1</v>
      </c>
      <c r="U136" s="82">
        <v>84272</v>
      </c>
      <c r="V136" s="82">
        <v>25876</v>
      </c>
      <c r="W136" s="82">
        <v>4.2</v>
      </c>
      <c r="X136" s="82">
        <v>47.5</v>
      </c>
      <c r="Y136" s="82">
        <v>91.1</v>
      </c>
      <c r="Z136" s="82">
        <v>52</v>
      </c>
      <c r="AA136" s="82">
        <v>55.8</v>
      </c>
      <c r="AB136" s="82">
        <v>71</v>
      </c>
      <c r="AC136" s="82">
        <v>50</v>
      </c>
      <c r="AD136" s="82">
        <v>87.2</v>
      </c>
      <c r="AE136" s="82">
        <v>91.9</v>
      </c>
      <c r="AF136" s="82">
        <v>0.8</v>
      </c>
      <c r="AG136" s="82">
        <v>3.2</v>
      </c>
      <c r="AH136" s="82">
        <v>3.9</v>
      </c>
      <c r="AI136" s="82">
        <v>0.2</v>
      </c>
      <c r="AJ136" s="82">
        <v>5.6</v>
      </c>
      <c r="AK136" s="82">
        <v>5.6</v>
      </c>
      <c r="AL136" s="82">
        <v>5.4</v>
      </c>
      <c r="AM136" s="82">
        <v>5.3</v>
      </c>
      <c r="AN136" s="82">
        <v>5.3</v>
      </c>
      <c r="AO136" s="82">
        <v>5</v>
      </c>
      <c r="AP136" s="82">
        <v>5.6</v>
      </c>
      <c r="AQ136" s="82">
        <v>5.5</v>
      </c>
      <c r="AR136" s="82">
        <v>5.4</v>
      </c>
      <c r="AS136" s="82">
        <v>5.3</v>
      </c>
      <c r="AT136" s="82">
        <v>4.5</v>
      </c>
      <c r="AU136" s="82">
        <v>4.7</v>
      </c>
      <c r="AV136" s="82">
        <v>3.3</v>
      </c>
      <c r="AW136" s="82">
        <v>3.6</v>
      </c>
      <c r="AX136" s="82">
        <v>2.8</v>
      </c>
      <c r="AY136" s="82">
        <v>3.1</v>
      </c>
      <c r="AZ136" s="82">
        <v>2.1</v>
      </c>
      <c r="BA136" s="82">
        <v>2.7</v>
      </c>
      <c r="BB136" s="82">
        <v>1.8</v>
      </c>
      <c r="BC136" s="82">
        <v>1.8</v>
      </c>
      <c r="BD136" s="82">
        <v>1.6</v>
      </c>
      <c r="BE136" s="82">
        <v>2.4</v>
      </c>
      <c r="BF136" s="82">
        <v>1.4</v>
      </c>
      <c r="BG136" s="82">
        <v>2</v>
      </c>
      <c r="BH136" s="82">
        <v>1.1000000000000001</v>
      </c>
      <c r="BI136" s="82">
        <v>1.6</v>
      </c>
      <c r="BJ136" s="82">
        <v>0.7</v>
      </c>
      <c r="BK136" s="82">
        <v>1</v>
      </c>
      <c r="BL136" s="82">
        <v>0.4</v>
      </c>
      <c r="BM136" s="82">
        <v>0.8</v>
      </c>
      <c r="BN136" s="82">
        <v>0.2</v>
      </c>
      <c r="BO136" s="82">
        <v>0.5</v>
      </c>
      <c r="BP136" s="82">
        <v>0.1</v>
      </c>
      <c r="BQ136" s="82">
        <v>0.3</v>
      </c>
      <c r="BR136" s="82">
        <v>0.1</v>
      </c>
      <c r="BS136" s="82">
        <v>0.2</v>
      </c>
      <c r="BT136" s="82">
        <v>62968</v>
      </c>
      <c r="BU136" s="82">
        <v>37686</v>
      </c>
      <c r="BV136" s="82">
        <v>17021</v>
      </c>
      <c r="BW136" s="82">
        <v>112225</v>
      </c>
      <c r="BX136" s="82">
        <v>18</v>
      </c>
      <c r="BY136" s="82">
        <v>5.0999999999999996</v>
      </c>
      <c r="BZ136" s="82">
        <v>8.6999999999999993</v>
      </c>
      <c r="CA136" s="82">
        <v>19</v>
      </c>
      <c r="CB136" s="82">
        <v>18.600000000000001</v>
      </c>
      <c r="CC136" s="82">
        <v>11.1</v>
      </c>
      <c r="CD136" s="82">
        <v>8.5</v>
      </c>
      <c r="CE136" s="82">
        <v>6.5</v>
      </c>
      <c r="CF136" s="82">
        <v>3.3</v>
      </c>
      <c r="CG136" s="82">
        <v>0.8</v>
      </c>
      <c r="CH136" s="82">
        <v>0.2</v>
      </c>
      <c r="CI136" s="82">
        <v>0.2</v>
      </c>
      <c r="CJ136" s="82">
        <f t="shared" si="14"/>
        <v>229900</v>
      </c>
      <c r="CK136" s="82">
        <f t="shared" si="15"/>
        <v>392687.49540658487</v>
      </c>
      <c r="CL136" s="95">
        <f ca="1">$CK136*SUM(OFFSET($AJ136,0,(COUNTA($CL$1:CL$1)-1)*4,1,4))/100</f>
        <v>85998.561494042093</v>
      </c>
      <c r="CM136" s="95">
        <f ca="1">$CK136*SUM(OFFSET($AJ136,0,(COUNTA($CL$1:CM$1)-1)*4,1,4))/100</f>
        <v>84035.124017009162</v>
      </c>
      <c r="CN136" s="95">
        <f ca="1">$CK136*SUM(OFFSET($AJ136,0,(COUNTA($CL$1:CN$1)-1)*4,1,4))/100</f>
        <v>78144.811585910385</v>
      </c>
      <c r="CO136" s="95">
        <f ca="1">$CK136*SUM(OFFSET($AJ136,0,(COUNTA($CL$1:CO$1)-1)*4,1,4))/100</f>
        <v>50263.99941204286</v>
      </c>
      <c r="CP136" s="95">
        <f ca="1">$CK136*SUM(OFFSET($AJ136,0,(COUNTA($CL$1:CP$1)-1)*4,1,4))/100</f>
        <v>32985.74961415313</v>
      </c>
      <c r="CQ136" s="95">
        <f ca="1">$CK136*SUM(OFFSET($AJ136,0,(COUNTA($CL$1:CQ$1)-1)*4,1,4))/100</f>
        <v>29058.874660087284</v>
      </c>
      <c r="CR136" s="95">
        <f ca="1">$CK136*SUM(OFFSET($AJ136,0,(COUNTA($CL$1:CR$1)-1)*4,1,4))/100</f>
        <v>17278.249797889734</v>
      </c>
      <c r="CS136" s="95">
        <f ca="1">$CK136*SUM(OFFSET($AJ136,0,(COUNTA($CL$1:CS$1)-1)*4,1,4))/100</f>
        <v>7461.0624127251131</v>
      </c>
      <c r="CT136" s="95">
        <f ca="1">$CK136*SUM(OFFSET($AJ136,0,(COUNTA($CL$1:CT$1)-1)*4,1,4))/100</f>
        <v>2748.812467846094</v>
      </c>
      <c r="CU136" s="96">
        <f t="shared" si="16"/>
        <v>1853.2448979591836</v>
      </c>
      <c r="CV136" s="96">
        <f t="shared" si="17"/>
        <v>211.89185295425187</v>
      </c>
    </row>
    <row r="137" spans="1:100">
      <c r="A137" s="82" t="str">
        <f ca="1">IF(ISERROR(OFFSET(Map!$E$2,MATCH(D137,Map!$B$3:$B$239,0),0)),OFFSET(Map!$E$2,MATCH(D137,Map!$C$3:$C$239,0),0),OFFSET(Map!$E$2,MATCH(D137,Map!$B$3:$B$239,0),0))</f>
        <v>Amajuba</v>
      </c>
      <c r="B137" s="82">
        <v>136</v>
      </c>
      <c r="C137" s="82" t="s">
        <v>57</v>
      </c>
      <c r="D137" s="82" t="s">
        <v>474</v>
      </c>
      <c r="E137" s="82" t="s">
        <v>475</v>
      </c>
      <c r="F137" s="82">
        <v>34442</v>
      </c>
      <c r="G137" s="82">
        <v>35.9</v>
      </c>
      <c r="H137" s="82">
        <v>59.1</v>
      </c>
      <c r="I137" s="82">
        <f t="shared" si="12"/>
        <v>20355</v>
      </c>
      <c r="J137" s="82">
        <v>5.0999999999999996</v>
      </c>
      <c r="K137" s="82">
        <v>69.3</v>
      </c>
      <c r="L137" s="82">
        <v>103.1</v>
      </c>
      <c r="M137" s="82">
        <v>0.65</v>
      </c>
      <c r="N137" s="82">
        <v>10</v>
      </c>
      <c r="O137" s="82">
        <v>37.6</v>
      </c>
      <c r="P137" s="82">
        <f t="shared" si="13"/>
        <v>12702</v>
      </c>
      <c r="Q137" s="82">
        <v>46.4</v>
      </c>
      <c r="R137" s="82">
        <v>14.9</v>
      </c>
      <c r="S137" s="82">
        <v>5</v>
      </c>
      <c r="T137" s="82">
        <v>20.100000000000001</v>
      </c>
      <c r="U137" s="82">
        <v>6252</v>
      </c>
      <c r="V137" s="82">
        <v>3588</v>
      </c>
      <c r="W137" s="82">
        <v>5.2</v>
      </c>
      <c r="X137" s="82">
        <v>38.799999999999997</v>
      </c>
      <c r="Y137" s="82">
        <v>58.3</v>
      </c>
      <c r="Z137" s="82">
        <v>41.8</v>
      </c>
      <c r="AA137" s="82">
        <v>28.5</v>
      </c>
      <c r="AB137" s="82">
        <v>24.2</v>
      </c>
      <c r="AC137" s="82">
        <v>27</v>
      </c>
      <c r="AD137" s="82">
        <v>48.5</v>
      </c>
      <c r="AE137" s="82">
        <v>92.7</v>
      </c>
      <c r="AF137" s="82">
        <v>1.3</v>
      </c>
      <c r="AG137" s="82">
        <v>0.1</v>
      </c>
      <c r="AH137" s="82">
        <v>5.7</v>
      </c>
      <c r="AI137" s="82">
        <v>0.2</v>
      </c>
      <c r="AJ137" s="82">
        <v>6.1</v>
      </c>
      <c r="AK137" s="82">
        <v>6</v>
      </c>
      <c r="AL137" s="82">
        <v>6.3</v>
      </c>
      <c r="AM137" s="82">
        <v>5.8</v>
      </c>
      <c r="AN137" s="82">
        <v>6.1</v>
      </c>
      <c r="AO137" s="82">
        <v>5.6</v>
      </c>
      <c r="AP137" s="82">
        <v>5.7</v>
      </c>
      <c r="AQ137" s="82">
        <v>5.0999999999999996</v>
      </c>
      <c r="AR137" s="82">
        <v>4.9000000000000004</v>
      </c>
      <c r="AS137" s="82">
        <v>4.3</v>
      </c>
      <c r="AT137" s="82">
        <v>4.2</v>
      </c>
      <c r="AU137" s="82">
        <v>4</v>
      </c>
      <c r="AV137" s="82">
        <v>3.6</v>
      </c>
      <c r="AW137" s="82">
        <v>3.2</v>
      </c>
      <c r="AX137" s="82">
        <v>3</v>
      </c>
      <c r="AY137" s="82">
        <v>2.9</v>
      </c>
      <c r="AZ137" s="82">
        <v>2.1</v>
      </c>
      <c r="BA137" s="82">
        <v>2.4</v>
      </c>
      <c r="BB137" s="82">
        <v>1.9</v>
      </c>
      <c r="BC137" s="82">
        <v>1.9</v>
      </c>
      <c r="BD137" s="82">
        <v>1.7</v>
      </c>
      <c r="BE137" s="82">
        <v>2</v>
      </c>
      <c r="BF137" s="82">
        <v>1.8</v>
      </c>
      <c r="BG137" s="82">
        <v>1.7</v>
      </c>
      <c r="BH137" s="82">
        <v>1.2</v>
      </c>
      <c r="BI137" s="82">
        <v>1.3</v>
      </c>
      <c r="BJ137" s="82">
        <v>0.9</v>
      </c>
      <c r="BK137" s="82">
        <v>0.9</v>
      </c>
      <c r="BL137" s="82">
        <v>0.6</v>
      </c>
      <c r="BM137" s="82">
        <v>0.8</v>
      </c>
      <c r="BN137" s="82">
        <v>0.3</v>
      </c>
      <c r="BO137" s="82">
        <v>0.5</v>
      </c>
      <c r="BP137" s="82">
        <v>0.2</v>
      </c>
      <c r="BQ137" s="82">
        <v>0.4</v>
      </c>
      <c r="BR137" s="82">
        <v>0.2</v>
      </c>
      <c r="BS137" s="82">
        <v>0.3</v>
      </c>
      <c r="BT137" s="82">
        <v>5818</v>
      </c>
      <c r="BU137" s="82">
        <v>3506</v>
      </c>
      <c r="BV137" s="82">
        <v>2175</v>
      </c>
      <c r="BW137" s="82">
        <v>8847</v>
      </c>
      <c r="BX137" s="82">
        <v>11.6</v>
      </c>
      <c r="BY137" s="82">
        <v>3.6</v>
      </c>
      <c r="BZ137" s="82">
        <v>10.1</v>
      </c>
      <c r="CA137" s="82">
        <v>20.8</v>
      </c>
      <c r="CB137" s="82">
        <v>25</v>
      </c>
      <c r="CC137" s="82">
        <v>14</v>
      </c>
      <c r="CD137" s="82">
        <v>7.6</v>
      </c>
      <c r="CE137" s="82">
        <v>4.0999999999999996</v>
      </c>
      <c r="CF137" s="82">
        <v>2.5</v>
      </c>
      <c r="CG137" s="82">
        <v>0.3</v>
      </c>
      <c r="CH137" s="82">
        <v>0.3</v>
      </c>
      <c r="CI137" s="82">
        <v>0.1</v>
      </c>
      <c r="CJ137" s="82">
        <f t="shared" si="14"/>
        <v>20346</v>
      </c>
      <c r="CK137" s="82">
        <f t="shared" si="15"/>
        <v>36510.045604470266</v>
      </c>
      <c r="CL137" s="95">
        <f ca="1">$CK137*SUM(OFFSET($AJ137,0,(COUNTA($CL$1:CL$1)-1)*4,1,4))/100</f>
        <v>8835.4310362818051</v>
      </c>
      <c r="CM137" s="95">
        <f ca="1">$CK137*SUM(OFFSET($AJ137,0,(COUNTA($CL$1:CM$1)-1)*4,1,4))/100</f>
        <v>8214.7602610058093</v>
      </c>
      <c r="CN137" s="95">
        <f ca="1">$CK137*SUM(OFFSET($AJ137,0,(COUNTA($CL$1:CN$1)-1)*4,1,4))/100</f>
        <v>6352.7479351778256</v>
      </c>
      <c r="CO137" s="95">
        <f ca="1">$CK137*SUM(OFFSET($AJ137,0,(COUNTA($CL$1:CO$1)-1)*4,1,4))/100</f>
        <v>4636.7757917677245</v>
      </c>
      <c r="CP137" s="95">
        <f ca="1">$CK137*SUM(OFFSET($AJ137,0,(COUNTA($CL$1:CP$1)-1)*4,1,4))/100</f>
        <v>3030.3337851710321</v>
      </c>
      <c r="CQ137" s="95">
        <f ca="1">$CK137*SUM(OFFSET($AJ137,0,(COUNTA($CL$1:CQ$1)-1)*4,1,4))/100</f>
        <v>2628.7232835218588</v>
      </c>
      <c r="CR137" s="95">
        <f ca="1">$CK137*SUM(OFFSET($AJ137,0,(COUNTA($CL$1:CR$1)-1)*4,1,4))/100</f>
        <v>1569.9319609922213</v>
      </c>
      <c r="CS137" s="95">
        <f ca="1">$CK137*SUM(OFFSET($AJ137,0,(COUNTA($CL$1:CS$1)-1)*4,1,4))/100</f>
        <v>803.22100329834586</v>
      </c>
      <c r="CT137" s="95">
        <f ca="1">$CK137*SUM(OFFSET($AJ137,0,(COUNTA($CL$1:CT$1)-1)*4,1,4))/100</f>
        <v>401.61050164917293</v>
      </c>
      <c r="CU137" s="96">
        <f t="shared" si="16"/>
        <v>3444.2</v>
      </c>
      <c r="CV137" s="96">
        <f t="shared" si="17"/>
        <v>10.600442948861932</v>
      </c>
    </row>
    <row r="138" spans="1:100">
      <c r="A138" s="82" t="str">
        <f ca="1">IF(ISERROR(OFFSET(Map!$E$2,MATCH(D138,Map!$B$3:$B$239,0),0)),OFFSET(Map!$E$2,MATCH(D138,Map!$C$3:$C$239,0),0),OFFSET(Map!$E$2,MATCH(D138,Map!$B$3:$B$239,0),0))</f>
        <v>Amajuba</v>
      </c>
      <c r="B138" s="82">
        <v>137</v>
      </c>
      <c r="C138" s="82" t="s">
        <v>57</v>
      </c>
      <c r="D138" s="82" t="s">
        <v>476</v>
      </c>
      <c r="E138" s="82" t="s">
        <v>477</v>
      </c>
      <c r="F138" s="82">
        <v>102161</v>
      </c>
      <c r="G138" s="82">
        <v>38.200000000000003</v>
      </c>
      <c r="H138" s="82">
        <v>56.7</v>
      </c>
      <c r="I138" s="82">
        <f t="shared" si="12"/>
        <v>57925</v>
      </c>
      <c r="J138" s="82">
        <v>5</v>
      </c>
      <c r="K138" s="82">
        <v>76.3</v>
      </c>
      <c r="L138" s="82">
        <v>90</v>
      </c>
      <c r="M138" s="82">
        <v>-0.06</v>
      </c>
      <c r="N138" s="82">
        <v>67</v>
      </c>
      <c r="O138" s="82">
        <v>47.6</v>
      </c>
      <c r="P138" s="82">
        <f t="shared" si="13"/>
        <v>30353</v>
      </c>
      <c r="Q138" s="82">
        <v>58.2</v>
      </c>
      <c r="R138" s="82">
        <v>8.9</v>
      </c>
      <c r="S138" s="82">
        <v>3.7</v>
      </c>
      <c r="T138" s="82">
        <v>25.4</v>
      </c>
      <c r="U138" s="82">
        <v>20439</v>
      </c>
      <c r="V138" s="82">
        <v>10445</v>
      </c>
      <c r="W138" s="82">
        <v>4.9000000000000004</v>
      </c>
      <c r="X138" s="82">
        <v>50.7</v>
      </c>
      <c r="Y138" s="82">
        <v>82.7</v>
      </c>
      <c r="Z138" s="82">
        <v>45.7</v>
      </c>
      <c r="AA138" s="82">
        <v>11.5</v>
      </c>
      <c r="AB138" s="82">
        <v>11.5</v>
      </c>
      <c r="AC138" s="82">
        <v>19.5</v>
      </c>
      <c r="AD138" s="82">
        <v>80.7</v>
      </c>
      <c r="AE138" s="82">
        <v>97.5</v>
      </c>
      <c r="AF138" s="82">
        <v>0.3</v>
      </c>
      <c r="AG138" s="82">
        <v>1.4</v>
      </c>
      <c r="AH138" s="82">
        <v>0.8</v>
      </c>
      <c r="AI138" s="82">
        <v>0.1</v>
      </c>
      <c r="AJ138" s="82">
        <v>6.6</v>
      </c>
      <c r="AK138" s="82">
        <v>6.8</v>
      </c>
      <c r="AL138" s="82">
        <v>6.2</v>
      </c>
      <c r="AM138" s="82">
        <v>6.3</v>
      </c>
      <c r="AN138" s="82">
        <v>6.4</v>
      </c>
      <c r="AO138" s="82">
        <v>5.9</v>
      </c>
      <c r="AP138" s="82">
        <v>6.4</v>
      </c>
      <c r="AQ138" s="82">
        <v>6.2</v>
      </c>
      <c r="AR138" s="82">
        <v>4.9000000000000004</v>
      </c>
      <c r="AS138" s="82">
        <v>5</v>
      </c>
      <c r="AT138" s="82">
        <v>3.5</v>
      </c>
      <c r="AU138" s="82">
        <v>4</v>
      </c>
      <c r="AV138" s="82">
        <v>2.5</v>
      </c>
      <c r="AW138" s="82">
        <v>3</v>
      </c>
      <c r="AX138" s="82">
        <v>2</v>
      </c>
      <c r="AY138" s="82">
        <v>2.4</v>
      </c>
      <c r="AZ138" s="82">
        <v>1.6</v>
      </c>
      <c r="BA138" s="82">
        <v>2.1</v>
      </c>
      <c r="BB138" s="82">
        <v>1.6</v>
      </c>
      <c r="BC138" s="82">
        <v>1.6</v>
      </c>
      <c r="BD138" s="82">
        <v>1.4</v>
      </c>
      <c r="BE138" s="82">
        <v>2</v>
      </c>
      <c r="BF138" s="82">
        <v>1.4</v>
      </c>
      <c r="BG138" s="82">
        <v>1.9</v>
      </c>
      <c r="BH138" s="82">
        <v>1.1000000000000001</v>
      </c>
      <c r="BI138" s="82">
        <v>1.6</v>
      </c>
      <c r="BJ138" s="82">
        <v>0.7</v>
      </c>
      <c r="BK138" s="82">
        <v>1.1000000000000001</v>
      </c>
      <c r="BL138" s="82">
        <v>0.5</v>
      </c>
      <c r="BM138" s="82">
        <v>0.9</v>
      </c>
      <c r="BN138" s="82">
        <v>0.2</v>
      </c>
      <c r="BO138" s="82">
        <v>0.6</v>
      </c>
      <c r="BP138" s="82">
        <v>0.1</v>
      </c>
      <c r="BQ138" s="82">
        <v>0.4</v>
      </c>
      <c r="BR138" s="82">
        <v>0.1</v>
      </c>
      <c r="BS138" s="82">
        <v>0.3</v>
      </c>
      <c r="BT138" s="82">
        <v>10852</v>
      </c>
      <c r="BU138" s="82">
        <v>9843</v>
      </c>
      <c r="BV138" s="82">
        <v>5781</v>
      </c>
      <c r="BW138" s="82">
        <v>31471</v>
      </c>
      <c r="BX138" s="82">
        <v>17</v>
      </c>
      <c r="BY138" s="82">
        <v>5.3</v>
      </c>
      <c r="BZ138" s="82">
        <v>10.3</v>
      </c>
      <c r="CA138" s="82">
        <v>23.9</v>
      </c>
      <c r="CB138" s="82">
        <v>23.4</v>
      </c>
      <c r="CC138" s="82">
        <v>11.7</v>
      </c>
      <c r="CD138" s="82">
        <v>4.9000000000000004</v>
      </c>
      <c r="CE138" s="82">
        <v>2.2000000000000002</v>
      </c>
      <c r="CF138" s="82">
        <v>1.1000000000000001</v>
      </c>
      <c r="CG138" s="82">
        <v>0.1</v>
      </c>
      <c r="CH138" s="82">
        <v>0.1</v>
      </c>
      <c r="CI138" s="82">
        <v>0.1</v>
      </c>
      <c r="CJ138" s="82">
        <f t="shared" si="14"/>
        <v>57947</v>
      </c>
      <c r="CK138" s="82">
        <f t="shared" si="15"/>
        <v>101610.65275461803</v>
      </c>
      <c r="CL138" s="95">
        <f ca="1">$CK138*SUM(OFFSET($AJ138,0,(COUNTA($CL$1:CL$1)-1)*4,1,4))/100</f>
        <v>26317.15906344607</v>
      </c>
      <c r="CM138" s="95">
        <f ca="1">$CK138*SUM(OFFSET($AJ138,0,(COUNTA($CL$1:CM$1)-1)*4,1,4))/100</f>
        <v>25301.052535899893</v>
      </c>
      <c r="CN138" s="95">
        <f ca="1">$CK138*SUM(OFFSET($AJ138,0,(COUNTA($CL$1:CN$1)-1)*4,1,4))/100</f>
        <v>17680.253579303535</v>
      </c>
      <c r="CO138" s="95">
        <f ca="1">$CK138*SUM(OFFSET($AJ138,0,(COUNTA($CL$1:CO$1)-1)*4,1,4))/100</f>
        <v>10059.454622707186</v>
      </c>
      <c r="CP138" s="95">
        <f ca="1">$CK138*SUM(OFFSET($AJ138,0,(COUNTA($CL$1:CP$1)-1)*4,1,4))/100</f>
        <v>7011.1350400686442</v>
      </c>
      <c r="CQ138" s="95">
        <f ca="1">$CK138*SUM(OFFSET($AJ138,0,(COUNTA($CL$1:CQ$1)-1)*4,1,4))/100</f>
        <v>6807.9137345594072</v>
      </c>
      <c r="CR138" s="95">
        <f ca="1">$CK138*SUM(OFFSET($AJ138,0,(COUNTA($CL$1:CR$1)-1)*4,1,4))/100</f>
        <v>4572.4793739578117</v>
      </c>
      <c r="CS138" s="95">
        <f ca="1">$CK138*SUM(OFFSET($AJ138,0,(COUNTA($CL$1:CS$1)-1)*4,1,4))/100</f>
        <v>2235.4343606015964</v>
      </c>
      <c r="CT138" s="95">
        <f ca="1">$CK138*SUM(OFFSET($AJ138,0,(COUNTA($CL$1:CT$1)-1)*4,1,4))/100</f>
        <v>914.49587479156219</v>
      </c>
      <c r="CU138" s="96">
        <f t="shared" si="16"/>
        <v>1524.7910447761194</v>
      </c>
      <c r="CV138" s="96">
        <f t="shared" si="17"/>
        <v>66.639067105445406</v>
      </c>
    </row>
    <row r="139" spans="1:100">
      <c r="A139" s="82" t="str">
        <f ca="1">IF(ISERROR(OFFSET(Map!$E$2,MATCH(D139,Map!$B$3:$B$239,0),0)),OFFSET(Map!$E$2,MATCH(D139,Map!$C$3:$C$239,0),0),OFFSET(Map!$E$2,MATCH(D139,Map!$B$3:$B$239,0),0))</f>
        <v>Zululand</v>
      </c>
      <c r="B139" s="82">
        <v>138</v>
      </c>
      <c r="C139" s="82" t="s">
        <v>57</v>
      </c>
      <c r="D139" s="82" t="s">
        <v>478</v>
      </c>
      <c r="E139" s="82" t="s">
        <v>479</v>
      </c>
      <c r="F139" s="82">
        <v>82053</v>
      </c>
      <c r="G139" s="82">
        <v>40</v>
      </c>
      <c r="H139" s="82">
        <v>55</v>
      </c>
      <c r="I139" s="82">
        <f t="shared" si="12"/>
        <v>45129</v>
      </c>
      <c r="J139" s="82">
        <v>5</v>
      </c>
      <c r="K139" s="82">
        <v>81.7</v>
      </c>
      <c r="L139" s="82">
        <v>88.2</v>
      </c>
      <c r="M139" s="82">
        <v>-0.02</v>
      </c>
      <c r="N139" s="82">
        <v>42</v>
      </c>
      <c r="O139" s="82">
        <v>37.700000000000003</v>
      </c>
      <c r="P139" s="82">
        <f t="shared" si="13"/>
        <v>28115</v>
      </c>
      <c r="Q139" s="82">
        <v>45.4</v>
      </c>
      <c r="R139" s="82">
        <v>18.3</v>
      </c>
      <c r="S139" s="82">
        <v>4</v>
      </c>
      <c r="T139" s="82">
        <v>22.1</v>
      </c>
      <c r="U139" s="82">
        <v>16138</v>
      </c>
      <c r="V139" s="82">
        <v>8206</v>
      </c>
      <c r="W139" s="82">
        <v>5</v>
      </c>
      <c r="X139" s="82">
        <v>52.1</v>
      </c>
      <c r="Y139" s="82">
        <v>74</v>
      </c>
      <c r="Z139" s="82">
        <v>62.6</v>
      </c>
      <c r="AA139" s="82">
        <v>5.5</v>
      </c>
      <c r="AB139" s="82">
        <v>20.7</v>
      </c>
      <c r="AC139" s="82">
        <v>13.8</v>
      </c>
      <c r="AD139" s="82">
        <v>62.8</v>
      </c>
      <c r="AE139" s="82">
        <v>97.8</v>
      </c>
      <c r="AF139" s="82">
        <v>0.1</v>
      </c>
      <c r="AG139" s="82">
        <v>0.2</v>
      </c>
      <c r="AH139" s="82">
        <v>1.8</v>
      </c>
      <c r="AI139" s="82">
        <v>0.2</v>
      </c>
      <c r="AJ139" s="82">
        <v>6.9</v>
      </c>
      <c r="AK139" s="82">
        <v>7.1</v>
      </c>
      <c r="AL139" s="82">
        <v>6.6</v>
      </c>
      <c r="AM139" s="82">
        <v>6.6</v>
      </c>
      <c r="AN139" s="82">
        <v>6.6</v>
      </c>
      <c r="AO139" s="82">
        <v>6.2</v>
      </c>
      <c r="AP139" s="82">
        <v>6.1</v>
      </c>
      <c r="AQ139" s="82">
        <v>5.8</v>
      </c>
      <c r="AR139" s="82">
        <v>4.5999999999999996</v>
      </c>
      <c r="AS139" s="82">
        <v>5.2</v>
      </c>
      <c r="AT139" s="82">
        <v>3.4</v>
      </c>
      <c r="AU139" s="82">
        <v>4.3</v>
      </c>
      <c r="AV139" s="82">
        <v>2.4</v>
      </c>
      <c r="AW139" s="82">
        <v>3</v>
      </c>
      <c r="AX139" s="82">
        <v>2</v>
      </c>
      <c r="AY139" s="82">
        <v>2.2999999999999998</v>
      </c>
      <c r="AZ139" s="82">
        <v>1.7</v>
      </c>
      <c r="BA139" s="82">
        <v>2.2000000000000002</v>
      </c>
      <c r="BB139" s="82">
        <v>1.5</v>
      </c>
      <c r="BC139" s="82">
        <v>1.5</v>
      </c>
      <c r="BD139" s="82">
        <v>1.3</v>
      </c>
      <c r="BE139" s="82">
        <v>2.1</v>
      </c>
      <c r="BF139" s="82">
        <v>1.2</v>
      </c>
      <c r="BG139" s="82">
        <v>1.7</v>
      </c>
      <c r="BH139" s="82">
        <v>0.8</v>
      </c>
      <c r="BI139" s="82">
        <v>1.2</v>
      </c>
      <c r="BJ139" s="82">
        <v>0.6</v>
      </c>
      <c r="BK139" s="82">
        <v>0.9</v>
      </c>
      <c r="BL139" s="82">
        <v>0.5</v>
      </c>
      <c r="BM139" s="82">
        <v>0.9</v>
      </c>
      <c r="BN139" s="82">
        <v>0.3</v>
      </c>
      <c r="BO139" s="82">
        <v>0.5</v>
      </c>
      <c r="BP139" s="82">
        <v>0.3</v>
      </c>
      <c r="BQ139" s="82">
        <v>0.5</v>
      </c>
      <c r="BR139" s="82">
        <v>0.2</v>
      </c>
      <c r="BS139" s="82">
        <v>0.4</v>
      </c>
      <c r="BT139" s="82">
        <v>9595</v>
      </c>
      <c r="BU139" s="82">
        <v>5813</v>
      </c>
      <c r="BV139" s="82">
        <v>4556</v>
      </c>
      <c r="BW139" s="82">
        <v>25189</v>
      </c>
      <c r="BX139" s="82">
        <v>11.9</v>
      </c>
      <c r="BY139" s="82">
        <v>6.4</v>
      </c>
      <c r="BZ139" s="82">
        <v>12.4</v>
      </c>
      <c r="CA139" s="82">
        <v>26</v>
      </c>
      <c r="CB139" s="82">
        <v>23.9</v>
      </c>
      <c r="CC139" s="82">
        <v>10.199999999999999</v>
      </c>
      <c r="CD139" s="82">
        <v>4.7</v>
      </c>
      <c r="CE139" s="82">
        <v>2.6</v>
      </c>
      <c r="CF139" s="82">
        <v>1.4</v>
      </c>
      <c r="CG139" s="82">
        <v>0.2</v>
      </c>
      <c r="CH139" s="82">
        <v>0.2</v>
      </c>
      <c r="CI139" s="82">
        <v>0.1</v>
      </c>
      <c r="CJ139" s="82">
        <f t="shared" si="14"/>
        <v>45153</v>
      </c>
      <c r="CK139" s="82">
        <f t="shared" si="15"/>
        <v>81905.422701196934</v>
      </c>
      <c r="CL139" s="95">
        <f ca="1">$CK139*SUM(OFFSET($AJ139,0,(COUNTA($CL$1:CL$1)-1)*4,1,4))/100</f>
        <v>22278.274974725569</v>
      </c>
      <c r="CM139" s="95">
        <f ca="1">$CK139*SUM(OFFSET($AJ139,0,(COUNTA($CL$1:CM$1)-1)*4,1,4))/100</f>
        <v>20230.639407195642</v>
      </c>
      <c r="CN139" s="95">
        <f ca="1">$CK139*SUM(OFFSET($AJ139,0,(COUNTA($CL$1:CN$1)-1)*4,1,4))/100</f>
        <v>14333.448972709462</v>
      </c>
      <c r="CO139" s="95">
        <f ca="1">$CK139*SUM(OFFSET($AJ139,0,(COUNTA($CL$1:CO$1)-1)*4,1,4))/100</f>
        <v>7944.8260020161024</v>
      </c>
      <c r="CP139" s="95">
        <f ca="1">$CK139*SUM(OFFSET($AJ139,0,(COUNTA($CL$1:CP$1)-1)*4,1,4))/100</f>
        <v>5651.474166382588</v>
      </c>
      <c r="CQ139" s="95">
        <f ca="1">$CK139*SUM(OFFSET($AJ139,0,(COUNTA($CL$1:CQ$1)-1)*4,1,4))/100</f>
        <v>5160.0416301754076</v>
      </c>
      <c r="CR139" s="95">
        <f ca="1">$CK139*SUM(OFFSET($AJ139,0,(COUNTA($CL$1:CR$1)-1)*4,1,4))/100</f>
        <v>2866.6897945418923</v>
      </c>
      <c r="CS139" s="95">
        <f ca="1">$CK139*SUM(OFFSET($AJ139,0,(COUNTA($CL$1:CS$1)-1)*4,1,4))/100</f>
        <v>1801.9192994263326</v>
      </c>
      <c r="CT139" s="95">
        <f ca="1">$CK139*SUM(OFFSET($AJ139,0,(COUNTA($CL$1:CT$1)-1)*4,1,4))/100</f>
        <v>1146.675917816757</v>
      </c>
      <c r="CU139" s="96">
        <f t="shared" si="16"/>
        <v>1953.6428571428571</v>
      </c>
      <c r="CV139" s="96">
        <f t="shared" si="17"/>
        <v>41.924460451784469</v>
      </c>
    </row>
    <row r="140" spans="1:100">
      <c r="A140" s="82" t="str">
        <f ca="1">IF(ISERROR(OFFSET(Map!$E$2,MATCH(D140,Map!$B$3:$B$239,0),0)),OFFSET(Map!$E$2,MATCH(D140,Map!$C$3:$C$239,0),0),OFFSET(Map!$E$2,MATCH(D140,Map!$B$3:$B$239,0),0))</f>
        <v>Zululand</v>
      </c>
      <c r="B140" s="82">
        <v>139</v>
      </c>
      <c r="C140" s="82" t="s">
        <v>57</v>
      </c>
      <c r="D140" s="82" t="s">
        <v>480</v>
      </c>
      <c r="E140" s="82" t="s">
        <v>481</v>
      </c>
      <c r="F140" s="82">
        <v>127238</v>
      </c>
      <c r="G140" s="82">
        <v>39.299999999999997</v>
      </c>
      <c r="H140" s="82">
        <v>56.4</v>
      </c>
      <c r="I140" s="82">
        <f t="shared" si="12"/>
        <v>71762</v>
      </c>
      <c r="J140" s="82">
        <v>4.3</v>
      </c>
      <c r="K140" s="82">
        <v>77.3</v>
      </c>
      <c r="L140" s="82">
        <v>88.5</v>
      </c>
      <c r="M140" s="82">
        <v>0.6</v>
      </c>
      <c r="N140" s="82">
        <v>39</v>
      </c>
      <c r="O140" s="82">
        <v>35.5</v>
      </c>
      <c r="P140" s="82">
        <f t="shared" si="13"/>
        <v>46287</v>
      </c>
      <c r="Q140" s="82">
        <v>43.9</v>
      </c>
      <c r="R140" s="82">
        <v>19.899999999999999</v>
      </c>
      <c r="S140" s="82">
        <v>4.7</v>
      </c>
      <c r="T140" s="82">
        <v>25.6</v>
      </c>
      <c r="U140" s="82">
        <v>28772</v>
      </c>
      <c r="V140" s="82">
        <v>11545</v>
      </c>
      <c r="W140" s="82">
        <v>4.3</v>
      </c>
      <c r="X140" s="82">
        <v>48.6</v>
      </c>
      <c r="Y140" s="82">
        <v>83.5</v>
      </c>
      <c r="Z140" s="82">
        <v>56.7</v>
      </c>
      <c r="AA140" s="82">
        <v>11.4</v>
      </c>
      <c r="AB140" s="82">
        <v>19.3</v>
      </c>
      <c r="AC140" s="82">
        <v>17.399999999999999</v>
      </c>
      <c r="AD140" s="82">
        <v>73</v>
      </c>
      <c r="AE140" s="82">
        <v>98.1</v>
      </c>
      <c r="AF140" s="82">
        <v>0.1</v>
      </c>
      <c r="AG140" s="82">
        <v>0.1</v>
      </c>
      <c r="AH140" s="82">
        <v>1.5</v>
      </c>
      <c r="AI140" s="82">
        <v>0.1</v>
      </c>
      <c r="AJ140" s="82">
        <v>6.9</v>
      </c>
      <c r="AK140" s="82">
        <v>7</v>
      </c>
      <c r="AL140" s="82">
        <v>6.3</v>
      </c>
      <c r="AM140" s="82">
        <v>6.4</v>
      </c>
      <c r="AN140" s="82">
        <v>6.4</v>
      </c>
      <c r="AO140" s="82">
        <v>6.2</v>
      </c>
      <c r="AP140" s="82">
        <v>6.3</v>
      </c>
      <c r="AQ140" s="82">
        <v>6.2</v>
      </c>
      <c r="AR140" s="82">
        <v>5</v>
      </c>
      <c r="AS140" s="82">
        <v>5.6</v>
      </c>
      <c r="AT140" s="82">
        <v>3.9</v>
      </c>
      <c r="AU140" s="82">
        <v>4.5</v>
      </c>
      <c r="AV140" s="82">
        <v>2.6</v>
      </c>
      <c r="AW140" s="82">
        <v>3.1</v>
      </c>
      <c r="AX140" s="82">
        <v>2.1</v>
      </c>
      <c r="AY140" s="82">
        <v>2.5</v>
      </c>
      <c r="AZ140" s="82">
        <v>1.6</v>
      </c>
      <c r="BA140" s="82">
        <v>2.2000000000000002</v>
      </c>
      <c r="BB140" s="82">
        <v>1.3</v>
      </c>
      <c r="BC140" s="82">
        <v>1.3</v>
      </c>
      <c r="BD140" s="82">
        <v>1.3</v>
      </c>
      <c r="BE140" s="82">
        <v>1.8</v>
      </c>
      <c r="BF140" s="82">
        <v>1</v>
      </c>
      <c r="BG140" s="82">
        <v>1.5</v>
      </c>
      <c r="BH140" s="82">
        <v>0.8</v>
      </c>
      <c r="BI140" s="82">
        <v>1.2</v>
      </c>
      <c r="BJ140" s="82">
        <v>0.5</v>
      </c>
      <c r="BK140" s="82">
        <v>0.8</v>
      </c>
      <c r="BL140" s="82">
        <v>0.4</v>
      </c>
      <c r="BM140" s="82">
        <v>0.8</v>
      </c>
      <c r="BN140" s="82">
        <v>0.2</v>
      </c>
      <c r="BO140" s="82">
        <v>0.5</v>
      </c>
      <c r="BP140" s="82">
        <v>0.1</v>
      </c>
      <c r="BQ140" s="82">
        <v>0.5</v>
      </c>
      <c r="BR140" s="82">
        <v>0.1</v>
      </c>
      <c r="BS140" s="82">
        <v>0.3</v>
      </c>
      <c r="BT140" s="82">
        <v>18210</v>
      </c>
      <c r="BU140" s="82">
        <v>10043</v>
      </c>
      <c r="BV140" s="82">
        <v>7263</v>
      </c>
      <c r="BW140" s="82">
        <v>36236</v>
      </c>
      <c r="BX140" s="82">
        <v>13.7</v>
      </c>
      <c r="BY140" s="82">
        <v>6.2</v>
      </c>
      <c r="BZ140" s="82">
        <v>11.5</v>
      </c>
      <c r="CA140" s="82">
        <v>26.6</v>
      </c>
      <c r="CB140" s="82">
        <v>21.8</v>
      </c>
      <c r="CC140" s="82">
        <v>9.1999999999999993</v>
      </c>
      <c r="CD140" s="82">
        <v>5.5</v>
      </c>
      <c r="CE140" s="82">
        <v>3.3</v>
      </c>
      <c r="CF140" s="82">
        <v>1.4</v>
      </c>
      <c r="CG140" s="82">
        <v>0.3</v>
      </c>
      <c r="CH140" s="82">
        <v>0.2</v>
      </c>
      <c r="CI140" s="82">
        <v>0.2</v>
      </c>
      <c r="CJ140" s="82">
        <f t="shared" si="14"/>
        <v>71752</v>
      </c>
      <c r="CK140" s="82">
        <f t="shared" si="15"/>
        <v>134276.08195689312</v>
      </c>
      <c r="CL140" s="95">
        <f ca="1">$CK140*SUM(OFFSET($AJ140,0,(COUNTA($CL$1:CL$1)-1)*4,1,4))/100</f>
        <v>35717.437800533575</v>
      </c>
      <c r="CM140" s="95">
        <f ca="1">$CK140*SUM(OFFSET($AJ140,0,(COUNTA($CL$1:CM$1)-1)*4,1,4))/100</f>
        <v>33703.296571180173</v>
      </c>
      <c r="CN140" s="95">
        <f ca="1">$CK140*SUM(OFFSET($AJ140,0,(COUNTA($CL$1:CN$1)-1)*4,1,4))/100</f>
        <v>25512.455571809689</v>
      </c>
      <c r="CO140" s="95">
        <f ca="1">$CK140*SUM(OFFSET($AJ140,0,(COUNTA($CL$1:CO$1)-1)*4,1,4))/100</f>
        <v>13830.436441559992</v>
      </c>
      <c r="CP140" s="95">
        <f ca="1">$CK140*SUM(OFFSET($AJ140,0,(COUNTA($CL$1:CP$1)-1)*4,1,4))/100</f>
        <v>8593.6692452411589</v>
      </c>
      <c r="CQ140" s="95">
        <f ca="1">$CK140*SUM(OFFSET($AJ140,0,(COUNTA($CL$1:CQ$1)-1)*4,1,4))/100</f>
        <v>7519.4605895860141</v>
      </c>
      <c r="CR140" s="95">
        <f ca="1">$CK140*SUM(OFFSET($AJ140,0,(COUNTA($CL$1:CR$1)-1)*4,1,4))/100</f>
        <v>4431.1107045774725</v>
      </c>
      <c r="CS140" s="95">
        <f ca="1">$CK140*SUM(OFFSET($AJ140,0,(COUNTA($CL$1:CS$1)-1)*4,1,4))/100</f>
        <v>2551.2455571809692</v>
      </c>
      <c r="CT140" s="95">
        <f ca="1">$CK140*SUM(OFFSET($AJ140,0,(COUNTA($CL$1:CT$1)-1)*4,1,4))/100</f>
        <v>1342.7608195689311</v>
      </c>
      <c r="CU140" s="96">
        <f t="shared" si="16"/>
        <v>3262.5128205128203</v>
      </c>
      <c r="CV140" s="96">
        <f t="shared" si="17"/>
        <v>41.157258022908501</v>
      </c>
    </row>
    <row r="141" spans="1:100">
      <c r="A141" s="82" t="str">
        <f ca="1">IF(ISERROR(OFFSET(Map!$E$2,MATCH(D141,Map!$B$3:$B$239,0),0)),OFFSET(Map!$E$2,MATCH(D141,Map!$C$3:$C$239,0),0),OFFSET(Map!$E$2,MATCH(D141,Map!$B$3:$B$239,0),0))</f>
        <v>Zululand</v>
      </c>
      <c r="B141" s="82">
        <v>140</v>
      </c>
      <c r="C141" s="82" t="s">
        <v>57</v>
      </c>
      <c r="D141" s="82" t="s">
        <v>482</v>
      </c>
      <c r="E141" s="82" t="s">
        <v>483</v>
      </c>
      <c r="F141" s="82">
        <v>211060</v>
      </c>
      <c r="G141" s="82">
        <v>36.700000000000003</v>
      </c>
      <c r="H141" s="82">
        <v>58.6</v>
      </c>
      <c r="I141" s="82">
        <f t="shared" si="12"/>
        <v>123681</v>
      </c>
      <c r="J141" s="82">
        <v>4.7</v>
      </c>
      <c r="K141" s="82">
        <v>70.5</v>
      </c>
      <c r="L141" s="82">
        <v>90.9</v>
      </c>
      <c r="M141" s="82">
        <v>1</v>
      </c>
      <c r="N141" s="82">
        <v>50</v>
      </c>
      <c r="O141" s="82">
        <v>35.4</v>
      </c>
      <c r="P141" s="82">
        <f t="shared" si="13"/>
        <v>79898</v>
      </c>
      <c r="Q141" s="82">
        <v>45.1</v>
      </c>
      <c r="R141" s="82">
        <v>16.899999999999999</v>
      </c>
      <c r="S141" s="82">
        <v>6.6</v>
      </c>
      <c r="T141" s="82">
        <v>28.1</v>
      </c>
      <c r="U141" s="82">
        <v>43299</v>
      </c>
      <c r="V141" s="82">
        <v>16838</v>
      </c>
      <c r="W141" s="82">
        <v>4.5999999999999996</v>
      </c>
      <c r="X141" s="82">
        <v>50</v>
      </c>
      <c r="Y141" s="82">
        <v>78.8</v>
      </c>
      <c r="Z141" s="82">
        <v>66.599999999999994</v>
      </c>
      <c r="AA141" s="82">
        <v>40.9</v>
      </c>
      <c r="AB141" s="82">
        <v>41.5</v>
      </c>
      <c r="AC141" s="82">
        <v>38.799999999999997</v>
      </c>
      <c r="AD141" s="82">
        <v>72.099999999999994</v>
      </c>
      <c r="AE141" s="82">
        <v>95.4</v>
      </c>
      <c r="AF141" s="82">
        <v>0.5</v>
      </c>
      <c r="AG141" s="82">
        <v>0.4</v>
      </c>
      <c r="AH141" s="82">
        <v>3.5</v>
      </c>
      <c r="AI141" s="82">
        <v>0.1</v>
      </c>
      <c r="AJ141" s="82">
        <v>6.4</v>
      </c>
      <c r="AK141" s="82">
        <v>6.4</v>
      </c>
      <c r="AL141" s="82">
        <v>6.1</v>
      </c>
      <c r="AM141" s="82">
        <v>5.9</v>
      </c>
      <c r="AN141" s="82">
        <v>6.1</v>
      </c>
      <c r="AO141" s="82">
        <v>5.8</v>
      </c>
      <c r="AP141" s="82">
        <v>6.1</v>
      </c>
      <c r="AQ141" s="82">
        <v>5.9</v>
      </c>
      <c r="AR141" s="82">
        <v>4.8</v>
      </c>
      <c r="AS141" s="82">
        <v>5</v>
      </c>
      <c r="AT141" s="82">
        <v>4</v>
      </c>
      <c r="AU141" s="82">
        <v>4.4000000000000004</v>
      </c>
      <c r="AV141" s="82">
        <v>2.9</v>
      </c>
      <c r="AW141" s="82">
        <v>3.2</v>
      </c>
      <c r="AX141" s="82">
        <v>2.4</v>
      </c>
      <c r="AY141" s="82">
        <v>2.7</v>
      </c>
      <c r="AZ141" s="82">
        <v>1.8</v>
      </c>
      <c r="BA141" s="82">
        <v>2.4</v>
      </c>
      <c r="BB141" s="82">
        <v>1.6</v>
      </c>
      <c r="BC141" s="82">
        <v>1.6</v>
      </c>
      <c r="BD141" s="82">
        <v>1.4</v>
      </c>
      <c r="BE141" s="82">
        <v>2.1</v>
      </c>
      <c r="BF141" s="82">
        <v>1.3</v>
      </c>
      <c r="BG141" s="82">
        <v>1.8</v>
      </c>
      <c r="BH141" s="82">
        <v>1</v>
      </c>
      <c r="BI141" s="82">
        <v>1.4</v>
      </c>
      <c r="BJ141" s="82">
        <v>0.6</v>
      </c>
      <c r="BK141" s="82">
        <v>0.9</v>
      </c>
      <c r="BL141" s="82">
        <v>0.5</v>
      </c>
      <c r="BM141" s="82">
        <v>0.8</v>
      </c>
      <c r="BN141" s="82">
        <v>0.3</v>
      </c>
      <c r="BO141" s="82">
        <v>0.6</v>
      </c>
      <c r="BP141" s="82">
        <v>0.2</v>
      </c>
      <c r="BQ141" s="82">
        <v>0.4</v>
      </c>
      <c r="BR141" s="82">
        <v>0.2</v>
      </c>
      <c r="BS141" s="82">
        <v>0.3</v>
      </c>
      <c r="BT141" s="82">
        <v>27582</v>
      </c>
      <c r="BU141" s="82">
        <v>15117</v>
      </c>
      <c r="BV141" s="82">
        <v>10719</v>
      </c>
      <c r="BW141" s="82">
        <v>70356</v>
      </c>
      <c r="BX141" s="82">
        <v>14.7</v>
      </c>
      <c r="BY141" s="82">
        <v>5.0999999999999996</v>
      </c>
      <c r="BZ141" s="82">
        <v>9.6999999999999993</v>
      </c>
      <c r="CA141" s="82">
        <v>22.9</v>
      </c>
      <c r="CB141" s="82">
        <v>20.9</v>
      </c>
      <c r="CC141" s="82">
        <v>10.9</v>
      </c>
      <c r="CD141" s="82">
        <v>7.2</v>
      </c>
      <c r="CE141" s="82">
        <v>5</v>
      </c>
      <c r="CF141" s="82">
        <v>2.6</v>
      </c>
      <c r="CG141" s="82">
        <v>0.6</v>
      </c>
      <c r="CH141" s="82">
        <v>0.2</v>
      </c>
      <c r="CI141" s="82">
        <v>0.2</v>
      </c>
      <c r="CJ141" s="82">
        <f t="shared" si="14"/>
        <v>123774</v>
      </c>
      <c r="CK141" s="82">
        <f t="shared" si="15"/>
        <v>230833.21365276125</v>
      </c>
      <c r="CL141" s="95">
        <f ca="1">$CK141*SUM(OFFSET($AJ141,0,(COUNTA($CL$1:CL$1)-1)*4,1,4))/100</f>
        <v>57246.636985884783</v>
      </c>
      <c r="CM141" s="95">
        <f ca="1">$CK141*SUM(OFFSET($AJ141,0,(COUNTA($CL$1:CM$1)-1)*4,1,4))/100</f>
        <v>55169.13806300993</v>
      </c>
      <c r="CN141" s="95">
        <f ca="1">$CK141*SUM(OFFSET($AJ141,0,(COUNTA($CL$1:CN$1)-1)*4,1,4))/100</f>
        <v>42011.644884802547</v>
      </c>
      <c r="CO141" s="95">
        <f ca="1">$CK141*SUM(OFFSET($AJ141,0,(COUNTA($CL$1:CO$1)-1)*4,1,4))/100</f>
        <v>25853.319929109257</v>
      </c>
      <c r="CP141" s="95">
        <f ca="1">$CK141*SUM(OFFSET($AJ141,0,(COUNTA($CL$1:CP$1)-1)*4,1,4))/100</f>
        <v>17081.657810304332</v>
      </c>
      <c r="CQ141" s="95">
        <f ca="1">$CK141*SUM(OFFSET($AJ141,0,(COUNTA($CL$1:CQ$1)-1)*4,1,4))/100</f>
        <v>15234.99210108224</v>
      </c>
      <c r="CR141" s="95">
        <f ca="1">$CK141*SUM(OFFSET($AJ141,0,(COUNTA($CL$1:CR$1)-1)*4,1,4))/100</f>
        <v>9002.4953324576891</v>
      </c>
      <c r="CS141" s="95">
        <f ca="1">$CK141*SUM(OFFSET($AJ141,0,(COUNTA($CL$1:CS$1)-1)*4,1,4))/100</f>
        <v>5078.3307003607479</v>
      </c>
      <c r="CT141" s="95">
        <f ca="1">$CK141*SUM(OFFSET($AJ141,0,(COUNTA($CL$1:CT$1)-1)*4,1,4))/100</f>
        <v>2539.1653501803739</v>
      </c>
      <c r="CU141" s="96">
        <f t="shared" si="16"/>
        <v>4221.2</v>
      </c>
      <c r="CV141" s="96">
        <f t="shared" si="17"/>
        <v>54.684263634218055</v>
      </c>
    </row>
    <row r="142" spans="1:100">
      <c r="A142" s="82" t="str">
        <f ca="1">IF(ISERROR(OFFSET(Map!$E$2,MATCH(D142,Map!$B$3:$B$239,0),0)),OFFSET(Map!$E$2,MATCH(D142,Map!$C$3:$C$239,0),0),OFFSET(Map!$E$2,MATCH(D142,Map!$B$3:$B$239,0),0))</f>
        <v>Zululand</v>
      </c>
      <c r="B142" s="82">
        <v>141</v>
      </c>
      <c r="C142" s="82" t="s">
        <v>57</v>
      </c>
      <c r="D142" s="82" t="s">
        <v>484</v>
      </c>
      <c r="E142" s="82" t="s">
        <v>485</v>
      </c>
      <c r="F142" s="82">
        <v>194908</v>
      </c>
      <c r="G142" s="82">
        <v>42</v>
      </c>
      <c r="H142" s="82">
        <v>53.2</v>
      </c>
      <c r="I142" s="82">
        <f t="shared" si="12"/>
        <v>103691</v>
      </c>
      <c r="J142" s="82">
        <v>4.8</v>
      </c>
      <c r="K142" s="82">
        <v>88</v>
      </c>
      <c r="L142" s="82">
        <v>83.2</v>
      </c>
      <c r="M142" s="82">
        <v>-0.18</v>
      </c>
      <c r="N142" s="82">
        <v>89</v>
      </c>
      <c r="O142" s="82">
        <v>49.3</v>
      </c>
      <c r="P142" s="82">
        <f t="shared" si="13"/>
        <v>52571</v>
      </c>
      <c r="Q142" s="82">
        <v>59.9</v>
      </c>
      <c r="R142" s="82">
        <v>20.5</v>
      </c>
      <c r="S142" s="82">
        <v>4.8</v>
      </c>
      <c r="T142" s="82">
        <v>27.8</v>
      </c>
      <c r="U142" s="82">
        <v>34341</v>
      </c>
      <c r="V142" s="82">
        <v>19109</v>
      </c>
      <c r="W142" s="82">
        <v>5.5</v>
      </c>
      <c r="X142" s="82">
        <v>60.5</v>
      </c>
      <c r="Y142" s="82">
        <v>64.599999999999994</v>
      </c>
      <c r="Z142" s="82">
        <v>62.8</v>
      </c>
      <c r="AA142" s="82">
        <v>4.5</v>
      </c>
      <c r="AB142" s="82">
        <v>4.3</v>
      </c>
      <c r="AC142" s="82">
        <v>9.6</v>
      </c>
      <c r="AD142" s="82">
        <v>63.6</v>
      </c>
      <c r="AE142" s="82">
        <v>99.5</v>
      </c>
      <c r="AF142" s="82">
        <v>0.1</v>
      </c>
      <c r="AG142" s="82">
        <v>0.2</v>
      </c>
      <c r="AH142" s="82">
        <v>0.1</v>
      </c>
      <c r="AI142" s="82">
        <v>0.1</v>
      </c>
      <c r="AJ142" s="82">
        <v>7.6</v>
      </c>
      <c r="AK142" s="82">
        <v>7.5</v>
      </c>
      <c r="AL142" s="82">
        <v>6.6</v>
      </c>
      <c r="AM142" s="82">
        <v>6.6</v>
      </c>
      <c r="AN142" s="82">
        <v>7</v>
      </c>
      <c r="AO142" s="82">
        <v>6.7</v>
      </c>
      <c r="AP142" s="82">
        <v>7</v>
      </c>
      <c r="AQ142" s="82">
        <v>6.9</v>
      </c>
      <c r="AR142" s="82">
        <v>4.3</v>
      </c>
      <c r="AS142" s="82">
        <v>5.5</v>
      </c>
      <c r="AT142" s="82">
        <v>2.8</v>
      </c>
      <c r="AU142" s="82">
        <v>4.2</v>
      </c>
      <c r="AV142" s="82">
        <v>1.8</v>
      </c>
      <c r="AW142" s="82">
        <v>2.8</v>
      </c>
      <c r="AX142" s="82">
        <v>1.5</v>
      </c>
      <c r="AY142" s="82">
        <v>2.2000000000000002</v>
      </c>
      <c r="AZ142" s="82">
        <v>1.2</v>
      </c>
      <c r="BA142" s="82">
        <v>2</v>
      </c>
      <c r="BB142" s="82">
        <v>1.1000000000000001</v>
      </c>
      <c r="BC142" s="82">
        <v>1.1000000000000001</v>
      </c>
      <c r="BD142" s="82">
        <v>1.1000000000000001</v>
      </c>
      <c r="BE142" s="82">
        <v>1.7</v>
      </c>
      <c r="BF142" s="82">
        <v>1</v>
      </c>
      <c r="BG142" s="82">
        <v>1.6</v>
      </c>
      <c r="BH142" s="82">
        <v>0.9</v>
      </c>
      <c r="BI142" s="82">
        <v>1.4</v>
      </c>
      <c r="BJ142" s="82">
        <v>0.5</v>
      </c>
      <c r="BK142" s="82">
        <v>0.9</v>
      </c>
      <c r="BL142" s="82">
        <v>0.4</v>
      </c>
      <c r="BM142" s="82">
        <v>0.9</v>
      </c>
      <c r="BN142" s="82">
        <v>0.2</v>
      </c>
      <c r="BO142" s="82">
        <v>0.7</v>
      </c>
      <c r="BP142" s="82">
        <v>0.2</v>
      </c>
      <c r="BQ142" s="82">
        <v>0.5</v>
      </c>
      <c r="BR142" s="82">
        <v>0.1</v>
      </c>
      <c r="BS142" s="82">
        <v>0.4</v>
      </c>
      <c r="BT142" s="82">
        <v>12838</v>
      </c>
      <c r="BU142" s="82">
        <v>12469</v>
      </c>
      <c r="BV142" s="82">
        <v>14456</v>
      </c>
      <c r="BW142" s="82">
        <v>63910</v>
      </c>
      <c r="BX142" s="82">
        <v>10.5</v>
      </c>
      <c r="BY142" s="82">
        <v>6</v>
      </c>
      <c r="BZ142" s="82">
        <v>11.8</v>
      </c>
      <c r="CA142" s="82">
        <v>23.2</v>
      </c>
      <c r="CB142" s="82">
        <v>27</v>
      </c>
      <c r="CC142" s="82">
        <v>11.5</v>
      </c>
      <c r="CD142" s="82">
        <v>5.6</v>
      </c>
      <c r="CE142" s="82">
        <v>2.8</v>
      </c>
      <c r="CF142" s="82">
        <v>1.1000000000000001</v>
      </c>
      <c r="CG142" s="82">
        <v>0.2</v>
      </c>
      <c r="CH142" s="82">
        <v>0.1</v>
      </c>
      <c r="CI142" s="82">
        <v>0.2</v>
      </c>
      <c r="CJ142" s="82">
        <f t="shared" si="14"/>
        <v>103673</v>
      </c>
      <c r="CK142" s="82">
        <f t="shared" si="15"/>
        <v>191773.12924337047</v>
      </c>
      <c r="CL142" s="95">
        <f ca="1">$CK142*SUM(OFFSET($AJ142,0,(COUNTA($CL$1:CL$1)-1)*4,1,4))/100</f>
        <v>54271.795575873832</v>
      </c>
      <c r="CM142" s="95">
        <f ca="1">$CK142*SUM(OFFSET($AJ142,0,(COUNTA($CL$1:CM$1)-1)*4,1,4))/100</f>
        <v>52929.383671170246</v>
      </c>
      <c r="CN142" s="95">
        <f ca="1">$CK142*SUM(OFFSET($AJ142,0,(COUNTA($CL$1:CN$1)-1)*4,1,4))/100</f>
        <v>32217.88571288624</v>
      </c>
      <c r="CO142" s="95">
        <f ca="1">$CK142*SUM(OFFSET($AJ142,0,(COUNTA($CL$1:CO$1)-1)*4,1,4))/100</f>
        <v>15917.169727199751</v>
      </c>
      <c r="CP142" s="95">
        <f ca="1">$CK142*SUM(OFFSET($AJ142,0,(COUNTA($CL$1:CP$1)-1)*4,1,4))/100</f>
        <v>10355.748979142005</v>
      </c>
      <c r="CQ142" s="95">
        <f ca="1">$CK142*SUM(OFFSET($AJ142,0,(COUNTA($CL$1:CQ$1)-1)*4,1,4))/100</f>
        <v>10355.748979142005</v>
      </c>
      <c r="CR142" s="95">
        <f ca="1">$CK142*SUM(OFFSET($AJ142,0,(COUNTA($CL$1:CR$1)-1)*4,1,4))/100</f>
        <v>7095.6057820047063</v>
      </c>
      <c r="CS142" s="95">
        <f ca="1">$CK142*SUM(OFFSET($AJ142,0,(COUNTA($CL$1:CS$1)-1)*4,1,4))/100</f>
        <v>4219.0088433541505</v>
      </c>
      <c r="CT142" s="95">
        <f ca="1">$CK142*SUM(OFFSET($AJ142,0,(COUNTA($CL$1:CT$1)-1)*4,1,4))/100</f>
        <v>2301.2775509204457</v>
      </c>
      <c r="CU142" s="96">
        <f t="shared" si="16"/>
        <v>2189.9775280898875</v>
      </c>
      <c r="CV142" s="96">
        <f t="shared" si="17"/>
        <v>87.568537477476411</v>
      </c>
    </row>
    <row r="143" spans="1:100">
      <c r="A143" s="82" t="str">
        <f ca="1">IF(ISERROR(OFFSET(Map!$E$2,MATCH(D143,Map!$B$3:$B$239,0),0)),OFFSET(Map!$E$2,MATCH(D143,Map!$C$3:$C$239,0),0),OFFSET(Map!$E$2,MATCH(D143,Map!$B$3:$B$239,0),0))</f>
        <v>Zululand</v>
      </c>
      <c r="B143" s="82">
        <v>142</v>
      </c>
      <c r="C143" s="82" t="s">
        <v>57</v>
      </c>
      <c r="D143" s="82" t="s">
        <v>486</v>
      </c>
      <c r="E143" s="82" t="s">
        <v>487</v>
      </c>
      <c r="F143" s="82">
        <v>188317</v>
      </c>
      <c r="G143" s="82">
        <v>40.200000000000003</v>
      </c>
      <c r="H143" s="82">
        <v>55.2</v>
      </c>
      <c r="I143" s="82">
        <f t="shared" si="12"/>
        <v>103951</v>
      </c>
      <c r="J143" s="82">
        <v>4.5999999999999996</v>
      </c>
      <c r="K143" s="82">
        <v>81.099999999999994</v>
      </c>
      <c r="L143" s="82">
        <v>82.4</v>
      </c>
      <c r="M143" s="82">
        <v>-0.01</v>
      </c>
      <c r="N143" s="82">
        <v>58</v>
      </c>
      <c r="O143" s="82">
        <v>49.4</v>
      </c>
      <c r="P143" s="82">
        <f t="shared" si="13"/>
        <v>52599</v>
      </c>
      <c r="Q143" s="82">
        <v>61.8</v>
      </c>
      <c r="R143" s="82">
        <v>20.6</v>
      </c>
      <c r="S143" s="82">
        <v>5.9</v>
      </c>
      <c r="T143" s="82">
        <v>29.9</v>
      </c>
      <c r="U143" s="82">
        <v>35198</v>
      </c>
      <c r="V143" s="82">
        <v>17936</v>
      </c>
      <c r="W143" s="82">
        <v>5.0999999999999996</v>
      </c>
      <c r="X143" s="82">
        <v>58.8</v>
      </c>
      <c r="Y143" s="82">
        <v>65.2</v>
      </c>
      <c r="Z143" s="82">
        <v>53.6</v>
      </c>
      <c r="AA143" s="82">
        <v>19.100000000000001</v>
      </c>
      <c r="AB143" s="82">
        <v>19.7</v>
      </c>
      <c r="AC143" s="82">
        <v>22.2</v>
      </c>
      <c r="AD143" s="82">
        <v>73.400000000000006</v>
      </c>
      <c r="AE143" s="82">
        <v>99.5</v>
      </c>
      <c r="AF143" s="82">
        <v>0.1</v>
      </c>
      <c r="AG143" s="82">
        <v>0.1</v>
      </c>
      <c r="AH143" s="82">
        <v>0.2</v>
      </c>
      <c r="AI143" s="82">
        <v>0.1</v>
      </c>
      <c r="AJ143" s="82">
        <v>6.9</v>
      </c>
      <c r="AK143" s="82">
        <v>7.2</v>
      </c>
      <c r="AL143" s="82">
        <v>6.5</v>
      </c>
      <c r="AM143" s="82">
        <v>6.5</v>
      </c>
      <c r="AN143" s="82">
        <v>6.6</v>
      </c>
      <c r="AO143" s="82">
        <v>6.4</v>
      </c>
      <c r="AP143" s="82">
        <v>6.4</v>
      </c>
      <c r="AQ143" s="82">
        <v>6.5</v>
      </c>
      <c r="AR143" s="82">
        <v>4.4000000000000004</v>
      </c>
      <c r="AS143" s="82">
        <v>5.4</v>
      </c>
      <c r="AT143" s="82">
        <v>3.2</v>
      </c>
      <c r="AU143" s="82">
        <v>4.5</v>
      </c>
      <c r="AV143" s="82">
        <v>2.1</v>
      </c>
      <c r="AW143" s="82">
        <v>3.1</v>
      </c>
      <c r="AX143" s="82">
        <v>1.8</v>
      </c>
      <c r="AY143" s="82">
        <v>2.5</v>
      </c>
      <c r="AZ143" s="82">
        <v>1.4</v>
      </c>
      <c r="BA143" s="82">
        <v>2.2000000000000002</v>
      </c>
      <c r="BB143" s="82">
        <v>1.4</v>
      </c>
      <c r="BC143" s="82">
        <v>1.4</v>
      </c>
      <c r="BD143" s="82">
        <v>1.3</v>
      </c>
      <c r="BE143" s="82">
        <v>2</v>
      </c>
      <c r="BF143" s="82">
        <v>1.1000000000000001</v>
      </c>
      <c r="BG143" s="82">
        <v>1.7</v>
      </c>
      <c r="BH143" s="82">
        <v>0.8</v>
      </c>
      <c r="BI143" s="82">
        <v>1.3</v>
      </c>
      <c r="BJ143" s="82">
        <v>0.5</v>
      </c>
      <c r="BK143" s="82">
        <v>0.8</v>
      </c>
      <c r="BL143" s="82">
        <v>0.4</v>
      </c>
      <c r="BM143" s="82">
        <v>0.8</v>
      </c>
      <c r="BN143" s="82">
        <v>0.2</v>
      </c>
      <c r="BO143" s="82">
        <v>0.6</v>
      </c>
      <c r="BP143" s="82">
        <v>0.1</v>
      </c>
      <c r="BQ143" s="82">
        <v>0.5</v>
      </c>
      <c r="BR143" s="82">
        <v>0.2</v>
      </c>
      <c r="BS143" s="82">
        <v>0.5</v>
      </c>
      <c r="BT143" s="82">
        <v>15136</v>
      </c>
      <c r="BU143" s="82">
        <v>14805</v>
      </c>
      <c r="BV143" s="82">
        <v>13259</v>
      </c>
      <c r="BW143" s="82">
        <v>60779</v>
      </c>
      <c r="BX143" s="82">
        <v>12.8</v>
      </c>
      <c r="BY143" s="82">
        <v>4.9000000000000004</v>
      </c>
      <c r="BZ143" s="82">
        <v>9.1999999999999993</v>
      </c>
      <c r="CA143" s="82">
        <v>22.3</v>
      </c>
      <c r="CB143" s="82">
        <v>24.8</v>
      </c>
      <c r="CC143" s="82">
        <v>11.9</v>
      </c>
      <c r="CD143" s="82">
        <v>6.9</v>
      </c>
      <c r="CE143" s="82">
        <v>4.5</v>
      </c>
      <c r="CF143" s="82">
        <v>2</v>
      </c>
      <c r="CG143" s="82">
        <v>0.3</v>
      </c>
      <c r="CH143" s="82">
        <v>0.2</v>
      </c>
      <c r="CI143" s="82">
        <v>0.1</v>
      </c>
      <c r="CJ143" s="82">
        <f t="shared" si="14"/>
        <v>103979</v>
      </c>
      <c r="CK143" s="82">
        <f t="shared" si="15"/>
        <v>188147.58247830378</v>
      </c>
      <c r="CL143" s="95">
        <f ca="1">$CK143*SUM(OFFSET($AJ143,0,(COUNTA($CL$1:CL$1)-1)*4,1,4))/100</f>
        <v>50987.994851620329</v>
      </c>
      <c r="CM143" s="95">
        <f ca="1">$CK143*SUM(OFFSET($AJ143,0,(COUNTA($CL$1:CM$1)-1)*4,1,4))/100</f>
        <v>48730.223861880673</v>
      </c>
      <c r="CN143" s="95">
        <f ca="1">$CK143*SUM(OFFSET($AJ143,0,(COUNTA($CL$1:CN$1)-1)*4,1,4))/100</f>
        <v>32925.82693370316</v>
      </c>
      <c r="CO143" s="95">
        <f ca="1">$CK143*SUM(OFFSET($AJ143,0,(COUNTA($CL$1:CO$1)-1)*4,1,4))/100</f>
        <v>17874.020335438858</v>
      </c>
      <c r="CP143" s="95">
        <f ca="1">$CK143*SUM(OFFSET($AJ143,0,(COUNTA($CL$1:CP$1)-1)*4,1,4))/100</f>
        <v>12041.445278611442</v>
      </c>
      <c r="CQ143" s="95">
        <f ca="1">$CK143*SUM(OFFSET($AJ143,0,(COUNTA($CL$1:CQ$1)-1)*4,1,4))/100</f>
        <v>11477.002531176531</v>
      </c>
      <c r="CR143" s="95">
        <f ca="1">$CK143*SUM(OFFSET($AJ143,0,(COUNTA($CL$1:CR$1)-1)*4,1,4))/100</f>
        <v>6397.0178042623293</v>
      </c>
      <c r="CS143" s="95">
        <f ca="1">$CK143*SUM(OFFSET($AJ143,0,(COUNTA($CL$1:CS$1)-1)*4,1,4))/100</f>
        <v>3762.9516495660755</v>
      </c>
      <c r="CT143" s="95">
        <f ca="1">$CK143*SUM(OFFSET($AJ143,0,(COUNTA($CL$1:CT$1)-1)*4,1,4))/100</f>
        <v>2445.9185722179491</v>
      </c>
      <c r="CU143" s="96">
        <f t="shared" si="16"/>
        <v>3246.844827586207</v>
      </c>
      <c r="CV143" s="96">
        <f t="shared" si="17"/>
        <v>57.947820875128741</v>
      </c>
    </row>
    <row r="144" spans="1:100">
      <c r="A144" s="82" t="str">
        <f ca="1">IF(ISERROR(OFFSET(Map!$E$2,MATCH(D144,Map!$B$3:$B$239,0),0)),OFFSET(Map!$E$2,MATCH(D144,Map!$C$3:$C$239,0),0),OFFSET(Map!$E$2,MATCH(D144,Map!$B$3:$B$239,0),0))</f>
        <v>Umkhanyakude</v>
      </c>
      <c r="B144" s="82">
        <v>143</v>
      </c>
      <c r="C144" s="82" t="s">
        <v>57</v>
      </c>
      <c r="D144" s="82" t="s">
        <v>488</v>
      </c>
      <c r="E144" s="82" t="s">
        <v>489</v>
      </c>
      <c r="F144" s="82">
        <v>156736</v>
      </c>
      <c r="G144" s="82">
        <v>40.200000000000003</v>
      </c>
      <c r="H144" s="82">
        <v>54.8</v>
      </c>
      <c r="I144" s="82">
        <f t="shared" si="12"/>
        <v>85891</v>
      </c>
      <c r="J144" s="82">
        <v>5.0999999999999996</v>
      </c>
      <c r="K144" s="82">
        <v>82.5</v>
      </c>
      <c r="L144" s="82">
        <v>84.5</v>
      </c>
      <c r="M144" s="82">
        <v>0.95</v>
      </c>
      <c r="N144" s="82">
        <v>36</v>
      </c>
      <c r="O144" s="82">
        <v>47.1</v>
      </c>
      <c r="P144" s="82">
        <f t="shared" si="13"/>
        <v>45437</v>
      </c>
      <c r="Q144" s="82">
        <v>56.5</v>
      </c>
      <c r="R144" s="82">
        <v>30.5</v>
      </c>
      <c r="S144" s="82">
        <v>4.5</v>
      </c>
      <c r="T144" s="82">
        <v>22.2</v>
      </c>
      <c r="U144" s="82">
        <v>33857</v>
      </c>
      <c r="V144" s="82">
        <v>20140</v>
      </c>
      <c r="W144" s="82">
        <v>4.5</v>
      </c>
      <c r="X144" s="82">
        <v>53.9</v>
      </c>
      <c r="Y144" s="82">
        <v>57.7</v>
      </c>
      <c r="Z144" s="82">
        <v>49.1</v>
      </c>
      <c r="AA144" s="82">
        <v>2.8</v>
      </c>
      <c r="AB144" s="82">
        <v>1.4</v>
      </c>
      <c r="AC144" s="82">
        <v>5.3</v>
      </c>
      <c r="AD144" s="82">
        <v>14.2</v>
      </c>
      <c r="AE144" s="82">
        <v>99.3</v>
      </c>
      <c r="AF144" s="82">
        <v>0.1</v>
      </c>
      <c r="AG144" s="82">
        <v>0.1</v>
      </c>
      <c r="AH144" s="82">
        <v>0.3</v>
      </c>
      <c r="AI144" s="82">
        <v>0.1</v>
      </c>
      <c r="AJ144" s="82">
        <v>7.2</v>
      </c>
      <c r="AK144" s="82">
        <v>7</v>
      </c>
      <c r="AL144" s="82">
        <v>6.5</v>
      </c>
      <c r="AM144" s="82">
        <v>6.2</v>
      </c>
      <c r="AN144" s="82">
        <v>6.8</v>
      </c>
      <c r="AO144" s="82">
        <v>6.4</v>
      </c>
      <c r="AP144" s="82">
        <v>6.4</v>
      </c>
      <c r="AQ144" s="82">
        <v>6.4</v>
      </c>
      <c r="AR144" s="82">
        <v>4.4000000000000004</v>
      </c>
      <c r="AS144" s="82">
        <v>5.0999999999999996</v>
      </c>
      <c r="AT144" s="82">
        <v>3</v>
      </c>
      <c r="AU144" s="82">
        <v>4.2</v>
      </c>
      <c r="AV144" s="82">
        <v>2.1</v>
      </c>
      <c r="AW144" s="82">
        <v>3.4</v>
      </c>
      <c r="AX144" s="82">
        <v>2</v>
      </c>
      <c r="AY144" s="82">
        <v>2.8</v>
      </c>
      <c r="AZ144" s="82">
        <v>1.6</v>
      </c>
      <c r="BA144" s="82">
        <v>2.7</v>
      </c>
      <c r="BB144" s="82">
        <v>1.5</v>
      </c>
      <c r="BC144" s="82">
        <v>1.5</v>
      </c>
      <c r="BD144" s="82">
        <v>1.1000000000000001</v>
      </c>
      <c r="BE144" s="82">
        <v>1.8</v>
      </c>
      <c r="BF144" s="82">
        <v>0.9</v>
      </c>
      <c r="BG144" s="82">
        <v>1.2</v>
      </c>
      <c r="BH144" s="82">
        <v>0.7</v>
      </c>
      <c r="BI144" s="82">
        <v>1.1000000000000001</v>
      </c>
      <c r="BJ144" s="82">
        <v>0.5</v>
      </c>
      <c r="BK144" s="82">
        <v>0.8</v>
      </c>
      <c r="BL144" s="82">
        <v>0.5</v>
      </c>
      <c r="BM144" s="82">
        <v>0.9</v>
      </c>
      <c r="BN144" s="82">
        <v>0.2</v>
      </c>
      <c r="BO144" s="82">
        <v>0.7</v>
      </c>
      <c r="BP144" s="82">
        <v>0.2</v>
      </c>
      <c r="BQ144" s="82">
        <v>0.7</v>
      </c>
      <c r="BR144" s="82">
        <v>0.2</v>
      </c>
      <c r="BS144" s="82">
        <v>0.4</v>
      </c>
      <c r="BT144" s="82">
        <v>12017</v>
      </c>
      <c r="BU144" s="82">
        <v>10690</v>
      </c>
      <c r="BV144" s="82">
        <v>12317</v>
      </c>
      <c r="BW144" s="82">
        <v>50847</v>
      </c>
      <c r="BX144" s="82">
        <v>13.9</v>
      </c>
      <c r="BY144" s="82">
        <v>7.9</v>
      </c>
      <c r="BZ144" s="82">
        <v>17.3</v>
      </c>
      <c r="CA144" s="82">
        <v>25.3</v>
      </c>
      <c r="CB144" s="82">
        <v>18.899999999999999</v>
      </c>
      <c r="CC144" s="82">
        <v>7.8</v>
      </c>
      <c r="CD144" s="82">
        <v>5.0999999999999996</v>
      </c>
      <c r="CE144" s="82">
        <v>2.7</v>
      </c>
      <c r="CF144" s="82">
        <v>0.9</v>
      </c>
      <c r="CG144" s="82">
        <v>0.2</v>
      </c>
      <c r="CH144" s="82">
        <v>0.1</v>
      </c>
      <c r="CI144" s="82">
        <v>0.1</v>
      </c>
      <c r="CJ144" s="82">
        <f t="shared" si="14"/>
        <v>85871</v>
      </c>
      <c r="CK144" s="82">
        <f t="shared" si="15"/>
        <v>170657.61370487823</v>
      </c>
      <c r="CL144" s="95">
        <f ca="1">$CK144*SUM(OFFSET($AJ144,0,(COUNTA($CL$1:CL$1)-1)*4,1,4))/100</f>
        <v>45906.898086612244</v>
      </c>
      <c r="CM144" s="95">
        <f ca="1">$CK144*SUM(OFFSET($AJ144,0,(COUNTA($CL$1:CM$1)-1)*4,1,4))/100</f>
        <v>44370.979563268338</v>
      </c>
      <c r="CN144" s="95">
        <f ca="1">$CK144*SUM(OFFSET($AJ144,0,(COUNTA($CL$1:CN$1)-1)*4,1,4))/100</f>
        <v>28499.821488714661</v>
      </c>
      <c r="CO144" s="95">
        <f ca="1">$CK144*SUM(OFFSET($AJ144,0,(COUNTA($CL$1:CO$1)-1)*4,1,4))/100</f>
        <v>17577.734211602459</v>
      </c>
      <c r="CP144" s="95">
        <f ca="1">$CK144*SUM(OFFSET($AJ144,0,(COUNTA($CL$1:CP$1)-1)*4,1,4))/100</f>
        <v>12458.005800456111</v>
      </c>
      <c r="CQ144" s="95">
        <f ca="1">$CK144*SUM(OFFSET($AJ144,0,(COUNTA($CL$1:CQ$1)-1)*4,1,4))/100</f>
        <v>8532.880685243912</v>
      </c>
      <c r="CR144" s="95">
        <f ca="1">$CK144*SUM(OFFSET($AJ144,0,(COUNTA($CL$1:CR$1)-1)*4,1,4))/100</f>
        <v>5290.3860248512237</v>
      </c>
      <c r="CS144" s="95">
        <f ca="1">$CK144*SUM(OFFSET($AJ144,0,(COUNTA($CL$1:CS$1)-1)*4,1,4))/100</f>
        <v>3925.125115212199</v>
      </c>
      <c r="CT144" s="95">
        <f ca="1">$CK144*SUM(OFFSET($AJ144,0,(COUNTA($CL$1:CT$1)-1)*4,1,4))/100</f>
        <v>2559.8642055731734</v>
      </c>
      <c r="CU144" s="96">
        <f t="shared" si="16"/>
        <v>4353.7777777777774</v>
      </c>
      <c r="CV144" s="96">
        <f t="shared" si="17"/>
        <v>39.197594001222541</v>
      </c>
    </row>
    <row r="145" spans="1:100">
      <c r="A145" s="82" t="str">
        <f ca="1">IF(ISERROR(OFFSET(Map!$E$2,MATCH(D145,Map!$B$3:$B$239,0),0)),OFFSET(Map!$E$2,MATCH(D145,Map!$C$3:$C$239,0),0),OFFSET(Map!$E$2,MATCH(D145,Map!$B$3:$B$239,0),0))</f>
        <v>Umkhanyakude</v>
      </c>
      <c r="B145" s="82">
        <v>144</v>
      </c>
      <c r="C145" s="82" t="s">
        <v>57</v>
      </c>
      <c r="D145" s="82" t="s">
        <v>490</v>
      </c>
      <c r="E145" s="82" t="s">
        <v>491</v>
      </c>
      <c r="F145" s="82">
        <v>186502</v>
      </c>
      <c r="G145" s="82">
        <v>41.3</v>
      </c>
      <c r="H145" s="82">
        <v>54.8</v>
      </c>
      <c r="I145" s="82">
        <f t="shared" si="12"/>
        <v>102203</v>
      </c>
      <c r="J145" s="82">
        <v>3.9</v>
      </c>
      <c r="K145" s="82">
        <v>82.4</v>
      </c>
      <c r="L145" s="82">
        <v>85.8</v>
      </c>
      <c r="M145" s="82">
        <v>0.12</v>
      </c>
      <c r="N145" s="82">
        <v>54</v>
      </c>
      <c r="O145" s="82">
        <v>44.1</v>
      </c>
      <c r="P145" s="82">
        <f t="shared" si="13"/>
        <v>57132</v>
      </c>
      <c r="Q145" s="82">
        <v>52.7</v>
      </c>
      <c r="R145" s="82">
        <v>27.4</v>
      </c>
      <c r="S145" s="82">
        <v>5.0999999999999996</v>
      </c>
      <c r="T145" s="82">
        <v>25.2</v>
      </c>
      <c r="U145" s="82">
        <v>38849</v>
      </c>
      <c r="V145" s="82">
        <v>21273</v>
      </c>
      <c r="W145" s="82">
        <v>4.7</v>
      </c>
      <c r="X145" s="82">
        <v>53.7</v>
      </c>
      <c r="Y145" s="82">
        <v>76.5</v>
      </c>
      <c r="Z145" s="82">
        <v>38.9</v>
      </c>
      <c r="AA145" s="82">
        <v>9.6</v>
      </c>
      <c r="AB145" s="82">
        <v>11</v>
      </c>
      <c r="AC145" s="82">
        <v>10.9</v>
      </c>
      <c r="AD145" s="82">
        <v>29.1</v>
      </c>
      <c r="AE145" s="82">
        <v>99.2</v>
      </c>
      <c r="AF145" s="82">
        <v>0.1</v>
      </c>
      <c r="AG145" s="82">
        <v>0.2</v>
      </c>
      <c r="AH145" s="82">
        <v>0.3</v>
      </c>
      <c r="AI145" s="82">
        <v>0.2</v>
      </c>
      <c r="AJ145" s="82">
        <v>7.4</v>
      </c>
      <c r="AK145" s="82">
        <v>7.2</v>
      </c>
      <c r="AL145" s="82">
        <v>6.7</v>
      </c>
      <c r="AM145" s="82">
        <v>6.5</v>
      </c>
      <c r="AN145" s="82">
        <v>6.8</v>
      </c>
      <c r="AO145" s="82">
        <v>6.6</v>
      </c>
      <c r="AP145" s="82">
        <v>6.6</v>
      </c>
      <c r="AQ145" s="82">
        <v>6.7</v>
      </c>
      <c r="AR145" s="82">
        <v>4.7</v>
      </c>
      <c r="AS145" s="82">
        <v>5.5</v>
      </c>
      <c r="AT145" s="82">
        <v>3.1</v>
      </c>
      <c r="AU145" s="82">
        <v>4.5</v>
      </c>
      <c r="AV145" s="82">
        <v>2.2000000000000002</v>
      </c>
      <c r="AW145" s="82">
        <v>3.2</v>
      </c>
      <c r="AX145" s="82">
        <v>1.8</v>
      </c>
      <c r="AY145" s="82">
        <v>2.6</v>
      </c>
      <c r="AZ145" s="82">
        <v>1.5</v>
      </c>
      <c r="BA145" s="82">
        <v>2.4</v>
      </c>
      <c r="BB145" s="82">
        <v>1.3</v>
      </c>
      <c r="BC145" s="82">
        <v>1.3</v>
      </c>
      <c r="BD145" s="82">
        <v>1.2</v>
      </c>
      <c r="BE145" s="82">
        <v>1.7</v>
      </c>
      <c r="BF145" s="82">
        <v>0.9</v>
      </c>
      <c r="BG145" s="82">
        <v>1.2</v>
      </c>
      <c r="BH145" s="82">
        <v>0.7</v>
      </c>
      <c r="BI145" s="82">
        <v>1</v>
      </c>
      <c r="BJ145" s="82">
        <v>0.4</v>
      </c>
      <c r="BK145" s="82">
        <v>0.7</v>
      </c>
      <c r="BL145" s="82">
        <v>0.4</v>
      </c>
      <c r="BM145" s="82">
        <v>0.7</v>
      </c>
      <c r="BN145" s="82">
        <v>0.2</v>
      </c>
      <c r="BO145" s="82">
        <v>0.5</v>
      </c>
      <c r="BP145" s="82">
        <v>0.2</v>
      </c>
      <c r="BQ145" s="82">
        <v>0.5</v>
      </c>
      <c r="BR145" s="82">
        <v>0.1</v>
      </c>
      <c r="BS145" s="82">
        <v>0.3</v>
      </c>
      <c r="BT145" s="82">
        <v>15950</v>
      </c>
      <c r="BU145" s="82">
        <v>12559</v>
      </c>
      <c r="BV145" s="82">
        <v>12793</v>
      </c>
      <c r="BW145" s="82">
        <v>60921</v>
      </c>
      <c r="BX145" s="82">
        <v>15.4</v>
      </c>
      <c r="BY145" s="82">
        <v>7.6</v>
      </c>
      <c r="BZ145" s="82">
        <v>15.2</v>
      </c>
      <c r="CA145" s="82">
        <v>22.3</v>
      </c>
      <c r="CB145" s="82">
        <v>19.100000000000001</v>
      </c>
      <c r="CC145" s="82">
        <v>8.4</v>
      </c>
      <c r="CD145" s="82">
        <v>6.6</v>
      </c>
      <c r="CE145" s="82">
        <v>3.4</v>
      </c>
      <c r="CF145" s="82">
        <v>1.4</v>
      </c>
      <c r="CG145" s="82">
        <v>0.3</v>
      </c>
      <c r="CH145" s="82">
        <v>0.2</v>
      </c>
      <c r="CI145" s="82">
        <v>0.1</v>
      </c>
      <c r="CJ145" s="82">
        <f t="shared" si="14"/>
        <v>102223</v>
      </c>
      <c r="CK145" s="82">
        <f t="shared" si="15"/>
        <v>188525.91698360496</v>
      </c>
      <c r="CL145" s="95">
        <f ca="1">$CK145*SUM(OFFSET($AJ145,0,(COUNTA($CL$1:CL$1)-1)*4,1,4))/100</f>
        <v>52410.204921442179</v>
      </c>
      <c r="CM145" s="95">
        <f ca="1">$CK145*SUM(OFFSET($AJ145,0,(COUNTA($CL$1:CM$1)-1)*4,1,4))/100</f>
        <v>50336.419834622517</v>
      </c>
      <c r="CN145" s="95">
        <f ca="1">$CK145*SUM(OFFSET($AJ145,0,(COUNTA($CL$1:CN$1)-1)*4,1,4))/100</f>
        <v>33557.61322308168</v>
      </c>
      <c r="CO145" s="95">
        <f ca="1">$CK145*SUM(OFFSET($AJ145,0,(COUNTA($CL$1:CO$1)-1)*4,1,4))/100</f>
        <v>18475.539864393286</v>
      </c>
      <c r="CP145" s="95">
        <f ca="1">$CK145*SUM(OFFSET($AJ145,0,(COUNTA($CL$1:CP$1)-1)*4,1,4))/100</f>
        <v>12254.184603934324</v>
      </c>
      <c r="CQ145" s="95">
        <f ca="1">$CK145*SUM(OFFSET($AJ145,0,(COUNTA($CL$1:CQ$1)-1)*4,1,4))/100</f>
        <v>9426.2958491802474</v>
      </c>
      <c r="CR145" s="95">
        <f ca="1">$CK145*SUM(OFFSET($AJ145,0,(COUNTA($CL$1:CR$1)-1)*4,1,4))/100</f>
        <v>5278.7256755409389</v>
      </c>
      <c r="CS145" s="95">
        <f ca="1">$CK145*SUM(OFFSET($AJ145,0,(COUNTA($CL$1:CS$1)-1)*4,1,4))/100</f>
        <v>3393.4665057048896</v>
      </c>
      <c r="CT145" s="95">
        <f ca="1">$CK145*SUM(OFFSET($AJ145,0,(COUNTA($CL$1:CT$1)-1)*4,1,4))/100</f>
        <v>2073.7850868196542</v>
      </c>
      <c r="CU145" s="96">
        <f t="shared" si="16"/>
        <v>3453.7407407407409</v>
      </c>
      <c r="CV145" s="96">
        <f t="shared" si="17"/>
        <v>54.58600721233374</v>
      </c>
    </row>
    <row r="146" spans="1:100">
      <c r="A146" s="82" t="str">
        <f ca="1">IF(ISERROR(OFFSET(Map!$E$2,MATCH(D146,Map!$B$3:$B$239,0),0)),OFFSET(Map!$E$2,MATCH(D146,Map!$C$3:$C$239,0),0),OFFSET(Map!$E$2,MATCH(D146,Map!$B$3:$B$239,0),0))</f>
        <v>Umkhanyakude</v>
      </c>
      <c r="B146" s="82">
        <v>145</v>
      </c>
      <c r="C146" s="82" t="s">
        <v>57</v>
      </c>
      <c r="D146" s="82" t="s">
        <v>492</v>
      </c>
      <c r="E146" s="82" t="s">
        <v>493</v>
      </c>
      <c r="F146" s="82">
        <v>35258</v>
      </c>
      <c r="G146" s="82">
        <v>37.5</v>
      </c>
      <c r="H146" s="82">
        <v>58.1</v>
      </c>
      <c r="I146" s="82">
        <f t="shared" si="12"/>
        <v>20485</v>
      </c>
      <c r="J146" s="82">
        <v>4.4000000000000004</v>
      </c>
      <c r="K146" s="82">
        <v>72</v>
      </c>
      <c r="L146" s="82">
        <v>88</v>
      </c>
      <c r="M146" s="82">
        <v>1.1299999999999999</v>
      </c>
      <c r="N146" s="82">
        <v>14</v>
      </c>
      <c r="O146" s="82">
        <v>26.5</v>
      </c>
      <c r="P146" s="82">
        <f t="shared" si="13"/>
        <v>15056</v>
      </c>
      <c r="Q146" s="82">
        <v>31.6</v>
      </c>
      <c r="R146" s="82">
        <v>26</v>
      </c>
      <c r="S146" s="82">
        <v>5</v>
      </c>
      <c r="T146" s="82">
        <v>24.4</v>
      </c>
      <c r="U146" s="82">
        <v>7998</v>
      </c>
      <c r="V146" s="82">
        <v>3303</v>
      </c>
      <c r="W146" s="82">
        <v>3.8</v>
      </c>
      <c r="X146" s="82">
        <v>51.9</v>
      </c>
      <c r="Y146" s="82">
        <v>79.599999999999994</v>
      </c>
      <c r="Z146" s="82">
        <v>30.7</v>
      </c>
      <c r="AA146" s="82">
        <v>20.3</v>
      </c>
      <c r="AB146" s="82">
        <v>18.399999999999999</v>
      </c>
      <c r="AC146" s="82">
        <v>23.5</v>
      </c>
      <c r="AD146" s="82">
        <v>42.6</v>
      </c>
      <c r="AE146" s="82">
        <v>95.8</v>
      </c>
      <c r="AF146" s="82">
        <v>0.3</v>
      </c>
      <c r="AG146" s="82">
        <v>0.2</v>
      </c>
      <c r="AH146" s="82">
        <v>3.2</v>
      </c>
      <c r="AI146" s="82">
        <v>0.4</v>
      </c>
      <c r="AJ146" s="82">
        <v>6.6</v>
      </c>
      <c r="AK146" s="82">
        <v>6.6</v>
      </c>
      <c r="AL146" s="82">
        <v>5.9</v>
      </c>
      <c r="AM146" s="82">
        <v>5.9</v>
      </c>
      <c r="AN146" s="82">
        <v>6.5</v>
      </c>
      <c r="AO146" s="82">
        <v>6</v>
      </c>
      <c r="AP146" s="82">
        <v>6.3</v>
      </c>
      <c r="AQ146" s="82">
        <v>6</v>
      </c>
      <c r="AR146" s="82">
        <v>4.5999999999999996</v>
      </c>
      <c r="AS146" s="82">
        <v>5.5</v>
      </c>
      <c r="AT146" s="82">
        <v>4</v>
      </c>
      <c r="AU146" s="82">
        <v>4.9000000000000004</v>
      </c>
      <c r="AV146" s="82">
        <v>2.8</v>
      </c>
      <c r="AW146" s="82">
        <v>3.6</v>
      </c>
      <c r="AX146" s="82">
        <v>2.2000000000000002</v>
      </c>
      <c r="AY146" s="82">
        <v>2.9</v>
      </c>
      <c r="AZ146" s="82">
        <v>1.7</v>
      </c>
      <c r="BA146" s="82">
        <v>2.4</v>
      </c>
      <c r="BB146" s="82">
        <v>1.5</v>
      </c>
      <c r="BC146" s="82">
        <v>1.5</v>
      </c>
      <c r="BD146" s="82">
        <v>1.3</v>
      </c>
      <c r="BE146" s="82">
        <v>1.7</v>
      </c>
      <c r="BF146" s="82">
        <v>1</v>
      </c>
      <c r="BG146" s="82">
        <v>1.4</v>
      </c>
      <c r="BH146" s="82">
        <v>0.8</v>
      </c>
      <c r="BI146" s="82">
        <v>1.2</v>
      </c>
      <c r="BJ146" s="82">
        <v>0.5</v>
      </c>
      <c r="BK146" s="82">
        <v>0.8</v>
      </c>
      <c r="BL146" s="82">
        <v>0.4</v>
      </c>
      <c r="BM146" s="82">
        <v>0.8</v>
      </c>
      <c r="BN146" s="82">
        <v>0.2</v>
      </c>
      <c r="BO146" s="82">
        <v>0.5</v>
      </c>
      <c r="BP146" s="82">
        <v>0.2</v>
      </c>
      <c r="BQ146" s="82">
        <v>0.4</v>
      </c>
      <c r="BR146" s="82">
        <v>0.2</v>
      </c>
      <c r="BS146" s="82">
        <v>0.3</v>
      </c>
      <c r="BT146" s="82">
        <v>5348</v>
      </c>
      <c r="BU146" s="82">
        <v>1930</v>
      </c>
      <c r="BV146" s="82">
        <v>2193</v>
      </c>
      <c r="BW146" s="82">
        <v>11026</v>
      </c>
      <c r="BX146" s="82">
        <v>12.4</v>
      </c>
      <c r="BY146" s="82">
        <v>8.5</v>
      </c>
      <c r="BZ146" s="82">
        <v>12.8</v>
      </c>
      <c r="CA146" s="82">
        <v>23.1</v>
      </c>
      <c r="CB146" s="82">
        <v>22.9</v>
      </c>
      <c r="CC146" s="82">
        <v>8.5</v>
      </c>
      <c r="CD146" s="82">
        <v>6.3</v>
      </c>
      <c r="CE146" s="82">
        <v>3.4</v>
      </c>
      <c r="CF146" s="82">
        <v>1.4</v>
      </c>
      <c r="CG146" s="82">
        <v>0.3</v>
      </c>
      <c r="CH146" s="82">
        <v>0.1</v>
      </c>
      <c r="CI146" s="82">
        <v>0.4</v>
      </c>
      <c r="CJ146" s="82">
        <f t="shared" si="14"/>
        <v>20497</v>
      </c>
      <c r="CK146" s="82">
        <f t="shared" si="15"/>
        <v>39010.160630983679</v>
      </c>
      <c r="CL146" s="95">
        <f ca="1">$CK146*SUM(OFFSET($AJ146,0,(COUNTA($CL$1:CL$1)-1)*4,1,4))/100</f>
        <v>9752.5401577459197</v>
      </c>
      <c r="CM146" s="95">
        <f ca="1">$CK146*SUM(OFFSET($AJ146,0,(COUNTA($CL$1:CM$1)-1)*4,1,4))/100</f>
        <v>9674.5198364839525</v>
      </c>
      <c r="CN146" s="95">
        <f ca="1">$CK146*SUM(OFFSET($AJ146,0,(COUNTA($CL$1:CN$1)-1)*4,1,4))/100</f>
        <v>7411.9305198868997</v>
      </c>
      <c r="CO146" s="95">
        <f ca="1">$CK146*SUM(OFFSET($AJ146,0,(COUNTA($CL$1:CO$1)-1)*4,1,4))/100</f>
        <v>4486.1684725631239</v>
      </c>
      <c r="CP146" s="95">
        <f ca="1">$CK146*SUM(OFFSET($AJ146,0,(COUNTA($CL$1:CP$1)-1)*4,1,4))/100</f>
        <v>2769.7214047998409</v>
      </c>
      <c r="CQ146" s="95">
        <f ca="1">$CK146*SUM(OFFSET($AJ146,0,(COUNTA($CL$1:CQ$1)-1)*4,1,4))/100</f>
        <v>2106.5486740731189</v>
      </c>
      <c r="CR146" s="95">
        <f ca="1">$CK146*SUM(OFFSET($AJ146,0,(COUNTA($CL$1:CR$1)-1)*4,1,4))/100</f>
        <v>1287.3353008224612</v>
      </c>
      <c r="CS146" s="95">
        <f ca="1">$CK146*SUM(OFFSET($AJ146,0,(COUNTA($CL$1:CS$1)-1)*4,1,4))/100</f>
        <v>741.19305198868994</v>
      </c>
      <c r="CT146" s="95">
        <f ca="1">$CK146*SUM(OFFSET($AJ146,0,(COUNTA($CL$1:CT$1)-1)*4,1,4))/100</f>
        <v>429.11176694082053</v>
      </c>
      <c r="CU146" s="96">
        <f t="shared" si="16"/>
        <v>2518.4285714285716</v>
      </c>
      <c r="CV146" s="96">
        <f t="shared" si="17"/>
        <v>15.489881695892322</v>
      </c>
    </row>
    <row r="147" spans="1:100">
      <c r="A147" s="82" t="str">
        <f ca="1">IF(ISERROR(OFFSET(Map!$E$2,MATCH(D147,Map!$B$3:$B$239,0),0)),OFFSET(Map!$E$2,MATCH(D147,Map!$C$3:$C$239,0),0),OFFSET(Map!$E$2,MATCH(D147,Map!$B$3:$B$239,0),0))</f>
        <v>Umkhanyakude</v>
      </c>
      <c r="B147" s="82">
        <v>146</v>
      </c>
      <c r="C147" s="82" t="s">
        <v>57</v>
      </c>
      <c r="D147" s="82" t="s">
        <v>494</v>
      </c>
      <c r="E147" s="82" t="s">
        <v>495</v>
      </c>
      <c r="F147" s="82">
        <v>71925</v>
      </c>
      <c r="G147" s="82">
        <v>41.4</v>
      </c>
      <c r="H147" s="82">
        <v>53.8</v>
      </c>
      <c r="I147" s="82">
        <f t="shared" si="12"/>
        <v>38696</v>
      </c>
      <c r="J147" s="82">
        <v>4.8</v>
      </c>
      <c r="K147" s="82">
        <v>85.8</v>
      </c>
      <c r="L147" s="82">
        <v>84.5</v>
      </c>
      <c r="M147" s="82">
        <v>0.38</v>
      </c>
      <c r="N147" s="82">
        <v>46</v>
      </c>
      <c r="O147" s="82">
        <v>52.6</v>
      </c>
      <c r="P147" s="82">
        <f t="shared" si="13"/>
        <v>18342</v>
      </c>
      <c r="Q147" s="82">
        <v>61.9</v>
      </c>
      <c r="R147" s="82">
        <v>21.9</v>
      </c>
      <c r="S147" s="82">
        <v>3.2</v>
      </c>
      <c r="T147" s="82">
        <v>26.6</v>
      </c>
      <c r="U147" s="82">
        <v>12586</v>
      </c>
      <c r="V147" s="82">
        <v>7254</v>
      </c>
      <c r="W147" s="82">
        <v>5.4</v>
      </c>
      <c r="X147" s="82">
        <v>58.9</v>
      </c>
      <c r="Y147" s="82">
        <v>65.7</v>
      </c>
      <c r="Z147" s="82">
        <v>40.5</v>
      </c>
      <c r="AA147" s="82">
        <v>4.0999999999999996</v>
      </c>
      <c r="AB147" s="82">
        <v>5.4</v>
      </c>
      <c r="AC147" s="82">
        <v>12.5</v>
      </c>
      <c r="AD147" s="82">
        <v>55.4</v>
      </c>
      <c r="AE147" s="82">
        <v>99.4</v>
      </c>
      <c r="AF147" s="82">
        <v>0.1</v>
      </c>
      <c r="AG147" s="82">
        <v>0.2</v>
      </c>
      <c r="AH147" s="82">
        <v>0.1</v>
      </c>
      <c r="AI147" s="82">
        <v>0.2</v>
      </c>
      <c r="AJ147" s="82">
        <v>7.5</v>
      </c>
      <c r="AK147" s="82">
        <v>7.5</v>
      </c>
      <c r="AL147" s="82">
        <v>6.6</v>
      </c>
      <c r="AM147" s="82">
        <v>6.4</v>
      </c>
      <c r="AN147" s="82">
        <v>6.7</v>
      </c>
      <c r="AO147" s="82">
        <v>6.6</v>
      </c>
      <c r="AP147" s="82">
        <v>7</v>
      </c>
      <c r="AQ147" s="82">
        <v>6.7</v>
      </c>
      <c r="AR147" s="82">
        <v>4.4000000000000004</v>
      </c>
      <c r="AS147" s="82">
        <v>5.4</v>
      </c>
      <c r="AT147" s="82">
        <v>3</v>
      </c>
      <c r="AU147" s="82">
        <v>4.0999999999999996</v>
      </c>
      <c r="AV147" s="82">
        <v>1.9</v>
      </c>
      <c r="AW147" s="82">
        <v>2.7</v>
      </c>
      <c r="AX147" s="82">
        <v>1.6</v>
      </c>
      <c r="AY147" s="82">
        <v>2.2999999999999998</v>
      </c>
      <c r="AZ147" s="82">
        <v>1.3</v>
      </c>
      <c r="BA147" s="82">
        <v>2.1</v>
      </c>
      <c r="BB147" s="82">
        <v>1.2</v>
      </c>
      <c r="BC147" s="82">
        <v>1.2</v>
      </c>
      <c r="BD147" s="82">
        <v>1.2</v>
      </c>
      <c r="BE147" s="82">
        <v>1.9</v>
      </c>
      <c r="BF147" s="82">
        <v>1.1000000000000001</v>
      </c>
      <c r="BG147" s="82">
        <v>1.6</v>
      </c>
      <c r="BH147" s="82">
        <v>0.9</v>
      </c>
      <c r="BI147" s="82">
        <v>1.3</v>
      </c>
      <c r="BJ147" s="82">
        <v>0.6</v>
      </c>
      <c r="BK147" s="82">
        <v>0.9</v>
      </c>
      <c r="BL147" s="82">
        <v>0.4</v>
      </c>
      <c r="BM147" s="82">
        <v>0.9</v>
      </c>
      <c r="BN147" s="82">
        <v>0.2</v>
      </c>
      <c r="BO147" s="82">
        <v>0.6</v>
      </c>
      <c r="BP147" s="82">
        <v>0.2</v>
      </c>
      <c r="BQ147" s="82">
        <v>0.5</v>
      </c>
      <c r="BR147" s="82">
        <v>0.2</v>
      </c>
      <c r="BS147" s="82">
        <v>0.4</v>
      </c>
      <c r="BT147" s="82">
        <v>5396</v>
      </c>
      <c r="BU147" s="82">
        <v>5983</v>
      </c>
      <c r="BV147" s="82">
        <v>4722</v>
      </c>
      <c r="BW147" s="82">
        <v>22609</v>
      </c>
      <c r="BX147" s="82">
        <v>12.3</v>
      </c>
      <c r="BY147" s="82">
        <v>5.2</v>
      </c>
      <c r="BZ147" s="82">
        <v>10.9</v>
      </c>
      <c r="CA147" s="82">
        <v>23.2</v>
      </c>
      <c r="CB147" s="82">
        <v>24.7</v>
      </c>
      <c r="CC147" s="82">
        <v>12.9</v>
      </c>
      <c r="CD147" s="82">
        <v>6</v>
      </c>
      <c r="CE147" s="82">
        <v>3.1</v>
      </c>
      <c r="CF147" s="82">
        <v>1.4</v>
      </c>
      <c r="CG147" s="82">
        <v>0.2</v>
      </c>
      <c r="CH147" s="82">
        <v>0.1</v>
      </c>
      <c r="CI147" s="82">
        <v>0.1</v>
      </c>
      <c r="CJ147" s="82">
        <f t="shared" si="14"/>
        <v>38710</v>
      </c>
      <c r="CK147" s="82">
        <f t="shared" si="15"/>
        <v>74422.557909026276</v>
      </c>
      <c r="CL147" s="95">
        <f ca="1">$CK147*SUM(OFFSET($AJ147,0,(COUNTA($CL$1:CL$1)-1)*4,1,4))/100</f>
        <v>20838.316214527356</v>
      </c>
      <c r="CM147" s="95">
        <f ca="1">$CK147*SUM(OFFSET($AJ147,0,(COUNTA($CL$1:CM$1)-1)*4,1,4))/100</f>
        <v>20094.090635437096</v>
      </c>
      <c r="CN147" s="95">
        <f ca="1">$CK147*SUM(OFFSET($AJ147,0,(COUNTA($CL$1:CN$1)-1)*4,1,4))/100</f>
        <v>12577.41228662544</v>
      </c>
      <c r="CO147" s="95">
        <f ca="1">$CK147*SUM(OFFSET($AJ147,0,(COUNTA($CL$1:CO$1)-1)*4,1,4))/100</f>
        <v>6325.9174222672336</v>
      </c>
      <c r="CP147" s="95">
        <f ca="1">$CK147*SUM(OFFSET($AJ147,0,(COUNTA($CL$1:CP$1)-1)*4,1,4))/100</f>
        <v>4316.5083587235249</v>
      </c>
      <c r="CQ147" s="95">
        <f ca="1">$CK147*SUM(OFFSET($AJ147,0,(COUNTA($CL$1:CQ$1)-1)*4,1,4))/100</f>
        <v>4316.5083587235231</v>
      </c>
      <c r="CR147" s="95">
        <f ca="1">$CK147*SUM(OFFSET($AJ147,0,(COUNTA($CL$1:CR$1)-1)*4,1,4))/100</f>
        <v>2753.6346426339719</v>
      </c>
      <c r="CS147" s="95">
        <f ca="1">$CK147*SUM(OFFSET($AJ147,0,(COUNTA($CL$1:CS$1)-1)*4,1,4))/100</f>
        <v>1562.8737160895516</v>
      </c>
      <c r="CT147" s="95">
        <f ca="1">$CK147*SUM(OFFSET($AJ147,0,(COUNTA($CL$1:CT$1)-1)*4,1,4))/100</f>
        <v>967.49325281734139</v>
      </c>
      <c r="CU147" s="96">
        <f t="shared" si="16"/>
        <v>1563.5869565217392</v>
      </c>
      <c r="CV147" s="96">
        <f t="shared" si="17"/>
        <v>47.597325878556951</v>
      </c>
    </row>
    <row r="148" spans="1:100">
      <c r="A148" s="82" t="str">
        <f ca="1">IF(ISERROR(OFFSET(Map!$E$2,MATCH(D148,Map!$B$3:$B$239,0),0)),OFFSET(Map!$E$2,MATCH(D148,Map!$C$3:$C$239,0),0),OFFSET(Map!$E$2,MATCH(D148,Map!$B$3:$B$239,0),0))</f>
        <v>Umkhanyakude</v>
      </c>
      <c r="B148" s="82">
        <v>147</v>
      </c>
      <c r="C148" s="82" t="s">
        <v>57</v>
      </c>
      <c r="D148" s="82" t="s">
        <v>496</v>
      </c>
      <c r="E148" s="82" t="s">
        <v>497</v>
      </c>
      <c r="F148" s="82">
        <v>175425</v>
      </c>
      <c r="G148" s="82">
        <v>39.4</v>
      </c>
      <c r="H148" s="82">
        <v>56.2</v>
      </c>
      <c r="I148" s="82">
        <f t="shared" si="12"/>
        <v>98589</v>
      </c>
      <c r="J148" s="82">
        <v>4.4000000000000004</v>
      </c>
      <c r="K148" s="82">
        <v>78</v>
      </c>
      <c r="L148" s="82">
        <v>86.4</v>
      </c>
      <c r="M148" s="82">
        <v>1.85</v>
      </c>
      <c r="N148" s="82">
        <v>89</v>
      </c>
      <c r="O148" s="82">
        <v>39</v>
      </c>
      <c r="P148" s="82">
        <f t="shared" si="13"/>
        <v>60139</v>
      </c>
      <c r="Q148" s="82">
        <v>46.9</v>
      </c>
      <c r="R148" s="82">
        <v>19.899999999999999</v>
      </c>
      <c r="S148" s="82">
        <v>5.7</v>
      </c>
      <c r="T148" s="82">
        <v>28.4</v>
      </c>
      <c r="U148" s="82">
        <v>34905</v>
      </c>
      <c r="V148" s="82">
        <v>15749</v>
      </c>
      <c r="W148" s="82">
        <v>4.8</v>
      </c>
      <c r="X148" s="82">
        <v>52.8</v>
      </c>
      <c r="Y148" s="82">
        <v>80.5</v>
      </c>
      <c r="Z148" s="82">
        <v>62.8</v>
      </c>
      <c r="AA148" s="82">
        <v>17</v>
      </c>
      <c r="AB148" s="82">
        <v>13.3</v>
      </c>
      <c r="AC148" s="82">
        <v>22.1</v>
      </c>
      <c r="AD148" s="82">
        <v>65.099999999999994</v>
      </c>
      <c r="AE148" s="82">
        <v>98.1</v>
      </c>
      <c r="AF148" s="82">
        <v>0.4</v>
      </c>
      <c r="AG148" s="82">
        <v>0.3</v>
      </c>
      <c r="AH148" s="82">
        <v>1.1000000000000001</v>
      </c>
      <c r="AI148" s="82">
        <v>0.1</v>
      </c>
      <c r="AJ148" s="82">
        <v>7.3</v>
      </c>
      <c r="AK148" s="82">
        <v>7</v>
      </c>
      <c r="AL148" s="82">
        <v>6.4</v>
      </c>
      <c r="AM148" s="82">
        <v>6.3</v>
      </c>
      <c r="AN148" s="82">
        <v>6.3</v>
      </c>
      <c r="AO148" s="82">
        <v>6.1</v>
      </c>
      <c r="AP148" s="82">
        <v>6.2</v>
      </c>
      <c r="AQ148" s="82">
        <v>6.3</v>
      </c>
      <c r="AR148" s="82">
        <v>4.7</v>
      </c>
      <c r="AS148" s="82">
        <v>5.5</v>
      </c>
      <c r="AT148" s="82">
        <v>3.6</v>
      </c>
      <c r="AU148" s="82">
        <v>4.7</v>
      </c>
      <c r="AV148" s="82">
        <v>2.5</v>
      </c>
      <c r="AW148" s="82">
        <v>3.4</v>
      </c>
      <c r="AX148" s="82">
        <v>2</v>
      </c>
      <c r="AY148" s="82">
        <v>2.6</v>
      </c>
      <c r="AZ148" s="82">
        <v>1.5</v>
      </c>
      <c r="BA148" s="82">
        <v>2.2000000000000002</v>
      </c>
      <c r="BB148" s="82">
        <v>1.4</v>
      </c>
      <c r="BC148" s="82">
        <v>1.4</v>
      </c>
      <c r="BD148" s="82">
        <v>1.2</v>
      </c>
      <c r="BE148" s="82">
        <v>2</v>
      </c>
      <c r="BF148" s="82">
        <v>0.9</v>
      </c>
      <c r="BG148" s="82">
        <v>1.4</v>
      </c>
      <c r="BH148" s="82">
        <v>0.8</v>
      </c>
      <c r="BI148" s="82">
        <v>1.1000000000000001</v>
      </c>
      <c r="BJ148" s="82">
        <v>0.4</v>
      </c>
      <c r="BK148" s="82">
        <v>0.8</v>
      </c>
      <c r="BL148" s="82">
        <v>0.5</v>
      </c>
      <c r="BM148" s="82">
        <v>0.8</v>
      </c>
      <c r="BN148" s="82">
        <v>0.2</v>
      </c>
      <c r="BO148" s="82">
        <v>0.6</v>
      </c>
      <c r="BP148" s="82">
        <v>0.2</v>
      </c>
      <c r="BQ148" s="82">
        <v>0.5</v>
      </c>
      <c r="BR148" s="82">
        <v>0.1</v>
      </c>
      <c r="BS148" s="82">
        <v>0.3</v>
      </c>
      <c r="BT148" s="82">
        <v>20213</v>
      </c>
      <c r="BU148" s="82">
        <v>12942</v>
      </c>
      <c r="BV148" s="82">
        <v>7374</v>
      </c>
      <c r="BW148" s="82">
        <v>58035</v>
      </c>
      <c r="BX148" s="82">
        <v>13.5</v>
      </c>
      <c r="BY148" s="82">
        <v>5.4</v>
      </c>
      <c r="BZ148" s="82">
        <v>10.9</v>
      </c>
      <c r="CA148" s="82">
        <v>22.5</v>
      </c>
      <c r="CB148" s="82">
        <v>23</v>
      </c>
      <c r="CC148" s="82">
        <v>11.1</v>
      </c>
      <c r="CD148" s="82">
        <v>6.3</v>
      </c>
      <c r="CE148" s="82">
        <v>4.4000000000000004</v>
      </c>
      <c r="CF148" s="82">
        <v>2.2000000000000002</v>
      </c>
      <c r="CG148" s="82">
        <v>0.4</v>
      </c>
      <c r="CH148" s="82">
        <v>0.2</v>
      </c>
      <c r="CI148" s="82">
        <v>0.1</v>
      </c>
      <c r="CJ148" s="82">
        <f t="shared" si="14"/>
        <v>98564</v>
      </c>
      <c r="CK148" s="82">
        <f t="shared" si="15"/>
        <v>206890.6124460384</v>
      </c>
      <c r="CL148" s="95">
        <f ca="1">$CK148*SUM(OFFSET($AJ148,0,(COUNTA($CL$1:CL$1)-1)*4,1,4))/100</f>
        <v>55860.465360430375</v>
      </c>
      <c r="CM148" s="95">
        <f ca="1">$CK148*SUM(OFFSET($AJ148,0,(COUNTA($CL$1:CM$1)-1)*4,1,4))/100</f>
        <v>51515.762499063552</v>
      </c>
      <c r="CN148" s="95">
        <f ca="1">$CK148*SUM(OFFSET($AJ148,0,(COUNTA($CL$1:CN$1)-1)*4,1,4))/100</f>
        <v>38274.763302517102</v>
      </c>
      <c r="CO148" s="95">
        <f ca="1">$CK148*SUM(OFFSET($AJ148,0,(COUNTA($CL$1:CO$1)-1)*4,1,4))/100</f>
        <v>21723.514306834033</v>
      </c>
      <c r="CP148" s="95">
        <f ca="1">$CK148*SUM(OFFSET($AJ148,0,(COUNTA($CL$1:CP$1)-1)*4,1,4))/100</f>
        <v>13447.889808992497</v>
      </c>
      <c r="CQ148" s="95">
        <f ca="1">$CK148*SUM(OFFSET($AJ148,0,(COUNTA($CL$1:CQ$1)-1)*4,1,4))/100</f>
        <v>11378.983684532112</v>
      </c>
      <c r="CR148" s="95">
        <f ca="1">$CK148*SUM(OFFSET($AJ148,0,(COUNTA($CL$1:CR$1)-1)*4,1,4))/100</f>
        <v>6413.6089858271916</v>
      </c>
      <c r="CS148" s="95">
        <f ca="1">$CK148*SUM(OFFSET($AJ148,0,(COUNTA($CL$1:CS$1)-1)*4,1,4))/100</f>
        <v>4344.7028613668072</v>
      </c>
      <c r="CT148" s="95">
        <f ca="1">$CK148*SUM(OFFSET($AJ148,0,(COUNTA($CL$1:CT$1)-1)*4,1,4))/100</f>
        <v>2275.7967369064222</v>
      </c>
      <c r="CU148" s="96">
        <f t="shared" si="16"/>
        <v>1971.0674157303372</v>
      </c>
      <c r="CV148" s="96">
        <f t="shared" si="17"/>
        <v>104.96374238391003</v>
      </c>
    </row>
    <row r="149" spans="1:100">
      <c r="A149" s="82" t="str">
        <f ca="1">IF(ISERROR(OFFSET(Map!$E$2,MATCH(D149,Map!$B$3:$B$239,0),0)),OFFSET(Map!$E$2,MATCH(D149,Map!$C$3:$C$239,0),0),OFFSET(Map!$E$2,MATCH(D149,Map!$B$3:$B$239,0),0))</f>
        <v>King Cetshwayo</v>
      </c>
      <c r="B149" s="82">
        <v>148</v>
      </c>
      <c r="C149" s="82" t="s">
        <v>57</v>
      </c>
      <c r="D149" s="82" t="s">
        <v>498</v>
      </c>
      <c r="E149" s="82" t="s">
        <v>499</v>
      </c>
      <c r="F149" s="82">
        <v>122889</v>
      </c>
      <c r="G149" s="82">
        <v>36.1</v>
      </c>
      <c r="H149" s="82">
        <v>59.5</v>
      </c>
      <c r="I149" s="82">
        <f t="shared" si="12"/>
        <v>73119</v>
      </c>
      <c r="J149" s="82">
        <v>4.4000000000000004</v>
      </c>
      <c r="K149" s="82">
        <v>68.2</v>
      </c>
      <c r="L149" s="82">
        <v>92.4</v>
      </c>
      <c r="M149" s="82">
        <v>1.39</v>
      </c>
      <c r="N149" s="82">
        <v>102</v>
      </c>
      <c r="O149" s="82">
        <v>42</v>
      </c>
      <c r="P149" s="82">
        <f t="shared" si="13"/>
        <v>42409</v>
      </c>
      <c r="Q149" s="82">
        <v>50.4</v>
      </c>
      <c r="R149" s="82">
        <v>14.6</v>
      </c>
      <c r="S149" s="82">
        <v>2.9</v>
      </c>
      <c r="T149" s="82">
        <v>30.3</v>
      </c>
      <c r="U149" s="82">
        <v>25584</v>
      </c>
      <c r="V149" s="82">
        <v>11935</v>
      </c>
      <c r="W149" s="82">
        <v>4.5999999999999996</v>
      </c>
      <c r="X149" s="82">
        <v>46.4</v>
      </c>
      <c r="Y149" s="82">
        <v>72.599999999999994</v>
      </c>
      <c r="Z149" s="82">
        <v>58</v>
      </c>
      <c r="AA149" s="82">
        <v>5.5</v>
      </c>
      <c r="AB149" s="82">
        <v>7.2</v>
      </c>
      <c r="AC149" s="82">
        <v>10.5</v>
      </c>
      <c r="AD149" s="82">
        <v>83.7</v>
      </c>
      <c r="AE149" s="82">
        <v>98.8</v>
      </c>
      <c r="AF149" s="82">
        <v>0.2</v>
      </c>
      <c r="AG149" s="82">
        <v>0.2</v>
      </c>
      <c r="AH149" s="82">
        <v>0.8</v>
      </c>
      <c r="AI149" s="82">
        <v>0.1</v>
      </c>
      <c r="AJ149" s="82">
        <v>6.5</v>
      </c>
      <c r="AK149" s="82">
        <v>6.7</v>
      </c>
      <c r="AL149" s="82">
        <v>5.9</v>
      </c>
      <c r="AM149" s="82">
        <v>5.7</v>
      </c>
      <c r="AN149" s="82">
        <v>5.8</v>
      </c>
      <c r="AO149" s="82">
        <v>5.5</v>
      </c>
      <c r="AP149" s="82">
        <v>5.9</v>
      </c>
      <c r="AQ149" s="82">
        <v>5.7</v>
      </c>
      <c r="AR149" s="82">
        <v>5.2</v>
      </c>
      <c r="AS149" s="82">
        <v>5.6</v>
      </c>
      <c r="AT149" s="82">
        <v>4.5</v>
      </c>
      <c r="AU149" s="82">
        <v>4.9000000000000004</v>
      </c>
      <c r="AV149" s="82">
        <v>3.3</v>
      </c>
      <c r="AW149" s="82">
        <v>3.4</v>
      </c>
      <c r="AX149" s="82">
        <v>2.6</v>
      </c>
      <c r="AY149" s="82">
        <v>2.6</v>
      </c>
      <c r="AZ149" s="82">
        <v>1.7</v>
      </c>
      <c r="BA149" s="82">
        <v>2</v>
      </c>
      <c r="BB149" s="82">
        <v>1.6</v>
      </c>
      <c r="BC149" s="82">
        <v>1.6</v>
      </c>
      <c r="BD149" s="82">
        <v>1.5</v>
      </c>
      <c r="BE149" s="82">
        <v>2.1</v>
      </c>
      <c r="BF149" s="82">
        <v>1.2</v>
      </c>
      <c r="BG149" s="82">
        <v>1.4</v>
      </c>
      <c r="BH149" s="82">
        <v>0.9</v>
      </c>
      <c r="BI149" s="82">
        <v>1.1000000000000001</v>
      </c>
      <c r="BJ149" s="82">
        <v>0.5</v>
      </c>
      <c r="BK149" s="82">
        <v>0.8</v>
      </c>
      <c r="BL149" s="82">
        <v>0.4</v>
      </c>
      <c r="BM149" s="82">
        <v>0.8</v>
      </c>
      <c r="BN149" s="82">
        <v>0.2</v>
      </c>
      <c r="BO149" s="82">
        <v>0.5</v>
      </c>
      <c r="BP149" s="82">
        <v>0.2</v>
      </c>
      <c r="BQ149" s="82">
        <v>0.5</v>
      </c>
      <c r="BR149" s="82">
        <v>0.2</v>
      </c>
      <c r="BS149" s="82">
        <v>0.4</v>
      </c>
      <c r="BT149" s="82">
        <v>153909</v>
      </c>
      <c r="BU149" s="82">
        <v>75763</v>
      </c>
      <c r="BV149" s="82">
        <v>25229</v>
      </c>
      <c r="BW149" s="82">
        <v>168035</v>
      </c>
      <c r="BX149" s="82">
        <v>16.100000000000001</v>
      </c>
      <c r="BY149" s="82">
        <v>4.5999999999999996</v>
      </c>
      <c r="BZ149" s="82">
        <v>6.8</v>
      </c>
      <c r="CA149" s="82">
        <v>16.100000000000001</v>
      </c>
      <c r="CB149" s="82">
        <v>16.5</v>
      </c>
      <c r="CC149" s="82">
        <v>12.6</v>
      </c>
      <c r="CD149" s="82">
        <v>10.3</v>
      </c>
      <c r="CE149" s="82">
        <v>8.8000000000000007</v>
      </c>
      <c r="CF149" s="82">
        <v>5.7</v>
      </c>
      <c r="CG149" s="82">
        <v>1.8</v>
      </c>
      <c r="CH149" s="82">
        <v>0.5</v>
      </c>
      <c r="CI149" s="82">
        <v>0.3</v>
      </c>
      <c r="CJ149" s="82">
        <f t="shared" si="14"/>
        <v>422936</v>
      </c>
      <c r="CK149" s="82">
        <f t="shared" si="15"/>
        <v>139145.48461686482</v>
      </c>
      <c r="CL149" s="95">
        <f ca="1">$CK149*SUM(OFFSET($AJ149,0,(COUNTA($CL$1:CL$1)-1)*4,1,4))/100</f>
        <v>34508.080184982478</v>
      </c>
      <c r="CM149" s="95">
        <f ca="1">$CK149*SUM(OFFSET($AJ149,0,(COUNTA($CL$1:CM$1)-1)*4,1,4))/100</f>
        <v>31864.315977262049</v>
      </c>
      <c r="CN149" s="95">
        <f ca="1">$CK149*SUM(OFFSET($AJ149,0,(COUNTA($CL$1:CN$1)-1)*4,1,4))/100</f>
        <v>28107.387892606697</v>
      </c>
      <c r="CO149" s="95">
        <f ca="1">$CK149*SUM(OFFSET($AJ149,0,(COUNTA($CL$1:CO$1)-1)*4,1,4))/100</f>
        <v>16558.312669406914</v>
      </c>
      <c r="CP149" s="95">
        <f ca="1">$CK149*SUM(OFFSET($AJ149,0,(COUNTA($CL$1:CP$1)-1)*4,1,4))/100</f>
        <v>9601.0384385636735</v>
      </c>
      <c r="CQ149" s="95">
        <f ca="1">$CK149*SUM(OFFSET($AJ149,0,(COUNTA($CL$1:CQ$1)-1)*4,1,4))/100</f>
        <v>8627.0200462456178</v>
      </c>
      <c r="CR149" s="95">
        <f ca="1">$CK149*SUM(OFFSET($AJ149,0,(COUNTA($CL$1:CR$1)-1)*4,1,4))/100</f>
        <v>4591.8009923565387</v>
      </c>
      <c r="CS149" s="95">
        <f ca="1">$CK149*SUM(OFFSET($AJ149,0,(COUNTA($CL$1:CS$1)-1)*4,1,4))/100</f>
        <v>2643.7642077204318</v>
      </c>
      <c r="CT149" s="95">
        <f ca="1">$CK149*SUM(OFFSET($AJ149,0,(COUNTA($CL$1:CT$1)-1)*4,1,4))/100</f>
        <v>1808.8913000192424</v>
      </c>
      <c r="CU149" s="96">
        <f t="shared" si="16"/>
        <v>1204.7941176470588</v>
      </c>
      <c r="CV149" s="96">
        <f t="shared" si="17"/>
        <v>115.49316400101077</v>
      </c>
    </row>
    <row r="150" spans="1:100">
      <c r="A150" s="82" t="str">
        <f ca="1">IF(ISERROR(OFFSET(Map!$E$2,MATCH(D150,Map!$B$3:$B$239,0),0)),OFFSET(Map!$E$2,MATCH(D150,Map!$C$3:$C$239,0),0),OFFSET(Map!$E$2,MATCH(D150,Map!$B$3:$B$239,0),0))</f>
        <v>King Cetshwayo</v>
      </c>
      <c r="B150" s="82">
        <v>149</v>
      </c>
      <c r="C150" s="82" t="s">
        <v>57</v>
      </c>
      <c r="D150" s="82" t="s">
        <v>500</v>
      </c>
      <c r="E150" s="82" t="s">
        <v>501</v>
      </c>
      <c r="F150" s="82">
        <v>334459</v>
      </c>
      <c r="G150" s="82">
        <v>29.3</v>
      </c>
      <c r="H150" s="82">
        <v>67.5</v>
      </c>
      <c r="I150" s="82">
        <f t="shared" si="12"/>
        <v>225760</v>
      </c>
      <c r="J150" s="82">
        <v>3.2</v>
      </c>
      <c r="K150" s="82">
        <v>48.2</v>
      </c>
      <c r="L150" s="82">
        <v>95</v>
      </c>
      <c r="M150" s="82">
        <v>1.45</v>
      </c>
      <c r="N150" s="82">
        <v>422</v>
      </c>
      <c r="O150" s="82">
        <v>31</v>
      </c>
      <c r="P150" s="82">
        <f t="shared" si="13"/>
        <v>155774</v>
      </c>
      <c r="Q150" s="82">
        <v>40.799999999999997</v>
      </c>
      <c r="R150" s="82">
        <v>7.5</v>
      </c>
      <c r="S150" s="82">
        <v>14.6</v>
      </c>
      <c r="T150" s="82">
        <v>38.5</v>
      </c>
      <c r="U150" s="82">
        <v>86609</v>
      </c>
      <c r="V150" s="82">
        <v>18755</v>
      </c>
      <c r="W150" s="82">
        <v>3.5</v>
      </c>
      <c r="X150" s="82">
        <v>40.700000000000003</v>
      </c>
      <c r="Y150" s="82">
        <v>88.3</v>
      </c>
      <c r="Z150" s="82">
        <v>52.7</v>
      </c>
      <c r="AA150" s="82">
        <v>49.7</v>
      </c>
      <c r="AB150" s="82">
        <v>53.5</v>
      </c>
      <c r="AC150" s="82">
        <v>50.3</v>
      </c>
      <c r="AD150" s="82">
        <v>93.5</v>
      </c>
      <c r="AE150" s="82">
        <v>87.7</v>
      </c>
      <c r="AF150" s="82">
        <v>0.9</v>
      </c>
      <c r="AG150" s="82">
        <v>3.8</v>
      </c>
      <c r="AH150" s="82">
        <v>7.3</v>
      </c>
      <c r="AI150" s="82">
        <v>0.2</v>
      </c>
      <c r="AJ150" s="82">
        <v>5.5</v>
      </c>
      <c r="AK150" s="82">
        <v>5.4</v>
      </c>
      <c r="AL150" s="82">
        <v>4.5999999999999996</v>
      </c>
      <c r="AM150" s="82">
        <v>4.5999999999999996</v>
      </c>
      <c r="AN150" s="82">
        <v>4.7</v>
      </c>
      <c r="AO150" s="82">
        <v>4.5999999999999996</v>
      </c>
      <c r="AP150" s="82">
        <v>5</v>
      </c>
      <c r="AQ150" s="82">
        <v>5.5</v>
      </c>
      <c r="AR150" s="82">
        <v>5.8</v>
      </c>
      <c r="AS150" s="82">
        <v>6.4</v>
      </c>
      <c r="AT150" s="82">
        <v>5.7</v>
      </c>
      <c r="AU150" s="82">
        <v>5.9</v>
      </c>
      <c r="AV150" s="82">
        <v>4.2</v>
      </c>
      <c r="AW150" s="82">
        <v>4.2</v>
      </c>
      <c r="AX150" s="82">
        <v>3.5</v>
      </c>
      <c r="AY150" s="82">
        <v>3.3</v>
      </c>
      <c r="AZ150" s="82">
        <v>2.5</v>
      </c>
      <c r="BA150" s="82">
        <v>2.6</v>
      </c>
      <c r="BB150" s="82">
        <v>2</v>
      </c>
      <c r="BC150" s="82">
        <v>2</v>
      </c>
      <c r="BD150" s="82">
        <v>1.7</v>
      </c>
      <c r="BE150" s="82">
        <v>1.9</v>
      </c>
      <c r="BF150" s="82">
        <v>1.3</v>
      </c>
      <c r="BG150" s="82">
        <v>1.4</v>
      </c>
      <c r="BH150" s="82">
        <v>0.9</v>
      </c>
      <c r="BI150" s="82">
        <v>1.1000000000000001</v>
      </c>
      <c r="BJ150" s="82">
        <v>0.5</v>
      </c>
      <c r="BK150" s="82">
        <v>0.6</v>
      </c>
      <c r="BL150" s="82">
        <v>0.3</v>
      </c>
      <c r="BM150" s="82">
        <v>0.5</v>
      </c>
      <c r="BN150" s="82">
        <v>0.1</v>
      </c>
      <c r="BO150" s="82">
        <v>0.4</v>
      </c>
      <c r="BP150" s="82">
        <v>0.1</v>
      </c>
      <c r="BQ150" s="82">
        <v>0.3</v>
      </c>
      <c r="BR150" s="82">
        <v>0.1</v>
      </c>
      <c r="BS150" s="82">
        <v>0.2</v>
      </c>
      <c r="BT150" s="82">
        <v>85876</v>
      </c>
      <c r="BU150" s="82">
        <v>38532</v>
      </c>
      <c r="BV150" s="82">
        <v>12948</v>
      </c>
      <c r="BW150" s="82">
        <v>88314</v>
      </c>
      <c r="BX150" s="82">
        <v>15.2</v>
      </c>
      <c r="BY150" s="82">
        <v>4.3</v>
      </c>
      <c r="BZ150" s="82">
        <v>7.7</v>
      </c>
      <c r="CA150" s="82">
        <v>13.8</v>
      </c>
      <c r="CB150" s="82">
        <v>15.5</v>
      </c>
      <c r="CC150" s="82">
        <v>12</v>
      </c>
      <c r="CD150" s="82">
        <v>11.1</v>
      </c>
      <c r="CE150" s="82">
        <v>10.1</v>
      </c>
      <c r="CF150" s="82">
        <v>7.3</v>
      </c>
      <c r="CG150" s="82">
        <v>2.2000000000000002</v>
      </c>
      <c r="CH150" s="82">
        <v>0.5</v>
      </c>
      <c r="CI150" s="82">
        <v>0.3</v>
      </c>
      <c r="CJ150" s="82">
        <f t="shared" si="14"/>
        <v>225670</v>
      </c>
      <c r="CK150" s="82">
        <f t="shared" si="15"/>
        <v>380724.95959372877</v>
      </c>
      <c r="CL150" s="95">
        <f ca="1">$CK150*SUM(OFFSET($AJ150,0,(COUNTA($CL$1:CL$1)-1)*4,1,4))/100</f>
        <v>76525.716878339488</v>
      </c>
      <c r="CM150" s="95">
        <f ca="1">$CK150*SUM(OFFSET($AJ150,0,(COUNTA($CL$1:CM$1)-1)*4,1,4))/100</f>
        <v>75383.541999558292</v>
      </c>
      <c r="CN150" s="95">
        <f ca="1">$CK150*SUM(OFFSET($AJ150,0,(COUNTA($CL$1:CN$1)-1)*4,1,4))/100</f>
        <v>90612.540383307438</v>
      </c>
      <c r="CO150" s="95">
        <f ca="1">$CK150*SUM(OFFSET($AJ150,0,(COUNTA($CL$1:CO$1)-1)*4,1,4))/100</f>
        <v>57870.193858246763</v>
      </c>
      <c r="CP150" s="95">
        <f ca="1">$CK150*SUM(OFFSET($AJ150,0,(COUNTA($CL$1:CP$1)-1)*4,1,4))/100</f>
        <v>34645.971323029313</v>
      </c>
      <c r="CQ150" s="95">
        <f ca="1">$CK150*SUM(OFFSET($AJ150,0,(COUNTA($CL$1:CQ$1)-1)*4,1,4))/100</f>
        <v>23985.67245440491</v>
      </c>
      <c r="CR150" s="95">
        <f ca="1">$CK150*SUM(OFFSET($AJ150,0,(COUNTA($CL$1:CR$1)-1)*4,1,4))/100</f>
        <v>11802.473747405591</v>
      </c>
      <c r="CS150" s="95">
        <f ca="1">$CK150*SUM(OFFSET($AJ150,0,(COUNTA($CL$1:CS$1)-1)*4,1,4))/100</f>
        <v>4949.4244747184739</v>
      </c>
      <c r="CT150" s="95">
        <f ca="1">$CK150*SUM(OFFSET($AJ150,0,(COUNTA($CL$1:CT$1)-1)*4,1,4))/100</f>
        <v>2665.0747171561011</v>
      </c>
      <c r="CU150" s="96">
        <f t="shared" si="16"/>
        <v>792.55687203791467</v>
      </c>
      <c r="CV150" s="96">
        <f t="shared" si="17"/>
        <v>480.37557054393375</v>
      </c>
    </row>
    <row r="151" spans="1:100">
      <c r="A151" s="82" t="str">
        <f ca="1">IF(ISERROR(OFFSET(Map!$E$2,MATCH(D151,Map!$B$3:$B$239,0),0)),OFFSET(Map!$E$2,MATCH(D151,Map!$C$3:$C$239,0),0),OFFSET(Map!$E$2,MATCH(D151,Map!$B$3:$B$239,0),0))</f>
        <v>King Cetshwayo</v>
      </c>
      <c r="B151" s="82">
        <v>150</v>
      </c>
      <c r="C151" s="82" t="s">
        <v>57</v>
      </c>
      <c r="D151" s="82" t="s">
        <v>502</v>
      </c>
      <c r="E151" s="82" t="s">
        <v>503</v>
      </c>
      <c r="F151" s="82">
        <v>74336</v>
      </c>
      <c r="G151" s="82">
        <v>39.200000000000003</v>
      </c>
      <c r="H151" s="82">
        <v>55.8</v>
      </c>
      <c r="I151" s="82">
        <f t="shared" si="12"/>
        <v>41479</v>
      </c>
      <c r="J151" s="82">
        <v>5</v>
      </c>
      <c r="K151" s="82">
        <v>79.3</v>
      </c>
      <c r="L151" s="82">
        <v>85.6</v>
      </c>
      <c r="M151" s="82">
        <v>-1.31</v>
      </c>
      <c r="N151" s="82">
        <v>69</v>
      </c>
      <c r="O151" s="82">
        <v>49.2</v>
      </c>
      <c r="P151" s="82">
        <f t="shared" si="13"/>
        <v>21072</v>
      </c>
      <c r="Q151" s="82">
        <v>59.5</v>
      </c>
      <c r="R151" s="82">
        <v>21.3</v>
      </c>
      <c r="S151" s="82">
        <v>2.6</v>
      </c>
      <c r="T151" s="82">
        <v>23.2</v>
      </c>
      <c r="U151" s="82">
        <v>12826</v>
      </c>
      <c r="V151" s="82">
        <v>7480</v>
      </c>
      <c r="W151" s="82">
        <v>5.6</v>
      </c>
      <c r="X151" s="82">
        <v>57.5</v>
      </c>
      <c r="Y151" s="82">
        <v>53.1</v>
      </c>
      <c r="Z151" s="82">
        <v>44.8</v>
      </c>
      <c r="AA151" s="82">
        <v>1.8</v>
      </c>
      <c r="AB151" s="82">
        <v>2.2000000000000002</v>
      </c>
      <c r="AC151" s="82">
        <v>4.7</v>
      </c>
      <c r="AD151" s="82">
        <v>62</v>
      </c>
      <c r="AE151" s="82">
        <v>99.4</v>
      </c>
      <c r="AF151" s="82">
        <v>0.2</v>
      </c>
      <c r="AG151" s="82">
        <v>0.2</v>
      </c>
      <c r="AH151" s="82">
        <v>0.2</v>
      </c>
      <c r="AI151" s="82">
        <v>0.1</v>
      </c>
      <c r="AJ151" s="82">
        <v>7</v>
      </c>
      <c r="AK151" s="82">
        <v>7</v>
      </c>
      <c r="AL151" s="82">
        <v>6.3</v>
      </c>
      <c r="AM151" s="82">
        <v>6.2</v>
      </c>
      <c r="AN151" s="82">
        <v>6.5</v>
      </c>
      <c r="AO151" s="82">
        <v>6.3</v>
      </c>
      <c r="AP151" s="82">
        <v>6.8</v>
      </c>
      <c r="AQ151" s="82">
        <v>6.5</v>
      </c>
      <c r="AR151" s="82">
        <v>4.7</v>
      </c>
      <c r="AS151" s="82">
        <v>5.4</v>
      </c>
      <c r="AT151" s="82">
        <v>3.3</v>
      </c>
      <c r="AU151" s="82">
        <v>4.3</v>
      </c>
      <c r="AV151" s="82">
        <v>2.2000000000000002</v>
      </c>
      <c r="AW151" s="82">
        <v>3</v>
      </c>
      <c r="AX151" s="82">
        <v>1.8</v>
      </c>
      <c r="AY151" s="82">
        <v>2.4</v>
      </c>
      <c r="AZ151" s="82">
        <v>1.4</v>
      </c>
      <c r="BA151" s="82">
        <v>2</v>
      </c>
      <c r="BB151" s="82">
        <v>1.4</v>
      </c>
      <c r="BC151" s="82">
        <v>1.4</v>
      </c>
      <c r="BD151" s="82">
        <v>1.2</v>
      </c>
      <c r="BE151" s="82">
        <v>2.2999999999999998</v>
      </c>
      <c r="BF151" s="82">
        <v>1.1000000000000001</v>
      </c>
      <c r="BG151" s="82">
        <v>1.5</v>
      </c>
      <c r="BH151" s="82">
        <v>0.9</v>
      </c>
      <c r="BI151" s="82">
        <v>1.4</v>
      </c>
      <c r="BJ151" s="82">
        <v>0.5</v>
      </c>
      <c r="BK151" s="82">
        <v>0.9</v>
      </c>
      <c r="BL151" s="82">
        <v>0.4</v>
      </c>
      <c r="BM151" s="82">
        <v>0.9</v>
      </c>
      <c r="BN151" s="82">
        <v>0.2</v>
      </c>
      <c r="BO151" s="82">
        <v>0.7</v>
      </c>
      <c r="BP151" s="82">
        <v>0.2</v>
      </c>
      <c r="BQ151" s="82">
        <v>0.5</v>
      </c>
      <c r="BR151" s="82">
        <v>0.1</v>
      </c>
      <c r="BS151" s="82">
        <v>0.4</v>
      </c>
      <c r="BT151" s="82">
        <v>6646</v>
      </c>
      <c r="BU151" s="82">
        <v>6428</v>
      </c>
      <c r="BV151" s="82">
        <v>5218</v>
      </c>
      <c r="BW151" s="82">
        <v>23174</v>
      </c>
      <c r="BX151" s="82">
        <v>11.7</v>
      </c>
      <c r="BY151" s="82">
        <v>6</v>
      </c>
      <c r="BZ151" s="82">
        <v>11.8</v>
      </c>
      <c r="CA151" s="82">
        <v>24.3</v>
      </c>
      <c r="CB151" s="82">
        <v>27.4</v>
      </c>
      <c r="CC151" s="82">
        <v>11.6</v>
      </c>
      <c r="CD151" s="82">
        <v>4</v>
      </c>
      <c r="CE151" s="82">
        <v>1.8</v>
      </c>
      <c r="CF151" s="82">
        <v>1.1000000000000001</v>
      </c>
      <c r="CG151" s="82">
        <v>0.1</v>
      </c>
      <c r="CH151" s="82">
        <v>0.1</v>
      </c>
      <c r="CI151" s="82">
        <v>0.1</v>
      </c>
      <c r="CJ151" s="82">
        <f t="shared" si="14"/>
        <v>41466</v>
      </c>
      <c r="CK151" s="82">
        <f t="shared" si="15"/>
        <v>66017.265107201354</v>
      </c>
      <c r="CL151" s="95">
        <f ca="1">$CK151*SUM(OFFSET($AJ151,0,(COUNTA($CL$1:CL$1)-1)*4,1,4))/100</f>
        <v>17494.575253408359</v>
      </c>
      <c r="CM151" s="95">
        <f ca="1">$CK151*SUM(OFFSET($AJ151,0,(COUNTA($CL$1:CM$1)-1)*4,1,4))/100</f>
        <v>17230.506192979556</v>
      </c>
      <c r="CN151" s="95">
        <f ca="1">$CK151*SUM(OFFSET($AJ151,0,(COUNTA($CL$1:CN$1)-1)*4,1,4))/100</f>
        <v>11685.055923974642</v>
      </c>
      <c r="CO151" s="95">
        <f ca="1">$CK151*SUM(OFFSET($AJ151,0,(COUNTA($CL$1:CO$1)-1)*4,1,4))/100</f>
        <v>6205.6229200769276</v>
      </c>
      <c r="CP151" s="95">
        <f ca="1">$CK151*SUM(OFFSET($AJ151,0,(COUNTA($CL$1:CP$1)-1)*4,1,4))/100</f>
        <v>4093.0704366464838</v>
      </c>
      <c r="CQ151" s="95">
        <f ca="1">$CK151*SUM(OFFSET($AJ151,0,(COUNTA($CL$1:CQ$1)-1)*4,1,4))/100</f>
        <v>4027.0531715392822</v>
      </c>
      <c r="CR151" s="95">
        <f ca="1">$CK151*SUM(OFFSET($AJ151,0,(COUNTA($CL$1:CR$1)-1)*4,1,4))/100</f>
        <v>2442.6388089664497</v>
      </c>
      <c r="CS151" s="95">
        <f ca="1">$CK151*SUM(OFFSET($AJ151,0,(COUNTA($CL$1:CS$1)-1)*4,1,4))/100</f>
        <v>1452.3798323584299</v>
      </c>
      <c r="CT151" s="95">
        <f ca="1">$CK151*SUM(OFFSET($AJ151,0,(COUNTA($CL$1:CT$1)-1)*4,1,4))/100</f>
        <v>792.20718128641613</v>
      </c>
      <c r="CU151" s="96">
        <f t="shared" si="16"/>
        <v>1077.3333333333333</v>
      </c>
      <c r="CV151" s="96">
        <f t="shared" si="17"/>
        <v>61.278402017823041</v>
      </c>
    </row>
    <row r="152" spans="1:100">
      <c r="A152" s="82" t="str">
        <f ca="1">IF(ISERROR(OFFSET(Map!$E$2,MATCH(D152,Map!$B$3:$B$239,0),0)),OFFSET(Map!$E$2,MATCH(D152,Map!$C$3:$C$239,0),0),OFFSET(Map!$E$2,MATCH(D152,Map!$B$3:$B$239,0),0))</f>
        <v>King Cetshwayo</v>
      </c>
      <c r="B152" s="82">
        <v>151</v>
      </c>
      <c r="C152" s="82" t="s">
        <v>57</v>
      </c>
      <c r="D152" s="82" t="s">
        <v>504</v>
      </c>
      <c r="E152" s="82" t="s">
        <v>505</v>
      </c>
      <c r="F152" s="82">
        <v>213601</v>
      </c>
      <c r="G152" s="82">
        <v>37.200000000000003</v>
      </c>
      <c r="H152" s="82">
        <v>57.2</v>
      </c>
      <c r="I152" s="82">
        <f t="shared" si="12"/>
        <v>122180</v>
      </c>
      <c r="J152" s="82">
        <v>5.6</v>
      </c>
      <c r="K152" s="82">
        <v>74.900000000000006</v>
      </c>
      <c r="L152" s="82">
        <v>85.4</v>
      </c>
      <c r="M152" s="82">
        <v>-0.34</v>
      </c>
      <c r="N152" s="82">
        <v>96</v>
      </c>
      <c r="O152" s="82">
        <v>35.200000000000003</v>
      </c>
      <c r="P152" s="82">
        <f t="shared" si="13"/>
        <v>79172</v>
      </c>
      <c r="Q152" s="82">
        <v>45.1</v>
      </c>
      <c r="R152" s="82">
        <v>22.5</v>
      </c>
      <c r="S152" s="82">
        <v>5.7</v>
      </c>
      <c r="T152" s="82">
        <v>23</v>
      </c>
      <c r="U152" s="82">
        <v>45062</v>
      </c>
      <c r="V152" s="82">
        <v>21995</v>
      </c>
      <c r="W152" s="82">
        <v>4.5</v>
      </c>
      <c r="X152" s="82">
        <v>55.3</v>
      </c>
      <c r="Y152" s="82">
        <v>60.7</v>
      </c>
      <c r="Z152" s="82">
        <v>50.6</v>
      </c>
      <c r="AA152" s="82">
        <v>13.4</v>
      </c>
      <c r="AB152" s="82">
        <v>15.8</v>
      </c>
      <c r="AC152" s="82">
        <v>19.600000000000001</v>
      </c>
      <c r="AD152" s="82">
        <v>58.2</v>
      </c>
      <c r="AE152" s="82">
        <v>97.1</v>
      </c>
      <c r="AF152" s="82">
        <v>0.6</v>
      </c>
      <c r="AG152" s="82">
        <v>0.7</v>
      </c>
      <c r="AH152" s="82">
        <v>1.5</v>
      </c>
      <c r="AI152" s="82">
        <v>0.2</v>
      </c>
      <c r="AJ152" s="82">
        <v>6.7</v>
      </c>
      <c r="AK152" s="82">
        <v>6.7</v>
      </c>
      <c r="AL152" s="82">
        <v>6</v>
      </c>
      <c r="AM152" s="82">
        <v>5.9</v>
      </c>
      <c r="AN152" s="82">
        <v>6.2</v>
      </c>
      <c r="AO152" s="82">
        <v>5.9</v>
      </c>
      <c r="AP152" s="82">
        <v>6.3</v>
      </c>
      <c r="AQ152" s="82">
        <v>6.2</v>
      </c>
      <c r="AR152" s="82">
        <v>4.5999999999999996</v>
      </c>
      <c r="AS152" s="82">
        <v>5.2</v>
      </c>
      <c r="AT152" s="82">
        <v>3.3</v>
      </c>
      <c r="AU152" s="82">
        <v>4.2</v>
      </c>
      <c r="AV152" s="82">
        <v>2.4</v>
      </c>
      <c r="AW152" s="82">
        <v>3</v>
      </c>
      <c r="AX152" s="82">
        <v>2.1</v>
      </c>
      <c r="AY152" s="82">
        <v>2.6</v>
      </c>
      <c r="AZ152" s="82">
        <v>1.7</v>
      </c>
      <c r="BA152" s="82">
        <v>2.2999999999999998</v>
      </c>
      <c r="BB152" s="82">
        <v>1.6</v>
      </c>
      <c r="BC152" s="82">
        <v>1.6</v>
      </c>
      <c r="BD152" s="82">
        <v>1.3</v>
      </c>
      <c r="BE152" s="82">
        <v>2</v>
      </c>
      <c r="BF152" s="82">
        <v>1.2</v>
      </c>
      <c r="BG152" s="82">
        <v>1.7</v>
      </c>
      <c r="BH152" s="82">
        <v>1.1000000000000001</v>
      </c>
      <c r="BI152" s="82">
        <v>1.9</v>
      </c>
      <c r="BJ152" s="82">
        <v>0.7</v>
      </c>
      <c r="BK152" s="82">
        <v>1</v>
      </c>
      <c r="BL152" s="82">
        <v>0.5</v>
      </c>
      <c r="BM152" s="82">
        <v>1.1000000000000001</v>
      </c>
      <c r="BN152" s="82">
        <v>0.3</v>
      </c>
      <c r="BO152" s="82">
        <v>0.7</v>
      </c>
      <c r="BP152" s="82">
        <v>0.2</v>
      </c>
      <c r="BQ152" s="82">
        <v>0.6</v>
      </c>
      <c r="BR152" s="82">
        <v>0.2</v>
      </c>
      <c r="BS152" s="82">
        <v>0.4</v>
      </c>
      <c r="BT152" s="82">
        <v>24792</v>
      </c>
      <c r="BU152" s="82">
        <v>13480</v>
      </c>
      <c r="BV152" s="82">
        <v>11520</v>
      </c>
      <c r="BW152" s="82">
        <v>72312</v>
      </c>
      <c r="BX152" s="82">
        <v>12.6</v>
      </c>
      <c r="BY152" s="82">
        <v>5.0999999999999996</v>
      </c>
      <c r="BZ152" s="82">
        <v>8.8000000000000007</v>
      </c>
      <c r="CA152" s="82">
        <v>26.7</v>
      </c>
      <c r="CB152" s="82">
        <v>23.8</v>
      </c>
      <c r="CC152" s="82">
        <v>10.5</v>
      </c>
      <c r="CD152" s="82">
        <v>5.6</v>
      </c>
      <c r="CE152" s="82">
        <v>3.7</v>
      </c>
      <c r="CF152" s="82">
        <v>2.2999999999999998</v>
      </c>
      <c r="CG152" s="82">
        <v>0.6</v>
      </c>
      <c r="CH152" s="82">
        <v>0.2</v>
      </c>
      <c r="CI152" s="82">
        <v>0.1</v>
      </c>
      <c r="CJ152" s="82">
        <f t="shared" si="14"/>
        <v>122104</v>
      </c>
      <c r="CK152" s="82">
        <f t="shared" si="15"/>
        <v>207152.99996514639</v>
      </c>
      <c r="CL152" s="95">
        <f ca="1">$CK152*SUM(OFFSET($AJ152,0,(COUNTA($CL$1:CL$1)-1)*4,1,4))/100</f>
        <v>52409.708991182029</v>
      </c>
      <c r="CM152" s="95">
        <f ca="1">$CK152*SUM(OFFSET($AJ152,0,(COUNTA($CL$1:CM$1)-1)*4,1,4))/100</f>
        <v>50959.637991426011</v>
      </c>
      <c r="CN152" s="95">
        <f ca="1">$CK152*SUM(OFFSET($AJ152,0,(COUNTA($CL$1:CN$1)-1)*4,1,4))/100</f>
        <v>35837.468993970331</v>
      </c>
      <c r="CO152" s="95">
        <f ca="1">$CK152*SUM(OFFSET($AJ152,0,(COUNTA($CL$1:CO$1)-1)*4,1,4))/100</f>
        <v>20922.452996479784</v>
      </c>
      <c r="CP152" s="95">
        <f ca="1">$CK152*SUM(OFFSET($AJ152,0,(COUNTA($CL$1:CP$1)-1)*4,1,4))/100</f>
        <v>14915.015997490538</v>
      </c>
      <c r="CQ152" s="95">
        <f ca="1">$CK152*SUM(OFFSET($AJ152,0,(COUNTA($CL$1:CQ$1)-1)*4,1,4))/100</f>
        <v>12843.485997839076</v>
      </c>
      <c r="CR152" s="95">
        <f ca="1">$CK152*SUM(OFFSET($AJ152,0,(COUNTA($CL$1:CR$1)-1)*4,1,4))/100</f>
        <v>9736.1909983618807</v>
      </c>
      <c r="CS152" s="95">
        <f ca="1">$CK152*SUM(OFFSET($AJ152,0,(COUNTA($CL$1:CS$1)-1)*4,1,4))/100</f>
        <v>5385.9779990938059</v>
      </c>
      <c r="CT152" s="95">
        <f ca="1">$CK152*SUM(OFFSET($AJ152,0,(COUNTA($CL$1:CT$1)-1)*4,1,4))/100</f>
        <v>2900.1419995120496</v>
      </c>
      <c r="CU152" s="96">
        <f t="shared" si="16"/>
        <v>2225.0104166666665</v>
      </c>
      <c r="CV152" s="96">
        <f t="shared" si="17"/>
        <v>93.102036023492659</v>
      </c>
    </row>
    <row r="153" spans="1:100">
      <c r="A153" s="82" t="str">
        <f ca="1">IF(ISERROR(OFFSET(Map!$E$2,MATCH(D153,Map!$B$3:$B$239,0),0)),OFFSET(Map!$E$2,MATCH(D153,Map!$C$3:$C$239,0),0),OFFSET(Map!$E$2,MATCH(D153,Map!$B$3:$B$239,0),0))</f>
        <v>King Cetshwayo</v>
      </c>
      <c r="B153" s="82">
        <v>152</v>
      </c>
      <c r="C153" s="82" t="s">
        <v>57</v>
      </c>
      <c r="D153" s="82" t="s">
        <v>506</v>
      </c>
      <c r="E153" s="82" t="s">
        <v>507</v>
      </c>
      <c r="F153" s="82">
        <v>47818</v>
      </c>
      <c r="G153" s="82">
        <v>38.299999999999997</v>
      </c>
      <c r="H153" s="82">
        <v>56.9</v>
      </c>
      <c r="I153" s="82">
        <f t="shared" si="12"/>
        <v>27208</v>
      </c>
      <c r="J153" s="82">
        <v>4.7</v>
      </c>
      <c r="K153" s="82">
        <v>75.599999999999994</v>
      </c>
      <c r="L153" s="82">
        <v>85.9</v>
      </c>
      <c r="M153" s="82">
        <v>-0.52</v>
      </c>
      <c r="N153" s="82">
        <v>44</v>
      </c>
      <c r="O153" s="82">
        <v>28.5</v>
      </c>
      <c r="P153" s="82">
        <f t="shared" si="13"/>
        <v>19454</v>
      </c>
      <c r="Q153" s="82">
        <v>35.700000000000003</v>
      </c>
      <c r="R153" s="82">
        <v>23.3</v>
      </c>
      <c r="S153" s="82">
        <v>4.5</v>
      </c>
      <c r="T153" s="82">
        <v>22.1</v>
      </c>
      <c r="U153" s="82">
        <v>10433</v>
      </c>
      <c r="V153" s="82">
        <v>3893</v>
      </c>
      <c r="W153" s="82">
        <v>4.0999999999999996</v>
      </c>
      <c r="X153" s="82">
        <v>55.2</v>
      </c>
      <c r="Y153" s="82">
        <v>54.5</v>
      </c>
      <c r="Z153" s="82">
        <v>37.1</v>
      </c>
      <c r="AA153" s="82">
        <v>25.2</v>
      </c>
      <c r="AB153" s="82">
        <v>25.4</v>
      </c>
      <c r="AC153" s="82">
        <v>24.4</v>
      </c>
      <c r="AD153" s="82">
        <v>68.900000000000006</v>
      </c>
      <c r="AE153" s="82">
        <v>98.5</v>
      </c>
      <c r="AF153" s="82">
        <v>0.4</v>
      </c>
      <c r="AG153" s="82">
        <v>0.2</v>
      </c>
      <c r="AH153" s="82">
        <v>0.7</v>
      </c>
      <c r="AI153" s="82">
        <v>0.2</v>
      </c>
      <c r="AJ153" s="82">
        <v>7</v>
      </c>
      <c r="AK153" s="82">
        <v>7</v>
      </c>
      <c r="AL153" s="82">
        <v>6.2</v>
      </c>
      <c r="AM153" s="82">
        <v>6</v>
      </c>
      <c r="AN153" s="82">
        <v>6.3</v>
      </c>
      <c r="AO153" s="82">
        <v>6</v>
      </c>
      <c r="AP153" s="82">
        <v>5.8</v>
      </c>
      <c r="AQ153" s="82">
        <v>5.8</v>
      </c>
      <c r="AR153" s="82">
        <v>4.5999999999999996</v>
      </c>
      <c r="AS153" s="82">
        <v>5.3</v>
      </c>
      <c r="AT153" s="82">
        <v>3.6</v>
      </c>
      <c r="AU153" s="82">
        <v>4.5999999999999996</v>
      </c>
      <c r="AV153" s="82">
        <v>2.6</v>
      </c>
      <c r="AW153" s="82">
        <v>3.3</v>
      </c>
      <c r="AX153" s="82">
        <v>2</v>
      </c>
      <c r="AY153" s="82">
        <v>2.7</v>
      </c>
      <c r="AZ153" s="82">
        <v>1.7</v>
      </c>
      <c r="BA153" s="82">
        <v>2.4</v>
      </c>
      <c r="BB153" s="82">
        <v>1.6</v>
      </c>
      <c r="BC153" s="82">
        <v>1.6</v>
      </c>
      <c r="BD153" s="82">
        <v>1.4</v>
      </c>
      <c r="BE153" s="82">
        <v>2</v>
      </c>
      <c r="BF153" s="82">
        <v>1.1000000000000001</v>
      </c>
      <c r="BG153" s="82">
        <v>1.6</v>
      </c>
      <c r="BH153" s="82">
        <v>0.9</v>
      </c>
      <c r="BI153" s="82">
        <v>1.3</v>
      </c>
      <c r="BJ153" s="82">
        <v>0.5</v>
      </c>
      <c r="BK153" s="82">
        <v>0.8</v>
      </c>
      <c r="BL153" s="82">
        <v>0.4</v>
      </c>
      <c r="BM153" s="82">
        <v>0.9</v>
      </c>
      <c r="BN153" s="82">
        <v>0.2</v>
      </c>
      <c r="BO153" s="82">
        <v>0.6</v>
      </c>
      <c r="BP153" s="82">
        <v>0.2</v>
      </c>
      <c r="BQ153" s="82">
        <v>0.5</v>
      </c>
      <c r="BR153" s="82">
        <v>0.2</v>
      </c>
      <c r="BS153" s="82">
        <v>0.4</v>
      </c>
      <c r="BT153" s="82">
        <v>7569</v>
      </c>
      <c r="BU153" s="82">
        <v>3020</v>
      </c>
      <c r="BV153" s="82">
        <v>2309</v>
      </c>
      <c r="BW153" s="82">
        <v>14330</v>
      </c>
      <c r="BX153" s="82">
        <v>12.3</v>
      </c>
      <c r="BY153" s="82">
        <v>4.0999999999999996</v>
      </c>
      <c r="BZ153" s="82">
        <v>10</v>
      </c>
      <c r="CA153" s="82">
        <v>28.2</v>
      </c>
      <c r="CB153" s="82">
        <v>23.7</v>
      </c>
      <c r="CC153" s="82">
        <v>10.4</v>
      </c>
      <c r="CD153" s="82">
        <v>5.3</v>
      </c>
      <c r="CE153" s="82">
        <v>3.5</v>
      </c>
      <c r="CF153" s="82">
        <v>1.9</v>
      </c>
      <c r="CG153" s="82">
        <v>0.4</v>
      </c>
      <c r="CH153" s="82">
        <v>0.1</v>
      </c>
      <c r="CI153" s="82">
        <v>0.1</v>
      </c>
      <c r="CJ153" s="82">
        <f t="shared" si="14"/>
        <v>27228</v>
      </c>
      <c r="CK153" s="82">
        <f t="shared" si="15"/>
        <v>45626.105154549157</v>
      </c>
      <c r="CL153" s="95">
        <f ca="1">$CK153*SUM(OFFSET($AJ153,0,(COUNTA($CL$1:CL$1)-1)*4,1,4))/100</f>
        <v>11954.039550491878</v>
      </c>
      <c r="CM153" s="95">
        <f ca="1">$CK153*SUM(OFFSET($AJ153,0,(COUNTA($CL$1:CM$1)-1)*4,1,4))/100</f>
        <v>10904.639131937251</v>
      </c>
      <c r="CN153" s="95">
        <f ca="1">$CK153*SUM(OFFSET($AJ153,0,(COUNTA($CL$1:CN$1)-1)*4,1,4))/100</f>
        <v>8258.3250329733964</v>
      </c>
      <c r="CO153" s="95">
        <f ca="1">$CK153*SUM(OFFSET($AJ153,0,(COUNTA($CL$1:CO$1)-1)*4,1,4))/100</f>
        <v>4836.3671463822111</v>
      </c>
      <c r="CP153" s="95">
        <f ca="1">$CK153*SUM(OFFSET($AJ153,0,(COUNTA($CL$1:CP$1)-1)*4,1,4))/100</f>
        <v>3330.705676282088</v>
      </c>
      <c r="CQ153" s="95">
        <f ca="1">$CK153*SUM(OFFSET($AJ153,0,(COUNTA($CL$1:CQ$1)-1)*4,1,4))/100</f>
        <v>2783.1924144274985</v>
      </c>
      <c r="CR153" s="95">
        <f ca="1">$CK153*SUM(OFFSET($AJ153,0,(COUNTA($CL$1:CR$1)-1)*4,1,4))/100</f>
        <v>1596.9136804092204</v>
      </c>
      <c r="CS153" s="95">
        <f ca="1">$CK153*SUM(OFFSET($AJ153,0,(COUNTA($CL$1:CS$1)-1)*4,1,4))/100</f>
        <v>958.14820824553226</v>
      </c>
      <c r="CT153" s="95">
        <f ca="1">$CK153*SUM(OFFSET($AJ153,0,(COUNTA($CL$1:CT$1)-1)*4,1,4))/100</f>
        <v>593.13936700913894</v>
      </c>
      <c r="CU153" s="96">
        <f t="shared" si="16"/>
        <v>1086.7727272727273</v>
      </c>
      <c r="CV153" s="96">
        <f t="shared" si="17"/>
        <v>41.983115705386318</v>
      </c>
    </row>
    <row r="154" spans="1:100">
      <c r="A154" s="82" t="str">
        <f ca="1">IF(ISERROR(OFFSET(Map!$E$2,MATCH(D154,Map!$B$3:$B$239,0),0)),OFFSET(Map!$E$2,MATCH(D154,Map!$C$3:$C$239,0),0),OFFSET(Map!$E$2,MATCH(D154,Map!$B$3:$B$239,0),0))</f>
        <v>King Cetshwayo</v>
      </c>
      <c r="B154" s="82">
        <v>153</v>
      </c>
      <c r="C154" s="82" t="s">
        <v>57</v>
      </c>
      <c r="D154" s="82" t="s">
        <v>508</v>
      </c>
      <c r="E154" s="82" t="s">
        <v>509</v>
      </c>
      <c r="F154" s="82">
        <v>114416</v>
      </c>
      <c r="G154" s="82">
        <v>40.299999999999997</v>
      </c>
      <c r="H154" s="82">
        <v>53.6</v>
      </c>
      <c r="I154" s="82">
        <f t="shared" si="12"/>
        <v>61327</v>
      </c>
      <c r="J154" s="82">
        <v>6.1</v>
      </c>
      <c r="K154" s="82">
        <v>86.6</v>
      </c>
      <c r="L154" s="82">
        <v>79.400000000000006</v>
      </c>
      <c r="M154" s="82">
        <v>-1.55</v>
      </c>
      <c r="N154" s="82">
        <v>63</v>
      </c>
      <c r="O154" s="82">
        <v>43.9</v>
      </c>
      <c r="P154" s="82">
        <f t="shared" si="13"/>
        <v>34404</v>
      </c>
      <c r="Q154" s="82">
        <v>53.5</v>
      </c>
      <c r="R154" s="82">
        <v>29.1</v>
      </c>
      <c r="S154" s="82">
        <v>4.8</v>
      </c>
      <c r="T154" s="82">
        <v>21.2</v>
      </c>
      <c r="U154" s="82">
        <v>22463</v>
      </c>
      <c r="V154" s="82">
        <v>13343</v>
      </c>
      <c r="W154" s="82">
        <v>4.9000000000000004</v>
      </c>
      <c r="X154" s="82">
        <v>63.1</v>
      </c>
      <c r="Y154" s="82">
        <v>31.8</v>
      </c>
      <c r="Z154" s="82">
        <v>54.6</v>
      </c>
      <c r="AA154" s="82">
        <v>8.1</v>
      </c>
      <c r="AB154" s="82">
        <v>7.8</v>
      </c>
      <c r="AC154" s="82">
        <v>16.7</v>
      </c>
      <c r="AD154" s="82">
        <v>44.6</v>
      </c>
      <c r="AE154" s="82">
        <v>99.6</v>
      </c>
      <c r="AF154" s="82">
        <v>0.1</v>
      </c>
      <c r="AG154" s="82">
        <v>0.1</v>
      </c>
      <c r="AH154" s="82">
        <v>0.1</v>
      </c>
      <c r="AI154" s="82">
        <v>0.1</v>
      </c>
      <c r="AJ154" s="82">
        <v>6.9</v>
      </c>
      <c r="AK154" s="82">
        <v>7.2</v>
      </c>
      <c r="AL154" s="82">
        <v>6.5</v>
      </c>
      <c r="AM154" s="82">
        <v>6.4</v>
      </c>
      <c r="AN154" s="82">
        <v>6.9</v>
      </c>
      <c r="AO154" s="82">
        <v>6.5</v>
      </c>
      <c r="AP154" s="82">
        <v>6.8</v>
      </c>
      <c r="AQ154" s="82">
        <v>6.9</v>
      </c>
      <c r="AR154" s="82">
        <v>4</v>
      </c>
      <c r="AS154" s="82">
        <v>5</v>
      </c>
      <c r="AT154" s="82">
        <v>2.6</v>
      </c>
      <c r="AU154" s="82">
        <v>3.9</v>
      </c>
      <c r="AV154" s="82">
        <v>1.8</v>
      </c>
      <c r="AW154" s="82">
        <v>2.8</v>
      </c>
      <c r="AX154" s="82">
        <v>1.5</v>
      </c>
      <c r="AY154" s="82">
        <v>2.2999999999999998</v>
      </c>
      <c r="AZ154" s="82">
        <v>1.3</v>
      </c>
      <c r="BA154" s="82">
        <v>2.2000000000000002</v>
      </c>
      <c r="BB154" s="82">
        <v>1.2</v>
      </c>
      <c r="BC154" s="82">
        <v>1.2</v>
      </c>
      <c r="BD154" s="82">
        <v>1.1000000000000001</v>
      </c>
      <c r="BE154" s="82">
        <v>2.1</v>
      </c>
      <c r="BF154" s="82">
        <v>1.2</v>
      </c>
      <c r="BG154" s="82">
        <v>2</v>
      </c>
      <c r="BH154" s="82">
        <v>1</v>
      </c>
      <c r="BI154" s="82">
        <v>1.7</v>
      </c>
      <c r="BJ154" s="82">
        <v>0.6</v>
      </c>
      <c r="BK154" s="82">
        <v>1.2</v>
      </c>
      <c r="BL154" s="82">
        <v>0.5</v>
      </c>
      <c r="BM154" s="82">
        <v>1.2</v>
      </c>
      <c r="BN154" s="82">
        <v>0.3</v>
      </c>
      <c r="BO154" s="82">
        <v>0.8</v>
      </c>
      <c r="BP154" s="82">
        <v>0.2</v>
      </c>
      <c r="BQ154" s="82">
        <v>0.7</v>
      </c>
      <c r="BR154" s="82">
        <v>0.1</v>
      </c>
      <c r="BS154" s="82">
        <v>0.6</v>
      </c>
      <c r="BT154" s="82">
        <v>6907</v>
      </c>
      <c r="BU154" s="82">
        <v>5398</v>
      </c>
      <c r="BV154" s="82">
        <v>8907</v>
      </c>
      <c r="BW154" s="82">
        <v>40115</v>
      </c>
      <c r="BX154" s="82">
        <v>11</v>
      </c>
      <c r="BY154" s="82">
        <v>5.8</v>
      </c>
      <c r="BZ154" s="82">
        <v>10.8</v>
      </c>
      <c r="CA154" s="82">
        <v>25.3</v>
      </c>
      <c r="CB154" s="82">
        <v>26.8</v>
      </c>
      <c r="CC154" s="82">
        <v>10.4</v>
      </c>
      <c r="CD154" s="82">
        <v>5.5</v>
      </c>
      <c r="CE154" s="82">
        <v>2.7</v>
      </c>
      <c r="CF154" s="82">
        <v>1.3</v>
      </c>
      <c r="CG154" s="82">
        <v>0.2</v>
      </c>
      <c r="CH154" s="82">
        <v>0.1</v>
      </c>
      <c r="CI154" s="82">
        <v>0.1</v>
      </c>
      <c r="CJ154" s="82">
        <f t="shared" si="14"/>
        <v>61327</v>
      </c>
      <c r="CK154" s="82">
        <f t="shared" si="15"/>
        <v>99409.581380935299</v>
      </c>
      <c r="CL154" s="95">
        <f ca="1">$CK154*SUM(OFFSET($AJ154,0,(COUNTA($CL$1:CL$1)-1)*4,1,4))/100</f>
        <v>26840.586972852532</v>
      </c>
      <c r="CM154" s="95">
        <f ca="1">$CK154*SUM(OFFSET($AJ154,0,(COUNTA($CL$1:CM$1)-1)*4,1,4))/100</f>
        <v>26939.996554233468</v>
      </c>
      <c r="CN154" s="95">
        <f ca="1">$CK154*SUM(OFFSET($AJ154,0,(COUNTA($CL$1:CN$1)-1)*4,1,4))/100</f>
        <v>15408.48511404497</v>
      </c>
      <c r="CO154" s="95">
        <f ca="1">$CK154*SUM(OFFSET($AJ154,0,(COUNTA($CL$1:CO$1)-1)*4,1,4))/100</f>
        <v>8350.4048359985645</v>
      </c>
      <c r="CP154" s="95">
        <f ca="1">$CK154*SUM(OFFSET($AJ154,0,(COUNTA($CL$1:CP$1)-1)*4,1,4))/100</f>
        <v>5865.1653014751828</v>
      </c>
      <c r="CQ154" s="95">
        <f ca="1">$CK154*SUM(OFFSET($AJ154,0,(COUNTA($CL$1:CQ$1)-1)*4,1,4))/100</f>
        <v>6362.2132083798597</v>
      </c>
      <c r="CR154" s="95">
        <f ca="1">$CK154*SUM(OFFSET($AJ154,0,(COUNTA($CL$1:CR$1)-1)*4,1,4))/100</f>
        <v>4473.4311621420884</v>
      </c>
      <c r="CS154" s="95">
        <f ca="1">$CK154*SUM(OFFSET($AJ154,0,(COUNTA($CL$1:CS$1)-1)*4,1,4))/100</f>
        <v>2783.4682786661883</v>
      </c>
      <c r="CT154" s="95">
        <f ca="1">$CK154*SUM(OFFSET($AJ154,0,(COUNTA($CL$1:CT$1)-1)*4,1,4))/100</f>
        <v>1590.5533020949647</v>
      </c>
      <c r="CU154" s="96">
        <f t="shared" si="16"/>
        <v>1816.1269841269841</v>
      </c>
      <c r="CV154" s="96">
        <f t="shared" si="17"/>
        <v>54.737131406437243</v>
      </c>
    </row>
    <row r="155" spans="1:100">
      <c r="A155" s="82" t="str">
        <f ca="1">IF(ISERROR(OFFSET(Map!$E$2,MATCH(D155,Map!$B$3:$B$239,0),0)),OFFSET(Map!$E$2,MATCH(D155,Map!$C$3:$C$239,0),0),OFFSET(Map!$E$2,MATCH(D155,Map!$B$3:$B$239,0),0))</f>
        <v>iLembe</v>
      </c>
      <c r="B155" s="82">
        <v>154</v>
      </c>
      <c r="C155" s="82" t="s">
        <v>57</v>
      </c>
      <c r="D155" s="82" t="s">
        <v>510</v>
      </c>
      <c r="E155" s="82" t="s">
        <v>511</v>
      </c>
      <c r="F155" s="82">
        <v>138078</v>
      </c>
      <c r="G155" s="82">
        <v>33.5</v>
      </c>
      <c r="H155" s="82">
        <v>62.6</v>
      </c>
      <c r="I155" s="82">
        <f t="shared" si="12"/>
        <v>86437</v>
      </c>
      <c r="J155" s="82">
        <v>3.9</v>
      </c>
      <c r="K155" s="82">
        <v>59.7</v>
      </c>
      <c r="L155" s="82">
        <v>89.8</v>
      </c>
      <c r="M155" s="82">
        <v>0.81</v>
      </c>
      <c r="N155" s="82">
        <v>253</v>
      </c>
      <c r="O155" s="82">
        <v>28.6</v>
      </c>
      <c r="P155" s="82">
        <f t="shared" si="13"/>
        <v>61716</v>
      </c>
      <c r="Q155" s="82">
        <v>34.6</v>
      </c>
      <c r="R155" s="82">
        <v>10.199999999999999</v>
      </c>
      <c r="S155" s="82">
        <v>5</v>
      </c>
      <c r="T155" s="82">
        <v>30.6</v>
      </c>
      <c r="U155" s="82">
        <v>38235</v>
      </c>
      <c r="V155" s="82">
        <v>10560</v>
      </c>
      <c r="W155" s="82">
        <v>3.5</v>
      </c>
      <c r="X155" s="82">
        <v>48.6</v>
      </c>
      <c r="Y155" s="82">
        <v>58.7</v>
      </c>
      <c r="Z155" s="82">
        <v>52.9</v>
      </c>
      <c r="AA155" s="82">
        <v>26.4</v>
      </c>
      <c r="AB155" s="82">
        <v>27.5</v>
      </c>
      <c r="AC155" s="82">
        <v>25.8</v>
      </c>
      <c r="AD155" s="82">
        <v>82.5</v>
      </c>
      <c r="AE155" s="82">
        <v>96.7</v>
      </c>
      <c r="AF155" s="82">
        <v>0.5</v>
      </c>
      <c r="AG155" s="82">
        <v>1.7</v>
      </c>
      <c r="AH155" s="82">
        <v>1</v>
      </c>
      <c r="AI155" s="82">
        <v>0.1</v>
      </c>
      <c r="AJ155" s="82">
        <v>6.4</v>
      </c>
      <c r="AK155" s="82">
        <v>6.4</v>
      </c>
      <c r="AL155" s="82">
        <v>5.3</v>
      </c>
      <c r="AM155" s="82">
        <v>5.2</v>
      </c>
      <c r="AN155" s="82">
        <v>5.2</v>
      </c>
      <c r="AO155" s="82">
        <v>5</v>
      </c>
      <c r="AP155" s="82">
        <v>5.6</v>
      </c>
      <c r="AQ155" s="82">
        <v>5.6</v>
      </c>
      <c r="AR155" s="82">
        <v>5.4</v>
      </c>
      <c r="AS155" s="82">
        <v>5.6</v>
      </c>
      <c r="AT155" s="82">
        <v>4.5999999999999996</v>
      </c>
      <c r="AU155" s="82">
        <v>5.4</v>
      </c>
      <c r="AV155" s="82">
        <v>3.4</v>
      </c>
      <c r="AW155" s="82">
        <v>4</v>
      </c>
      <c r="AX155" s="82">
        <v>2.9</v>
      </c>
      <c r="AY155" s="82">
        <v>3.2</v>
      </c>
      <c r="AZ155" s="82">
        <v>2.1</v>
      </c>
      <c r="BA155" s="82">
        <v>2.6</v>
      </c>
      <c r="BB155" s="82">
        <v>1.8</v>
      </c>
      <c r="BC155" s="82">
        <v>1.8</v>
      </c>
      <c r="BD155" s="82">
        <v>1.4</v>
      </c>
      <c r="BE155" s="82">
        <v>1.9</v>
      </c>
      <c r="BF155" s="82">
        <v>1.2</v>
      </c>
      <c r="BG155" s="82">
        <v>1.5</v>
      </c>
      <c r="BH155" s="82">
        <v>0.9</v>
      </c>
      <c r="BI155" s="82">
        <v>1.4</v>
      </c>
      <c r="BJ155" s="82">
        <v>0.5</v>
      </c>
      <c r="BK155" s="82">
        <v>0.8</v>
      </c>
      <c r="BL155" s="82">
        <v>0.3</v>
      </c>
      <c r="BM155" s="82">
        <v>0.7</v>
      </c>
      <c r="BN155" s="82">
        <v>0.2</v>
      </c>
      <c r="BO155" s="82">
        <v>0.5</v>
      </c>
      <c r="BP155" s="82">
        <v>0.1</v>
      </c>
      <c r="BQ155" s="82">
        <v>0.3</v>
      </c>
      <c r="BR155" s="82">
        <v>0.1</v>
      </c>
      <c r="BS155" s="82">
        <v>0.2</v>
      </c>
      <c r="BT155" s="82">
        <v>29645</v>
      </c>
      <c r="BU155" s="82">
        <v>11854</v>
      </c>
      <c r="BV155" s="82">
        <v>6845</v>
      </c>
      <c r="BW155" s="82">
        <v>38130</v>
      </c>
      <c r="BX155" s="82">
        <v>13.3</v>
      </c>
      <c r="BY155" s="82">
        <v>5.4</v>
      </c>
      <c r="BZ155" s="82">
        <v>10.4</v>
      </c>
      <c r="CA155" s="82">
        <v>25.7</v>
      </c>
      <c r="CB155" s="82">
        <v>22.8</v>
      </c>
      <c r="CC155" s="82">
        <v>11.5</v>
      </c>
      <c r="CD155" s="82">
        <v>5.6</v>
      </c>
      <c r="CE155" s="82">
        <v>3.2</v>
      </c>
      <c r="CF155" s="82">
        <v>1.6</v>
      </c>
      <c r="CG155" s="82">
        <v>0.2</v>
      </c>
      <c r="CH155" s="82">
        <v>0.1</v>
      </c>
      <c r="CI155" s="82">
        <v>0.1</v>
      </c>
      <c r="CJ155" s="82">
        <f t="shared" si="14"/>
        <v>86474</v>
      </c>
      <c r="CK155" s="82">
        <f t="shared" si="15"/>
        <v>148476.26036081015</v>
      </c>
      <c r="CL155" s="95">
        <f ca="1">$CK155*SUM(OFFSET($AJ155,0,(COUNTA($CL$1:CL$1)-1)*4,1,4))/100</f>
        <v>34594.968664068765</v>
      </c>
      <c r="CM155" s="95">
        <f ca="1">$CK155*SUM(OFFSET($AJ155,0,(COUNTA($CL$1:CM$1)-1)*4,1,4))/100</f>
        <v>31773.919717213372</v>
      </c>
      <c r="CN155" s="95">
        <f ca="1">$CK155*SUM(OFFSET($AJ155,0,(COUNTA($CL$1:CN$1)-1)*4,1,4))/100</f>
        <v>31180.014675770133</v>
      </c>
      <c r="CO155" s="95">
        <f ca="1">$CK155*SUM(OFFSET($AJ155,0,(COUNTA($CL$1:CO$1)-1)*4,1,4))/100</f>
        <v>20044.295148709371</v>
      </c>
      <c r="CP155" s="95">
        <f ca="1">$CK155*SUM(OFFSET($AJ155,0,(COUNTA($CL$1:CP$1)-1)*4,1,4))/100</f>
        <v>12323.529609947243</v>
      </c>
      <c r="CQ155" s="95">
        <f ca="1">$CK155*SUM(OFFSET($AJ155,0,(COUNTA($CL$1:CQ$1)-1)*4,1,4))/100</f>
        <v>8908.5756216486097</v>
      </c>
      <c r="CR155" s="95">
        <f ca="1">$CK155*SUM(OFFSET($AJ155,0,(COUNTA($CL$1:CR$1)-1)*4,1,4))/100</f>
        <v>5345.1453729891646</v>
      </c>
      <c r="CS155" s="95">
        <f ca="1">$CK155*SUM(OFFSET($AJ155,0,(COUNTA($CL$1:CS$1)-1)*4,1,4))/100</f>
        <v>2524.0964261337726</v>
      </c>
      <c r="CT155" s="95">
        <f ca="1">$CK155*SUM(OFFSET($AJ155,0,(COUNTA($CL$1:CT$1)-1)*4,1,4))/100</f>
        <v>1039.3338225256709</v>
      </c>
      <c r="CU155" s="96">
        <f t="shared" si="16"/>
        <v>545.76284584980237</v>
      </c>
      <c r="CV155" s="96">
        <f t="shared" si="17"/>
        <v>272.0527084060094</v>
      </c>
    </row>
    <row r="156" spans="1:100">
      <c r="A156" s="82" t="str">
        <f ca="1">IF(ISERROR(OFFSET(Map!$E$2,MATCH(D156,Map!$B$3:$B$239,0),0)),OFFSET(Map!$E$2,MATCH(D156,Map!$C$3:$C$239,0),0),OFFSET(Map!$E$2,MATCH(D156,Map!$B$3:$B$239,0),0))</f>
        <v>iLembe</v>
      </c>
      <c r="B156" s="82">
        <v>155</v>
      </c>
      <c r="C156" s="82" t="s">
        <v>57</v>
      </c>
      <c r="D156" s="82" t="s">
        <v>512</v>
      </c>
      <c r="E156" s="82" t="s">
        <v>513</v>
      </c>
      <c r="F156" s="82">
        <v>231187</v>
      </c>
      <c r="G156" s="82">
        <v>29</v>
      </c>
      <c r="H156" s="82">
        <v>66.7</v>
      </c>
      <c r="I156" s="82">
        <f t="shared" si="12"/>
        <v>154202</v>
      </c>
      <c r="J156" s="82">
        <v>4.3</v>
      </c>
      <c r="K156" s="82">
        <v>50</v>
      </c>
      <c r="L156" s="82">
        <v>97.5</v>
      </c>
      <c r="M156" s="82">
        <v>3.2</v>
      </c>
      <c r="N156" s="82">
        <v>315</v>
      </c>
      <c r="O156" s="82">
        <v>25</v>
      </c>
      <c r="P156" s="82">
        <f t="shared" si="13"/>
        <v>115651</v>
      </c>
      <c r="Q156" s="82">
        <v>30.8</v>
      </c>
      <c r="R156" s="82">
        <v>9.8000000000000007</v>
      </c>
      <c r="S156" s="82">
        <v>8.6</v>
      </c>
      <c r="T156" s="82">
        <v>28.4</v>
      </c>
      <c r="U156" s="82">
        <v>70284</v>
      </c>
      <c r="V156" s="82">
        <v>12018</v>
      </c>
      <c r="W156" s="82">
        <v>3.2</v>
      </c>
      <c r="X156" s="82">
        <v>36.700000000000003</v>
      </c>
      <c r="Y156" s="82">
        <v>80.900000000000006</v>
      </c>
      <c r="Z156" s="82">
        <v>41.5</v>
      </c>
      <c r="AA156" s="82">
        <v>33.700000000000003</v>
      </c>
      <c r="AB156" s="82">
        <v>60.7</v>
      </c>
      <c r="AC156" s="82">
        <v>33.6</v>
      </c>
      <c r="AD156" s="82">
        <v>90.2</v>
      </c>
      <c r="AE156" s="82">
        <v>78.8</v>
      </c>
      <c r="AF156" s="82">
        <v>1</v>
      </c>
      <c r="AG156" s="82">
        <v>14.1</v>
      </c>
      <c r="AH156" s="82">
        <v>5.6</v>
      </c>
      <c r="AI156" s="82">
        <v>0.6</v>
      </c>
      <c r="AJ156" s="82">
        <v>5.8</v>
      </c>
      <c r="AK156" s="82">
        <v>5.7</v>
      </c>
      <c r="AL156" s="82">
        <v>4.5999999999999996</v>
      </c>
      <c r="AM156" s="82">
        <v>4.5</v>
      </c>
      <c r="AN156" s="82">
        <v>4.3</v>
      </c>
      <c r="AO156" s="82">
        <v>4.0999999999999996</v>
      </c>
      <c r="AP156" s="82">
        <v>4.4000000000000004</v>
      </c>
      <c r="AQ156" s="82">
        <v>4.7</v>
      </c>
      <c r="AR156" s="82">
        <v>5.7</v>
      </c>
      <c r="AS156" s="82">
        <v>5.6</v>
      </c>
      <c r="AT156" s="82">
        <v>6.1</v>
      </c>
      <c r="AU156" s="82">
        <v>5.5</v>
      </c>
      <c r="AV156" s="82">
        <v>4.5</v>
      </c>
      <c r="AW156" s="82">
        <v>4.2</v>
      </c>
      <c r="AX156" s="82">
        <v>3.8</v>
      </c>
      <c r="AY156" s="82">
        <v>3.5</v>
      </c>
      <c r="AZ156" s="82">
        <v>2.7</v>
      </c>
      <c r="BA156" s="82">
        <v>2.9</v>
      </c>
      <c r="BB156" s="82">
        <v>2</v>
      </c>
      <c r="BC156" s="82">
        <v>2</v>
      </c>
      <c r="BD156" s="82">
        <v>1.6</v>
      </c>
      <c r="BE156" s="82">
        <v>1.9</v>
      </c>
      <c r="BF156" s="82">
        <v>1.2</v>
      </c>
      <c r="BG156" s="82">
        <v>1.6</v>
      </c>
      <c r="BH156" s="82">
        <v>1.1000000000000001</v>
      </c>
      <c r="BI156" s="82">
        <v>1.4</v>
      </c>
      <c r="BJ156" s="82">
        <v>0.7</v>
      </c>
      <c r="BK156" s="82">
        <v>0.9</v>
      </c>
      <c r="BL156" s="82">
        <v>0.5</v>
      </c>
      <c r="BM156" s="82">
        <v>0.7</v>
      </c>
      <c r="BN156" s="82">
        <v>0.3</v>
      </c>
      <c r="BO156" s="82">
        <v>0.4</v>
      </c>
      <c r="BP156" s="82">
        <v>0.1</v>
      </c>
      <c r="BQ156" s="82">
        <v>0.3</v>
      </c>
      <c r="BR156" s="82">
        <v>0.1</v>
      </c>
      <c r="BS156" s="82">
        <v>0.2</v>
      </c>
      <c r="BT156" s="82">
        <v>68418</v>
      </c>
      <c r="BU156" s="82">
        <v>22760</v>
      </c>
      <c r="BV156" s="82">
        <v>8023</v>
      </c>
      <c r="BW156" s="82">
        <v>54956</v>
      </c>
      <c r="BX156" s="82">
        <v>12.8</v>
      </c>
      <c r="BY156" s="82">
        <v>3.9</v>
      </c>
      <c r="BZ156" s="82">
        <v>7</v>
      </c>
      <c r="CA156" s="82">
        <v>21.3</v>
      </c>
      <c r="CB156" s="82">
        <v>23</v>
      </c>
      <c r="CC156" s="82">
        <v>13.4</v>
      </c>
      <c r="CD156" s="82">
        <v>7.1</v>
      </c>
      <c r="CE156" s="82">
        <v>5.3</v>
      </c>
      <c r="CF156" s="82">
        <v>3.9</v>
      </c>
      <c r="CG156" s="82">
        <v>1.6</v>
      </c>
      <c r="CH156" s="82">
        <v>0.4</v>
      </c>
      <c r="CI156" s="82">
        <v>0.3</v>
      </c>
      <c r="CJ156" s="82">
        <f t="shared" si="14"/>
        <v>154157</v>
      </c>
      <c r="CK156" s="82">
        <f t="shared" si="15"/>
        <v>306959.22168527049</v>
      </c>
      <c r="CL156" s="95">
        <f ca="1">$CK156*SUM(OFFSET($AJ156,0,(COUNTA($CL$1:CL$1)-1)*4,1,4))/100</f>
        <v>63233.599667165727</v>
      </c>
      <c r="CM156" s="95">
        <f ca="1">$CK156*SUM(OFFSET($AJ156,0,(COUNTA($CL$1:CM$1)-1)*4,1,4))/100</f>
        <v>53717.863794922334</v>
      </c>
      <c r="CN156" s="95">
        <f ca="1">$CK156*SUM(OFFSET($AJ156,0,(COUNTA($CL$1:CN$1)-1)*4,1,4))/100</f>
        <v>70293.66176592694</v>
      </c>
      <c r="CO156" s="95">
        <f ca="1">$CK156*SUM(OFFSET($AJ156,0,(COUNTA($CL$1:CO$1)-1)*4,1,4))/100</f>
        <v>49113.475469643279</v>
      </c>
      <c r="CP156" s="95">
        <f ca="1">$CK156*SUM(OFFSET($AJ156,0,(COUNTA($CL$1:CP$1)-1)*4,1,4))/100</f>
        <v>29468.085281785963</v>
      </c>
      <c r="CQ156" s="95">
        <f ca="1">$CK156*SUM(OFFSET($AJ156,0,(COUNTA($CL$1:CQ$1)-1)*4,1,4))/100</f>
        <v>19338.430966172044</v>
      </c>
      <c r="CR156" s="95">
        <f ca="1">$CK156*SUM(OFFSET($AJ156,0,(COUNTA($CL$1:CR$1)-1)*4,1,4))/100</f>
        <v>12585.328089096092</v>
      </c>
      <c r="CS156" s="95">
        <f ca="1">$CK156*SUM(OFFSET($AJ156,0,(COUNTA($CL$1:CS$1)-1)*4,1,4))/100</f>
        <v>5832.2252120201392</v>
      </c>
      <c r="CT156" s="95">
        <f ca="1">$CK156*SUM(OFFSET($AJ156,0,(COUNTA($CL$1:CT$1)-1)*4,1,4))/100</f>
        <v>2148.7145517968934</v>
      </c>
      <c r="CU156" s="96">
        <f t="shared" si="16"/>
        <v>733.92698412698417</v>
      </c>
      <c r="CV156" s="96">
        <f t="shared" si="17"/>
        <v>418.24217984082236</v>
      </c>
    </row>
    <row r="157" spans="1:100">
      <c r="A157" s="82" t="str">
        <f ca="1">IF(ISERROR(OFFSET(Map!$E$2,MATCH(D157,Map!$B$3:$B$239,0),0)),OFFSET(Map!$E$2,MATCH(D157,Map!$C$3:$C$239,0),0),OFFSET(Map!$E$2,MATCH(D157,Map!$B$3:$B$239,0),0))</f>
        <v>iLembe</v>
      </c>
      <c r="B157" s="82">
        <v>156</v>
      </c>
      <c r="C157" s="82" t="s">
        <v>57</v>
      </c>
      <c r="D157" s="82" t="s">
        <v>514</v>
      </c>
      <c r="E157" s="82" t="s">
        <v>515</v>
      </c>
      <c r="F157" s="82">
        <v>140820</v>
      </c>
      <c r="G157" s="82">
        <v>37.1</v>
      </c>
      <c r="H157" s="82">
        <v>56.9</v>
      </c>
      <c r="I157" s="82">
        <f t="shared" si="12"/>
        <v>80127</v>
      </c>
      <c r="J157" s="82">
        <v>6</v>
      </c>
      <c r="K157" s="82">
        <v>75.7</v>
      </c>
      <c r="L157" s="82">
        <v>89</v>
      </c>
      <c r="M157" s="82">
        <v>-0.27</v>
      </c>
      <c r="N157" s="82">
        <v>129</v>
      </c>
      <c r="O157" s="82">
        <v>48.7</v>
      </c>
      <c r="P157" s="82">
        <f t="shared" si="13"/>
        <v>41105</v>
      </c>
      <c r="Q157" s="82">
        <v>58.3</v>
      </c>
      <c r="R157" s="82">
        <v>22.3</v>
      </c>
      <c r="S157" s="82">
        <v>2.9</v>
      </c>
      <c r="T157" s="82">
        <v>22.2</v>
      </c>
      <c r="U157" s="82">
        <v>29200</v>
      </c>
      <c r="V157" s="82">
        <v>13710</v>
      </c>
      <c r="W157" s="82">
        <v>4.7</v>
      </c>
      <c r="X157" s="82">
        <v>52.8</v>
      </c>
      <c r="Y157" s="82">
        <v>48.5</v>
      </c>
      <c r="Z157" s="82">
        <v>80.5</v>
      </c>
      <c r="AA157" s="82">
        <v>4.7</v>
      </c>
      <c r="AB157" s="82">
        <v>2.2999999999999998</v>
      </c>
      <c r="AC157" s="82">
        <v>9.3000000000000007</v>
      </c>
      <c r="AD157" s="82">
        <v>37.299999999999997</v>
      </c>
      <c r="AE157" s="82">
        <v>98.4</v>
      </c>
      <c r="AF157" s="82">
        <v>0.2</v>
      </c>
      <c r="AG157" s="82">
        <v>0.7</v>
      </c>
      <c r="AH157" s="82">
        <v>0.3</v>
      </c>
      <c r="AI157" s="82">
        <v>0.5</v>
      </c>
      <c r="AJ157" s="82">
        <v>6.8</v>
      </c>
      <c r="AK157" s="82">
        <v>6.6</v>
      </c>
      <c r="AL157" s="82">
        <v>5.9</v>
      </c>
      <c r="AM157" s="82">
        <v>5.9</v>
      </c>
      <c r="AN157" s="82">
        <v>6.2</v>
      </c>
      <c r="AO157" s="82">
        <v>5.7</v>
      </c>
      <c r="AP157" s="82">
        <v>6.4</v>
      </c>
      <c r="AQ157" s="82">
        <v>6.3</v>
      </c>
      <c r="AR157" s="82">
        <v>4.5</v>
      </c>
      <c r="AS157" s="82">
        <v>4.9000000000000004</v>
      </c>
      <c r="AT157" s="82">
        <v>3.4</v>
      </c>
      <c r="AU157" s="82">
        <v>3.9</v>
      </c>
      <c r="AV157" s="82">
        <v>2.5</v>
      </c>
      <c r="AW157" s="82">
        <v>2.7</v>
      </c>
      <c r="AX157" s="82">
        <v>2.2000000000000002</v>
      </c>
      <c r="AY157" s="82">
        <v>2.2999999999999998</v>
      </c>
      <c r="AZ157" s="82">
        <v>1.6</v>
      </c>
      <c r="BA157" s="82">
        <v>2.2000000000000002</v>
      </c>
      <c r="BB157" s="82">
        <v>1.6</v>
      </c>
      <c r="BC157" s="82">
        <v>1.6</v>
      </c>
      <c r="BD157" s="82">
        <v>1.5</v>
      </c>
      <c r="BE157" s="82">
        <v>2.2000000000000002</v>
      </c>
      <c r="BF157" s="82">
        <v>1.4</v>
      </c>
      <c r="BG157" s="82">
        <v>1.9</v>
      </c>
      <c r="BH157" s="82">
        <v>1.2</v>
      </c>
      <c r="BI157" s="82">
        <v>1.8</v>
      </c>
      <c r="BJ157" s="82">
        <v>0.7</v>
      </c>
      <c r="BK157" s="82">
        <v>1.3</v>
      </c>
      <c r="BL157" s="82">
        <v>0.5</v>
      </c>
      <c r="BM157" s="82">
        <v>1</v>
      </c>
      <c r="BN157" s="82">
        <v>0.3</v>
      </c>
      <c r="BO157" s="82">
        <v>0.7</v>
      </c>
      <c r="BP157" s="82">
        <v>0.2</v>
      </c>
      <c r="BQ157" s="82">
        <v>0.7</v>
      </c>
      <c r="BR157" s="82">
        <v>0.1</v>
      </c>
      <c r="BS157" s="82">
        <v>0.5</v>
      </c>
      <c r="BT157" s="82">
        <v>11312</v>
      </c>
      <c r="BU157" s="82">
        <v>10759</v>
      </c>
      <c r="BV157" s="82">
        <v>9233</v>
      </c>
      <c r="BW157" s="82">
        <v>48860</v>
      </c>
      <c r="BX157" s="82">
        <v>13.1</v>
      </c>
      <c r="BY157" s="82">
        <v>5.8</v>
      </c>
      <c r="BZ157" s="82">
        <v>10.7</v>
      </c>
      <c r="CA157" s="82">
        <v>27.7</v>
      </c>
      <c r="CB157" s="82">
        <v>25.4</v>
      </c>
      <c r="CC157" s="82">
        <v>10.3</v>
      </c>
      <c r="CD157" s="82">
        <v>3.5</v>
      </c>
      <c r="CE157" s="82">
        <v>1.9</v>
      </c>
      <c r="CF157" s="82">
        <v>1.2</v>
      </c>
      <c r="CG157" s="82">
        <v>0.2</v>
      </c>
      <c r="CH157" s="82">
        <v>0.1</v>
      </c>
      <c r="CI157" s="82">
        <v>0.1</v>
      </c>
      <c r="CJ157" s="82">
        <f t="shared" si="14"/>
        <v>80164</v>
      </c>
      <c r="CK157" s="82">
        <f t="shared" si="15"/>
        <v>137434.79891336628</v>
      </c>
      <c r="CL157" s="95">
        <f ca="1">$CK157*SUM(OFFSET($AJ157,0,(COUNTA($CL$1:CL$1)-1)*4,1,4))/100</f>
        <v>34633.569326168297</v>
      </c>
      <c r="CM157" s="95">
        <f ca="1">$CK157*SUM(OFFSET($AJ157,0,(COUNTA($CL$1:CM$1)-1)*4,1,4))/100</f>
        <v>33808.960532688106</v>
      </c>
      <c r="CN157" s="95">
        <f ca="1">$CK157*SUM(OFFSET($AJ157,0,(COUNTA($CL$1:CN$1)-1)*4,1,4))/100</f>
        <v>22951.611418532164</v>
      </c>
      <c r="CO157" s="95">
        <f ca="1">$CK157*SUM(OFFSET($AJ157,0,(COUNTA($CL$1:CO$1)-1)*4,1,4))/100</f>
        <v>13331.175494596528</v>
      </c>
      <c r="CP157" s="95">
        <f ca="1">$CK157*SUM(OFFSET($AJ157,0,(COUNTA($CL$1:CP$1)-1)*4,1,4))/100</f>
        <v>9620.4359239356399</v>
      </c>
      <c r="CQ157" s="95">
        <f ca="1">$CK157*SUM(OFFSET($AJ157,0,(COUNTA($CL$1:CQ$1)-1)*4,1,4))/100</f>
        <v>9620.4359239356399</v>
      </c>
      <c r="CR157" s="95">
        <f ca="1">$CK157*SUM(OFFSET($AJ157,0,(COUNTA($CL$1:CR$1)-1)*4,1,4))/100</f>
        <v>6871.7399456683142</v>
      </c>
      <c r="CS157" s="95">
        <f ca="1">$CK157*SUM(OFFSET($AJ157,0,(COUNTA($CL$1:CS$1)-1)*4,1,4))/100</f>
        <v>3435.8699728341571</v>
      </c>
      <c r="CT157" s="95">
        <f ca="1">$CK157*SUM(OFFSET($AJ157,0,(COUNTA($CL$1:CT$1)-1)*4,1,4))/100</f>
        <v>2061.5219837004943</v>
      </c>
      <c r="CU157" s="96">
        <f t="shared" si="16"/>
        <v>1091.6279069767443</v>
      </c>
      <c r="CV157" s="96">
        <f t="shared" si="17"/>
        <v>125.89894233648806</v>
      </c>
    </row>
    <row r="158" spans="1:100">
      <c r="A158" s="82" t="str">
        <f ca="1">IF(ISERROR(OFFSET(Map!$E$2,MATCH(D158,Map!$B$3:$B$239,0),0)),OFFSET(Map!$E$2,MATCH(D158,Map!$C$3:$C$239,0),0),OFFSET(Map!$E$2,MATCH(D158,Map!$B$3:$B$239,0),0))</f>
        <v>iLembe</v>
      </c>
      <c r="B158" s="82">
        <v>157</v>
      </c>
      <c r="C158" s="82" t="s">
        <v>57</v>
      </c>
      <c r="D158" s="82" t="s">
        <v>516</v>
      </c>
      <c r="E158" s="82" t="s">
        <v>517</v>
      </c>
      <c r="F158" s="82">
        <v>96724</v>
      </c>
      <c r="G158" s="82">
        <v>40.6</v>
      </c>
      <c r="H158" s="82">
        <v>52.9</v>
      </c>
      <c r="I158" s="82">
        <f t="shared" si="12"/>
        <v>51167</v>
      </c>
      <c r="J158" s="82">
        <v>6.5</v>
      </c>
      <c r="K158" s="82">
        <v>89.2</v>
      </c>
      <c r="L158" s="82">
        <v>80.8</v>
      </c>
      <c r="M158" s="82">
        <v>-2.21</v>
      </c>
      <c r="N158" s="82">
        <v>108</v>
      </c>
      <c r="O158" s="82">
        <v>49</v>
      </c>
      <c r="P158" s="82">
        <f t="shared" si="13"/>
        <v>26095</v>
      </c>
      <c r="Q158" s="82">
        <v>58.4</v>
      </c>
      <c r="R158" s="82">
        <v>31.3</v>
      </c>
      <c r="S158" s="82">
        <v>3.9</v>
      </c>
      <c r="T158" s="82">
        <v>21.9</v>
      </c>
      <c r="U158" s="82">
        <v>19973</v>
      </c>
      <c r="V158" s="82">
        <v>10048</v>
      </c>
      <c r="W158" s="82">
        <v>4.8</v>
      </c>
      <c r="X158" s="82">
        <v>62.1</v>
      </c>
      <c r="Y158" s="82">
        <v>40.799999999999997</v>
      </c>
      <c r="Z158" s="82">
        <v>80.900000000000006</v>
      </c>
      <c r="AA158" s="82">
        <v>2.2000000000000002</v>
      </c>
      <c r="AB158" s="82">
        <v>1.9</v>
      </c>
      <c r="AC158" s="82">
        <v>6.3</v>
      </c>
      <c r="AD158" s="82">
        <v>33.700000000000003</v>
      </c>
      <c r="AE158" s="82">
        <v>99.7</v>
      </c>
      <c r="AF158" s="82">
        <v>0.1</v>
      </c>
      <c r="AG158" s="82">
        <v>0.1</v>
      </c>
      <c r="AH158" s="82">
        <v>0.1</v>
      </c>
      <c r="AI158" s="82">
        <v>0.1</v>
      </c>
      <c r="AJ158" s="82">
        <v>7.3</v>
      </c>
      <c r="AK158" s="82">
        <v>7.1</v>
      </c>
      <c r="AL158" s="82">
        <v>6.4</v>
      </c>
      <c r="AM158" s="82">
        <v>6.3</v>
      </c>
      <c r="AN158" s="82">
        <v>7</v>
      </c>
      <c r="AO158" s="82">
        <v>6.5</v>
      </c>
      <c r="AP158" s="82">
        <v>6.8</v>
      </c>
      <c r="AQ158" s="82">
        <v>7</v>
      </c>
      <c r="AR158" s="82">
        <v>3.7</v>
      </c>
      <c r="AS158" s="82">
        <v>4.8</v>
      </c>
      <c r="AT158" s="82">
        <v>2.4</v>
      </c>
      <c r="AU158" s="82">
        <v>3.6</v>
      </c>
      <c r="AV158" s="82">
        <v>1.7</v>
      </c>
      <c r="AW158" s="82">
        <v>2.6</v>
      </c>
      <c r="AX158" s="82">
        <v>1.6</v>
      </c>
      <c r="AY158" s="82">
        <v>2.2000000000000002</v>
      </c>
      <c r="AZ158" s="82">
        <v>1.3</v>
      </c>
      <c r="BA158" s="82">
        <v>2.1</v>
      </c>
      <c r="BB158" s="82">
        <v>1.2</v>
      </c>
      <c r="BC158" s="82">
        <v>1.2</v>
      </c>
      <c r="BD158" s="82">
        <v>1.1000000000000001</v>
      </c>
      <c r="BE158" s="82">
        <v>2.1</v>
      </c>
      <c r="BF158" s="82">
        <v>1.2</v>
      </c>
      <c r="BG158" s="82">
        <v>1.9</v>
      </c>
      <c r="BH158" s="82">
        <v>1.2</v>
      </c>
      <c r="BI158" s="82">
        <v>2.1</v>
      </c>
      <c r="BJ158" s="82">
        <v>0.7</v>
      </c>
      <c r="BK158" s="82">
        <v>1.3</v>
      </c>
      <c r="BL158" s="82">
        <v>0.5</v>
      </c>
      <c r="BM158" s="82">
        <v>1.2</v>
      </c>
      <c r="BN158" s="82">
        <v>0.2</v>
      </c>
      <c r="BO158" s="82">
        <v>0.9</v>
      </c>
      <c r="BP158" s="82">
        <v>0.2</v>
      </c>
      <c r="BQ158" s="82">
        <v>0.8</v>
      </c>
      <c r="BR158" s="82">
        <v>0.2</v>
      </c>
      <c r="BS158" s="82">
        <v>0.6</v>
      </c>
      <c r="BT158" s="82">
        <v>5467</v>
      </c>
      <c r="BU158" s="82">
        <v>5255</v>
      </c>
      <c r="BV158" s="82">
        <v>5791</v>
      </c>
      <c r="BW158" s="82">
        <v>34616</v>
      </c>
      <c r="BX158" s="82">
        <v>13.2</v>
      </c>
      <c r="BY158" s="82">
        <v>7.2</v>
      </c>
      <c r="BZ158" s="82">
        <v>12.5</v>
      </c>
      <c r="CA158" s="82">
        <v>26.8</v>
      </c>
      <c r="CB158" s="82">
        <v>24.3</v>
      </c>
      <c r="CC158" s="82">
        <v>8.4</v>
      </c>
      <c r="CD158" s="82">
        <v>3.9</v>
      </c>
      <c r="CE158" s="82">
        <v>2.1</v>
      </c>
      <c r="CF158" s="82">
        <v>1.2</v>
      </c>
      <c r="CG158" s="82">
        <v>0.2</v>
      </c>
      <c r="CH158" s="82">
        <v>0.1</v>
      </c>
      <c r="CI158" s="82">
        <v>0.1</v>
      </c>
      <c r="CJ158" s="82">
        <f t="shared" si="14"/>
        <v>51129</v>
      </c>
      <c r="CK158" s="82">
        <f t="shared" si="15"/>
        <v>79101.417025562288</v>
      </c>
      <c r="CL158" s="95">
        <f ca="1">$CK158*SUM(OFFSET($AJ158,0,(COUNTA($CL$1:CL$1)-1)*4,1,4))/100</f>
        <v>21436.48401392738</v>
      </c>
      <c r="CM158" s="95">
        <f ca="1">$CK158*SUM(OFFSET($AJ158,0,(COUNTA($CL$1:CM$1)-1)*4,1,4))/100</f>
        <v>21594.686847978504</v>
      </c>
      <c r="CN158" s="95">
        <f ca="1">$CK158*SUM(OFFSET($AJ158,0,(COUNTA($CL$1:CN$1)-1)*4,1,4))/100</f>
        <v>11469.705468706532</v>
      </c>
      <c r="CO158" s="95">
        <f ca="1">$CK158*SUM(OFFSET($AJ158,0,(COUNTA($CL$1:CO$1)-1)*4,1,4))/100</f>
        <v>6407.2147790705458</v>
      </c>
      <c r="CP158" s="95">
        <f ca="1">$CK158*SUM(OFFSET($AJ158,0,(COUNTA($CL$1:CP$1)-1)*4,1,4))/100</f>
        <v>4587.8821874826135</v>
      </c>
      <c r="CQ158" s="95">
        <f ca="1">$CK158*SUM(OFFSET($AJ158,0,(COUNTA($CL$1:CQ$1)-1)*4,1,4))/100</f>
        <v>4983.389272610425</v>
      </c>
      <c r="CR158" s="95">
        <f ca="1">$CK158*SUM(OFFSET($AJ158,0,(COUNTA($CL$1:CR$1)-1)*4,1,4))/100</f>
        <v>4192.3751023548011</v>
      </c>
      <c r="CS158" s="95">
        <f ca="1">$CK158*SUM(OFFSET($AJ158,0,(COUNTA($CL$1:CS$1)-1)*4,1,4))/100</f>
        <v>2214.8396767157437</v>
      </c>
      <c r="CT158" s="95">
        <f ca="1">$CK158*SUM(OFFSET($AJ158,0,(COUNTA($CL$1:CT$1)-1)*4,1,4))/100</f>
        <v>1423.825506460121</v>
      </c>
      <c r="CU158" s="96">
        <f t="shared" si="16"/>
        <v>895.59259259259261</v>
      </c>
      <c r="CV158" s="96">
        <f t="shared" si="17"/>
        <v>88.322991592166645</v>
      </c>
    </row>
    <row r="159" spans="1:100">
      <c r="A159" s="82" t="str">
        <f ca="1">IF(ISERROR(OFFSET(Map!$E$2,MATCH(D159,Map!$B$3:$B$239,0),0)),OFFSET(Map!$E$2,MATCH(D159,Map!$C$3:$C$239,0),0),OFFSET(Map!$E$2,MATCH(D159,Map!$B$3:$B$239,0),0))</f>
        <v>Harry Gwala</v>
      </c>
      <c r="B159" s="82">
        <v>158</v>
      </c>
      <c r="C159" s="82" t="s">
        <v>57</v>
      </c>
      <c r="D159" s="82" t="s">
        <v>518</v>
      </c>
      <c r="E159" s="82" t="s">
        <v>519</v>
      </c>
      <c r="F159" s="82">
        <v>100548</v>
      </c>
      <c r="G159" s="82">
        <v>39.799999999999997</v>
      </c>
      <c r="H159" s="82">
        <v>55.2</v>
      </c>
      <c r="I159" s="82">
        <f t="shared" si="12"/>
        <v>55502</v>
      </c>
      <c r="J159" s="82">
        <v>5</v>
      </c>
      <c r="K159" s="82">
        <v>81.2</v>
      </c>
      <c r="L159" s="82">
        <v>86.9</v>
      </c>
      <c r="M159" s="82">
        <v>-0.67</v>
      </c>
      <c r="N159" s="82">
        <v>51</v>
      </c>
      <c r="O159" s="82">
        <v>39.299999999999997</v>
      </c>
      <c r="P159" s="82">
        <f t="shared" si="13"/>
        <v>33690</v>
      </c>
      <c r="Q159" s="82">
        <v>48.5</v>
      </c>
      <c r="R159" s="82">
        <v>13.8</v>
      </c>
      <c r="S159" s="82">
        <v>4</v>
      </c>
      <c r="T159" s="82">
        <v>17.7</v>
      </c>
      <c r="U159" s="82">
        <v>23073</v>
      </c>
      <c r="V159" s="82">
        <v>12872</v>
      </c>
      <c r="W159" s="82">
        <v>4.2</v>
      </c>
      <c r="X159" s="82">
        <v>56.5</v>
      </c>
      <c r="Y159" s="82">
        <v>30.1</v>
      </c>
      <c r="Z159" s="82">
        <v>61.7</v>
      </c>
      <c r="AA159" s="82">
        <v>7.4</v>
      </c>
      <c r="AB159" s="82">
        <v>4.7</v>
      </c>
      <c r="AC159" s="82">
        <v>11.7</v>
      </c>
      <c r="AD159" s="82">
        <v>49.9</v>
      </c>
      <c r="AE159" s="82">
        <v>98.7</v>
      </c>
      <c r="AF159" s="82">
        <v>0.2</v>
      </c>
      <c r="AG159" s="82">
        <v>0.1</v>
      </c>
      <c r="AH159" s="82">
        <v>0.8</v>
      </c>
      <c r="AI159" s="82">
        <v>0.1</v>
      </c>
      <c r="AJ159" s="82">
        <v>7.4</v>
      </c>
      <c r="AK159" s="82">
        <v>7.1</v>
      </c>
      <c r="AL159" s="82">
        <v>6.5</v>
      </c>
      <c r="AM159" s="82">
        <v>6.5</v>
      </c>
      <c r="AN159" s="82">
        <v>6.5</v>
      </c>
      <c r="AO159" s="82">
        <v>5.8</v>
      </c>
      <c r="AP159" s="82">
        <v>6.3</v>
      </c>
      <c r="AQ159" s="82">
        <v>6</v>
      </c>
      <c r="AR159" s="82">
        <v>4.4000000000000004</v>
      </c>
      <c r="AS159" s="82">
        <v>4.8</v>
      </c>
      <c r="AT159" s="82">
        <v>3.2</v>
      </c>
      <c r="AU159" s="82">
        <v>3.9</v>
      </c>
      <c r="AV159" s="82">
        <v>2.2000000000000002</v>
      </c>
      <c r="AW159" s="82">
        <v>3</v>
      </c>
      <c r="AX159" s="82">
        <v>1.9</v>
      </c>
      <c r="AY159" s="82">
        <v>2.6</v>
      </c>
      <c r="AZ159" s="82">
        <v>1.6</v>
      </c>
      <c r="BA159" s="82">
        <v>2.4</v>
      </c>
      <c r="BB159" s="82">
        <v>1.5</v>
      </c>
      <c r="BC159" s="82">
        <v>1.5</v>
      </c>
      <c r="BD159" s="82">
        <v>1.4</v>
      </c>
      <c r="BE159" s="82">
        <v>2</v>
      </c>
      <c r="BF159" s="82">
        <v>1.2</v>
      </c>
      <c r="BG159" s="82">
        <v>1.9</v>
      </c>
      <c r="BH159" s="82">
        <v>1.1000000000000001</v>
      </c>
      <c r="BI159" s="82">
        <v>1.6</v>
      </c>
      <c r="BJ159" s="82">
        <v>0.6</v>
      </c>
      <c r="BK159" s="82">
        <v>1.2</v>
      </c>
      <c r="BL159" s="82">
        <v>0.4</v>
      </c>
      <c r="BM159" s="82">
        <v>0.9</v>
      </c>
      <c r="BN159" s="82">
        <v>0.2</v>
      </c>
      <c r="BO159" s="82">
        <v>0.7</v>
      </c>
      <c r="BP159" s="82">
        <v>0.2</v>
      </c>
      <c r="BQ159" s="82">
        <v>0.5</v>
      </c>
      <c r="BR159" s="82">
        <v>0.1</v>
      </c>
      <c r="BS159" s="82">
        <v>0.4</v>
      </c>
      <c r="BT159" s="82">
        <v>10570</v>
      </c>
      <c r="BU159" s="82">
        <v>6856</v>
      </c>
      <c r="BV159" s="82">
        <v>5437</v>
      </c>
      <c r="BW159" s="82">
        <v>32635</v>
      </c>
      <c r="BX159" s="82">
        <v>13.8</v>
      </c>
      <c r="BY159" s="82">
        <v>6.2</v>
      </c>
      <c r="BZ159" s="82">
        <v>12.5</v>
      </c>
      <c r="CA159" s="82">
        <v>27.6</v>
      </c>
      <c r="CB159" s="82">
        <v>23.4</v>
      </c>
      <c r="CC159" s="82">
        <v>8.3000000000000007</v>
      </c>
      <c r="CD159" s="82">
        <v>4.3</v>
      </c>
      <c r="CE159" s="82">
        <v>2.2999999999999998</v>
      </c>
      <c r="CF159" s="82">
        <v>1.2</v>
      </c>
      <c r="CG159" s="82">
        <v>0.2</v>
      </c>
      <c r="CH159" s="82">
        <v>0.1</v>
      </c>
      <c r="CI159" s="82">
        <v>0.1</v>
      </c>
      <c r="CJ159" s="82">
        <f t="shared" si="14"/>
        <v>55498</v>
      </c>
      <c r="CK159" s="82">
        <f t="shared" si="15"/>
        <v>94644.930295263286</v>
      </c>
      <c r="CL159" s="95">
        <f ca="1">$CK159*SUM(OFFSET($AJ159,0,(COUNTA($CL$1:CL$1)-1)*4,1,4))/100</f>
        <v>26027.355831197401</v>
      </c>
      <c r="CM159" s="95">
        <f ca="1">$CK159*SUM(OFFSET($AJ159,0,(COUNTA($CL$1:CM$1)-1)*4,1,4))/100</f>
        <v>23282.652852634768</v>
      </c>
      <c r="CN159" s="95">
        <f ca="1">$CK159*SUM(OFFSET($AJ159,0,(COUNTA($CL$1:CN$1)-1)*4,1,4))/100</f>
        <v>15427.123638127912</v>
      </c>
      <c r="CO159" s="95">
        <f ca="1">$CK159*SUM(OFFSET($AJ159,0,(COUNTA($CL$1:CO$1)-1)*4,1,4))/100</f>
        <v>9180.5582386405385</v>
      </c>
      <c r="CP159" s="95">
        <f ca="1">$CK159*SUM(OFFSET($AJ159,0,(COUNTA($CL$1:CP$1)-1)*4,1,4))/100</f>
        <v>6625.1451206684296</v>
      </c>
      <c r="CQ159" s="95">
        <f ca="1">$CK159*SUM(OFFSET($AJ159,0,(COUNTA($CL$1:CQ$1)-1)*4,1,4))/100</f>
        <v>6151.9204691921141</v>
      </c>
      <c r="CR159" s="95">
        <f ca="1">$CK159*SUM(OFFSET($AJ159,0,(COUNTA($CL$1:CR$1)-1)*4,1,4))/100</f>
        <v>4259.0218632868482</v>
      </c>
      <c r="CS159" s="95">
        <f ca="1">$CK159*SUM(OFFSET($AJ159,0,(COUNTA($CL$1:CS$1)-1)*4,1,4))/100</f>
        <v>2082.1884664957925</v>
      </c>
      <c r="CT159" s="95">
        <f ca="1">$CK159*SUM(OFFSET($AJ159,0,(COUNTA($CL$1:CT$1)-1)*4,1,4))/100</f>
        <v>1135.7391635431593</v>
      </c>
      <c r="CU159" s="96">
        <f t="shared" si="16"/>
        <v>1971.5294117647059</v>
      </c>
      <c r="CV159" s="96">
        <f t="shared" si="17"/>
        <v>48.005842434045704</v>
      </c>
    </row>
    <row r="160" spans="1:100">
      <c r="A160" s="82" t="str">
        <f ca="1">IF(ISERROR(OFFSET(Map!$E$2,MATCH(D160,Map!$B$3:$B$239,0),0)),OFFSET(Map!$E$2,MATCH(D160,Map!$C$3:$C$239,0),0),OFFSET(Map!$E$2,MATCH(D160,Map!$B$3:$B$239,0),0))</f>
        <v>Harry Gwala</v>
      </c>
      <c r="B160" s="82">
        <v>159</v>
      </c>
      <c r="C160" s="82" t="s">
        <v>57</v>
      </c>
      <c r="D160" s="82" t="s">
        <v>520</v>
      </c>
      <c r="E160" s="82" t="s">
        <v>521</v>
      </c>
      <c r="F160" s="82">
        <v>12898</v>
      </c>
      <c r="G160" s="82">
        <v>24.2</v>
      </c>
      <c r="H160" s="82">
        <v>70.3</v>
      </c>
      <c r="I160" s="82">
        <f t="shared" si="12"/>
        <v>9067</v>
      </c>
      <c r="J160" s="82">
        <v>5.5</v>
      </c>
      <c r="K160" s="82">
        <v>42.2</v>
      </c>
      <c r="L160" s="82">
        <v>107.7</v>
      </c>
      <c r="M160" s="82">
        <v>0.85</v>
      </c>
      <c r="N160" s="82">
        <v>7</v>
      </c>
      <c r="O160" s="82">
        <v>16</v>
      </c>
      <c r="P160" s="82">
        <f t="shared" si="13"/>
        <v>7617</v>
      </c>
      <c r="Q160" s="82">
        <v>20.5</v>
      </c>
      <c r="R160" s="82">
        <v>7.6</v>
      </c>
      <c r="S160" s="82">
        <v>8.8000000000000007</v>
      </c>
      <c r="T160" s="82">
        <v>21.7</v>
      </c>
      <c r="U160" s="82">
        <v>3673</v>
      </c>
      <c r="V160" s="82">
        <v>1176</v>
      </c>
      <c r="W160" s="82">
        <v>2</v>
      </c>
      <c r="X160" s="82">
        <v>44</v>
      </c>
      <c r="Y160" s="82">
        <v>67.5</v>
      </c>
      <c r="Z160" s="82">
        <v>37.9</v>
      </c>
      <c r="AA160" s="82">
        <v>26.5</v>
      </c>
      <c r="AB160" s="82">
        <v>43.2</v>
      </c>
      <c r="AC160" s="82">
        <v>42.9</v>
      </c>
      <c r="AD160" s="82">
        <v>75.400000000000006</v>
      </c>
      <c r="AE160" s="82">
        <v>87.9</v>
      </c>
      <c r="AF160" s="82">
        <v>0.9</v>
      </c>
      <c r="AG160" s="82">
        <v>0.4</v>
      </c>
      <c r="AH160" s="82">
        <v>10.5</v>
      </c>
      <c r="AI160" s="82">
        <v>0.4</v>
      </c>
      <c r="AJ160" s="82">
        <v>5.0999999999999996</v>
      </c>
      <c r="AK160" s="82">
        <v>4.5</v>
      </c>
      <c r="AL160" s="82">
        <v>4.0999999999999996</v>
      </c>
      <c r="AM160" s="82">
        <v>3.7</v>
      </c>
      <c r="AN160" s="82">
        <v>3.4</v>
      </c>
      <c r="AO160" s="82">
        <v>3.4</v>
      </c>
      <c r="AP160" s="82">
        <v>4.0999999999999996</v>
      </c>
      <c r="AQ160" s="82">
        <v>3.5</v>
      </c>
      <c r="AR160" s="82">
        <v>6</v>
      </c>
      <c r="AS160" s="82">
        <v>4.9000000000000004</v>
      </c>
      <c r="AT160" s="82">
        <v>7.1</v>
      </c>
      <c r="AU160" s="82">
        <v>5.4</v>
      </c>
      <c r="AV160" s="82">
        <v>4.7</v>
      </c>
      <c r="AW160" s="82">
        <v>4</v>
      </c>
      <c r="AX160" s="82">
        <v>4.4000000000000004</v>
      </c>
      <c r="AY160" s="82">
        <v>4</v>
      </c>
      <c r="AZ160" s="82">
        <v>3</v>
      </c>
      <c r="BA160" s="82">
        <v>3.4</v>
      </c>
      <c r="BB160" s="82">
        <v>2.4</v>
      </c>
      <c r="BC160" s="82">
        <v>2.4</v>
      </c>
      <c r="BD160" s="82">
        <v>2</v>
      </c>
      <c r="BE160" s="82">
        <v>2.2000000000000002</v>
      </c>
      <c r="BF160" s="82">
        <v>1.8</v>
      </c>
      <c r="BG160" s="82">
        <v>1.9</v>
      </c>
      <c r="BH160" s="82">
        <v>1.3</v>
      </c>
      <c r="BI160" s="82">
        <v>1.6</v>
      </c>
      <c r="BJ160" s="82">
        <v>1.2</v>
      </c>
      <c r="BK160" s="82">
        <v>1.3</v>
      </c>
      <c r="BL160" s="82">
        <v>0.7</v>
      </c>
      <c r="BM160" s="82">
        <v>0.6</v>
      </c>
      <c r="BN160" s="82">
        <v>0.3</v>
      </c>
      <c r="BO160" s="82">
        <v>0.5</v>
      </c>
      <c r="BP160" s="82">
        <v>0.2</v>
      </c>
      <c r="BQ160" s="82">
        <v>0.3</v>
      </c>
      <c r="BR160" s="82">
        <v>0.1</v>
      </c>
      <c r="BS160" s="82">
        <v>0.2</v>
      </c>
      <c r="BT160" s="82">
        <v>5265</v>
      </c>
      <c r="BU160" s="82">
        <v>1005</v>
      </c>
      <c r="BV160" s="82">
        <v>291</v>
      </c>
      <c r="BW160" s="82">
        <v>2507</v>
      </c>
      <c r="BX160" s="82">
        <v>12.3</v>
      </c>
      <c r="BY160" s="82">
        <v>3</v>
      </c>
      <c r="BZ160" s="82">
        <v>6.6</v>
      </c>
      <c r="CA160" s="82">
        <v>24.6</v>
      </c>
      <c r="CB160" s="82">
        <v>22.9</v>
      </c>
      <c r="CC160" s="82">
        <v>12.7</v>
      </c>
      <c r="CD160" s="82">
        <v>8.4</v>
      </c>
      <c r="CE160" s="82">
        <v>4.7</v>
      </c>
      <c r="CF160" s="82">
        <v>2.6</v>
      </c>
      <c r="CG160" s="82">
        <v>1.3</v>
      </c>
      <c r="CH160" s="82">
        <v>0.4</v>
      </c>
      <c r="CI160" s="82">
        <v>0.6</v>
      </c>
      <c r="CJ160" s="82">
        <f t="shared" si="14"/>
        <v>9068</v>
      </c>
      <c r="CK160" s="82">
        <f t="shared" si="15"/>
        <v>13918.918616569918</v>
      </c>
      <c r="CL160" s="95">
        <f ca="1">$CK160*SUM(OFFSET($AJ160,0,(COUNTA($CL$1:CL$1)-1)*4,1,4))/100</f>
        <v>2421.8918392831656</v>
      </c>
      <c r="CM160" s="95">
        <f ca="1">$CK160*SUM(OFFSET($AJ160,0,(COUNTA($CL$1:CM$1)-1)*4,1,4))/100</f>
        <v>2004.3242807860679</v>
      </c>
      <c r="CN160" s="95">
        <f ca="1">$CK160*SUM(OFFSET($AJ160,0,(COUNTA($CL$1:CN$1)-1)*4,1,4))/100</f>
        <v>3257.0269562773606</v>
      </c>
      <c r="CO160" s="95">
        <f ca="1">$CK160*SUM(OFFSET($AJ160,0,(COUNTA($CL$1:CO$1)-1)*4,1,4))/100</f>
        <v>2380.1350834334562</v>
      </c>
      <c r="CP160" s="95">
        <f ca="1">$CK160*SUM(OFFSET($AJ160,0,(COUNTA($CL$1:CP$1)-1)*4,1,4))/100</f>
        <v>1558.918885055831</v>
      </c>
      <c r="CQ160" s="95">
        <f ca="1">$CK160*SUM(OFFSET($AJ160,0,(COUNTA($CL$1:CQ$1)-1)*4,1,4))/100</f>
        <v>1099.5945707090236</v>
      </c>
      <c r="CR160" s="95">
        <f ca="1">$CK160*SUM(OFFSET($AJ160,0,(COUNTA($CL$1:CR$1)-1)*4,1,4))/100</f>
        <v>751.62160529477569</v>
      </c>
      <c r="CS160" s="95">
        <f ca="1">$CK160*SUM(OFFSET($AJ160,0,(COUNTA($CL$1:CS$1)-1)*4,1,4))/100</f>
        <v>292.29729094796824</v>
      </c>
      <c r="CT160" s="95">
        <f ca="1">$CK160*SUM(OFFSET($AJ160,0,(COUNTA($CL$1:CT$1)-1)*4,1,4))/100</f>
        <v>111.35134893255935</v>
      </c>
      <c r="CU160" s="96">
        <f t="shared" si="16"/>
        <v>1842.5714285714287</v>
      </c>
      <c r="CV160" s="96">
        <f t="shared" si="17"/>
        <v>7.5540727489525059</v>
      </c>
    </row>
    <row r="161" spans="1:100">
      <c r="A161" s="82" t="str">
        <f ca="1">IF(ISERROR(OFFSET(Map!$E$2,MATCH(D161,Map!$B$3:$B$239,0),0)),OFFSET(Map!$E$2,MATCH(D161,Map!$C$3:$C$239,0),0),OFFSET(Map!$E$2,MATCH(D161,Map!$B$3:$B$239,0),0))</f>
        <v>Harry Gwala</v>
      </c>
      <c r="B161" s="82">
        <v>160</v>
      </c>
      <c r="C161" s="82" t="s">
        <v>57</v>
      </c>
      <c r="D161" s="82" t="s">
        <v>522</v>
      </c>
      <c r="E161" s="82" t="s">
        <v>523</v>
      </c>
      <c r="F161" s="82">
        <v>65981</v>
      </c>
      <c r="G161" s="82">
        <v>30.6</v>
      </c>
      <c r="H161" s="82">
        <v>66.7</v>
      </c>
      <c r="I161" s="82">
        <f t="shared" si="12"/>
        <v>44009</v>
      </c>
      <c r="J161" s="82">
        <v>2.7</v>
      </c>
      <c r="K161" s="82">
        <v>49.9</v>
      </c>
      <c r="L161" s="82">
        <v>94.4</v>
      </c>
      <c r="M161" s="82">
        <v>1.55</v>
      </c>
      <c r="N161" s="82">
        <v>25</v>
      </c>
      <c r="O161" s="82">
        <v>28.9</v>
      </c>
      <c r="P161" s="82">
        <f t="shared" si="13"/>
        <v>31291</v>
      </c>
      <c r="Q161" s="82">
        <v>36.299999999999997</v>
      </c>
      <c r="R161" s="82">
        <v>4.0999999999999996</v>
      </c>
      <c r="S161" s="82">
        <v>10.8</v>
      </c>
      <c r="T161" s="82">
        <v>28.3</v>
      </c>
      <c r="U161" s="82">
        <v>19140</v>
      </c>
      <c r="V161" s="82">
        <v>4680</v>
      </c>
      <c r="W161" s="82">
        <v>3.1</v>
      </c>
      <c r="X161" s="82">
        <v>41.6</v>
      </c>
      <c r="Y161" s="82">
        <v>83.6</v>
      </c>
      <c r="Z161" s="82">
        <v>36.299999999999997</v>
      </c>
      <c r="AA161" s="82">
        <v>60.1</v>
      </c>
      <c r="AB161" s="82">
        <v>74</v>
      </c>
      <c r="AC161" s="82">
        <v>36.1</v>
      </c>
      <c r="AD161" s="82">
        <v>80.7</v>
      </c>
      <c r="AE161" s="82">
        <v>87.1</v>
      </c>
      <c r="AF161" s="82">
        <v>8.1999999999999993</v>
      </c>
      <c r="AG161" s="82">
        <v>1.1000000000000001</v>
      </c>
      <c r="AH161" s="82">
        <v>3.3</v>
      </c>
      <c r="AI161" s="82">
        <v>0.2</v>
      </c>
      <c r="AJ161" s="82">
        <v>5.6</v>
      </c>
      <c r="AK161" s="82">
        <v>5.7</v>
      </c>
      <c r="AL161" s="82">
        <v>4.9000000000000004</v>
      </c>
      <c r="AM161" s="82">
        <v>4.7</v>
      </c>
      <c r="AN161" s="82">
        <v>4.8</v>
      </c>
      <c r="AO161" s="82">
        <v>4.9000000000000004</v>
      </c>
      <c r="AP161" s="82">
        <v>4.9000000000000004</v>
      </c>
      <c r="AQ161" s="82">
        <v>5.3</v>
      </c>
      <c r="AR161" s="82">
        <v>5.5</v>
      </c>
      <c r="AS161" s="82">
        <v>5.8</v>
      </c>
      <c r="AT161" s="82">
        <v>5.6</v>
      </c>
      <c r="AU161" s="82">
        <v>5.4</v>
      </c>
      <c r="AV161" s="82">
        <v>4.5</v>
      </c>
      <c r="AW161" s="82">
        <v>4.2</v>
      </c>
      <c r="AX161" s="82">
        <v>3.7</v>
      </c>
      <c r="AY161" s="82">
        <v>3.7</v>
      </c>
      <c r="AZ161" s="82">
        <v>2.7</v>
      </c>
      <c r="BA161" s="82">
        <v>3.1</v>
      </c>
      <c r="BB161" s="82">
        <v>2</v>
      </c>
      <c r="BC161" s="82">
        <v>2</v>
      </c>
      <c r="BD161" s="82">
        <v>1.7</v>
      </c>
      <c r="BE161" s="82">
        <v>2</v>
      </c>
      <c r="BF161" s="82">
        <v>1.2</v>
      </c>
      <c r="BG161" s="82">
        <v>1.4</v>
      </c>
      <c r="BH161" s="82">
        <v>0.7</v>
      </c>
      <c r="BI161" s="82">
        <v>0.9</v>
      </c>
      <c r="BJ161" s="82">
        <v>0.4</v>
      </c>
      <c r="BK161" s="82">
        <v>0.6</v>
      </c>
      <c r="BL161" s="82">
        <v>0.3</v>
      </c>
      <c r="BM161" s="82">
        <v>0.5</v>
      </c>
      <c r="BN161" s="82">
        <v>0.1</v>
      </c>
      <c r="BO161" s="82">
        <v>0.3</v>
      </c>
      <c r="BP161" s="82">
        <v>0.1</v>
      </c>
      <c r="BQ161" s="82">
        <v>0.2</v>
      </c>
      <c r="BR161" s="82">
        <v>0.1</v>
      </c>
      <c r="BS161" s="82">
        <v>0.1</v>
      </c>
      <c r="BT161" s="82">
        <v>18849</v>
      </c>
      <c r="BU161" s="82">
        <v>7654</v>
      </c>
      <c r="BV161" s="82">
        <v>1437</v>
      </c>
      <c r="BW161" s="82">
        <v>16090</v>
      </c>
      <c r="BX161" s="82">
        <v>15.8</v>
      </c>
      <c r="BY161" s="82">
        <v>3.9</v>
      </c>
      <c r="BZ161" s="82">
        <v>7.4</v>
      </c>
      <c r="CA161" s="82">
        <v>20.3</v>
      </c>
      <c r="CB161" s="82">
        <v>19.5</v>
      </c>
      <c r="CC161" s="82">
        <v>11.7</v>
      </c>
      <c r="CD161" s="82">
        <v>10</v>
      </c>
      <c r="CE161" s="82">
        <v>6.7</v>
      </c>
      <c r="CF161" s="82">
        <v>3.4</v>
      </c>
      <c r="CG161" s="82">
        <v>0.9</v>
      </c>
      <c r="CH161" s="82">
        <v>0.3</v>
      </c>
      <c r="CI161" s="82">
        <v>0.2</v>
      </c>
      <c r="CJ161" s="82">
        <f t="shared" si="14"/>
        <v>44030</v>
      </c>
      <c r="CK161" s="82">
        <f t="shared" si="15"/>
        <v>75777.145765782712</v>
      </c>
      <c r="CL161" s="95">
        <f ca="1">$CK161*SUM(OFFSET($AJ161,0,(COUNTA($CL$1:CL$1)-1)*4,1,4))/100</f>
        <v>15837.423465048589</v>
      </c>
      <c r="CM161" s="95">
        <f ca="1">$CK161*SUM(OFFSET($AJ161,0,(COUNTA($CL$1:CM$1)-1)*4,1,4))/100</f>
        <v>15079.65200739076</v>
      </c>
      <c r="CN161" s="95">
        <f ca="1">$CK161*SUM(OFFSET($AJ161,0,(COUNTA($CL$1:CN$1)-1)*4,1,4))/100</f>
        <v>16898.303505769542</v>
      </c>
      <c r="CO161" s="95">
        <f ca="1">$CK161*SUM(OFFSET($AJ161,0,(COUNTA($CL$1:CO$1)-1)*4,1,4))/100</f>
        <v>12200.120468291014</v>
      </c>
      <c r="CP161" s="95">
        <f ca="1">$CK161*SUM(OFFSET($AJ161,0,(COUNTA($CL$1:CP$1)-1)*4,1,4))/100</f>
        <v>7426.1602850467061</v>
      </c>
      <c r="CQ161" s="95">
        <f ca="1">$CK161*SUM(OFFSET($AJ161,0,(COUNTA($CL$1:CQ$1)-1)*4,1,4))/100</f>
        <v>4773.9601832443113</v>
      </c>
      <c r="CR161" s="95">
        <f ca="1">$CK161*SUM(OFFSET($AJ161,0,(COUNTA($CL$1:CR$1)-1)*4,1,4))/100</f>
        <v>1970.2057899103506</v>
      </c>
      <c r="CS161" s="95">
        <f ca="1">$CK161*SUM(OFFSET($AJ161,0,(COUNTA($CL$1:CS$1)-1)*4,1,4))/100</f>
        <v>909.32574918939247</v>
      </c>
      <c r="CT161" s="95">
        <f ca="1">$CK161*SUM(OFFSET($AJ161,0,(COUNTA($CL$1:CT$1)-1)*4,1,4))/100</f>
        <v>378.88572882891356</v>
      </c>
      <c r="CU161" s="96">
        <f t="shared" si="16"/>
        <v>2639.24</v>
      </c>
      <c r="CV161" s="96">
        <f t="shared" si="17"/>
        <v>28.711729803194373</v>
      </c>
    </row>
    <row r="162" spans="1:100">
      <c r="A162" s="82" t="str">
        <f ca="1">IF(ISERROR(OFFSET(Map!$E$2,MATCH(D162,Map!$B$3:$B$239,0),0)),OFFSET(Map!$E$2,MATCH(D162,Map!$C$3:$C$239,0),0),OFFSET(Map!$E$2,MATCH(D162,Map!$B$3:$B$239,0),0))</f>
        <v>Harry Gwala</v>
      </c>
      <c r="B162" s="82">
        <v>161</v>
      </c>
      <c r="C162" s="82" t="s">
        <v>57</v>
      </c>
      <c r="D162" s="82" t="s">
        <v>524</v>
      </c>
      <c r="E162" s="82" t="s">
        <v>525</v>
      </c>
      <c r="F162" s="82">
        <v>101691</v>
      </c>
      <c r="G162" s="82">
        <v>37.4</v>
      </c>
      <c r="H162" s="82">
        <v>57.4</v>
      </c>
      <c r="I162" s="82">
        <f t="shared" si="12"/>
        <v>58371</v>
      </c>
      <c r="J162" s="82">
        <v>5.3</v>
      </c>
      <c r="K162" s="82">
        <v>74.3</v>
      </c>
      <c r="L162" s="82">
        <v>86.8</v>
      </c>
      <c r="M162" s="82">
        <v>-0.03</v>
      </c>
      <c r="N162" s="82">
        <v>63</v>
      </c>
      <c r="O162" s="82">
        <v>34</v>
      </c>
      <c r="P162" s="82">
        <f t="shared" si="13"/>
        <v>38525</v>
      </c>
      <c r="Q162" s="82">
        <v>42.1</v>
      </c>
      <c r="R162" s="82">
        <v>15.9</v>
      </c>
      <c r="S162" s="82">
        <v>4.3</v>
      </c>
      <c r="T162" s="82">
        <v>20</v>
      </c>
      <c r="U162" s="82">
        <v>23487</v>
      </c>
      <c r="V162" s="82">
        <v>11145</v>
      </c>
      <c r="W162" s="82">
        <v>4.0999999999999996</v>
      </c>
      <c r="X162" s="82">
        <v>57.2</v>
      </c>
      <c r="Y162" s="82">
        <v>30.3</v>
      </c>
      <c r="Z162" s="82">
        <v>63.8</v>
      </c>
      <c r="AA162" s="82">
        <v>12</v>
      </c>
      <c r="AB162" s="82">
        <v>12.3</v>
      </c>
      <c r="AC162" s="82">
        <v>12.4</v>
      </c>
      <c r="AD162" s="82">
        <v>53.9</v>
      </c>
      <c r="AE162" s="82">
        <v>97.5</v>
      </c>
      <c r="AF162" s="82">
        <v>1.2</v>
      </c>
      <c r="AG162" s="82">
        <v>0.4</v>
      </c>
      <c r="AH162" s="82">
        <v>0.8</v>
      </c>
      <c r="AI162" s="82">
        <v>0.1</v>
      </c>
      <c r="AJ162" s="82">
        <v>6.9</v>
      </c>
      <c r="AK162" s="82">
        <v>6.6</v>
      </c>
      <c r="AL162" s="82">
        <v>6.1</v>
      </c>
      <c r="AM162" s="82">
        <v>6</v>
      </c>
      <c r="AN162" s="82">
        <v>6.1</v>
      </c>
      <c r="AO162" s="82">
        <v>5.7</v>
      </c>
      <c r="AP162" s="82">
        <v>6.1</v>
      </c>
      <c r="AQ162" s="82">
        <v>6.1</v>
      </c>
      <c r="AR162" s="82">
        <v>4.5999999999999996</v>
      </c>
      <c r="AS162" s="82">
        <v>4.7</v>
      </c>
      <c r="AT162" s="82">
        <v>3.5</v>
      </c>
      <c r="AU162" s="82">
        <v>4</v>
      </c>
      <c r="AV162" s="82">
        <v>2.4</v>
      </c>
      <c r="AW162" s="82">
        <v>2.9</v>
      </c>
      <c r="AX162" s="82">
        <v>2.1</v>
      </c>
      <c r="AY162" s="82">
        <v>2.6</v>
      </c>
      <c r="AZ162" s="82">
        <v>1.7</v>
      </c>
      <c r="BA162" s="82">
        <v>2.6</v>
      </c>
      <c r="BB162" s="82">
        <v>1.7</v>
      </c>
      <c r="BC162" s="82">
        <v>1.7</v>
      </c>
      <c r="BD162" s="82">
        <v>1.4</v>
      </c>
      <c r="BE162" s="82">
        <v>2.2000000000000002</v>
      </c>
      <c r="BF162" s="82">
        <v>1.3</v>
      </c>
      <c r="BG162" s="82">
        <v>2.1</v>
      </c>
      <c r="BH162" s="82">
        <v>1.1000000000000001</v>
      </c>
      <c r="BI162" s="82">
        <v>1.7</v>
      </c>
      <c r="BJ162" s="82">
        <v>0.6</v>
      </c>
      <c r="BK162" s="82">
        <v>1.2</v>
      </c>
      <c r="BL162" s="82">
        <v>0.4</v>
      </c>
      <c r="BM162" s="82">
        <v>0.9</v>
      </c>
      <c r="BN162" s="82">
        <v>0.2</v>
      </c>
      <c r="BO162" s="82">
        <v>0.6</v>
      </c>
      <c r="BP162" s="82">
        <v>0.2</v>
      </c>
      <c r="BQ162" s="82">
        <v>0.6</v>
      </c>
      <c r="BR162" s="82">
        <v>0.1</v>
      </c>
      <c r="BS162" s="82">
        <v>0.5</v>
      </c>
      <c r="BT162" s="82">
        <v>12569</v>
      </c>
      <c r="BU162" s="82">
        <v>6483</v>
      </c>
      <c r="BV162" s="82">
        <v>4995</v>
      </c>
      <c r="BW162" s="82">
        <v>34304</v>
      </c>
      <c r="BX162" s="82">
        <v>16.600000000000001</v>
      </c>
      <c r="BY162" s="82">
        <v>6.9</v>
      </c>
      <c r="BZ162" s="82">
        <v>11.3</v>
      </c>
      <c r="CA162" s="82">
        <v>25.6</v>
      </c>
      <c r="CB162" s="82">
        <v>21.9</v>
      </c>
      <c r="CC162" s="82">
        <v>8.6999999999999993</v>
      </c>
      <c r="CD162" s="82">
        <v>4.5</v>
      </c>
      <c r="CE162" s="82">
        <v>2.6</v>
      </c>
      <c r="CF162" s="82">
        <v>1.4</v>
      </c>
      <c r="CG162" s="82">
        <v>0.2</v>
      </c>
      <c r="CH162" s="82">
        <v>0.1</v>
      </c>
      <c r="CI162" s="82">
        <v>0.1</v>
      </c>
      <c r="CJ162" s="82">
        <f t="shared" si="14"/>
        <v>58351</v>
      </c>
      <c r="CK162" s="82">
        <f t="shared" si="15"/>
        <v>101416.76354830861</v>
      </c>
      <c r="CL162" s="95">
        <f ca="1">$CK162*SUM(OFFSET($AJ162,0,(COUNTA($CL$1:CL$1)-1)*4,1,4))/100</f>
        <v>25962.691468367004</v>
      </c>
      <c r="CM162" s="95">
        <f ca="1">$CK162*SUM(OFFSET($AJ162,0,(COUNTA($CL$1:CM$1)-1)*4,1,4))/100</f>
        <v>24340.023251594062</v>
      </c>
      <c r="CN162" s="95">
        <f ca="1">$CK162*SUM(OFFSET($AJ162,0,(COUNTA($CL$1:CN$1)-1)*4,1,4))/100</f>
        <v>17038.016276115846</v>
      </c>
      <c r="CO162" s="95">
        <f ca="1">$CK162*SUM(OFFSET($AJ162,0,(COUNTA($CL$1:CO$1)-1)*4,1,4))/100</f>
        <v>10141.676354830861</v>
      </c>
      <c r="CP162" s="95">
        <f ca="1">$CK162*SUM(OFFSET($AJ162,0,(COUNTA($CL$1:CP$1)-1)*4,1,4))/100</f>
        <v>7809.0907932197624</v>
      </c>
      <c r="CQ162" s="95">
        <f ca="1">$CK162*SUM(OFFSET($AJ162,0,(COUNTA($CL$1:CQ$1)-1)*4,1,4))/100</f>
        <v>7099.1734483816017</v>
      </c>
      <c r="CR162" s="95">
        <f ca="1">$CK162*SUM(OFFSET($AJ162,0,(COUNTA($CL$1:CR$1)-1)*4,1,4))/100</f>
        <v>4665.1711232221951</v>
      </c>
      <c r="CS162" s="95">
        <f ca="1">$CK162*SUM(OFFSET($AJ162,0,(COUNTA($CL$1:CS$1)-1)*4,1,4))/100</f>
        <v>2129.7520345144808</v>
      </c>
      <c r="CT162" s="95">
        <f ca="1">$CK162*SUM(OFFSET($AJ162,0,(COUNTA($CL$1:CT$1)-1)*4,1,4))/100</f>
        <v>1419.8346896763205</v>
      </c>
      <c r="CU162" s="96">
        <f t="shared" si="16"/>
        <v>1614.1428571428571</v>
      </c>
      <c r="CV162" s="96">
        <f t="shared" si="17"/>
        <v>62.8301039771803</v>
      </c>
    </row>
    <row r="163" spans="1:100">
      <c r="A163" s="82" t="str">
        <f ca="1">IF(ISERROR(OFFSET(Map!$E$2,MATCH(D163,Map!$B$3:$B$239,0),0)),OFFSET(Map!$E$2,MATCH(D163,Map!$C$3:$C$239,0),0),OFFSET(Map!$E$2,MATCH(D163,Map!$B$3:$B$239,0),0))</f>
        <v>Harry Gwala</v>
      </c>
      <c r="B163" s="82">
        <v>162</v>
      </c>
      <c r="C163" s="82" t="s">
        <v>57</v>
      </c>
      <c r="D163" s="82" t="s">
        <v>526</v>
      </c>
      <c r="E163" s="82" t="s">
        <v>527</v>
      </c>
      <c r="F163" s="82">
        <v>180302</v>
      </c>
      <c r="G163" s="82">
        <v>40.799999999999997</v>
      </c>
      <c r="H163" s="82">
        <v>53.7</v>
      </c>
      <c r="I163" s="82">
        <f t="shared" si="12"/>
        <v>96822</v>
      </c>
      <c r="J163" s="82">
        <v>5.5</v>
      </c>
      <c r="K163" s="82">
        <v>86.2</v>
      </c>
      <c r="L163" s="82">
        <v>82.9</v>
      </c>
      <c r="M163" s="82">
        <v>0.34</v>
      </c>
      <c r="N163" s="82">
        <v>74</v>
      </c>
      <c r="O163" s="82">
        <v>46.6</v>
      </c>
      <c r="P163" s="82">
        <f t="shared" si="13"/>
        <v>51703</v>
      </c>
      <c r="Q163" s="82">
        <v>56.8</v>
      </c>
      <c r="R163" s="82">
        <v>6.4</v>
      </c>
      <c r="S163" s="82">
        <v>4.9000000000000004</v>
      </c>
      <c r="T163" s="82">
        <v>15.3</v>
      </c>
      <c r="U163" s="82">
        <v>42909</v>
      </c>
      <c r="V163" s="82">
        <v>24538</v>
      </c>
      <c r="W163" s="82">
        <v>4.0999999999999996</v>
      </c>
      <c r="X163" s="82">
        <v>60.3</v>
      </c>
      <c r="Y163" s="82">
        <v>32.700000000000003</v>
      </c>
      <c r="Z163" s="82">
        <v>68.099999999999994</v>
      </c>
      <c r="AA163" s="82">
        <v>6.4</v>
      </c>
      <c r="AB163" s="82">
        <v>8.3000000000000007</v>
      </c>
      <c r="AC163" s="82">
        <v>5.6</v>
      </c>
      <c r="AD163" s="82">
        <v>64.5</v>
      </c>
      <c r="AE163" s="82">
        <v>99.3</v>
      </c>
      <c r="AF163" s="82">
        <v>0.3</v>
      </c>
      <c r="AG163" s="82">
        <v>0.1</v>
      </c>
      <c r="AH163" s="82">
        <v>0.1</v>
      </c>
      <c r="AI163" s="82">
        <v>0.1</v>
      </c>
      <c r="AJ163" s="82">
        <v>7.4</v>
      </c>
      <c r="AK163" s="82">
        <v>7.3</v>
      </c>
      <c r="AL163" s="82">
        <v>6.7</v>
      </c>
      <c r="AM163" s="82">
        <v>6.6</v>
      </c>
      <c r="AN163" s="82">
        <v>6.6</v>
      </c>
      <c r="AO163" s="82">
        <v>6.3</v>
      </c>
      <c r="AP163" s="82">
        <v>6.7</v>
      </c>
      <c r="AQ163" s="82">
        <v>6.8</v>
      </c>
      <c r="AR163" s="82">
        <v>4.0999999999999996</v>
      </c>
      <c r="AS163" s="82">
        <v>5</v>
      </c>
      <c r="AT163" s="82">
        <v>2.7</v>
      </c>
      <c r="AU163" s="82">
        <v>3.8</v>
      </c>
      <c r="AV163" s="82">
        <v>2</v>
      </c>
      <c r="AW163" s="82">
        <v>2.9</v>
      </c>
      <c r="AX163" s="82">
        <v>1.7</v>
      </c>
      <c r="AY163" s="82">
        <v>2.4</v>
      </c>
      <c r="AZ163" s="82">
        <v>1.4</v>
      </c>
      <c r="BA163" s="82">
        <v>2.2999999999999998</v>
      </c>
      <c r="BB163" s="82">
        <v>1.3</v>
      </c>
      <c r="BC163" s="82">
        <v>1.3</v>
      </c>
      <c r="BD163" s="82">
        <v>1.3</v>
      </c>
      <c r="BE163" s="82">
        <v>2</v>
      </c>
      <c r="BF163" s="82">
        <v>1</v>
      </c>
      <c r="BG163" s="82">
        <v>1.8</v>
      </c>
      <c r="BH163" s="82">
        <v>1</v>
      </c>
      <c r="BI163" s="82">
        <v>1.5</v>
      </c>
      <c r="BJ163" s="82">
        <v>0.7</v>
      </c>
      <c r="BK163" s="82">
        <v>1.2</v>
      </c>
      <c r="BL163" s="82">
        <v>0.4</v>
      </c>
      <c r="BM163" s="82">
        <v>0.9</v>
      </c>
      <c r="BN163" s="82">
        <v>0.3</v>
      </c>
      <c r="BO163" s="82">
        <v>0.8</v>
      </c>
      <c r="BP163" s="82">
        <v>0.2</v>
      </c>
      <c r="BQ163" s="82">
        <v>0.6</v>
      </c>
      <c r="BR163" s="82">
        <v>0.1</v>
      </c>
      <c r="BS163" s="82">
        <v>0.3</v>
      </c>
      <c r="BT163" s="82">
        <v>14642</v>
      </c>
      <c r="BU163" s="82">
        <v>12761</v>
      </c>
      <c r="BV163" s="82">
        <v>11115</v>
      </c>
      <c r="BW163" s="82">
        <v>58314</v>
      </c>
      <c r="BX163" s="82">
        <v>15.6</v>
      </c>
      <c r="BY163" s="82">
        <v>7</v>
      </c>
      <c r="BZ163" s="82">
        <v>14.2</v>
      </c>
      <c r="CA163" s="82">
        <v>26.9</v>
      </c>
      <c r="CB163" s="82">
        <v>21.9</v>
      </c>
      <c r="CC163" s="82">
        <v>7.1</v>
      </c>
      <c r="CD163" s="82">
        <v>3.8</v>
      </c>
      <c r="CE163" s="82">
        <v>2.1</v>
      </c>
      <c r="CF163" s="82">
        <v>1</v>
      </c>
      <c r="CG163" s="82">
        <v>0.1</v>
      </c>
      <c r="CH163" s="82">
        <v>0.1</v>
      </c>
      <c r="CI163" s="82">
        <v>0.1</v>
      </c>
      <c r="CJ163" s="82">
        <f t="shared" si="14"/>
        <v>96832</v>
      </c>
      <c r="CK163" s="82">
        <f t="shared" si="15"/>
        <v>185894.87400010449</v>
      </c>
      <c r="CL163" s="95">
        <f ca="1">$CK163*SUM(OFFSET($AJ163,0,(COUNTA($CL$1:CL$1)-1)*4,1,4))/100</f>
        <v>52050.564720029251</v>
      </c>
      <c r="CM163" s="95">
        <f ca="1">$CK163*SUM(OFFSET($AJ163,0,(COUNTA($CL$1:CM$1)-1)*4,1,4))/100</f>
        <v>49076.246736027577</v>
      </c>
      <c r="CN163" s="95">
        <f ca="1">$CK163*SUM(OFFSET($AJ163,0,(COUNTA($CL$1:CN$1)-1)*4,1,4))/100</f>
        <v>28999.600344016304</v>
      </c>
      <c r="CO163" s="95">
        <f ca="1">$CK163*SUM(OFFSET($AJ163,0,(COUNTA($CL$1:CO$1)-1)*4,1,4))/100</f>
        <v>16730.538660009406</v>
      </c>
      <c r="CP163" s="95">
        <f ca="1">$CK163*SUM(OFFSET($AJ163,0,(COUNTA($CL$1:CP$1)-1)*4,1,4))/100</f>
        <v>11711.377062006584</v>
      </c>
      <c r="CQ163" s="95">
        <f ca="1">$CK163*SUM(OFFSET($AJ163,0,(COUNTA($CL$1:CQ$1)-1)*4,1,4))/100</f>
        <v>11339.587314006374</v>
      </c>
      <c r="CR163" s="95">
        <f ca="1">$CK163*SUM(OFFSET($AJ163,0,(COUNTA($CL$1:CR$1)-1)*4,1,4))/100</f>
        <v>8179.374456004598</v>
      </c>
      <c r="CS163" s="95">
        <f ca="1">$CK163*SUM(OFFSET($AJ163,0,(COUNTA($CL$1:CS$1)-1)*4,1,4))/100</f>
        <v>4461.4769760025083</v>
      </c>
      <c r="CT163" s="95">
        <f ca="1">$CK163*SUM(OFFSET($AJ163,0,(COUNTA($CL$1:CT$1)-1)*4,1,4))/100</f>
        <v>2230.7384880012537</v>
      </c>
      <c r="CU163" s="96">
        <f t="shared" si="16"/>
        <v>2436.5135135135133</v>
      </c>
      <c r="CV163" s="96">
        <f t="shared" si="17"/>
        <v>76.295441403909734</v>
      </c>
    </row>
    <row r="164" spans="1:100">
      <c r="A164" s="82" t="str">
        <f ca="1">IF(ISERROR(OFFSET(Map!$E$2,MATCH(D164,Map!$B$3:$B$239,0),0)),OFFSET(Map!$E$2,MATCH(D164,Map!$C$3:$C$239,0),0),OFFSET(Map!$E$2,MATCH(D164,Map!$B$3:$B$239,0),0))</f>
        <v>Bojanala</v>
      </c>
      <c r="B164" s="82">
        <v>163</v>
      </c>
      <c r="C164" s="82" t="s">
        <v>60</v>
      </c>
      <c r="D164" s="82" t="s">
        <v>528</v>
      </c>
      <c r="E164" s="82" t="s">
        <v>529</v>
      </c>
      <c r="F164" s="82">
        <v>186947</v>
      </c>
      <c r="G164" s="82">
        <v>30.9</v>
      </c>
      <c r="H164" s="82">
        <v>60.9</v>
      </c>
      <c r="I164" s="82">
        <f t="shared" si="12"/>
        <v>113851</v>
      </c>
      <c r="J164" s="82">
        <v>8.1999999999999993</v>
      </c>
      <c r="K164" s="82">
        <v>64.2</v>
      </c>
      <c r="L164" s="82">
        <v>95.2</v>
      </c>
      <c r="M164" s="82">
        <v>0.32</v>
      </c>
      <c r="N164" s="82">
        <v>136</v>
      </c>
      <c r="O164" s="82">
        <v>45.9</v>
      </c>
      <c r="P164" s="82">
        <f t="shared" si="13"/>
        <v>61593</v>
      </c>
      <c r="Q164" s="82">
        <v>57.2</v>
      </c>
      <c r="R164" s="82">
        <v>9.1</v>
      </c>
      <c r="S164" s="82">
        <v>4.5999999999999996</v>
      </c>
      <c r="T164" s="82">
        <v>27.2</v>
      </c>
      <c r="U164" s="82">
        <v>52063</v>
      </c>
      <c r="V164" s="82">
        <v>15668</v>
      </c>
      <c r="W164" s="82">
        <v>3.6</v>
      </c>
      <c r="X164" s="82">
        <v>43.5</v>
      </c>
      <c r="Y164" s="82">
        <v>84.5</v>
      </c>
      <c r="Z164" s="82">
        <v>73.099999999999994</v>
      </c>
      <c r="AA164" s="82">
        <v>4.4000000000000004</v>
      </c>
      <c r="AB164" s="82">
        <v>1</v>
      </c>
      <c r="AC164" s="82">
        <v>8.6999999999999993</v>
      </c>
      <c r="AD164" s="82">
        <v>92.2</v>
      </c>
      <c r="AE164" s="82">
        <v>99.4</v>
      </c>
      <c r="AF164" s="82">
        <v>0.2</v>
      </c>
      <c r="AG164" s="82">
        <v>0.1</v>
      </c>
      <c r="AH164" s="82">
        <v>0.2</v>
      </c>
      <c r="AI164" s="82">
        <v>0.1</v>
      </c>
      <c r="AJ164" s="82">
        <v>5.9</v>
      </c>
      <c r="AK164" s="82">
        <v>6</v>
      </c>
      <c r="AL164" s="82">
        <v>5</v>
      </c>
      <c r="AM164" s="82">
        <v>5</v>
      </c>
      <c r="AN164" s="82">
        <v>4.5999999999999996</v>
      </c>
      <c r="AO164" s="82">
        <v>4.4000000000000004</v>
      </c>
      <c r="AP164" s="82">
        <v>5.2</v>
      </c>
      <c r="AQ164" s="82">
        <v>4.8</v>
      </c>
      <c r="AR164" s="82">
        <v>5</v>
      </c>
      <c r="AS164" s="82">
        <v>4.5999999999999996</v>
      </c>
      <c r="AT164" s="82">
        <v>4.4000000000000004</v>
      </c>
      <c r="AU164" s="82">
        <v>4.3</v>
      </c>
      <c r="AV164" s="82">
        <v>3.5</v>
      </c>
      <c r="AW164" s="82">
        <v>3.3</v>
      </c>
      <c r="AX164" s="82">
        <v>2.8</v>
      </c>
      <c r="AY164" s="82">
        <v>2.9</v>
      </c>
      <c r="AZ164" s="82">
        <v>2.2000000000000002</v>
      </c>
      <c r="BA164" s="82">
        <v>2.5</v>
      </c>
      <c r="BB164" s="82">
        <v>2</v>
      </c>
      <c r="BC164" s="82">
        <v>2</v>
      </c>
      <c r="BD164" s="82">
        <v>1.9</v>
      </c>
      <c r="BE164" s="82">
        <v>2.2000000000000002</v>
      </c>
      <c r="BF164" s="82">
        <v>1.8</v>
      </c>
      <c r="BG164" s="82">
        <v>2.1</v>
      </c>
      <c r="BH164" s="82">
        <v>1.5</v>
      </c>
      <c r="BI164" s="82">
        <v>1.8</v>
      </c>
      <c r="BJ164" s="82">
        <v>1.1000000000000001</v>
      </c>
      <c r="BK164" s="82">
        <v>1.6</v>
      </c>
      <c r="BL164" s="82">
        <v>0.8</v>
      </c>
      <c r="BM164" s="82">
        <v>1.3</v>
      </c>
      <c r="BN164" s="82">
        <v>0.5</v>
      </c>
      <c r="BO164" s="82">
        <v>1</v>
      </c>
      <c r="BP164" s="82">
        <v>0.3</v>
      </c>
      <c r="BQ164" s="82">
        <v>0.7</v>
      </c>
      <c r="BR164" s="82">
        <v>0.3</v>
      </c>
      <c r="BS164" s="82">
        <v>0.6</v>
      </c>
      <c r="BT164" s="82">
        <v>29475</v>
      </c>
      <c r="BU164" s="82">
        <v>25053</v>
      </c>
      <c r="BV164" s="82">
        <v>8728</v>
      </c>
      <c r="BW164" s="82">
        <v>50580</v>
      </c>
      <c r="BX164" s="82">
        <v>19.899999999999999</v>
      </c>
      <c r="BY164" s="82">
        <v>5.2</v>
      </c>
      <c r="BZ164" s="82">
        <v>8.5</v>
      </c>
      <c r="CA164" s="82">
        <v>23.9</v>
      </c>
      <c r="CB164" s="82">
        <v>21.8</v>
      </c>
      <c r="CC164" s="82">
        <v>12.1</v>
      </c>
      <c r="CD164" s="82">
        <v>5.6</v>
      </c>
      <c r="CE164" s="82">
        <v>2.2000000000000002</v>
      </c>
      <c r="CF164" s="82">
        <v>0.7</v>
      </c>
      <c r="CG164" s="82">
        <v>0.1</v>
      </c>
      <c r="CH164" s="82">
        <v>0.1</v>
      </c>
      <c r="CI164" s="82">
        <v>0.1</v>
      </c>
      <c r="CJ164" s="82">
        <f t="shared" si="14"/>
        <v>113836</v>
      </c>
      <c r="CK164" s="82">
        <f t="shared" si="15"/>
        <v>192400.50679381622</v>
      </c>
      <c r="CL164" s="95">
        <f ca="1">$CK164*SUM(OFFSET($AJ164,0,(COUNTA($CL$1:CL$1)-1)*4,1,4))/100</f>
        <v>42135.710987845756</v>
      </c>
      <c r="CM164" s="95">
        <f ca="1">$CK164*SUM(OFFSET($AJ164,0,(COUNTA($CL$1:CM$1)-1)*4,1,4))/100</f>
        <v>36556.09629082508</v>
      </c>
      <c r="CN164" s="95">
        <f ca="1">$CK164*SUM(OFFSET($AJ164,0,(COUNTA($CL$1:CN$1)-1)*4,1,4))/100</f>
        <v>35209.292743268372</v>
      </c>
      <c r="CO164" s="95">
        <f ca="1">$CK164*SUM(OFFSET($AJ164,0,(COUNTA($CL$1:CO$1)-1)*4,1,4))/100</f>
        <v>24050.063349227028</v>
      </c>
      <c r="CP164" s="95">
        <f ca="1">$CK164*SUM(OFFSET($AJ164,0,(COUNTA($CL$1:CP$1)-1)*4,1,4))/100</f>
        <v>16738.844091062012</v>
      </c>
      <c r="CQ164" s="95">
        <f ca="1">$CK164*SUM(OFFSET($AJ164,0,(COUNTA($CL$1:CQ$1)-1)*4,1,4))/100</f>
        <v>15392.040543505298</v>
      </c>
      <c r="CR164" s="95">
        <f ca="1">$CK164*SUM(OFFSET($AJ164,0,(COUNTA($CL$1:CR$1)-1)*4,1,4))/100</f>
        <v>11544.030407628974</v>
      </c>
      <c r="CS164" s="95">
        <f ca="1">$CK164*SUM(OFFSET($AJ164,0,(COUNTA($CL$1:CS$1)-1)*4,1,4))/100</f>
        <v>6926.418244577384</v>
      </c>
      <c r="CT164" s="95">
        <f ca="1">$CK164*SUM(OFFSET($AJ164,0,(COUNTA($CL$1:CT$1)-1)*4,1,4))/100</f>
        <v>3655.609629082508</v>
      </c>
      <c r="CU164" s="96">
        <f t="shared" si="16"/>
        <v>1374.6102941176471</v>
      </c>
      <c r="CV164" s="96">
        <f t="shared" si="17"/>
        <v>139.96731118423406</v>
      </c>
    </row>
    <row r="165" spans="1:100">
      <c r="A165" s="82" t="str">
        <f ca="1">IF(ISERROR(OFFSET(Map!$E$2,MATCH(D165,Map!$B$3:$B$239,0),0)),OFFSET(Map!$E$2,MATCH(D165,Map!$C$3:$C$239,0),0),OFFSET(Map!$E$2,MATCH(D165,Map!$B$3:$B$239,0),0))</f>
        <v>Bojanala</v>
      </c>
      <c r="B165" s="82">
        <v>164</v>
      </c>
      <c r="C165" s="82" t="s">
        <v>60</v>
      </c>
      <c r="D165" s="82" t="s">
        <v>530</v>
      </c>
      <c r="E165" s="82" t="s">
        <v>531</v>
      </c>
      <c r="F165" s="82">
        <v>477381</v>
      </c>
      <c r="G165" s="82">
        <v>25.7</v>
      </c>
      <c r="H165" s="82">
        <v>69.2</v>
      </c>
      <c r="I165" s="82">
        <f t="shared" si="12"/>
        <v>330348</v>
      </c>
      <c r="J165" s="82">
        <v>5.0999999999999996</v>
      </c>
      <c r="K165" s="82">
        <v>44.4</v>
      </c>
      <c r="L165" s="82">
        <v>113.7</v>
      </c>
      <c r="M165" s="82">
        <v>3.17</v>
      </c>
      <c r="N165" s="82">
        <v>124</v>
      </c>
      <c r="O165" s="82">
        <v>30.4</v>
      </c>
      <c r="P165" s="82">
        <f t="shared" si="13"/>
        <v>229922</v>
      </c>
      <c r="Q165" s="82">
        <v>38.200000000000003</v>
      </c>
      <c r="R165" s="82">
        <v>7.8</v>
      </c>
      <c r="S165" s="82">
        <v>7.7</v>
      </c>
      <c r="T165" s="82">
        <v>27.3</v>
      </c>
      <c r="U165" s="82">
        <v>160724</v>
      </c>
      <c r="V165" s="82">
        <v>23621</v>
      </c>
      <c r="W165" s="82">
        <v>2.9</v>
      </c>
      <c r="X165" s="82">
        <v>30.3</v>
      </c>
      <c r="Y165" s="82">
        <v>59.2</v>
      </c>
      <c r="Z165" s="82">
        <v>54.1</v>
      </c>
      <c r="AA165" s="82">
        <v>27.2</v>
      </c>
      <c r="AB165" s="82">
        <v>25.7</v>
      </c>
      <c r="AC165" s="82">
        <v>22.2</v>
      </c>
      <c r="AD165" s="82">
        <v>81</v>
      </c>
      <c r="AE165" s="82">
        <v>89.3</v>
      </c>
      <c r="AF165" s="82">
        <v>0.9</v>
      </c>
      <c r="AG165" s="82">
        <v>0.5</v>
      </c>
      <c r="AH165" s="82">
        <v>8.9</v>
      </c>
      <c r="AI165" s="82">
        <v>0.4</v>
      </c>
      <c r="AJ165" s="82">
        <v>5.6</v>
      </c>
      <c r="AK165" s="82">
        <v>5.5</v>
      </c>
      <c r="AL165" s="82">
        <v>3.9</v>
      </c>
      <c r="AM165" s="82">
        <v>3.9</v>
      </c>
      <c r="AN165" s="82">
        <v>3.5</v>
      </c>
      <c r="AO165" s="82">
        <v>3.3</v>
      </c>
      <c r="AP165" s="82">
        <v>4</v>
      </c>
      <c r="AQ165" s="82">
        <v>3.8</v>
      </c>
      <c r="AR165" s="82">
        <v>6</v>
      </c>
      <c r="AS165" s="82">
        <v>5</v>
      </c>
      <c r="AT165" s="82">
        <v>6.4</v>
      </c>
      <c r="AU165" s="82">
        <v>4.9000000000000004</v>
      </c>
      <c r="AV165" s="82">
        <v>5.3</v>
      </c>
      <c r="AW165" s="82">
        <v>3.8</v>
      </c>
      <c r="AX165" s="82">
        <v>4.2</v>
      </c>
      <c r="AY165" s="82">
        <v>3.4</v>
      </c>
      <c r="AZ165" s="82">
        <v>3.3</v>
      </c>
      <c r="BA165" s="82">
        <v>2.7</v>
      </c>
      <c r="BB165" s="82">
        <v>3</v>
      </c>
      <c r="BC165" s="82">
        <v>3</v>
      </c>
      <c r="BD165" s="82">
        <v>2.5</v>
      </c>
      <c r="BE165" s="82">
        <v>2.1</v>
      </c>
      <c r="BF165" s="82">
        <v>2</v>
      </c>
      <c r="BG165" s="82">
        <v>1.8</v>
      </c>
      <c r="BH165" s="82">
        <v>1.3</v>
      </c>
      <c r="BI165" s="82">
        <v>1.3</v>
      </c>
      <c r="BJ165" s="82">
        <v>0.9</v>
      </c>
      <c r="BK165" s="82">
        <v>1</v>
      </c>
      <c r="BL165" s="82">
        <v>0.6</v>
      </c>
      <c r="BM165" s="82">
        <v>0.7</v>
      </c>
      <c r="BN165" s="82">
        <v>0.3</v>
      </c>
      <c r="BO165" s="82">
        <v>0.5</v>
      </c>
      <c r="BP165" s="82">
        <v>0.2</v>
      </c>
      <c r="BQ165" s="82">
        <v>0.3</v>
      </c>
      <c r="BR165" s="82">
        <v>0.1</v>
      </c>
      <c r="BS165" s="82">
        <v>0.3</v>
      </c>
      <c r="BT165" s="82">
        <v>149723</v>
      </c>
      <c r="BU165" s="82">
        <v>65488</v>
      </c>
      <c r="BV165" s="82">
        <v>11821</v>
      </c>
      <c r="BW165" s="82">
        <v>103472</v>
      </c>
      <c r="BX165" s="82">
        <v>16.2</v>
      </c>
      <c r="BY165" s="82">
        <v>3.4</v>
      </c>
      <c r="BZ165" s="82">
        <v>5.5</v>
      </c>
      <c r="CA165" s="82">
        <v>17.399999999999999</v>
      </c>
      <c r="CB165" s="82">
        <v>20</v>
      </c>
      <c r="CC165" s="82">
        <v>19.3</v>
      </c>
      <c r="CD165" s="82">
        <v>9.4</v>
      </c>
      <c r="CE165" s="82">
        <v>4.8</v>
      </c>
      <c r="CF165" s="82">
        <v>2.6</v>
      </c>
      <c r="CG165" s="82">
        <v>0.9</v>
      </c>
      <c r="CH165" s="82">
        <v>0.3</v>
      </c>
      <c r="CI165" s="82">
        <v>0.2</v>
      </c>
      <c r="CJ165" s="82">
        <f t="shared" si="14"/>
        <v>330504</v>
      </c>
      <c r="CK165" s="82">
        <f t="shared" si="15"/>
        <v>632187.64600854949</v>
      </c>
      <c r="CL165" s="95">
        <f ca="1">$CK165*SUM(OFFSET($AJ165,0,(COUNTA($CL$1:CL$1)-1)*4,1,4))/100</f>
        <v>119483.46509561586</v>
      </c>
      <c r="CM165" s="95">
        <f ca="1">$CK165*SUM(OFFSET($AJ165,0,(COUNTA($CL$1:CM$1)-1)*4,1,4))/100</f>
        <v>92299.396317248233</v>
      </c>
      <c r="CN165" s="95">
        <f ca="1">$CK165*SUM(OFFSET($AJ165,0,(COUNTA($CL$1:CN$1)-1)*4,1,4))/100</f>
        <v>140977.84505990651</v>
      </c>
      <c r="CO165" s="95">
        <f ca="1">$CK165*SUM(OFFSET($AJ165,0,(COUNTA($CL$1:CO$1)-1)*4,1,4))/100</f>
        <v>105575.33688342776</v>
      </c>
      <c r="CP165" s="95">
        <f ca="1">$CK165*SUM(OFFSET($AJ165,0,(COUNTA($CL$1:CP$1)-1)*4,1,4))/100</f>
        <v>75862.517521025933</v>
      </c>
      <c r="CQ165" s="95">
        <f ca="1">$CK165*SUM(OFFSET($AJ165,0,(COUNTA($CL$1:CQ$1)-1)*4,1,4))/100</f>
        <v>53103.762264718163</v>
      </c>
      <c r="CR165" s="95">
        <f ca="1">$CK165*SUM(OFFSET($AJ165,0,(COUNTA($CL$1:CR$1)-1)*4,1,4))/100</f>
        <v>28448.444070384725</v>
      </c>
      <c r="CS165" s="95">
        <f ca="1">$CK165*SUM(OFFSET($AJ165,0,(COUNTA($CL$1:CS$1)-1)*4,1,4))/100</f>
        <v>13275.940566179539</v>
      </c>
      <c r="CT165" s="95">
        <f ca="1">$CK165*SUM(OFFSET($AJ165,0,(COUNTA($CL$1:CT$1)-1)*4,1,4))/100</f>
        <v>5689.6888140769452</v>
      </c>
      <c r="CU165" s="96">
        <f t="shared" si="16"/>
        <v>3849.8467741935483</v>
      </c>
      <c r="CV165" s="96">
        <f t="shared" si="17"/>
        <v>164.21111880250814</v>
      </c>
    </row>
    <row r="166" spans="1:100">
      <c r="A166" s="82" t="str">
        <f ca="1">IF(ISERROR(OFFSET(Map!$E$2,MATCH(D166,Map!$B$3:$B$239,0),0)),OFFSET(Map!$E$2,MATCH(D166,Map!$C$3:$C$239,0),0),OFFSET(Map!$E$2,MATCH(D166,Map!$B$3:$B$239,0),0))</f>
        <v>Bojanala</v>
      </c>
      <c r="B166" s="82">
        <v>165</v>
      </c>
      <c r="C166" s="82" t="s">
        <v>60</v>
      </c>
      <c r="D166" s="82" t="s">
        <v>532</v>
      </c>
      <c r="E166" s="82" t="s">
        <v>533</v>
      </c>
      <c r="F166" s="82">
        <v>549575</v>
      </c>
      <c r="G166" s="82">
        <v>24.1</v>
      </c>
      <c r="H166" s="82">
        <v>72.5</v>
      </c>
      <c r="I166" s="82">
        <f t="shared" si="12"/>
        <v>398442</v>
      </c>
      <c r="J166" s="82">
        <v>3.4</v>
      </c>
      <c r="K166" s="82">
        <v>37.9</v>
      </c>
      <c r="L166" s="82">
        <v>121.8</v>
      </c>
      <c r="M166" s="82">
        <v>3.5</v>
      </c>
      <c r="N166" s="82">
        <v>161</v>
      </c>
      <c r="O166" s="82">
        <v>26.4</v>
      </c>
      <c r="P166" s="82">
        <f t="shared" si="13"/>
        <v>293253</v>
      </c>
      <c r="Q166" s="82">
        <v>34.700000000000003</v>
      </c>
      <c r="R166" s="82">
        <v>5.4</v>
      </c>
      <c r="S166" s="82">
        <v>8.9</v>
      </c>
      <c r="T166" s="82">
        <v>31</v>
      </c>
      <c r="U166" s="82">
        <v>199044</v>
      </c>
      <c r="V166" s="82">
        <v>17421</v>
      </c>
      <c r="W166" s="82">
        <v>2.5</v>
      </c>
      <c r="X166" s="82">
        <v>26.4</v>
      </c>
      <c r="Y166" s="82">
        <v>68.7</v>
      </c>
      <c r="Z166" s="82">
        <v>31.4</v>
      </c>
      <c r="AA166" s="82">
        <v>52.7</v>
      </c>
      <c r="AB166" s="82">
        <v>69.2</v>
      </c>
      <c r="AC166" s="82">
        <v>35.799999999999997</v>
      </c>
      <c r="AD166" s="82">
        <v>83</v>
      </c>
      <c r="AE166" s="82">
        <v>88.5</v>
      </c>
      <c r="AF166" s="82">
        <v>0.9</v>
      </c>
      <c r="AG166" s="82">
        <v>0.8</v>
      </c>
      <c r="AH166" s="82">
        <v>9.4</v>
      </c>
      <c r="AI166" s="82">
        <v>0.4</v>
      </c>
      <c r="AJ166" s="82">
        <v>5.3</v>
      </c>
      <c r="AK166" s="82">
        <v>5.0999999999999996</v>
      </c>
      <c r="AL166" s="82">
        <v>3.7</v>
      </c>
      <c r="AM166" s="82">
        <v>3.6</v>
      </c>
      <c r="AN166" s="82">
        <v>3.3</v>
      </c>
      <c r="AO166" s="82">
        <v>3.2</v>
      </c>
      <c r="AP166" s="82">
        <v>3.7</v>
      </c>
      <c r="AQ166" s="82">
        <v>3.6</v>
      </c>
      <c r="AR166" s="82">
        <v>5.8</v>
      </c>
      <c r="AS166" s="82">
        <v>4.9000000000000004</v>
      </c>
      <c r="AT166" s="82">
        <v>6.9</v>
      </c>
      <c r="AU166" s="82">
        <v>5.3</v>
      </c>
      <c r="AV166" s="82">
        <v>6.2</v>
      </c>
      <c r="AW166" s="82">
        <v>4.2</v>
      </c>
      <c r="AX166" s="82">
        <v>4.9000000000000004</v>
      </c>
      <c r="AY166" s="82">
        <v>3.5</v>
      </c>
      <c r="AZ166" s="82">
        <v>4.0999999999999996</v>
      </c>
      <c r="BA166" s="82">
        <v>3</v>
      </c>
      <c r="BB166" s="82">
        <v>3.9</v>
      </c>
      <c r="BC166" s="82">
        <v>3.9</v>
      </c>
      <c r="BD166" s="82">
        <v>3</v>
      </c>
      <c r="BE166" s="82">
        <v>1.9</v>
      </c>
      <c r="BF166" s="82">
        <v>1.9</v>
      </c>
      <c r="BG166" s="82">
        <v>1.3</v>
      </c>
      <c r="BH166" s="82">
        <v>1</v>
      </c>
      <c r="BI166" s="82">
        <v>0.9</v>
      </c>
      <c r="BJ166" s="82">
        <v>0.6</v>
      </c>
      <c r="BK166" s="82">
        <v>0.7</v>
      </c>
      <c r="BL166" s="82">
        <v>0.4</v>
      </c>
      <c r="BM166" s="82">
        <v>0.5</v>
      </c>
      <c r="BN166" s="82">
        <v>0.2</v>
      </c>
      <c r="BO166" s="82">
        <v>0.4</v>
      </c>
      <c r="BP166" s="82">
        <v>0.1</v>
      </c>
      <c r="BQ166" s="82">
        <v>0.2</v>
      </c>
      <c r="BR166" s="82">
        <v>0.1</v>
      </c>
      <c r="BS166" s="82">
        <v>0.2</v>
      </c>
      <c r="BT166" s="82">
        <v>196080</v>
      </c>
      <c r="BU166" s="82">
        <v>70391</v>
      </c>
      <c r="BV166" s="82">
        <v>11265</v>
      </c>
      <c r="BW166" s="82">
        <v>120867</v>
      </c>
      <c r="BX166" s="82">
        <v>16.8</v>
      </c>
      <c r="BY166" s="82">
        <v>2.7</v>
      </c>
      <c r="BZ166" s="82">
        <v>4.0999999999999996</v>
      </c>
      <c r="CA166" s="82">
        <v>11.2</v>
      </c>
      <c r="CB166" s="82">
        <v>17.2</v>
      </c>
      <c r="CC166" s="82">
        <v>23.1</v>
      </c>
      <c r="CD166" s="82">
        <v>12.1</v>
      </c>
      <c r="CE166" s="82">
        <v>7.1</v>
      </c>
      <c r="CF166" s="82">
        <v>4</v>
      </c>
      <c r="CG166" s="82">
        <v>1.2</v>
      </c>
      <c r="CH166" s="82">
        <v>0.3</v>
      </c>
      <c r="CI166" s="82">
        <v>0.2</v>
      </c>
      <c r="CJ166" s="82">
        <f t="shared" si="14"/>
        <v>398603</v>
      </c>
      <c r="CK166" s="82">
        <f t="shared" si="15"/>
        <v>749014.31291628268</v>
      </c>
      <c r="CL166" s="95">
        <f ca="1">$CK166*SUM(OFFSET($AJ166,0,(COUNTA($CL$1:CL$1)-1)*4,1,4))/100</f>
        <v>132575.53338618201</v>
      </c>
      <c r="CM166" s="95">
        <f ca="1">$CK166*SUM(OFFSET($AJ166,0,(COUNTA($CL$1:CM$1)-1)*4,1,4))/100</f>
        <v>103363.975182447</v>
      </c>
      <c r="CN166" s="95">
        <f ca="1">$CK166*SUM(OFFSET($AJ166,0,(COUNTA($CL$1:CN$1)-1)*4,1,4))/100</f>
        <v>171524.27765782873</v>
      </c>
      <c r="CO166" s="95">
        <f ca="1">$CK166*SUM(OFFSET($AJ166,0,(COUNTA($CL$1:CO$1)-1)*4,1,4))/100</f>
        <v>140814.69082826114</v>
      </c>
      <c r="CP166" s="95">
        <f ca="1">$CK166*SUM(OFFSET($AJ166,0,(COUNTA($CL$1:CP$1)-1)*4,1,4))/100</f>
        <v>111603.13262452612</v>
      </c>
      <c r="CQ166" s="95">
        <f ca="1">$CK166*SUM(OFFSET($AJ166,0,(COUNTA($CL$1:CQ$1)-1)*4,1,4))/100</f>
        <v>60670.159346218912</v>
      </c>
      <c r="CR166" s="95">
        <f ca="1">$CK166*SUM(OFFSET($AJ166,0,(COUNTA($CL$1:CR$1)-1)*4,1,4))/100</f>
        <v>23968.458013321044</v>
      </c>
      <c r="CS166" s="95">
        <f ca="1">$CK166*SUM(OFFSET($AJ166,0,(COUNTA($CL$1:CS$1)-1)*4,1,4))/100</f>
        <v>11235.214693744241</v>
      </c>
      <c r="CT166" s="95">
        <f ca="1">$CK166*SUM(OFFSET($AJ166,0,(COUNTA($CL$1:CT$1)-1)*4,1,4))/100</f>
        <v>4494.0858774976969</v>
      </c>
      <c r="CU166" s="96">
        <f t="shared" si="16"/>
        <v>3413.5093167701862</v>
      </c>
      <c r="CV166" s="96">
        <f t="shared" si="17"/>
        <v>219.42647387439661</v>
      </c>
    </row>
    <row r="167" spans="1:100">
      <c r="A167" s="82" t="str">
        <f ca="1">IF(ISERROR(OFFSET(Map!$E$2,MATCH(D167,Map!$B$3:$B$239,0),0)),OFFSET(Map!$E$2,MATCH(D167,Map!$C$3:$C$239,0),0),OFFSET(Map!$E$2,MATCH(D167,Map!$B$3:$B$239,0),0))</f>
        <v>Bojanala</v>
      </c>
      <c r="B167" s="82">
        <v>166</v>
      </c>
      <c r="C167" s="82" t="s">
        <v>60</v>
      </c>
      <c r="D167" s="82" t="s">
        <v>534</v>
      </c>
      <c r="E167" s="82" t="s">
        <v>535</v>
      </c>
      <c r="F167" s="82">
        <v>51049</v>
      </c>
      <c r="G167" s="82">
        <v>28.5</v>
      </c>
      <c r="H167" s="82">
        <v>65.599999999999994</v>
      </c>
      <c r="I167" s="82">
        <f t="shared" si="12"/>
        <v>33488</v>
      </c>
      <c r="J167" s="82">
        <v>5.9</v>
      </c>
      <c r="K167" s="82">
        <v>52.5</v>
      </c>
      <c r="L167" s="82">
        <v>112.6</v>
      </c>
      <c r="M167" s="82">
        <v>3.36</v>
      </c>
      <c r="N167" s="82">
        <v>13</v>
      </c>
      <c r="O167" s="82">
        <v>20.5</v>
      </c>
      <c r="P167" s="82">
        <f t="shared" si="13"/>
        <v>26623</v>
      </c>
      <c r="Q167" s="82">
        <v>26.7</v>
      </c>
      <c r="R167" s="82">
        <v>15.8</v>
      </c>
      <c r="S167" s="82">
        <v>6.3</v>
      </c>
      <c r="T167" s="82">
        <v>22.7</v>
      </c>
      <c r="U167" s="82">
        <v>14673</v>
      </c>
      <c r="V167" s="82">
        <v>2917</v>
      </c>
      <c r="W167" s="82">
        <v>3.1</v>
      </c>
      <c r="X167" s="82">
        <v>29.3</v>
      </c>
      <c r="Y167" s="82">
        <v>72</v>
      </c>
      <c r="Z167" s="82">
        <v>39.6</v>
      </c>
      <c r="AA167" s="82">
        <v>51.9</v>
      </c>
      <c r="AB167" s="82">
        <v>44.5</v>
      </c>
      <c r="AC167" s="82">
        <v>34.799999999999997</v>
      </c>
      <c r="AD167" s="82">
        <v>78</v>
      </c>
      <c r="AE167" s="82">
        <v>80.099999999999994</v>
      </c>
      <c r="AF167" s="82">
        <v>1.7</v>
      </c>
      <c r="AG167" s="82">
        <v>0.9</v>
      </c>
      <c r="AH167" s="82">
        <v>16.8</v>
      </c>
      <c r="AI167" s="82">
        <v>0.6</v>
      </c>
      <c r="AJ167" s="82">
        <v>5.7</v>
      </c>
      <c r="AK167" s="82">
        <v>5.0999999999999996</v>
      </c>
      <c r="AL167" s="82">
        <v>4.7</v>
      </c>
      <c r="AM167" s="82">
        <v>4.4000000000000004</v>
      </c>
      <c r="AN167" s="82">
        <v>4.3</v>
      </c>
      <c r="AO167" s="82">
        <v>4.2</v>
      </c>
      <c r="AP167" s="82">
        <v>4.5</v>
      </c>
      <c r="AQ167" s="82">
        <v>4.4000000000000004</v>
      </c>
      <c r="AR167" s="82">
        <v>5</v>
      </c>
      <c r="AS167" s="82">
        <v>4.0999999999999996</v>
      </c>
      <c r="AT167" s="82">
        <v>5.0999999999999996</v>
      </c>
      <c r="AU167" s="82">
        <v>3.9</v>
      </c>
      <c r="AV167" s="82">
        <v>4.2</v>
      </c>
      <c r="AW167" s="82">
        <v>3.5</v>
      </c>
      <c r="AX167" s="82">
        <v>3.9</v>
      </c>
      <c r="AY167" s="82">
        <v>3.3</v>
      </c>
      <c r="AZ167" s="82">
        <v>3.4</v>
      </c>
      <c r="BA167" s="82">
        <v>2.9</v>
      </c>
      <c r="BB167" s="82">
        <v>2.9</v>
      </c>
      <c r="BC167" s="82">
        <v>2.9</v>
      </c>
      <c r="BD167" s="82">
        <v>2.6</v>
      </c>
      <c r="BE167" s="82">
        <v>2.1</v>
      </c>
      <c r="BF167" s="82">
        <v>2</v>
      </c>
      <c r="BG167" s="82">
        <v>1.9</v>
      </c>
      <c r="BH167" s="82">
        <v>1.8</v>
      </c>
      <c r="BI167" s="82">
        <v>1.5</v>
      </c>
      <c r="BJ167" s="82">
        <v>1.1000000000000001</v>
      </c>
      <c r="BK167" s="82">
        <v>1</v>
      </c>
      <c r="BL167" s="82">
        <v>0.7</v>
      </c>
      <c r="BM167" s="82">
        <v>0.8</v>
      </c>
      <c r="BN167" s="82">
        <v>0.4</v>
      </c>
      <c r="BO167" s="82">
        <v>0.6</v>
      </c>
      <c r="BP167" s="82">
        <v>0.3</v>
      </c>
      <c r="BQ167" s="82">
        <v>0.4</v>
      </c>
      <c r="BR167" s="82">
        <v>0.2</v>
      </c>
      <c r="BS167" s="82">
        <v>0.3</v>
      </c>
      <c r="BT167" s="82">
        <v>14997</v>
      </c>
      <c r="BU167" s="82">
        <v>3862</v>
      </c>
      <c r="BV167" s="82">
        <v>1110</v>
      </c>
      <c r="BW167" s="82">
        <v>13502</v>
      </c>
      <c r="BX167" s="82">
        <v>15.4</v>
      </c>
      <c r="BY167" s="82">
        <v>3.8</v>
      </c>
      <c r="BZ167" s="82">
        <v>7.2</v>
      </c>
      <c r="CA167" s="82">
        <v>24.3</v>
      </c>
      <c r="CB167" s="82">
        <v>22.2</v>
      </c>
      <c r="CC167" s="82">
        <v>11.1</v>
      </c>
      <c r="CD167" s="82">
        <v>6.7</v>
      </c>
      <c r="CE167" s="82">
        <v>5.2</v>
      </c>
      <c r="CF167" s="82">
        <v>2.4</v>
      </c>
      <c r="CG167" s="82">
        <v>1</v>
      </c>
      <c r="CH167" s="82">
        <v>0.4</v>
      </c>
      <c r="CI167" s="82">
        <v>0.2</v>
      </c>
      <c r="CJ167" s="82">
        <f t="shared" si="14"/>
        <v>33471</v>
      </c>
      <c r="CK167" s="82">
        <f t="shared" si="15"/>
        <v>68732.120838627903</v>
      </c>
      <c r="CL167" s="95">
        <f ca="1">$CK167*SUM(OFFSET($AJ167,0,(COUNTA($CL$1:CL$1)-1)*4,1,4))/100</f>
        <v>13677.692046886952</v>
      </c>
      <c r="CM167" s="95">
        <f ca="1">$CK167*SUM(OFFSET($AJ167,0,(COUNTA($CL$1:CM$1)-1)*4,1,4))/100</f>
        <v>11959.389025921253</v>
      </c>
      <c r="CN167" s="95">
        <f ca="1">$CK167*SUM(OFFSET($AJ167,0,(COUNTA($CL$1:CN$1)-1)*4,1,4))/100</f>
        <v>12440.513871791649</v>
      </c>
      <c r="CO167" s="95">
        <f ca="1">$CK167*SUM(OFFSET($AJ167,0,(COUNTA($CL$1:CO$1)-1)*4,1,4))/100</f>
        <v>10241.086004955556</v>
      </c>
      <c r="CP167" s="95">
        <f ca="1">$CK167*SUM(OFFSET($AJ167,0,(COUNTA($CL$1:CP$1)-1)*4,1,4))/100</f>
        <v>8316.5866214739763</v>
      </c>
      <c r="CQ167" s="95">
        <f ca="1">$CK167*SUM(OFFSET($AJ167,0,(COUNTA($CL$1:CQ$1)-1)*4,1,4))/100</f>
        <v>5910.9623921219991</v>
      </c>
      <c r="CR167" s="95">
        <f ca="1">$CK167*SUM(OFFSET($AJ167,0,(COUNTA($CL$1:CR$1)-1)*4,1,4))/100</f>
        <v>3711.534525285907</v>
      </c>
      <c r="CS167" s="95">
        <f ca="1">$CK167*SUM(OFFSET($AJ167,0,(COUNTA($CL$1:CS$1)-1)*4,1,4))/100</f>
        <v>1718.3030209656977</v>
      </c>
      <c r="CT167" s="95">
        <f ca="1">$CK167*SUM(OFFSET($AJ167,0,(COUNTA($CL$1:CT$1)-1)*4,1,4))/100</f>
        <v>824.78545006353477</v>
      </c>
      <c r="CU167" s="96">
        <f t="shared" si="16"/>
        <v>3926.8461538461538</v>
      </c>
      <c r="CV167" s="96">
        <f t="shared" si="17"/>
        <v>17.503135632473953</v>
      </c>
    </row>
    <row r="168" spans="1:100">
      <c r="A168" s="82" t="str">
        <f ca="1">IF(ISERROR(OFFSET(Map!$E$2,MATCH(D168,Map!$B$3:$B$239,0),0)),OFFSET(Map!$E$2,MATCH(D168,Map!$C$3:$C$239,0),0),OFFSET(Map!$E$2,MATCH(D168,Map!$B$3:$B$239,0),0))</f>
        <v>Bojanala</v>
      </c>
      <c r="B168" s="82">
        <v>167</v>
      </c>
      <c r="C168" s="82" t="s">
        <v>60</v>
      </c>
      <c r="D168" s="82" t="s">
        <v>536</v>
      </c>
      <c r="E168" s="82" t="s">
        <v>537</v>
      </c>
      <c r="F168" s="82">
        <v>242554</v>
      </c>
      <c r="G168" s="82">
        <v>29.2</v>
      </c>
      <c r="H168" s="82">
        <v>63.1</v>
      </c>
      <c r="I168" s="82">
        <f t="shared" si="12"/>
        <v>153052</v>
      </c>
      <c r="J168" s="82">
        <v>7.7</v>
      </c>
      <c r="K168" s="82">
        <v>58.6</v>
      </c>
      <c r="L168" s="82">
        <v>98.8</v>
      </c>
      <c r="M168" s="82">
        <v>0.22</v>
      </c>
      <c r="N168" s="82">
        <v>42</v>
      </c>
      <c r="O168" s="82">
        <v>37.9</v>
      </c>
      <c r="P168" s="82">
        <f t="shared" si="13"/>
        <v>95045</v>
      </c>
      <c r="Q168" s="82">
        <v>47.4</v>
      </c>
      <c r="R168" s="82">
        <v>9.3000000000000007</v>
      </c>
      <c r="S168" s="82">
        <v>5.3</v>
      </c>
      <c r="T168" s="82">
        <v>27.4</v>
      </c>
      <c r="U168" s="82">
        <v>75193</v>
      </c>
      <c r="V168" s="82">
        <v>20846</v>
      </c>
      <c r="W168" s="82">
        <v>3.2</v>
      </c>
      <c r="X168" s="82">
        <v>44.1</v>
      </c>
      <c r="Y168" s="82">
        <v>78.3</v>
      </c>
      <c r="Z168" s="82">
        <v>62.3</v>
      </c>
      <c r="AA168" s="82">
        <v>12.3</v>
      </c>
      <c r="AB168" s="82">
        <v>80.8</v>
      </c>
      <c r="AC168" s="82">
        <v>18.600000000000001</v>
      </c>
      <c r="AD168" s="82">
        <v>89.9</v>
      </c>
      <c r="AE168" s="82">
        <v>98.3</v>
      </c>
      <c r="AF168" s="82">
        <v>0.3</v>
      </c>
      <c r="AG168" s="82">
        <v>0.5</v>
      </c>
      <c r="AH168" s="82">
        <v>0.8</v>
      </c>
      <c r="AI168" s="82">
        <v>0.2</v>
      </c>
      <c r="AJ168" s="82">
        <v>5.9</v>
      </c>
      <c r="AK168" s="82">
        <v>5.8</v>
      </c>
      <c r="AL168" s="82">
        <v>4.5999999999999996</v>
      </c>
      <c r="AM168" s="82">
        <v>4.5999999999999996</v>
      </c>
      <c r="AN168" s="82">
        <v>4.2</v>
      </c>
      <c r="AO168" s="82">
        <v>4</v>
      </c>
      <c r="AP168" s="82">
        <v>4.7</v>
      </c>
      <c r="AQ168" s="82">
        <v>4.4000000000000004</v>
      </c>
      <c r="AR168" s="82">
        <v>5</v>
      </c>
      <c r="AS168" s="82">
        <v>4.5999999999999996</v>
      </c>
      <c r="AT168" s="82">
        <v>4.8</v>
      </c>
      <c r="AU168" s="82">
        <v>4.0999999999999996</v>
      </c>
      <c r="AV168" s="82">
        <v>3.9</v>
      </c>
      <c r="AW168" s="82">
        <v>3.3</v>
      </c>
      <c r="AX168" s="82">
        <v>3.1</v>
      </c>
      <c r="AY168" s="82">
        <v>3</v>
      </c>
      <c r="AZ168" s="82">
        <v>2.5</v>
      </c>
      <c r="BA168" s="82">
        <v>2.8</v>
      </c>
      <c r="BB168" s="82">
        <v>2.4</v>
      </c>
      <c r="BC168" s="82">
        <v>2.4</v>
      </c>
      <c r="BD168" s="82">
        <v>2.2999999999999998</v>
      </c>
      <c r="BE168" s="82">
        <v>2.5</v>
      </c>
      <c r="BF168" s="82">
        <v>1.9</v>
      </c>
      <c r="BG168" s="82">
        <v>2.1</v>
      </c>
      <c r="BH168" s="82">
        <v>1.4</v>
      </c>
      <c r="BI168" s="82">
        <v>1.7</v>
      </c>
      <c r="BJ168" s="82">
        <v>1.2</v>
      </c>
      <c r="BK168" s="82">
        <v>1.5</v>
      </c>
      <c r="BL168" s="82">
        <v>0.8</v>
      </c>
      <c r="BM168" s="82">
        <v>1.2</v>
      </c>
      <c r="BN168" s="82">
        <v>0.5</v>
      </c>
      <c r="BO168" s="82">
        <v>0.9</v>
      </c>
      <c r="BP168" s="82">
        <v>0.3</v>
      </c>
      <c r="BQ168" s="82">
        <v>0.6</v>
      </c>
      <c r="BR168" s="82">
        <v>0.2</v>
      </c>
      <c r="BS168" s="82">
        <v>0.6</v>
      </c>
      <c r="BT168" s="82">
        <v>46416</v>
      </c>
      <c r="BU168" s="82">
        <v>28328</v>
      </c>
      <c r="BV168" s="82">
        <v>8369</v>
      </c>
      <c r="BW168" s="82">
        <v>69859</v>
      </c>
      <c r="BX168" s="82">
        <v>19.2</v>
      </c>
      <c r="BY168" s="82">
        <v>4.5</v>
      </c>
      <c r="BZ168" s="82">
        <v>6.8</v>
      </c>
      <c r="CA168" s="82">
        <v>22</v>
      </c>
      <c r="CB168" s="82">
        <v>17.5</v>
      </c>
      <c r="CC168" s="82">
        <v>14.7</v>
      </c>
      <c r="CD168" s="82">
        <v>9.5</v>
      </c>
      <c r="CE168" s="82">
        <v>4</v>
      </c>
      <c r="CF168" s="82">
        <v>1.4</v>
      </c>
      <c r="CG168" s="82">
        <v>0.3</v>
      </c>
      <c r="CH168" s="82">
        <v>0.1</v>
      </c>
      <c r="CI168" s="82">
        <v>0.1</v>
      </c>
      <c r="CJ168" s="82">
        <f t="shared" si="14"/>
        <v>152972</v>
      </c>
      <c r="CK168" s="82">
        <f t="shared" si="15"/>
        <v>247399.04947452518</v>
      </c>
      <c r="CL168" s="95">
        <f ca="1">$CK168*SUM(OFFSET($AJ168,0,(COUNTA($CL$1:CL$1)-1)*4,1,4))/100</f>
        <v>51706.401340175755</v>
      </c>
      <c r="CM168" s="95">
        <f ca="1">$CK168*SUM(OFFSET($AJ168,0,(COUNTA($CL$1:CM$1)-1)*4,1,4))/100</f>
        <v>42800.035559092852</v>
      </c>
      <c r="CN168" s="95">
        <f ca="1">$CK168*SUM(OFFSET($AJ168,0,(COUNTA($CL$1:CN$1)-1)*4,1,4))/100</f>
        <v>45768.824152787158</v>
      </c>
      <c r="CO168" s="95">
        <f ca="1">$CK168*SUM(OFFSET($AJ168,0,(COUNTA($CL$1:CO$1)-1)*4,1,4))/100</f>
        <v>32904.07358011185</v>
      </c>
      <c r="CP168" s="95">
        <f ca="1">$CK168*SUM(OFFSET($AJ168,0,(COUNTA($CL$1:CP$1)-1)*4,1,4))/100</f>
        <v>24987.303996927043</v>
      </c>
      <c r="CQ168" s="95">
        <f ca="1">$CK168*SUM(OFFSET($AJ168,0,(COUNTA($CL$1:CQ$1)-1)*4,1,4))/100</f>
        <v>21771.116353758214</v>
      </c>
      <c r="CR168" s="95">
        <f ca="1">$CK168*SUM(OFFSET($AJ168,0,(COUNTA($CL$1:CR$1)-1)*4,1,4))/100</f>
        <v>14349.144869522459</v>
      </c>
      <c r="CS168" s="95">
        <f ca="1">$CK168*SUM(OFFSET($AJ168,0,(COUNTA($CL$1:CS$1)-1)*4,1,4))/100</f>
        <v>8411.5676821338566</v>
      </c>
      <c r="CT168" s="95">
        <f ca="1">$CK168*SUM(OFFSET($AJ168,0,(COUNTA($CL$1:CT$1)-1)*4,1,4))/100</f>
        <v>4205.7838410669274</v>
      </c>
      <c r="CU168" s="96">
        <f t="shared" si="16"/>
        <v>5775.0952380952385</v>
      </c>
      <c r="CV168" s="96">
        <f t="shared" si="17"/>
        <v>42.838955770385382</v>
      </c>
    </row>
    <row r="169" spans="1:100">
      <c r="A169" s="82" t="str">
        <f ca="1">IF(ISERROR(OFFSET(Map!$E$2,MATCH(D169,Map!$B$3:$B$239,0),0)),OFFSET(Map!$E$2,MATCH(D169,Map!$C$3:$C$239,0),0),OFFSET(Map!$E$2,MATCH(D169,Map!$B$3:$B$239,0),0))</f>
        <v>Ngaka Modiri Molema</v>
      </c>
      <c r="B169" s="82">
        <v>168</v>
      </c>
      <c r="C169" s="82" t="s">
        <v>60</v>
      </c>
      <c r="D169" s="82" t="s">
        <v>538</v>
      </c>
      <c r="E169" s="82" t="s">
        <v>539</v>
      </c>
      <c r="F169" s="82">
        <v>107339</v>
      </c>
      <c r="G169" s="82">
        <v>38.700000000000003</v>
      </c>
      <c r="H169" s="82">
        <v>53.9</v>
      </c>
      <c r="I169" s="82">
        <f t="shared" si="12"/>
        <v>57856</v>
      </c>
      <c r="J169" s="82">
        <v>7.4</v>
      </c>
      <c r="K169" s="82">
        <v>85.6</v>
      </c>
      <c r="L169" s="82">
        <v>91.6</v>
      </c>
      <c r="M169" s="82">
        <v>0.11</v>
      </c>
      <c r="N169" s="82">
        <v>22</v>
      </c>
      <c r="O169" s="82">
        <v>43.9</v>
      </c>
      <c r="P169" s="82">
        <f t="shared" si="13"/>
        <v>32457</v>
      </c>
      <c r="Q169" s="82">
        <v>52.4</v>
      </c>
      <c r="R169" s="82">
        <v>28.9</v>
      </c>
      <c r="S169" s="82">
        <v>3.1</v>
      </c>
      <c r="T169" s="82">
        <v>11.2</v>
      </c>
      <c r="U169" s="82">
        <v>26889</v>
      </c>
      <c r="V169" s="82">
        <v>11348</v>
      </c>
      <c r="W169" s="82">
        <v>3.9</v>
      </c>
      <c r="X169" s="82">
        <v>49.5</v>
      </c>
      <c r="Y169" s="82">
        <v>89.9</v>
      </c>
      <c r="Z169" s="82">
        <v>54.1</v>
      </c>
      <c r="AA169" s="82">
        <v>1.8</v>
      </c>
      <c r="AB169" s="82">
        <v>0.8</v>
      </c>
      <c r="AC169" s="82">
        <v>5.2</v>
      </c>
      <c r="AD169" s="82">
        <v>83.7</v>
      </c>
      <c r="AE169" s="82">
        <v>98.2</v>
      </c>
      <c r="AF169" s="82">
        <v>0.7</v>
      </c>
      <c r="AG169" s="82">
        <v>0.2</v>
      </c>
      <c r="AH169" s="82">
        <v>0.7</v>
      </c>
      <c r="AI169" s="82">
        <v>0.1</v>
      </c>
      <c r="AJ169" s="82">
        <v>7</v>
      </c>
      <c r="AK169" s="82">
        <v>6.9</v>
      </c>
      <c r="AL169" s="82">
        <v>6.3</v>
      </c>
      <c r="AM169" s="82">
        <v>6.2</v>
      </c>
      <c r="AN169" s="82">
        <v>6.3</v>
      </c>
      <c r="AO169" s="82">
        <v>6</v>
      </c>
      <c r="AP169" s="82">
        <v>5.7</v>
      </c>
      <c r="AQ169" s="82">
        <v>5.3</v>
      </c>
      <c r="AR169" s="82">
        <v>3.9</v>
      </c>
      <c r="AS169" s="82">
        <v>4.2</v>
      </c>
      <c r="AT169" s="82">
        <v>2.9</v>
      </c>
      <c r="AU169" s="82">
        <v>3.4</v>
      </c>
      <c r="AV169" s="82">
        <v>2.4</v>
      </c>
      <c r="AW169" s="82">
        <v>2.7</v>
      </c>
      <c r="AX169" s="82">
        <v>2.1</v>
      </c>
      <c r="AY169" s="82">
        <v>2.6</v>
      </c>
      <c r="AZ169" s="82">
        <v>1.9</v>
      </c>
      <c r="BA169" s="82">
        <v>2.4</v>
      </c>
      <c r="BB169" s="82">
        <v>1.7</v>
      </c>
      <c r="BC169" s="82">
        <v>1.7</v>
      </c>
      <c r="BD169" s="82">
        <v>1.8</v>
      </c>
      <c r="BE169" s="82">
        <v>2.1</v>
      </c>
      <c r="BF169" s="82">
        <v>1.5</v>
      </c>
      <c r="BG169" s="82">
        <v>1.9</v>
      </c>
      <c r="BH169" s="82">
        <v>1.3</v>
      </c>
      <c r="BI169" s="82">
        <v>1.6</v>
      </c>
      <c r="BJ169" s="82">
        <v>1.1000000000000001</v>
      </c>
      <c r="BK169" s="82">
        <v>1.4</v>
      </c>
      <c r="BL169" s="82">
        <v>0.8</v>
      </c>
      <c r="BM169" s="82">
        <v>1.1000000000000001</v>
      </c>
      <c r="BN169" s="82">
        <v>0.5</v>
      </c>
      <c r="BO169" s="82">
        <v>0.8</v>
      </c>
      <c r="BP169" s="82">
        <v>0.3</v>
      </c>
      <c r="BQ169" s="82">
        <v>0.6</v>
      </c>
      <c r="BR169" s="82">
        <v>0.3</v>
      </c>
      <c r="BS169" s="82">
        <v>0.6</v>
      </c>
      <c r="BT169" s="82">
        <v>8812</v>
      </c>
      <c r="BU169" s="82">
        <v>6885</v>
      </c>
      <c r="BV169" s="82">
        <v>6587</v>
      </c>
      <c r="BW169" s="82">
        <v>35542</v>
      </c>
      <c r="BX169" s="82">
        <v>19</v>
      </c>
      <c r="BY169" s="82">
        <v>6.1</v>
      </c>
      <c r="BZ169" s="82">
        <v>10.9</v>
      </c>
      <c r="CA169" s="82">
        <v>28</v>
      </c>
      <c r="CB169" s="82">
        <v>22.4</v>
      </c>
      <c r="CC169" s="82">
        <v>7.5</v>
      </c>
      <c r="CD169" s="82">
        <v>3.1</v>
      </c>
      <c r="CE169" s="82">
        <v>2</v>
      </c>
      <c r="CF169" s="82">
        <v>0.6</v>
      </c>
      <c r="CG169" s="82">
        <v>0.1</v>
      </c>
      <c r="CH169" s="82">
        <v>0.1</v>
      </c>
      <c r="CI169" s="82">
        <v>0.1</v>
      </c>
      <c r="CJ169" s="82">
        <f t="shared" si="14"/>
        <v>57826</v>
      </c>
      <c r="CK169" s="82">
        <f t="shared" si="15"/>
        <v>108406.34380759297</v>
      </c>
      <c r="CL169" s="95">
        <f ca="1">$CK169*SUM(OFFSET($AJ169,0,(COUNTA($CL$1:CL$1)-1)*4,1,4))/100</f>
        <v>28619.274765204544</v>
      </c>
      <c r="CM169" s="95">
        <f ca="1">$CK169*SUM(OFFSET($AJ169,0,(COUNTA($CL$1:CM$1)-1)*4,1,4))/100</f>
        <v>25258.678107169162</v>
      </c>
      <c r="CN169" s="95">
        <f ca="1">$CK169*SUM(OFFSET($AJ169,0,(COUNTA($CL$1:CN$1)-1)*4,1,4))/100</f>
        <v>15610.513508293388</v>
      </c>
      <c r="CO169" s="95">
        <f ca="1">$CK169*SUM(OFFSET($AJ169,0,(COUNTA($CL$1:CO$1)-1)*4,1,4))/100</f>
        <v>10623.821693144109</v>
      </c>
      <c r="CP169" s="95">
        <f ca="1">$CK169*SUM(OFFSET($AJ169,0,(COUNTA($CL$1:CP$1)-1)*4,1,4))/100</f>
        <v>8347.2884731846589</v>
      </c>
      <c r="CQ169" s="95">
        <f ca="1">$CK169*SUM(OFFSET($AJ169,0,(COUNTA($CL$1:CQ$1)-1)*4,1,4))/100</f>
        <v>7913.6630979542879</v>
      </c>
      <c r="CR169" s="95">
        <f ca="1">$CK169*SUM(OFFSET($AJ169,0,(COUNTA($CL$1:CR$1)-1)*4,1,4))/100</f>
        <v>5853.9425656100211</v>
      </c>
      <c r="CS169" s="95">
        <f ca="1">$CK169*SUM(OFFSET($AJ169,0,(COUNTA($CL$1:CS$1)-1)*4,1,4))/100</f>
        <v>3469.0030018429757</v>
      </c>
      <c r="CT169" s="95">
        <f ca="1">$CK169*SUM(OFFSET($AJ169,0,(COUNTA($CL$1:CT$1)-1)*4,1,4))/100</f>
        <v>1951.3141885366733</v>
      </c>
      <c r="CU169" s="96">
        <f t="shared" si="16"/>
        <v>4879.045454545455</v>
      </c>
      <c r="CV169" s="96">
        <f t="shared" si="17"/>
        <v>22.21876078375097</v>
      </c>
    </row>
    <row r="170" spans="1:100">
      <c r="A170" s="82" t="str">
        <f ca="1">IF(ISERROR(OFFSET(Map!$E$2,MATCH(D170,Map!$B$3:$B$239,0),0)),OFFSET(Map!$E$2,MATCH(D170,Map!$C$3:$C$239,0),0),OFFSET(Map!$E$2,MATCH(D170,Map!$B$3:$B$239,0),0))</f>
        <v>Ngaka Modiri Molema</v>
      </c>
      <c r="B170" s="82">
        <v>169</v>
      </c>
      <c r="C170" s="82" t="s">
        <v>60</v>
      </c>
      <c r="D170" s="82" t="s">
        <v>540</v>
      </c>
      <c r="E170" s="82" t="s">
        <v>541</v>
      </c>
      <c r="F170" s="82">
        <v>124218</v>
      </c>
      <c r="G170" s="82">
        <v>36</v>
      </c>
      <c r="H170" s="82">
        <v>58</v>
      </c>
      <c r="I170" s="82">
        <f t="shared" si="12"/>
        <v>72046</v>
      </c>
      <c r="J170" s="82">
        <v>6</v>
      </c>
      <c r="K170" s="82">
        <v>72.400000000000006</v>
      </c>
      <c r="L170" s="82">
        <v>99.4</v>
      </c>
      <c r="M170" s="82">
        <v>0.84</v>
      </c>
      <c r="N170" s="82">
        <v>21</v>
      </c>
      <c r="O170" s="82">
        <v>28.7</v>
      </c>
      <c r="P170" s="82">
        <f t="shared" si="13"/>
        <v>51369</v>
      </c>
      <c r="Q170" s="82">
        <v>40.1</v>
      </c>
      <c r="R170" s="82">
        <v>22.9</v>
      </c>
      <c r="S170" s="82">
        <v>5.6</v>
      </c>
      <c r="T170" s="82">
        <v>15.7</v>
      </c>
      <c r="U170" s="82">
        <v>30634</v>
      </c>
      <c r="V170" s="82">
        <v>10023</v>
      </c>
      <c r="W170" s="82">
        <v>4</v>
      </c>
      <c r="X170" s="82">
        <v>36.700000000000003</v>
      </c>
      <c r="Y170" s="82">
        <v>77.5</v>
      </c>
      <c r="Z170" s="82">
        <v>56.9</v>
      </c>
      <c r="AA170" s="82">
        <v>32.1</v>
      </c>
      <c r="AB170" s="82">
        <v>16.3</v>
      </c>
      <c r="AC170" s="82">
        <v>21.4</v>
      </c>
      <c r="AD170" s="82">
        <v>73.7</v>
      </c>
      <c r="AE170" s="82">
        <v>92.4</v>
      </c>
      <c r="AF170" s="82">
        <v>1.4</v>
      </c>
      <c r="AG170" s="82">
        <v>0.3</v>
      </c>
      <c r="AH170" s="82">
        <v>5.6</v>
      </c>
      <c r="AI170" s="82">
        <v>0.2</v>
      </c>
      <c r="AJ170" s="82">
        <v>6.5</v>
      </c>
      <c r="AK170" s="82">
        <v>6.1</v>
      </c>
      <c r="AL170" s="82">
        <v>6</v>
      </c>
      <c r="AM170" s="82">
        <v>5.7</v>
      </c>
      <c r="AN170" s="82">
        <v>6.2</v>
      </c>
      <c r="AO170" s="82">
        <v>5.5</v>
      </c>
      <c r="AP170" s="82">
        <v>5.4</v>
      </c>
      <c r="AQ170" s="82">
        <v>5</v>
      </c>
      <c r="AR170" s="82">
        <v>4.4000000000000004</v>
      </c>
      <c r="AS170" s="82">
        <v>4.4000000000000004</v>
      </c>
      <c r="AT170" s="82">
        <v>3.6</v>
      </c>
      <c r="AU170" s="82">
        <v>3.8</v>
      </c>
      <c r="AV170" s="82">
        <v>2.9</v>
      </c>
      <c r="AW170" s="82">
        <v>2.9</v>
      </c>
      <c r="AX170" s="82">
        <v>2.6</v>
      </c>
      <c r="AY170" s="82">
        <v>2.8</v>
      </c>
      <c r="AZ170" s="82">
        <v>2.4</v>
      </c>
      <c r="BA170" s="82">
        <v>2.5</v>
      </c>
      <c r="BB170" s="82">
        <v>2.2999999999999998</v>
      </c>
      <c r="BC170" s="82">
        <v>2.2999999999999998</v>
      </c>
      <c r="BD170" s="82">
        <v>2.2000000000000002</v>
      </c>
      <c r="BE170" s="82">
        <v>2.2000000000000002</v>
      </c>
      <c r="BF170" s="82">
        <v>1.7</v>
      </c>
      <c r="BG170" s="82">
        <v>1.9</v>
      </c>
      <c r="BH170" s="82">
        <v>1.3</v>
      </c>
      <c r="BI170" s="82">
        <v>1.3</v>
      </c>
      <c r="BJ170" s="82">
        <v>1</v>
      </c>
      <c r="BK170" s="82">
        <v>1.1000000000000001</v>
      </c>
      <c r="BL170" s="82">
        <v>0.7</v>
      </c>
      <c r="BM170" s="82">
        <v>0.9</v>
      </c>
      <c r="BN170" s="82">
        <v>0.4</v>
      </c>
      <c r="BO170" s="82">
        <v>0.7</v>
      </c>
      <c r="BP170" s="82">
        <v>0.2</v>
      </c>
      <c r="BQ170" s="82">
        <v>0.4</v>
      </c>
      <c r="BR170" s="82">
        <v>0.2</v>
      </c>
      <c r="BS170" s="82">
        <v>0.4</v>
      </c>
      <c r="BT170" s="82">
        <v>20754</v>
      </c>
      <c r="BU170" s="82">
        <v>8350</v>
      </c>
      <c r="BV170" s="82">
        <v>5610</v>
      </c>
      <c r="BW170" s="82">
        <v>37353</v>
      </c>
      <c r="BX170" s="82">
        <v>13.3</v>
      </c>
      <c r="BY170" s="82">
        <v>4.9000000000000004</v>
      </c>
      <c r="BZ170" s="82">
        <v>9.9</v>
      </c>
      <c r="CA170" s="82">
        <v>25.3</v>
      </c>
      <c r="CB170" s="82">
        <v>24.9</v>
      </c>
      <c r="CC170" s="82">
        <v>10</v>
      </c>
      <c r="CD170" s="82">
        <v>5.5</v>
      </c>
      <c r="CE170" s="82">
        <v>3.6</v>
      </c>
      <c r="CF170" s="82">
        <v>1.7</v>
      </c>
      <c r="CG170" s="82">
        <v>0.5</v>
      </c>
      <c r="CH170" s="82">
        <v>0.2</v>
      </c>
      <c r="CI170" s="82">
        <v>0.2</v>
      </c>
      <c r="CJ170" s="82">
        <f t="shared" si="14"/>
        <v>72067</v>
      </c>
      <c r="CK170" s="82">
        <f t="shared" si="15"/>
        <v>133930.67743575803</v>
      </c>
      <c r="CL170" s="95">
        <f ca="1">$CK170*SUM(OFFSET($AJ170,0,(COUNTA($CL$1:CL$1)-1)*4,1,4))/100</f>
        <v>32545.154616889205</v>
      </c>
      <c r="CM170" s="95">
        <f ca="1">$CK170*SUM(OFFSET($AJ170,0,(COUNTA($CL$1:CM$1)-1)*4,1,4))/100</f>
        <v>29598.679713302525</v>
      </c>
      <c r="CN170" s="95">
        <f ca="1">$CK170*SUM(OFFSET($AJ170,0,(COUNTA($CL$1:CN$1)-1)*4,1,4))/100</f>
        <v>21696.769744592799</v>
      </c>
      <c r="CO170" s="95">
        <f ca="1">$CK170*SUM(OFFSET($AJ170,0,(COUNTA($CL$1:CO$1)-1)*4,1,4))/100</f>
        <v>15000.235872804897</v>
      </c>
      <c r="CP170" s="95">
        <f ca="1">$CK170*SUM(OFFSET($AJ170,0,(COUNTA($CL$1:CP$1)-1)*4,1,4))/100</f>
        <v>12723.414356397014</v>
      </c>
      <c r="CQ170" s="95">
        <f ca="1">$CK170*SUM(OFFSET($AJ170,0,(COUNTA($CL$1:CQ$1)-1)*4,1,4))/100</f>
        <v>10714.454194860642</v>
      </c>
      <c r="CR170" s="95">
        <f ca="1">$CK170*SUM(OFFSET($AJ170,0,(COUNTA($CL$1:CR$1)-1)*4,1,4))/100</f>
        <v>6294.7418394806273</v>
      </c>
      <c r="CS170" s="95">
        <f ca="1">$CK170*SUM(OFFSET($AJ170,0,(COUNTA($CL$1:CS$1)-1)*4,1,4))/100</f>
        <v>3616.1282907654672</v>
      </c>
      <c r="CT170" s="95">
        <f ca="1">$CK170*SUM(OFFSET($AJ170,0,(COUNTA($CL$1:CT$1)-1)*4,1,4))/100</f>
        <v>1607.1681292290966</v>
      </c>
      <c r="CU170" s="96">
        <f t="shared" si="16"/>
        <v>5915.1428571428569</v>
      </c>
      <c r="CV170" s="96">
        <f t="shared" si="17"/>
        <v>22.64200217481298</v>
      </c>
    </row>
    <row r="171" spans="1:100">
      <c r="A171" s="82" t="str">
        <f ca="1">IF(ISERROR(OFFSET(Map!$E$2,MATCH(D171,Map!$B$3:$B$239,0),0)),OFFSET(Map!$E$2,MATCH(D171,Map!$C$3:$C$239,0),0),OFFSET(Map!$E$2,MATCH(D171,Map!$B$3:$B$239,0),0))</f>
        <v>Ngaka Modiri Molema</v>
      </c>
      <c r="B171" s="82">
        <v>170</v>
      </c>
      <c r="C171" s="82" t="s">
        <v>60</v>
      </c>
      <c r="D171" s="82" t="s">
        <v>542</v>
      </c>
      <c r="E171" s="82" t="s">
        <v>543</v>
      </c>
      <c r="F171" s="82">
        <v>291527</v>
      </c>
      <c r="G171" s="82">
        <v>30.8</v>
      </c>
      <c r="H171" s="82">
        <v>64.400000000000006</v>
      </c>
      <c r="I171" s="82">
        <f t="shared" si="12"/>
        <v>187743</v>
      </c>
      <c r="J171" s="82">
        <v>4.8</v>
      </c>
      <c r="K171" s="82">
        <v>55.3</v>
      </c>
      <c r="L171" s="82">
        <v>94.5</v>
      </c>
      <c r="M171" s="82">
        <v>1.1599999999999999</v>
      </c>
      <c r="N171" s="82">
        <v>79</v>
      </c>
      <c r="O171" s="82">
        <v>35.700000000000003</v>
      </c>
      <c r="P171" s="82">
        <f t="shared" si="13"/>
        <v>120719</v>
      </c>
      <c r="Q171" s="82">
        <v>47.1</v>
      </c>
      <c r="R171" s="82">
        <v>10.3</v>
      </c>
      <c r="S171" s="82">
        <v>12.4</v>
      </c>
      <c r="T171" s="82">
        <v>26</v>
      </c>
      <c r="U171" s="82">
        <v>84239</v>
      </c>
      <c r="V171" s="82">
        <v>20483</v>
      </c>
      <c r="W171" s="82">
        <v>3.3</v>
      </c>
      <c r="X171" s="82">
        <v>44.4</v>
      </c>
      <c r="Y171" s="82">
        <v>87.3</v>
      </c>
      <c r="Z171" s="82">
        <v>51.6</v>
      </c>
      <c r="AA171" s="82">
        <v>29.2</v>
      </c>
      <c r="AB171" s="82">
        <v>59.8</v>
      </c>
      <c r="AC171" s="82">
        <v>30.9</v>
      </c>
      <c r="AD171" s="82">
        <v>84.5</v>
      </c>
      <c r="AE171" s="82">
        <v>95.5</v>
      </c>
      <c r="AF171" s="82">
        <v>2.2999999999999998</v>
      </c>
      <c r="AG171" s="82">
        <v>0.8</v>
      </c>
      <c r="AH171" s="82">
        <v>1.3</v>
      </c>
      <c r="AI171" s="82">
        <v>0.2</v>
      </c>
      <c r="AJ171" s="82">
        <v>5.7</v>
      </c>
      <c r="AK171" s="82">
        <v>5.7</v>
      </c>
      <c r="AL171" s="82">
        <v>4.9000000000000004</v>
      </c>
      <c r="AM171" s="82">
        <v>4.8</v>
      </c>
      <c r="AN171" s="82">
        <v>5</v>
      </c>
      <c r="AO171" s="82">
        <v>4.8</v>
      </c>
      <c r="AP171" s="82">
        <v>5.4</v>
      </c>
      <c r="AQ171" s="82">
        <v>5.4</v>
      </c>
      <c r="AR171" s="82">
        <v>5.2</v>
      </c>
      <c r="AS171" s="82">
        <v>5.0999999999999996</v>
      </c>
      <c r="AT171" s="82">
        <v>4.3</v>
      </c>
      <c r="AU171" s="82">
        <v>4.3</v>
      </c>
      <c r="AV171" s="82">
        <v>3.5</v>
      </c>
      <c r="AW171" s="82">
        <v>3.6</v>
      </c>
      <c r="AX171" s="82">
        <v>3</v>
      </c>
      <c r="AY171" s="82">
        <v>3.5</v>
      </c>
      <c r="AZ171" s="82">
        <v>2.8</v>
      </c>
      <c r="BA171" s="82">
        <v>3.2</v>
      </c>
      <c r="BB171" s="82">
        <v>2.4</v>
      </c>
      <c r="BC171" s="82">
        <v>2.4</v>
      </c>
      <c r="BD171" s="82">
        <v>2</v>
      </c>
      <c r="BE171" s="82">
        <v>2.2999999999999998</v>
      </c>
      <c r="BF171" s="82">
        <v>1.5</v>
      </c>
      <c r="BG171" s="82">
        <v>1.8</v>
      </c>
      <c r="BH171" s="82">
        <v>1.1000000000000001</v>
      </c>
      <c r="BI171" s="82">
        <v>1.3</v>
      </c>
      <c r="BJ171" s="82">
        <v>0.8</v>
      </c>
      <c r="BK171" s="82">
        <v>1</v>
      </c>
      <c r="BL171" s="82">
        <v>0.5</v>
      </c>
      <c r="BM171" s="82">
        <v>0.8</v>
      </c>
      <c r="BN171" s="82">
        <v>0.3</v>
      </c>
      <c r="BO171" s="82">
        <v>0.5</v>
      </c>
      <c r="BP171" s="82">
        <v>0.2</v>
      </c>
      <c r="BQ171" s="82">
        <v>0.3</v>
      </c>
      <c r="BR171" s="82">
        <v>0.2</v>
      </c>
      <c r="BS171" s="82">
        <v>0.3</v>
      </c>
      <c r="BT171" s="82">
        <v>59726</v>
      </c>
      <c r="BU171" s="82">
        <v>33167</v>
      </c>
      <c r="BV171" s="82">
        <v>12987</v>
      </c>
      <c r="BW171" s="82">
        <v>81863</v>
      </c>
      <c r="BX171" s="82">
        <v>16.3</v>
      </c>
      <c r="BY171" s="82">
        <v>5</v>
      </c>
      <c r="BZ171" s="82">
        <v>8.9</v>
      </c>
      <c r="CA171" s="82">
        <v>19.600000000000001</v>
      </c>
      <c r="CB171" s="82">
        <v>18.2</v>
      </c>
      <c r="CC171" s="82">
        <v>11.1</v>
      </c>
      <c r="CD171" s="82">
        <v>8.6999999999999993</v>
      </c>
      <c r="CE171" s="82">
        <v>6.9</v>
      </c>
      <c r="CF171" s="82">
        <v>3.5</v>
      </c>
      <c r="CG171" s="82">
        <v>1</v>
      </c>
      <c r="CH171" s="82">
        <v>0.3</v>
      </c>
      <c r="CI171" s="82">
        <v>0.3</v>
      </c>
      <c r="CJ171" s="82">
        <f t="shared" si="14"/>
        <v>187743</v>
      </c>
      <c r="CK171" s="82">
        <f t="shared" si="15"/>
        <v>323413.51873823669</v>
      </c>
      <c r="CL171" s="95">
        <f ca="1">$CK171*SUM(OFFSET($AJ171,0,(COUNTA($CL$1:CL$1)-1)*4,1,4))/100</f>
        <v>68240.252453767942</v>
      </c>
      <c r="CM171" s="95">
        <f ca="1">$CK171*SUM(OFFSET($AJ171,0,(COUNTA($CL$1:CM$1)-1)*4,1,4))/100</f>
        <v>66623.18486007677</v>
      </c>
      <c r="CN171" s="95">
        <f ca="1">$CK171*SUM(OFFSET($AJ171,0,(COUNTA($CL$1:CN$1)-1)*4,1,4))/100</f>
        <v>61125.155041526741</v>
      </c>
      <c r="CO171" s="95">
        <f ca="1">$CK171*SUM(OFFSET($AJ171,0,(COUNTA($CL$1:CO$1)-1)*4,1,4))/100</f>
        <v>43984.238548400186</v>
      </c>
      <c r="CP171" s="95">
        <f ca="1">$CK171*SUM(OFFSET($AJ171,0,(COUNTA($CL$1:CP$1)-1)*4,1,4))/100</f>
        <v>34928.660023729564</v>
      </c>
      <c r="CQ171" s="95">
        <f ca="1">$CK171*SUM(OFFSET($AJ171,0,(COUNTA($CL$1:CQ$1)-1)*4,1,4))/100</f>
        <v>24579.427424105987</v>
      </c>
      <c r="CR171" s="95">
        <f ca="1">$CK171*SUM(OFFSET($AJ171,0,(COUNTA($CL$1:CR$1)-1)*4,1,4))/100</f>
        <v>13583.36778700594</v>
      </c>
      <c r="CS171" s="95">
        <f ca="1">$CK171*SUM(OFFSET($AJ171,0,(COUNTA($CL$1:CS$1)-1)*4,1,4))/100</f>
        <v>6791.68389350297</v>
      </c>
      <c r="CT171" s="95">
        <f ca="1">$CK171*SUM(OFFSET($AJ171,0,(COUNTA($CL$1:CT$1)-1)*4,1,4))/100</f>
        <v>3234.1351873823669</v>
      </c>
      <c r="CU171" s="96">
        <f t="shared" si="16"/>
        <v>3690.2151898734178</v>
      </c>
      <c r="CV171" s="96">
        <f t="shared" si="17"/>
        <v>87.640829083826532</v>
      </c>
    </row>
    <row r="172" spans="1:100">
      <c r="A172" s="82" t="str">
        <f ca="1">IF(ISERROR(OFFSET(Map!$E$2,MATCH(D172,Map!$B$3:$B$239,0),0)),OFFSET(Map!$E$2,MATCH(D172,Map!$C$3:$C$239,0),0),OFFSET(Map!$E$2,MATCH(D172,Map!$B$3:$B$239,0),0))</f>
        <v>Ngaka Modiri Molema</v>
      </c>
      <c r="B172" s="82">
        <v>171</v>
      </c>
      <c r="C172" s="82" t="s">
        <v>60</v>
      </c>
      <c r="D172" s="82" t="s">
        <v>544</v>
      </c>
      <c r="E172" s="82" t="s">
        <v>545</v>
      </c>
      <c r="F172" s="82">
        <v>168902</v>
      </c>
      <c r="G172" s="82">
        <v>32.6</v>
      </c>
      <c r="H172" s="82">
        <v>61.9</v>
      </c>
      <c r="I172" s="82">
        <f t="shared" si="12"/>
        <v>104550</v>
      </c>
      <c r="J172" s="82">
        <v>5.5</v>
      </c>
      <c r="K172" s="82">
        <v>61.5</v>
      </c>
      <c r="L172" s="82">
        <v>102</v>
      </c>
      <c r="M172" s="82">
        <v>1.35</v>
      </c>
      <c r="N172" s="82">
        <v>26</v>
      </c>
      <c r="O172" s="82">
        <v>28.3</v>
      </c>
      <c r="P172" s="82">
        <f t="shared" si="13"/>
        <v>74963</v>
      </c>
      <c r="Q172" s="82">
        <v>37</v>
      </c>
      <c r="R172" s="82">
        <v>14.7</v>
      </c>
      <c r="S172" s="82">
        <v>6.7</v>
      </c>
      <c r="T172" s="82">
        <v>20</v>
      </c>
      <c r="U172" s="82">
        <v>44500</v>
      </c>
      <c r="V172" s="82">
        <v>9464</v>
      </c>
      <c r="W172" s="82">
        <v>3.7</v>
      </c>
      <c r="X172" s="82">
        <v>35.4</v>
      </c>
      <c r="Y172" s="82">
        <v>74.2</v>
      </c>
      <c r="Z172" s="82">
        <v>50.9</v>
      </c>
      <c r="AA172" s="82">
        <v>43.9</v>
      </c>
      <c r="AB172" s="82">
        <v>37.6</v>
      </c>
      <c r="AC172" s="82">
        <v>34.9</v>
      </c>
      <c r="AD172" s="82">
        <v>74</v>
      </c>
      <c r="AE172" s="82">
        <v>89.1</v>
      </c>
      <c r="AF172" s="82">
        <v>1.9</v>
      </c>
      <c r="AG172" s="82">
        <v>0.6</v>
      </c>
      <c r="AH172" s="82">
        <v>8.1999999999999993</v>
      </c>
      <c r="AI172" s="82">
        <v>0.3</v>
      </c>
      <c r="AJ172" s="82">
        <v>6.3</v>
      </c>
      <c r="AK172" s="82">
        <v>5.9</v>
      </c>
      <c r="AL172" s="82">
        <v>5.4</v>
      </c>
      <c r="AM172" s="82">
        <v>5.2</v>
      </c>
      <c r="AN172" s="82">
        <v>5</v>
      </c>
      <c r="AO172" s="82">
        <v>4.7</v>
      </c>
      <c r="AP172" s="82">
        <v>4.5999999999999996</v>
      </c>
      <c r="AQ172" s="82">
        <v>4.5</v>
      </c>
      <c r="AR172" s="82">
        <v>4.7</v>
      </c>
      <c r="AS172" s="82">
        <v>4.3</v>
      </c>
      <c r="AT172" s="82">
        <v>4.4000000000000004</v>
      </c>
      <c r="AU172" s="82">
        <v>4.0999999999999996</v>
      </c>
      <c r="AV172" s="82">
        <v>3.7</v>
      </c>
      <c r="AW172" s="82">
        <v>3.4</v>
      </c>
      <c r="AX172" s="82">
        <v>3.3</v>
      </c>
      <c r="AY172" s="82">
        <v>3.2</v>
      </c>
      <c r="AZ172" s="82">
        <v>2.9</v>
      </c>
      <c r="BA172" s="82">
        <v>2.8</v>
      </c>
      <c r="BB172" s="82">
        <v>2.5</v>
      </c>
      <c r="BC172" s="82">
        <v>2.5</v>
      </c>
      <c r="BD172" s="82">
        <v>2.2000000000000002</v>
      </c>
      <c r="BE172" s="82">
        <v>2.2999999999999998</v>
      </c>
      <c r="BF172" s="82">
        <v>1.8</v>
      </c>
      <c r="BG172" s="82">
        <v>1.9</v>
      </c>
      <c r="BH172" s="82">
        <v>1.2</v>
      </c>
      <c r="BI172" s="82">
        <v>1.4</v>
      </c>
      <c r="BJ172" s="82">
        <v>0.9</v>
      </c>
      <c r="BK172" s="82">
        <v>1.1000000000000001</v>
      </c>
      <c r="BL172" s="82">
        <v>0.7</v>
      </c>
      <c r="BM172" s="82">
        <v>0.8</v>
      </c>
      <c r="BN172" s="82">
        <v>0.3</v>
      </c>
      <c r="BO172" s="82">
        <v>0.6</v>
      </c>
      <c r="BP172" s="82">
        <v>0.2</v>
      </c>
      <c r="BQ172" s="82">
        <v>0.4</v>
      </c>
      <c r="BR172" s="82">
        <v>0.2</v>
      </c>
      <c r="BS172" s="82">
        <v>0.3</v>
      </c>
      <c r="BT172" s="82">
        <v>37605</v>
      </c>
      <c r="BU172" s="82">
        <v>14829</v>
      </c>
      <c r="BV172" s="82">
        <v>7151</v>
      </c>
      <c r="BW172" s="82">
        <v>45018</v>
      </c>
      <c r="BX172" s="82">
        <v>12.5</v>
      </c>
      <c r="BY172" s="82">
        <v>4.2</v>
      </c>
      <c r="BZ172" s="82">
        <v>8.5</v>
      </c>
      <c r="CA172" s="82">
        <v>22.3</v>
      </c>
      <c r="CB172" s="82">
        <v>24.4</v>
      </c>
      <c r="CC172" s="82">
        <v>12.1</v>
      </c>
      <c r="CD172" s="82">
        <v>7.2</v>
      </c>
      <c r="CE172" s="82">
        <v>5.0999999999999996</v>
      </c>
      <c r="CF172" s="82">
        <v>2.5</v>
      </c>
      <c r="CG172" s="82">
        <v>0.7</v>
      </c>
      <c r="CH172" s="82">
        <v>0.2</v>
      </c>
      <c r="CI172" s="82">
        <v>0.2</v>
      </c>
      <c r="CJ172" s="82">
        <f t="shared" si="14"/>
        <v>104603</v>
      </c>
      <c r="CK172" s="82">
        <f t="shared" si="15"/>
        <v>190567.38275224174</v>
      </c>
      <c r="CL172" s="95">
        <f ca="1">$CK172*SUM(OFFSET($AJ172,0,(COUNTA($CL$1:CL$1)-1)*4,1,4))/100</f>
        <v>43449.363267511122</v>
      </c>
      <c r="CM172" s="95">
        <f ca="1">$CK172*SUM(OFFSET($AJ172,0,(COUNTA($CL$1:CM$1)-1)*4,1,4))/100</f>
        <v>35826.667957421443</v>
      </c>
      <c r="CN172" s="95">
        <f ca="1">$CK172*SUM(OFFSET($AJ172,0,(COUNTA($CL$1:CN$1)-1)*4,1,4))/100</f>
        <v>33349.291981642309</v>
      </c>
      <c r="CO172" s="95">
        <f ca="1">$CK172*SUM(OFFSET($AJ172,0,(COUNTA($CL$1:CO$1)-1)*4,1,4))/100</f>
        <v>25917.164054304874</v>
      </c>
      <c r="CP172" s="95">
        <f ca="1">$CK172*SUM(OFFSET($AJ172,0,(COUNTA($CL$1:CP$1)-1)*4,1,4))/100</f>
        <v>20390.709954489867</v>
      </c>
      <c r="CQ172" s="95">
        <f ca="1">$CK172*SUM(OFFSET($AJ172,0,(COUNTA($CL$1:CQ$1)-1)*4,1,4))/100</f>
        <v>15626.525385683821</v>
      </c>
      <c r="CR172" s="95">
        <f ca="1">$CK172*SUM(OFFSET($AJ172,0,(COUNTA($CL$1:CR$1)-1)*4,1,4))/100</f>
        <v>8766.0996066031203</v>
      </c>
      <c r="CS172" s="95">
        <f ca="1">$CK172*SUM(OFFSET($AJ172,0,(COUNTA($CL$1:CS$1)-1)*4,1,4))/100</f>
        <v>4573.6171860538016</v>
      </c>
      <c r="CT172" s="95">
        <f ca="1">$CK172*SUM(OFFSET($AJ172,0,(COUNTA($CL$1:CT$1)-1)*4,1,4))/100</f>
        <v>2096.2412102746594</v>
      </c>
      <c r="CU172" s="96">
        <f t="shared" si="16"/>
        <v>6496.2307692307695</v>
      </c>
      <c r="CV172" s="96">
        <f t="shared" si="17"/>
        <v>29.335069753811588</v>
      </c>
    </row>
    <row r="173" spans="1:100">
      <c r="A173" s="82" t="str">
        <f ca="1">IF(ISERROR(OFFSET(Map!$E$2,MATCH(D173,Map!$B$3:$B$239,0),0)),OFFSET(Map!$E$2,MATCH(D173,Map!$C$3:$C$239,0),0),OFFSET(Map!$E$2,MATCH(D173,Map!$B$3:$B$239,0),0))</f>
        <v>Ngaka Modiri Molema</v>
      </c>
      <c r="B173" s="82">
        <v>172</v>
      </c>
      <c r="C173" s="82" t="s">
        <v>60</v>
      </c>
      <c r="D173" s="82" t="s">
        <v>546</v>
      </c>
      <c r="E173" s="82" t="s">
        <v>547</v>
      </c>
      <c r="F173" s="82">
        <v>150713</v>
      </c>
      <c r="G173" s="82">
        <v>32.9</v>
      </c>
      <c r="H173" s="82">
        <v>59.7</v>
      </c>
      <c r="I173" s="82">
        <f t="shared" si="12"/>
        <v>89976</v>
      </c>
      <c r="J173" s="82">
        <v>7.5</v>
      </c>
      <c r="K173" s="82">
        <v>67.599999999999994</v>
      </c>
      <c r="L173" s="82">
        <v>94.5</v>
      </c>
      <c r="M173" s="82">
        <v>0.92</v>
      </c>
      <c r="N173" s="82">
        <v>21</v>
      </c>
      <c r="O173" s="82">
        <v>36.200000000000003</v>
      </c>
      <c r="P173" s="82">
        <f t="shared" si="13"/>
        <v>57404</v>
      </c>
      <c r="Q173" s="82">
        <v>45.8</v>
      </c>
      <c r="R173" s="82">
        <v>20.7</v>
      </c>
      <c r="S173" s="82">
        <v>6.4</v>
      </c>
      <c r="T173" s="82">
        <v>21.1</v>
      </c>
      <c r="U173" s="82">
        <v>40740</v>
      </c>
      <c r="V173" s="82">
        <v>14371</v>
      </c>
      <c r="W173" s="82">
        <v>3.6</v>
      </c>
      <c r="X173" s="82">
        <v>46.1</v>
      </c>
      <c r="Y173" s="82">
        <v>81.5</v>
      </c>
      <c r="Z173" s="82">
        <v>70.099999999999994</v>
      </c>
      <c r="AA173" s="82">
        <v>22.3</v>
      </c>
      <c r="AB173" s="82">
        <v>19.7</v>
      </c>
      <c r="AC173" s="82">
        <v>19</v>
      </c>
      <c r="AD173" s="82">
        <v>81.900000000000006</v>
      </c>
      <c r="AE173" s="82">
        <v>94.4</v>
      </c>
      <c r="AF173" s="82">
        <v>0.9</v>
      </c>
      <c r="AG173" s="82">
        <v>0.7</v>
      </c>
      <c r="AH173" s="82">
        <v>3.8</v>
      </c>
      <c r="AI173" s="82">
        <v>0.3</v>
      </c>
      <c r="AJ173" s="82">
        <v>6.3</v>
      </c>
      <c r="AK173" s="82">
        <v>6</v>
      </c>
      <c r="AL173" s="82">
        <v>5.4</v>
      </c>
      <c r="AM173" s="82">
        <v>5.2</v>
      </c>
      <c r="AN173" s="82">
        <v>5.2</v>
      </c>
      <c r="AO173" s="82">
        <v>4.8</v>
      </c>
      <c r="AP173" s="82">
        <v>4.9000000000000004</v>
      </c>
      <c r="AQ173" s="82">
        <v>4.7</v>
      </c>
      <c r="AR173" s="82">
        <v>4.5999999999999996</v>
      </c>
      <c r="AS173" s="82">
        <v>4.3</v>
      </c>
      <c r="AT173" s="82">
        <v>3.5</v>
      </c>
      <c r="AU173" s="82">
        <v>3.8</v>
      </c>
      <c r="AV173" s="82">
        <v>3.2</v>
      </c>
      <c r="AW173" s="82">
        <v>3.2</v>
      </c>
      <c r="AX173" s="82">
        <v>2.8</v>
      </c>
      <c r="AY173" s="82">
        <v>3.2</v>
      </c>
      <c r="AZ173" s="82">
        <v>2.4</v>
      </c>
      <c r="BA173" s="82">
        <v>2.8</v>
      </c>
      <c r="BB173" s="82">
        <v>2.1</v>
      </c>
      <c r="BC173" s="82">
        <v>2.1</v>
      </c>
      <c r="BD173" s="82">
        <v>2</v>
      </c>
      <c r="BE173" s="82">
        <v>2.2999999999999998</v>
      </c>
      <c r="BF173" s="82">
        <v>1.8</v>
      </c>
      <c r="BG173" s="82">
        <v>2.1</v>
      </c>
      <c r="BH173" s="82">
        <v>1.4</v>
      </c>
      <c r="BI173" s="82">
        <v>1.8</v>
      </c>
      <c r="BJ173" s="82">
        <v>1.1000000000000001</v>
      </c>
      <c r="BK173" s="82">
        <v>1.5</v>
      </c>
      <c r="BL173" s="82">
        <v>0.8</v>
      </c>
      <c r="BM173" s="82">
        <v>1.1000000000000001</v>
      </c>
      <c r="BN173" s="82">
        <v>0.5</v>
      </c>
      <c r="BO173" s="82">
        <v>0.8</v>
      </c>
      <c r="BP173" s="82">
        <v>0.3</v>
      </c>
      <c r="BQ173" s="82">
        <v>0.6</v>
      </c>
      <c r="BR173" s="82">
        <v>0.3</v>
      </c>
      <c r="BS173" s="82">
        <v>0.6</v>
      </c>
      <c r="BT173" s="82">
        <v>22437</v>
      </c>
      <c r="BU173" s="82">
        <v>12743</v>
      </c>
      <c r="BV173" s="82">
        <v>9030</v>
      </c>
      <c r="BW173" s="82">
        <v>45719</v>
      </c>
      <c r="BX173" s="82">
        <v>14.9</v>
      </c>
      <c r="BY173" s="82">
        <v>5.0999999999999996</v>
      </c>
      <c r="BZ173" s="82">
        <v>10</v>
      </c>
      <c r="CA173" s="82">
        <v>24.2</v>
      </c>
      <c r="CB173" s="82">
        <v>22.4</v>
      </c>
      <c r="CC173" s="82">
        <v>10.3</v>
      </c>
      <c r="CD173" s="82">
        <v>6.9</v>
      </c>
      <c r="CE173" s="82">
        <v>4.0999999999999996</v>
      </c>
      <c r="CF173" s="82">
        <v>1.5</v>
      </c>
      <c r="CG173" s="82">
        <v>0.3</v>
      </c>
      <c r="CH173" s="82">
        <v>0.2</v>
      </c>
      <c r="CI173" s="82">
        <v>0.1</v>
      </c>
      <c r="CJ173" s="82">
        <f t="shared" si="14"/>
        <v>89929</v>
      </c>
      <c r="CK173" s="82">
        <f t="shared" si="15"/>
        <v>163661.26034665629</v>
      </c>
      <c r="CL173" s="95">
        <f ca="1">$CK173*SUM(OFFSET($AJ173,0,(COUNTA($CL$1:CL$1)-1)*4,1,4))/100</f>
        <v>37478.428619384293</v>
      </c>
      <c r="CM173" s="95">
        <f ca="1">$CK173*SUM(OFFSET($AJ173,0,(COUNTA($CL$1:CM$1)-1)*4,1,4))/100</f>
        <v>32077.607027944632</v>
      </c>
      <c r="CN173" s="95">
        <f ca="1">$CK173*SUM(OFFSET($AJ173,0,(COUNTA($CL$1:CN$1)-1)*4,1,4))/100</f>
        <v>26513.124176158319</v>
      </c>
      <c r="CO173" s="95">
        <f ca="1">$CK173*SUM(OFFSET($AJ173,0,(COUNTA($CL$1:CO$1)-1)*4,1,4))/100</f>
        <v>20293.996282985379</v>
      </c>
      <c r="CP173" s="95">
        <f ca="1">$CK173*SUM(OFFSET($AJ173,0,(COUNTA($CL$1:CP$1)-1)*4,1,4))/100</f>
        <v>15384.15847258569</v>
      </c>
      <c r="CQ173" s="95">
        <f ca="1">$CK173*SUM(OFFSET($AJ173,0,(COUNTA($CL$1:CQ$1)-1)*4,1,4))/100</f>
        <v>13420.223348425816</v>
      </c>
      <c r="CR173" s="95">
        <f ca="1">$CK173*SUM(OFFSET($AJ173,0,(COUNTA($CL$1:CR$1)-1)*4,1,4))/100</f>
        <v>9492.3531001060655</v>
      </c>
      <c r="CS173" s="95">
        <f ca="1">$CK173*SUM(OFFSET($AJ173,0,(COUNTA($CL$1:CS$1)-1)*4,1,4))/100</f>
        <v>5237.1603310930013</v>
      </c>
      <c r="CT173" s="95">
        <f ca="1">$CK173*SUM(OFFSET($AJ173,0,(COUNTA($CL$1:CT$1)-1)*4,1,4))/100</f>
        <v>2945.9026862398127</v>
      </c>
      <c r="CU173" s="96">
        <f t="shared" si="16"/>
        <v>7176.8095238095239</v>
      </c>
      <c r="CV173" s="96">
        <f t="shared" si="17"/>
        <v>22.804180576856556</v>
      </c>
    </row>
    <row r="174" spans="1:100" s="35" customFormat="1">
      <c r="A174" s="82" t="str">
        <f ca="1">IF(ISERROR(OFFSET(Map!$E$2,MATCH(D174,Map!$B$3:$B$239,0),0)),OFFSET(Map!$E$2,MATCH(D174,Map!$C$3:$C$239,0),0),OFFSET(Map!$E$2,MATCH(D174,Map!$B$3:$B$239,0),0))</f>
        <v>Dr Ruth Segomotsi Mompati</v>
      </c>
      <c r="B174" s="35">
        <v>173</v>
      </c>
      <c r="C174" s="35" t="s">
        <v>60</v>
      </c>
      <c r="D174" s="35" t="s">
        <v>548</v>
      </c>
      <c r="E174" s="35" t="s">
        <v>340</v>
      </c>
      <c r="F174" s="35">
        <v>66781</v>
      </c>
      <c r="G174" s="35">
        <v>31</v>
      </c>
      <c r="H174" s="35">
        <v>64</v>
      </c>
      <c r="I174" s="35">
        <f t="shared" si="12"/>
        <v>42740</v>
      </c>
      <c r="J174" s="35">
        <v>5</v>
      </c>
      <c r="K174" s="35">
        <v>56.2</v>
      </c>
      <c r="L174" s="35">
        <v>100.7</v>
      </c>
      <c r="M174" s="35">
        <v>1.71</v>
      </c>
      <c r="N174" s="35">
        <v>10</v>
      </c>
      <c r="O174" s="35">
        <v>26.1</v>
      </c>
      <c r="P174" s="35">
        <f t="shared" si="13"/>
        <v>31585</v>
      </c>
      <c r="Q174" s="35">
        <v>35.5</v>
      </c>
      <c r="R174" s="35">
        <v>16.600000000000001</v>
      </c>
      <c r="S174" s="35">
        <v>9.1</v>
      </c>
      <c r="T174" s="35">
        <v>22.2</v>
      </c>
      <c r="U174" s="35">
        <v>18572</v>
      </c>
      <c r="V174" s="35">
        <v>2937</v>
      </c>
      <c r="W174" s="35">
        <v>3.4</v>
      </c>
      <c r="X174" s="35">
        <v>35.299999999999997</v>
      </c>
      <c r="Y174" s="35">
        <v>81.2</v>
      </c>
      <c r="Z174" s="35">
        <v>41.8</v>
      </c>
      <c r="AA174" s="35">
        <v>65.400000000000006</v>
      </c>
      <c r="AB174" s="35">
        <v>66.400000000000006</v>
      </c>
      <c r="AC174" s="35">
        <v>40.9</v>
      </c>
      <c r="AD174" s="35">
        <v>76.7</v>
      </c>
      <c r="AE174" s="35">
        <v>74</v>
      </c>
      <c r="AF174" s="35">
        <v>14.7</v>
      </c>
      <c r="AG174" s="35">
        <v>1.1000000000000001</v>
      </c>
      <c r="AH174" s="35">
        <v>9.5</v>
      </c>
      <c r="AI174" s="35">
        <v>0.6</v>
      </c>
      <c r="AJ174" s="35">
        <v>6.1</v>
      </c>
      <c r="AK174" s="35">
        <v>5.8</v>
      </c>
      <c r="AL174" s="35">
        <v>5.2</v>
      </c>
      <c r="AM174" s="35">
        <v>4.9000000000000004</v>
      </c>
      <c r="AN174" s="35">
        <v>4.5999999999999996</v>
      </c>
      <c r="AO174" s="35">
        <v>4.4000000000000004</v>
      </c>
      <c r="AP174" s="35">
        <v>4.5999999999999996</v>
      </c>
      <c r="AQ174" s="35">
        <v>4.5</v>
      </c>
      <c r="AR174" s="35">
        <v>4.3</v>
      </c>
      <c r="AS174" s="35">
        <v>4.4000000000000004</v>
      </c>
      <c r="AT174" s="35">
        <v>4.5</v>
      </c>
      <c r="AU174" s="35">
        <v>4.4000000000000004</v>
      </c>
      <c r="AV174" s="35">
        <v>3.8</v>
      </c>
      <c r="AW174" s="35">
        <v>3.6</v>
      </c>
      <c r="AX174" s="35">
        <v>3.7</v>
      </c>
      <c r="AY174" s="35">
        <v>3.4</v>
      </c>
      <c r="AZ174" s="35">
        <v>3</v>
      </c>
      <c r="BA174" s="35">
        <v>3</v>
      </c>
      <c r="BB174" s="35">
        <v>2.7</v>
      </c>
      <c r="BC174" s="35">
        <v>2.7</v>
      </c>
      <c r="BD174" s="35">
        <v>2.5</v>
      </c>
      <c r="BE174" s="35">
        <v>2.5</v>
      </c>
      <c r="BF174" s="35">
        <v>1.9</v>
      </c>
      <c r="BG174" s="35">
        <v>2</v>
      </c>
      <c r="BH174" s="35">
        <v>1.2</v>
      </c>
      <c r="BI174" s="35">
        <v>1.3</v>
      </c>
      <c r="BJ174" s="35">
        <v>0.8</v>
      </c>
      <c r="BK174" s="35">
        <v>1.1000000000000001</v>
      </c>
      <c r="BL174" s="35">
        <v>0.5</v>
      </c>
      <c r="BM174" s="35">
        <v>0.7</v>
      </c>
      <c r="BN174" s="35">
        <v>0.4</v>
      </c>
      <c r="BO174" s="35">
        <v>0.6</v>
      </c>
      <c r="BP174" s="35">
        <v>0.2</v>
      </c>
      <c r="BQ174" s="35">
        <v>0.3</v>
      </c>
      <c r="BR174" s="35">
        <v>0.1</v>
      </c>
      <c r="BS174" s="35">
        <v>0.3</v>
      </c>
      <c r="BT174" s="35">
        <v>18201</v>
      </c>
      <c r="BU174" s="35">
        <v>6415</v>
      </c>
      <c r="BV174" s="35">
        <v>1780</v>
      </c>
      <c r="BW174" s="35">
        <v>16344</v>
      </c>
      <c r="BX174" s="35">
        <v>13</v>
      </c>
      <c r="BY174" s="35">
        <v>3.9</v>
      </c>
      <c r="BZ174" s="35">
        <v>7.7</v>
      </c>
      <c r="CA174" s="35">
        <v>20.5</v>
      </c>
      <c r="CB174" s="35">
        <v>21.8</v>
      </c>
      <c r="CC174" s="35">
        <v>12.7</v>
      </c>
      <c r="CD174" s="35">
        <v>9.1</v>
      </c>
      <c r="CE174" s="35">
        <v>6.4</v>
      </c>
      <c r="CF174" s="35">
        <v>3.4</v>
      </c>
      <c r="CG174" s="35">
        <v>0.9</v>
      </c>
      <c r="CH174" s="35">
        <v>0.3</v>
      </c>
      <c r="CI174" s="35">
        <v>0.3</v>
      </c>
      <c r="CJ174" s="35">
        <f t="shared" si="14"/>
        <v>42740</v>
      </c>
      <c r="CK174" s="82">
        <f t="shared" si="15"/>
        <v>77790.364569345009</v>
      </c>
      <c r="CL174" s="95">
        <f ca="1">$CK174*SUM(OFFSET($AJ174,0,(COUNTA($CL$1:CL$1)-1)*4,1,4))/100</f>
        <v>17113.880205255904</v>
      </c>
      <c r="CM174" s="95">
        <f ca="1">$CK174*SUM(OFFSET($AJ174,0,(COUNTA($CL$1:CM$1)-1)*4,1,4))/100</f>
        <v>14080.055987051448</v>
      </c>
      <c r="CN174" s="95">
        <f ca="1">$CK174*SUM(OFFSET($AJ174,0,(COUNTA($CL$1:CN$1)-1)*4,1,4))/100</f>
        <v>13691.104164204724</v>
      </c>
      <c r="CO174" s="95">
        <f ca="1">$CK174*SUM(OFFSET($AJ174,0,(COUNTA($CL$1:CO$1)-1)*4,1,4))/100</f>
        <v>11279.602862555028</v>
      </c>
      <c r="CP174" s="95">
        <f ca="1">$CK174*SUM(OFFSET($AJ174,0,(COUNTA($CL$1:CP$1)-1)*4,1,4))/100</f>
        <v>8868.1015609053302</v>
      </c>
      <c r="CQ174" s="95">
        <f ca="1">$CK174*SUM(OFFSET($AJ174,0,(COUNTA($CL$1:CQ$1)-1)*4,1,4))/100</f>
        <v>6923.3424466717061</v>
      </c>
      <c r="CR174" s="95">
        <f ca="1">$CK174*SUM(OFFSET($AJ174,0,(COUNTA($CL$1:CR$1)-1)*4,1,4))/100</f>
        <v>3422.776041051181</v>
      </c>
      <c r="CS174" s="95">
        <f ca="1">$CK174*SUM(OFFSET($AJ174,0,(COUNTA($CL$1:CS$1)-1)*4,1,4))/100</f>
        <v>1711.3880205255905</v>
      </c>
      <c r="CT174" s="95">
        <f ca="1">$CK174*SUM(OFFSET($AJ174,0,(COUNTA($CL$1:CT$1)-1)*4,1,4))/100</f>
        <v>700.11328112410501</v>
      </c>
      <c r="CU174" s="96">
        <f t="shared" si="16"/>
        <v>6678.1</v>
      </c>
      <c r="CV174" s="96">
        <f t="shared" si="17"/>
        <v>11.648577375203278</v>
      </c>
    </row>
    <row r="175" spans="1:100">
      <c r="A175" s="82" t="str">
        <f ca="1">IF(ISERROR(OFFSET(Map!$E$2,MATCH(D175,Map!$B$3:$B$239,0),0)),OFFSET(Map!$E$2,MATCH(D175,Map!$C$3:$C$239,0),0),OFFSET(Map!$E$2,MATCH(D175,Map!$B$3:$B$239,0),0))</f>
        <v>Dr Ruth Segomotsi Mompati</v>
      </c>
      <c r="B175" s="82">
        <v>174</v>
      </c>
      <c r="C175" s="82" t="s">
        <v>60</v>
      </c>
      <c r="D175" s="82" t="s">
        <v>549</v>
      </c>
      <c r="E175" s="82" t="s">
        <v>550</v>
      </c>
      <c r="F175" s="82">
        <v>60355</v>
      </c>
      <c r="G175" s="82">
        <v>36.5</v>
      </c>
      <c r="H175" s="82">
        <v>58.5</v>
      </c>
      <c r="I175" s="82">
        <f t="shared" si="12"/>
        <v>35308</v>
      </c>
      <c r="J175" s="82">
        <v>5</v>
      </c>
      <c r="K175" s="82">
        <v>71</v>
      </c>
      <c r="L175" s="82">
        <v>98.4</v>
      </c>
      <c r="M175" s="82">
        <v>2.21</v>
      </c>
      <c r="N175" s="82">
        <v>17</v>
      </c>
      <c r="O175" s="82">
        <v>35.1</v>
      </c>
      <c r="P175" s="82">
        <f t="shared" si="13"/>
        <v>22915</v>
      </c>
      <c r="Q175" s="82">
        <v>45.8</v>
      </c>
      <c r="R175" s="82">
        <v>24.9</v>
      </c>
      <c r="S175" s="82">
        <v>4.5999999999999996</v>
      </c>
      <c r="T175" s="82">
        <v>17.3</v>
      </c>
      <c r="U175" s="82">
        <v>14625</v>
      </c>
      <c r="V175" s="82">
        <v>3306</v>
      </c>
      <c r="W175" s="82">
        <v>4</v>
      </c>
      <c r="X175" s="82">
        <v>36.5</v>
      </c>
      <c r="Y175" s="82">
        <v>82.5</v>
      </c>
      <c r="Z175" s="82">
        <v>52.7</v>
      </c>
      <c r="AA175" s="82">
        <v>59.3</v>
      </c>
      <c r="AB175" s="82">
        <v>45</v>
      </c>
      <c r="AC175" s="82">
        <v>21.9</v>
      </c>
      <c r="AD175" s="82">
        <v>80.8</v>
      </c>
      <c r="AE175" s="82">
        <v>91.4</v>
      </c>
      <c r="AF175" s="82">
        <v>2.2000000000000002</v>
      </c>
      <c r="AG175" s="82">
        <v>0.5</v>
      </c>
      <c r="AH175" s="82">
        <v>5.5</v>
      </c>
      <c r="AI175" s="82">
        <v>0.3</v>
      </c>
      <c r="AJ175" s="82">
        <v>6.8</v>
      </c>
      <c r="AK175" s="82">
        <v>6.5</v>
      </c>
      <c r="AL175" s="82">
        <v>6.4</v>
      </c>
      <c r="AM175" s="82">
        <v>6.2</v>
      </c>
      <c r="AN175" s="82">
        <v>5.5</v>
      </c>
      <c r="AO175" s="82">
        <v>5.0999999999999996</v>
      </c>
      <c r="AP175" s="82">
        <v>5</v>
      </c>
      <c r="AQ175" s="82">
        <v>4.5999999999999996</v>
      </c>
      <c r="AR175" s="82">
        <v>4.5</v>
      </c>
      <c r="AS175" s="82">
        <v>4.7</v>
      </c>
      <c r="AT175" s="82">
        <v>4</v>
      </c>
      <c r="AU175" s="82">
        <v>4.4000000000000004</v>
      </c>
      <c r="AV175" s="82">
        <v>3.1</v>
      </c>
      <c r="AW175" s="82">
        <v>3.3</v>
      </c>
      <c r="AX175" s="82">
        <v>2.8</v>
      </c>
      <c r="AY175" s="82">
        <v>2.9</v>
      </c>
      <c r="AZ175" s="82">
        <v>2.2999999999999998</v>
      </c>
      <c r="BA175" s="82">
        <v>2.4</v>
      </c>
      <c r="BB175" s="82">
        <v>2.2000000000000002</v>
      </c>
      <c r="BC175" s="82">
        <v>2.2000000000000002</v>
      </c>
      <c r="BD175" s="82">
        <v>1.9</v>
      </c>
      <c r="BE175" s="82">
        <v>2</v>
      </c>
      <c r="BF175" s="82">
        <v>1.7</v>
      </c>
      <c r="BG175" s="82">
        <v>1.8</v>
      </c>
      <c r="BH175" s="82">
        <v>1.3</v>
      </c>
      <c r="BI175" s="82">
        <v>1.2</v>
      </c>
      <c r="BJ175" s="82">
        <v>0.8</v>
      </c>
      <c r="BK175" s="82">
        <v>0.9</v>
      </c>
      <c r="BL175" s="82">
        <v>0.6</v>
      </c>
      <c r="BM175" s="82">
        <v>0.7</v>
      </c>
      <c r="BN175" s="82">
        <v>0.3</v>
      </c>
      <c r="BO175" s="82">
        <v>0.5</v>
      </c>
      <c r="BP175" s="82">
        <v>0.2</v>
      </c>
      <c r="BQ175" s="82">
        <v>0.4</v>
      </c>
      <c r="BR175" s="82">
        <v>0.2</v>
      </c>
      <c r="BS175" s="82">
        <v>0.4</v>
      </c>
      <c r="BT175" s="82">
        <v>10952</v>
      </c>
      <c r="BU175" s="82">
        <v>5934</v>
      </c>
      <c r="BV175" s="82">
        <v>2518</v>
      </c>
      <c r="BW175" s="82">
        <v>15884</v>
      </c>
      <c r="BX175" s="82">
        <v>14.7</v>
      </c>
      <c r="BY175" s="82">
        <v>4.9000000000000004</v>
      </c>
      <c r="BZ175" s="82">
        <v>10.3</v>
      </c>
      <c r="CA175" s="82">
        <v>22.4</v>
      </c>
      <c r="CB175" s="82">
        <v>23.6</v>
      </c>
      <c r="CC175" s="82">
        <v>11.6</v>
      </c>
      <c r="CD175" s="82">
        <v>6.1</v>
      </c>
      <c r="CE175" s="82">
        <v>3.9</v>
      </c>
      <c r="CF175" s="82">
        <v>1.7</v>
      </c>
      <c r="CG175" s="82">
        <v>0.4</v>
      </c>
      <c r="CH175" s="82">
        <v>0.2</v>
      </c>
      <c r="CI175" s="82">
        <v>0.2</v>
      </c>
      <c r="CJ175" s="82">
        <f t="shared" si="14"/>
        <v>35288</v>
      </c>
      <c r="CK175" s="82">
        <f t="shared" si="15"/>
        <v>73477.394664521576</v>
      </c>
      <c r="CL175" s="95">
        <f ca="1">$CK175*SUM(OFFSET($AJ175,0,(COUNTA($CL$1:CL$1)-1)*4,1,4))/100</f>
        <v>19030.645218111091</v>
      </c>
      <c r="CM175" s="95">
        <f ca="1">$CK175*SUM(OFFSET($AJ175,0,(COUNTA($CL$1:CM$1)-1)*4,1,4))/100</f>
        <v>14842.433722233358</v>
      </c>
      <c r="CN175" s="95">
        <f ca="1">$CK175*SUM(OFFSET($AJ175,0,(COUNTA($CL$1:CN$1)-1)*4,1,4))/100</f>
        <v>12932.021460955799</v>
      </c>
      <c r="CO175" s="95">
        <f ca="1">$CK175*SUM(OFFSET($AJ175,0,(COUNTA($CL$1:CO$1)-1)*4,1,4))/100</f>
        <v>8890.7647544071096</v>
      </c>
      <c r="CP175" s="95">
        <f ca="1">$CK175*SUM(OFFSET($AJ175,0,(COUNTA($CL$1:CP$1)-1)*4,1,4))/100</f>
        <v>6686.4429144714632</v>
      </c>
      <c r="CQ175" s="95">
        <f ca="1">$CK175*SUM(OFFSET($AJ175,0,(COUNTA($CL$1:CQ$1)-1)*4,1,4))/100</f>
        <v>5437.3272051745971</v>
      </c>
      <c r="CR175" s="95">
        <f ca="1">$CK175*SUM(OFFSET($AJ175,0,(COUNTA($CL$1:CR$1)-1)*4,1,4))/100</f>
        <v>3086.050575909906</v>
      </c>
      <c r="CS175" s="95">
        <f ca="1">$CK175*SUM(OFFSET($AJ175,0,(COUNTA($CL$1:CS$1)-1)*4,1,4))/100</f>
        <v>1543.0252879549528</v>
      </c>
      <c r="CT175" s="95">
        <f ca="1">$CK175*SUM(OFFSET($AJ175,0,(COUNTA($CL$1:CT$1)-1)*4,1,4))/100</f>
        <v>881.72873597425905</v>
      </c>
      <c r="CU175" s="96">
        <f t="shared" si="16"/>
        <v>3550.294117647059</v>
      </c>
      <c r="CV175" s="96">
        <f t="shared" si="17"/>
        <v>20.696142975675034</v>
      </c>
    </row>
    <row r="176" spans="1:100">
      <c r="A176" s="82" t="str">
        <f ca="1">IF(ISERROR(OFFSET(Map!$E$2,MATCH(D176,Map!$B$3:$B$239,0),0)),OFFSET(Map!$E$2,MATCH(D176,Map!$C$3:$C$239,0),0),OFFSET(Map!$E$2,MATCH(D176,Map!$B$3:$B$239,0),0))</f>
        <v>Dr Ruth Segomotsi Mompati</v>
      </c>
      <c r="B176" s="82">
        <v>175</v>
      </c>
      <c r="C176" s="82" t="s">
        <v>60</v>
      </c>
      <c r="D176" s="82" t="s">
        <v>551</v>
      </c>
      <c r="E176" s="82" t="s">
        <v>552</v>
      </c>
      <c r="F176" s="82">
        <v>177642</v>
      </c>
      <c r="G176" s="82">
        <v>35.799999999999997</v>
      </c>
      <c r="H176" s="82">
        <v>56.3</v>
      </c>
      <c r="I176" s="82">
        <f t="shared" si="12"/>
        <v>100012</v>
      </c>
      <c r="J176" s="82">
        <v>7.9</v>
      </c>
      <c r="K176" s="82">
        <v>77.599999999999994</v>
      </c>
      <c r="L176" s="82">
        <v>89.2</v>
      </c>
      <c r="M176" s="82">
        <v>-0.25</v>
      </c>
      <c r="N176" s="82">
        <v>32</v>
      </c>
      <c r="O176" s="82">
        <v>49.8</v>
      </c>
      <c r="P176" s="82">
        <f t="shared" si="13"/>
        <v>50206</v>
      </c>
      <c r="Q176" s="82">
        <v>61.7</v>
      </c>
      <c r="R176" s="82">
        <v>19.2</v>
      </c>
      <c r="S176" s="82">
        <v>4.7</v>
      </c>
      <c r="T176" s="82">
        <v>15.7</v>
      </c>
      <c r="U176" s="82">
        <v>48613</v>
      </c>
      <c r="V176" s="82">
        <v>18255</v>
      </c>
      <c r="W176" s="82">
        <v>3.6</v>
      </c>
      <c r="X176" s="82">
        <v>48.2</v>
      </c>
      <c r="Y176" s="82">
        <v>88.5</v>
      </c>
      <c r="Z176" s="82">
        <v>70</v>
      </c>
      <c r="AA176" s="82">
        <v>9</v>
      </c>
      <c r="AB176" s="82">
        <v>7.4</v>
      </c>
      <c r="AC176" s="82">
        <v>10</v>
      </c>
      <c r="AD176" s="82">
        <v>88.5</v>
      </c>
      <c r="AE176" s="82">
        <v>98.2</v>
      </c>
      <c r="AF176" s="82">
        <v>1</v>
      </c>
      <c r="AG176" s="82">
        <v>0.2</v>
      </c>
      <c r="AH176" s="82">
        <v>0.4</v>
      </c>
      <c r="AI176" s="82">
        <v>0.1</v>
      </c>
      <c r="AJ176" s="82">
        <v>6.5</v>
      </c>
      <c r="AK176" s="82">
        <v>6.4</v>
      </c>
      <c r="AL176" s="82">
        <v>6.1</v>
      </c>
      <c r="AM176" s="82">
        <v>6</v>
      </c>
      <c r="AN176" s="82">
        <v>5.7</v>
      </c>
      <c r="AO176" s="82">
        <v>5.3</v>
      </c>
      <c r="AP176" s="82">
        <v>5.8</v>
      </c>
      <c r="AQ176" s="82">
        <v>5.4</v>
      </c>
      <c r="AR176" s="82">
        <v>4.0999999999999996</v>
      </c>
      <c r="AS176" s="82">
        <v>4.3</v>
      </c>
      <c r="AT176" s="82">
        <v>2.9</v>
      </c>
      <c r="AU176" s="82">
        <v>3.7</v>
      </c>
      <c r="AV176" s="82">
        <v>2.4</v>
      </c>
      <c r="AW176" s="82">
        <v>3.1</v>
      </c>
      <c r="AX176" s="82">
        <v>2.1</v>
      </c>
      <c r="AY176" s="82">
        <v>2.9</v>
      </c>
      <c r="AZ176" s="82">
        <v>1.9</v>
      </c>
      <c r="BA176" s="82">
        <v>2.5</v>
      </c>
      <c r="BB176" s="82">
        <v>1.9</v>
      </c>
      <c r="BC176" s="82">
        <v>1.9</v>
      </c>
      <c r="BD176" s="82">
        <v>1.8</v>
      </c>
      <c r="BE176" s="82">
        <v>2.2000000000000002</v>
      </c>
      <c r="BF176" s="82">
        <v>1.6</v>
      </c>
      <c r="BG176" s="82">
        <v>2</v>
      </c>
      <c r="BH176" s="82">
        <v>1.4</v>
      </c>
      <c r="BI176" s="82">
        <v>1.8</v>
      </c>
      <c r="BJ176" s="82">
        <v>1.2</v>
      </c>
      <c r="BK176" s="82">
        <v>1.6</v>
      </c>
      <c r="BL176" s="82">
        <v>0.8</v>
      </c>
      <c r="BM176" s="82">
        <v>1.2</v>
      </c>
      <c r="BN176" s="82">
        <v>0.5</v>
      </c>
      <c r="BO176" s="82">
        <v>0.9</v>
      </c>
      <c r="BP176" s="82">
        <v>0.3</v>
      </c>
      <c r="BQ176" s="82">
        <v>0.6</v>
      </c>
      <c r="BR176" s="82">
        <v>0.2</v>
      </c>
      <c r="BS176" s="82">
        <v>0.6</v>
      </c>
      <c r="BT176" s="82">
        <v>16464</v>
      </c>
      <c r="BU176" s="82">
        <v>16303</v>
      </c>
      <c r="BV176" s="82">
        <v>12777</v>
      </c>
      <c r="BW176" s="82">
        <v>54456</v>
      </c>
      <c r="BX176" s="82">
        <v>20.5</v>
      </c>
      <c r="BY176" s="82">
        <v>6.2</v>
      </c>
      <c r="BZ176" s="82">
        <v>10.3</v>
      </c>
      <c r="CA176" s="82">
        <v>25.4</v>
      </c>
      <c r="CB176" s="82">
        <v>21.6</v>
      </c>
      <c r="CC176" s="82">
        <v>8.1</v>
      </c>
      <c r="CD176" s="82">
        <v>4.0999999999999996</v>
      </c>
      <c r="CE176" s="82">
        <v>2.6</v>
      </c>
      <c r="CF176" s="82">
        <v>0.9</v>
      </c>
      <c r="CG176" s="82">
        <v>0.1</v>
      </c>
      <c r="CH176" s="82">
        <v>0.1</v>
      </c>
      <c r="CI176" s="82">
        <v>0.1</v>
      </c>
      <c r="CJ176" s="82">
        <f t="shared" si="14"/>
        <v>100000</v>
      </c>
      <c r="CK176" s="82">
        <f t="shared" si="15"/>
        <v>173684.7921670246</v>
      </c>
      <c r="CL176" s="95">
        <f ca="1">$CK176*SUM(OFFSET($AJ176,0,(COUNTA($CL$1:CL$1)-1)*4,1,4))/100</f>
        <v>43421.19804175615</v>
      </c>
      <c r="CM176" s="95">
        <f ca="1">$CK176*SUM(OFFSET($AJ176,0,(COUNTA($CL$1:CM$1)-1)*4,1,4))/100</f>
        <v>38558.023861079469</v>
      </c>
      <c r="CN176" s="95">
        <f ca="1">$CK176*SUM(OFFSET($AJ176,0,(COUNTA($CL$1:CN$1)-1)*4,1,4))/100</f>
        <v>26052.718825053689</v>
      </c>
      <c r="CO176" s="95">
        <f ca="1">$CK176*SUM(OFFSET($AJ176,0,(COUNTA($CL$1:CO$1)-1)*4,1,4))/100</f>
        <v>18236.903177537584</v>
      </c>
      <c r="CP176" s="95">
        <f ca="1">$CK176*SUM(OFFSET($AJ176,0,(COUNTA($CL$1:CP$1)-1)*4,1,4))/100</f>
        <v>14242.152957696018</v>
      </c>
      <c r="CQ176" s="95">
        <f ca="1">$CK176*SUM(OFFSET($AJ176,0,(COUNTA($CL$1:CQ$1)-1)*4,1,4))/100</f>
        <v>13200.04420469387</v>
      </c>
      <c r="CR176" s="95">
        <f ca="1">$CK176*SUM(OFFSET($AJ176,0,(COUNTA($CL$1:CR$1)-1)*4,1,4))/100</f>
        <v>10421.087530021476</v>
      </c>
      <c r="CS176" s="95">
        <f ca="1">$CK176*SUM(OFFSET($AJ176,0,(COUNTA($CL$1:CS$1)-1)*4,1,4))/100</f>
        <v>5905.2829336788363</v>
      </c>
      <c r="CT176" s="95">
        <f ca="1">$CK176*SUM(OFFSET($AJ176,0,(COUNTA($CL$1:CT$1)-1)*4,1,4))/100</f>
        <v>2952.6414668394177</v>
      </c>
      <c r="CU176" s="96">
        <f t="shared" si="16"/>
        <v>5551.3125</v>
      </c>
      <c r="CV176" s="96">
        <f t="shared" si="17"/>
        <v>31.287158157106919</v>
      </c>
    </row>
    <row r="177" spans="1:100">
      <c r="A177" s="82" t="str">
        <f ca="1">IF(ISERROR(OFFSET(Map!$E$2,MATCH(D177,Map!$B$3:$B$239,0),0)),OFFSET(Map!$E$2,MATCH(D177,Map!$C$3:$C$239,0),0),OFFSET(Map!$E$2,MATCH(D177,Map!$B$3:$B$239,0),0))</f>
        <v>Dr Ruth Segomotsi Mompati</v>
      </c>
      <c r="B177" s="82">
        <v>176</v>
      </c>
      <c r="C177" s="82" t="s">
        <v>60</v>
      </c>
      <c r="D177" s="82" t="s">
        <v>553</v>
      </c>
      <c r="E177" s="82" t="s">
        <v>554</v>
      </c>
      <c r="F177" s="82">
        <v>53248</v>
      </c>
      <c r="G177" s="82">
        <v>31.8</v>
      </c>
      <c r="H177" s="82">
        <v>62.1</v>
      </c>
      <c r="I177" s="82">
        <f t="shared" si="12"/>
        <v>33067</v>
      </c>
      <c r="J177" s="82">
        <v>6.1</v>
      </c>
      <c r="K177" s="82">
        <v>61.1</v>
      </c>
      <c r="L177" s="82">
        <v>99.8</v>
      </c>
      <c r="M177" s="82">
        <v>2.15</v>
      </c>
      <c r="N177" s="82">
        <v>14</v>
      </c>
      <c r="O177" s="82">
        <v>30.5</v>
      </c>
      <c r="P177" s="82">
        <f t="shared" si="13"/>
        <v>22982</v>
      </c>
      <c r="Q177" s="82">
        <v>39.299999999999997</v>
      </c>
      <c r="R177" s="82">
        <v>17.899999999999999</v>
      </c>
      <c r="S177" s="82">
        <v>5.0999999999999996</v>
      </c>
      <c r="T177" s="82">
        <v>20.8</v>
      </c>
      <c r="U177" s="82">
        <v>14930</v>
      </c>
      <c r="V177" s="82">
        <v>2378</v>
      </c>
      <c r="W177" s="82">
        <v>3.4</v>
      </c>
      <c r="X177" s="82">
        <v>35.4</v>
      </c>
      <c r="Y177" s="82">
        <v>79.2</v>
      </c>
      <c r="Z177" s="82">
        <v>53.9</v>
      </c>
      <c r="AA177" s="82">
        <v>86.8</v>
      </c>
      <c r="AB177" s="82">
        <v>73.5</v>
      </c>
      <c r="AC177" s="82">
        <v>29.5</v>
      </c>
      <c r="AD177" s="82">
        <v>86.1</v>
      </c>
      <c r="AE177" s="82">
        <v>81.2</v>
      </c>
      <c r="AF177" s="82">
        <v>7.4</v>
      </c>
      <c r="AG177" s="82">
        <v>0.6</v>
      </c>
      <c r="AH177" s="82">
        <v>10.4</v>
      </c>
      <c r="AI177" s="82">
        <v>0.4</v>
      </c>
      <c r="AJ177" s="82">
        <v>5.8</v>
      </c>
      <c r="AK177" s="82">
        <v>5.9</v>
      </c>
      <c r="AL177" s="82">
        <v>5.4</v>
      </c>
      <c r="AM177" s="82">
        <v>5.3</v>
      </c>
      <c r="AN177" s="82">
        <v>4.7</v>
      </c>
      <c r="AO177" s="82">
        <v>4.7</v>
      </c>
      <c r="AP177" s="82">
        <v>4.7</v>
      </c>
      <c r="AQ177" s="82">
        <v>4.5999999999999996</v>
      </c>
      <c r="AR177" s="82">
        <v>4.9000000000000004</v>
      </c>
      <c r="AS177" s="82">
        <v>4.4000000000000004</v>
      </c>
      <c r="AT177" s="82">
        <v>4.3</v>
      </c>
      <c r="AU177" s="82">
        <v>4</v>
      </c>
      <c r="AV177" s="82">
        <v>3.9</v>
      </c>
      <c r="AW177" s="82">
        <v>3.5</v>
      </c>
      <c r="AX177" s="82">
        <v>3.2</v>
      </c>
      <c r="AY177" s="82">
        <v>3.1</v>
      </c>
      <c r="AZ177" s="82">
        <v>2.7</v>
      </c>
      <c r="BA177" s="82">
        <v>2.7</v>
      </c>
      <c r="BB177" s="82">
        <v>2.5</v>
      </c>
      <c r="BC177" s="82">
        <v>2.5</v>
      </c>
      <c r="BD177" s="82">
        <v>2.1</v>
      </c>
      <c r="BE177" s="82">
        <v>2.1</v>
      </c>
      <c r="BF177" s="82">
        <v>1.9</v>
      </c>
      <c r="BG177" s="82">
        <v>2</v>
      </c>
      <c r="BH177" s="82">
        <v>1.4</v>
      </c>
      <c r="BI177" s="82">
        <v>1.6</v>
      </c>
      <c r="BJ177" s="82">
        <v>1</v>
      </c>
      <c r="BK177" s="82">
        <v>1.2</v>
      </c>
      <c r="BL177" s="82">
        <v>0.7</v>
      </c>
      <c r="BM177" s="82">
        <v>1</v>
      </c>
      <c r="BN177" s="82">
        <v>0.4</v>
      </c>
      <c r="BO177" s="82">
        <v>0.6</v>
      </c>
      <c r="BP177" s="82">
        <v>0.2</v>
      </c>
      <c r="BQ177" s="82">
        <v>0.3</v>
      </c>
      <c r="BR177" s="82">
        <v>0.2</v>
      </c>
      <c r="BS177" s="82">
        <v>0.4</v>
      </c>
      <c r="BT177" s="82">
        <v>11369</v>
      </c>
      <c r="BU177" s="82">
        <v>4982</v>
      </c>
      <c r="BV177" s="82">
        <v>2855</v>
      </c>
      <c r="BW177" s="82">
        <v>13846</v>
      </c>
      <c r="BX177" s="82">
        <v>12.8</v>
      </c>
      <c r="BY177" s="82">
        <v>4.2</v>
      </c>
      <c r="BZ177" s="82">
        <v>7.4</v>
      </c>
      <c r="CA177" s="82">
        <v>21.5</v>
      </c>
      <c r="CB177" s="82">
        <v>24.5</v>
      </c>
      <c r="CC177" s="82">
        <v>15.2</v>
      </c>
      <c r="CD177" s="82">
        <v>8.1</v>
      </c>
      <c r="CE177" s="82">
        <v>4.3</v>
      </c>
      <c r="CF177" s="82">
        <v>1.3</v>
      </c>
      <c r="CG177" s="82">
        <v>0.4</v>
      </c>
      <c r="CH177" s="82">
        <v>0.2</v>
      </c>
      <c r="CI177" s="82">
        <v>0.2</v>
      </c>
      <c r="CJ177" s="82">
        <f t="shared" si="14"/>
        <v>33052</v>
      </c>
      <c r="CK177" s="82">
        <f t="shared" si="15"/>
        <v>64483.50551697208</v>
      </c>
      <c r="CL177" s="95">
        <f ca="1">$CK177*SUM(OFFSET($AJ177,0,(COUNTA($CL$1:CL$1)-1)*4,1,4))/100</f>
        <v>14444.305235801747</v>
      </c>
      <c r="CM177" s="95">
        <f ca="1">$CK177*SUM(OFFSET($AJ177,0,(COUNTA($CL$1:CM$1)-1)*4,1,4))/100</f>
        <v>12058.415531673782</v>
      </c>
      <c r="CN177" s="95">
        <f ca="1">$CK177*SUM(OFFSET($AJ177,0,(COUNTA($CL$1:CN$1)-1)*4,1,4))/100</f>
        <v>11349.096970987088</v>
      </c>
      <c r="CO177" s="95">
        <f ca="1">$CK177*SUM(OFFSET($AJ177,0,(COUNTA($CL$1:CO$1)-1)*4,1,4))/100</f>
        <v>8834.2402558251761</v>
      </c>
      <c r="CP177" s="95">
        <f ca="1">$CK177*SUM(OFFSET($AJ177,0,(COUNTA($CL$1:CP$1)-1)*4,1,4))/100</f>
        <v>6706.2845737650969</v>
      </c>
      <c r="CQ177" s="95">
        <f ca="1">$CK177*SUM(OFFSET($AJ177,0,(COUNTA($CL$1:CQ$1)-1)*4,1,4))/100</f>
        <v>5223.163946874738</v>
      </c>
      <c r="CR177" s="95">
        <f ca="1">$CK177*SUM(OFFSET($AJ177,0,(COUNTA($CL$1:CR$1)-1)*4,1,4))/100</f>
        <v>3353.1422868825484</v>
      </c>
      <c r="CS177" s="95">
        <f ca="1">$CK177*SUM(OFFSET($AJ177,0,(COUNTA($CL$1:CS$1)-1)*4,1,4))/100</f>
        <v>1741.0546489582464</v>
      </c>
      <c r="CT177" s="95">
        <f ca="1">$CK177*SUM(OFFSET($AJ177,0,(COUNTA($CL$1:CT$1)-1)*4,1,4))/100</f>
        <v>709.31856068669299</v>
      </c>
      <c r="CU177" s="96">
        <f t="shared" si="16"/>
        <v>3803.4285714285716</v>
      </c>
      <c r="CV177" s="96">
        <f t="shared" si="17"/>
        <v>16.95404667288178</v>
      </c>
    </row>
    <row r="178" spans="1:100">
      <c r="A178" s="82" t="str">
        <f ca="1">IF(ISERROR(OFFSET(Map!$E$2,MATCH(D178,Map!$B$3:$B$239,0),0)),OFFSET(Map!$E$2,MATCH(D178,Map!$C$3:$C$239,0),0),OFFSET(Map!$E$2,MATCH(D178,Map!$B$3:$B$239,0),0))</f>
        <v>Dr Ruth Segomotsi Mompati</v>
      </c>
      <c r="B178" s="82">
        <v>177</v>
      </c>
      <c r="C178" s="82" t="s">
        <v>60</v>
      </c>
      <c r="D178" s="82" t="s">
        <v>555</v>
      </c>
      <c r="E178" s="82" t="s">
        <v>556</v>
      </c>
      <c r="F178" s="82">
        <v>105789</v>
      </c>
      <c r="G178" s="82">
        <v>37.6</v>
      </c>
      <c r="H178" s="82">
        <v>56.5</v>
      </c>
      <c r="I178" s="82">
        <f t="shared" si="12"/>
        <v>59771</v>
      </c>
      <c r="J178" s="82">
        <v>5.9</v>
      </c>
      <c r="K178" s="82">
        <v>77.099999999999994</v>
      </c>
      <c r="L178" s="82">
        <v>92.8</v>
      </c>
      <c r="M178" s="82">
        <v>0.52</v>
      </c>
      <c r="N178" s="82">
        <v>4</v>
      </c>
      <c r="O178" s="82">
        <v>30.2</v>
      </c>
      <c r="P178" s="82">
        <f t="shared" si="13"/>
        <v>41720</v>
      </c>
      <c r="Q178" s="82">
        <v>38.799999999999997</v>
      </c>
      <c r="R178" s="82">
        <v>28.6</v>
      </c>
      <c r="S178" s="82">
        <v>4.5</v>
      </c>
      <c r="T178" s="82">
        <v>14</v>
      </c>
      <c r="U178" s="82">
        <v>28531</v>
      </c>
      <c r="V178" s="82">
        <v>11840</v>
      </c>
      <c r="W178" s="82">
        <v>3.6</v>
      </c>
      <c r="X178" s="82">
        <v>47.8</v>
      </c>
      <c r="Y178" s="82">
        <v>89</v>
      </c>
      <c r="Z178" s="82">
        <v>55.4</v>
      </c>
      <c r="AA178" s="82">
        <v>7.5</v>
      </c>
      <c r="AB178" s="82">
        <v>1</v>
      </c>
      <c r="AC178" s="82">
        <v>11.3</v>
      </c>
      <c r="AD178" s="82">
        <v>73.8</v>
      </c>
      <c r="AE178" s="82">
        <v>96</v>
      </c>
      <c r="AF178" s="82">
        <v>1.4</v>
      </c>
      <c r="AG178" s="82">
        <v>0.2</v>
      </c>
      <c r="AH178" s="82">
        <v>2.1</v>
      </c>
      <c r="AI178" s="82">
        <v>0.3</v>
      </c>
      <c r="AJ178" s="82">
        <v>7.3</v>
      </c>
      <c r="AK178" s="82">
        <v>7.1</v>
      </c>
      <c r="AL178" s="82">
        <v>6.3</v>
      </c>
      <c r="AM178" s="82">
        <v>6.1</v>
      </c>
      <c r="AN178" s="82">
        <v>5.5</v>
      </c>
      <c r="AO178" s="82">
        <v>5.3</v>
      </c>
      <c r="AP178" s="82">
        <v>5.5</v>
      </c>
      <c r="AQ178" s="82">
        <v>5.0999999999999996</v>
      </c>
      <c r="AR178" s="82">
        <v>3.6</v>
      </c>
      <c r="AS178" s="82">
        <v>4</v>
      </c>
      <c r="AT178" s="82">
        <v>3.2</v>
      </c>
      <c r="AU178" s="82">
        <v>3.6</v>
      </c>
      <c r="AV178" s="82">
        <v>2.6</v>
      </c>
      <c r="AW178" s="82">
        <v>3.2</v>
      </c>
      <c r="AX178" s="82">
        <v>2.5</v>
      </c>
      <c r="AY178" s="82">
        <v>3.1</v>
      </c>
      <c r="AZ178" s="82">
        <v>2.2000000000000002</v>
      </c>
      <c r="BA178" s="82">
        <v>2.7</v>
      </c>
      <c r="BB178" s="82">
        <v>2.1</v>
      </c>
      <c r="BC178" s="82">
        <v>2.1</v>
      </c>
      <c r="BD178" s="82">
        <v>1.9</v>
      </c>
      <c r="BE178" s="82">
        <v>2.2999999999999998</v>
      </c>
      <c r="BF178" s="82">
        <v>1.6</v>
      </c>
      <c r="BG178" s="82">
        <v>1.9</v>
      </c>
      <c r="BH178" s="82">
        <v>1.3</v>
      </c>
      <c r="BI178" s="82">
        <v>1.4</v>
      </c>
      <c r="BJ178" s="82">
        <v>1</v>
      </c>
      <c r="BK178" s="82">
        <v>1.2</v>
      </c>
      <c r="BL178" s="82">
        <v>0.7</v>
      </c>
      <c r="BM178" s="82">
        <v>0.8</v>
      </c>
      <c r="BN178" s="82">
        <v>0.4</v>
      </c>
      <c r="BO178" s="82">
        <v>0.6</v>
      </c>
      <c r="BP178" s="82">
        <v>0.2</v>
      </c>
      <c r="BQ178" s="82">
        <v>0.4</v>
      </c>
      <c r="BR178" s="82">
        <v>0.2</v>
      </c>
      <c r="BS178" s="82">
        <v>0.5</v>
      </c>
      <c r="BT178" s="82">
        <v>14792</v>
      </c>
      <c r="BU178" s="82">
        <v>6405</v>
      </c>
      <c r="BV178" s="82">
        <v>5150</v>
      </c>
      <c r="BW178" s="82">
        <v>33397</v>
      </c>
      <c r="BX178" s="82">
        <v>17.7</v>
      </c>
      <c r="BY178" s="82">
        <v>6</v>
      </c>
      <c r="BZ178" s="82">
        <v>11.9</v>
      </c>
      <c r="CA178" s="82">
        <v>26.9</v>
      </c>
      <c r="CB178" s="82">
        <v>20.399999999999999</v>
      </c>
      <c r="CC178" s="82">
        <v>7.7</v>
      </c>
      <c r="CD178" s="82">
        <v>4.5999999999999996</v>
      </c>
      <c r="CE178" s="82">
        <v>3.2</v>
      </c>
      <c r="CF178" s="82">
        <v>1</v>
      </c>
      <c r="CG178" s="82">
        <v>0.3</v>
      </c>
      <c r="CH178" s="82">
        <v>0.1</v>
      </c>
      <c r="CI178" s="82">
        <v>0.1</v>
      </c>
      <c r="CJ178" s="82">
        <f t="shared" si="14"/>
        <v>59744</v>
      </c>
      <c r="CK178" s="82">
        <f t="shared" si="15"/>
        <v>110844.1637224666</v>
      </c>
      <c r="CL178" s="95">
        <f ca="1">$CK178*SUM(OFFSET($AJ178,0,(COUNTA($CL$1:CL$1)-1)*4,1,4))/100</f>
        <v>29706.235877621049</v>
      </c>
      <c r="CM178" s="95">
        <f ca="1">$CK178*SUM(OFFSET($AJ178,0,(COUNTA($CL$1:CM$1)-1)*4,1,4))/100</f>
        <v>23720.651036607851</v>
      </c>
      <c r="CN178" s="95">
        <f ca="1">$CK178*SUM(OFFSET($AJ178,0,(COUNTA($CL$1:CN$1)-1)*4,1,4))/100</f>
        <v>15961.559576035192</v>
      </c>
      <c r="CO178" s="95">
        <f ca="1">$CK178*SUM(OFFSET($AJ178,0,(COUNTA($CL$1:CO$1)-1)*4,1,4))/100</f>
        <v>12636.234664361193</v>
      </c>
      <c r="CP178" s="95">
        <f ca="1">$CK178*SUM(OFFSET($AJ178,0,(COUNTA($CL$1:CP$1)-1)*4,1,4))/100</f>
        <v>10086.818898744461</v>
      </c>
      <c r="CQ178" s="95">
        <f ca="1">$CK178*SUM(OFFSET($AJ178,0,(COUNTA($CL$1:CQ$1)-1)*4,1,4))/100</f>
        <v>8535.0006066299284</v>
      </c>
      <c r="CR178" s="95">
        <f ca="1">$CK178*SUM(OFFSET($AJ178,0,(COUNTA($CL$1:CR$1)-1)*4,1,4))/100</f>
        <v>5431.3640224008632</v>
      </c>
      <c r="CS178" s="95">
        <f ca="1">$CK178*SUM(OFFSET($AJ178,0,(COUNTA($CL$1:CS$1)-1)*4,1,4))/100</f>
        <v>2771.104093061665</v>
      </c>
      <c r="CT178" s="95">
        <f ca="1">$CK178*SUM(OFFSET($AJ178,0,(COUNTA($CL$1:CT$1)-1)*4,1,4))/100</f>
        <v>1440.9741283920659</v>
      </c>
      <c r="CU178" s="96">
        <f t="shared" si="16"/>
        <v>26447.25</v>
      </c>
      <c r="CV178" s="96">
        <f t="shared" si="17"/>
        <v>4.1911413747163353</v>
      </c>
    </row>
    <row r="179" spans="1:100">
      <c r="A179" s="82" t="str">
        <f ca="1">IF(ISERROR(OFFSET(Map!$E$2,MATCH(D179,Map!$B$3:$B$239,0),0)),OFFSET(Map!$E$2,MATCH(D179,Map!$C$3:$C$239,0),0),OFFSET(Map!$E$2,MATCH(D179,Map!$B$3:$B$239,0),0))</f>
        <v>Dr Kenneth Kaunda</v>
      </c>
      <c r="B179" s="82">
        <v>178</v>
      </c>
      <c r="C179" s="82" t="s">
        <v>60</v>
      </c>
      <c r="D179" s="82" t="s">
        <v>557</v>
      </c>
      <c r="E179" s="82" t="s">
        <v>558</v>
      </c>
      <c r="F179" s="82">
        <v>56702</v>
      </c>
      <c r="G179" s="82">
        <v>33.6</v>
      </c>
      <c r="H179" s="82">
        <v>60.2</v>
      </c>
      <c r="I179" s="82">
        <f t="shared" si="12"/>
        <v>34135</v>
      </c>
      <c r="J179" s="82">
        <v>6.1</v>
      </c>
      <c r="K179" s="82">
        <v>66</v>
      </c>
      <c r="L179" s="82">
        <v>106.5</v>
      </c>
      <c r="M179" s="82">
        <v>2.75</v>
      </c>
      <c r="N179" s="82">
        <v>15</v>
      </c>
      <c r="O179" s="82">
        <v>27</v>
      </c>
      <c r="P179" s="82">
        <f t="shared" si="13"/>
        <v>24918</v>
      </c>
      <c r="Q179" s="82">
        <v>34</v>
      </c>
      <c r="R179" s="82">
        <v>17.2</v>
      </c>
      <c r="S179" s="82">
        <v>4</v>
      </c>
      <c r="T179" s="82">
        <v>15</v>
      </c>
      <c r="U179" s="82">
        <v>14562</v>
      </c>
      <c r="V179" s="82">
        <v>4717</v>
      </c>
      <c r="W179" s="82">
        <v>3.8</v>
      </c>
      <c r="X179" s="82">
        <v>38.299999999999997</v>
      </c>
      <c r="Y179" s="82">
        <v>69.099999999999994</v>
      </c>
      <c r="Z179" s="82">
        <v>55.8</v>
      </c>
      <c r="AA179" s="82">
        <v>40.299999999999997</v>
      </c>
      <c r="AB179" s="82">
        <v>36.299999999999997</v>
      </c>
      <c r="AC179" s="82">
        <v>20</v>
      </c>
      <c r="AD179" s="82">
        <v>76.099999999999994</v>
      </c>
      <c r="AE179" s="82">
        <v>90.1</v>
      </c>
      <c r="AF179" s="82">
        <v>2.7</v>
      </c>
      <c r="AG179" s="82">
        <v>0.3</v>
      </c>
      <c r="AH179" s="82">
        <v>5.9</v>
      </c>
      <c r="AI179" s="82">
        <v>1</v>
      </c>
      <c r="AJ179" s="82">
        <v>6.8</v>
      </c>
      <c r="AK179" s="82">
        <v>5.8</v>
      </c>
      <c r="AL179" s="82">
        <v>5.8</v>
      </c>
      <c r="AM179" s="82">
        <v>5.4</v>
      </c>
      <c r="AN179" s="82">
        <v>5.3</v>
      </c>
      <c r="AO179" s="82">
        <v>4.5</v>
      </c>
      <c r="AP179" s="82">
        <v>4.9000000000000004</v>
      </c>
      <c r="AQ179" s="82">
        <v>4.0999999999999996</v>
      </c>
      <c r="AR179" s="82">
        <v>4.5</v>
      </c>
      <c r="AS179" s="82">
        <v>4.4000000000000004</v>
      </c>
      <c r="AT179" s="82">
        <v>4.2</v>
      </c>
      <c r="AU179" s="82">
        <v>4.0999999999999996</v>
      </c>
      <c r="AV179" s="82">
        <v>3.3</v>
      </c>
      <c r="AW179" s="82">
        <v>3.5</v>
      </c>
      <c r="AX179" s="82">
        <v>3.4</v>
      </c>
      <c r="AY179" s="82">
        <v>3.2</v>
      </c>
      <c r="AZ179" s="82">
        <v>2.7</v>
      </c>
      <c r="BA179" s="82">
        <v>2.6</v>
      </c>
      <c r="BB179" s="82">
        <v>2.4</v>
      </c>
      <c r="BC179" s="82">
        <v>2.4</v>
      </c>
      <c r="BD179" s="82">
        <v>1.9</v>
      </c>
      <c r="BE179" s="82">
        <v>1.9</v>
      </c>
      <c r="BF179" s="82">
        <v>1.9</v>
      </c>
      <c r="BG179" s="82">
        <v>1.9</v>
      </c>
      <c r="BH179" s="82">
        <v>1.4</v>
      </c>
      <c r="BI179" s="82">
        <v>1.5</v>
      </c>
      <c r="BJ179" s="82">
        <v>1.2</v>
      </c>
      <c r="BK179" s="82">
        <v>1</v>
      </c>
      <c r="BL179" s="82">
        <v>0.8</v>
      </c>
      <c r="BM179" s="82">
        <v>0.8</v>
      </c>
      <c r="BN179" s="82">
        <v>0.5</v>
      </c>
      <c r="BO179" s="82">
        <v>0.6</v>
      </c>
      <c r="BP179" s="82">
        <v>0.3</v>
      </c>
      <c r="BQ179" s="82">
        <v>0.3</v>
      </c>
      <c r="BR179" s="82">
        <v>0.2</v>
      </c>
      <c r="BS179" s="82">
        <v>0.4</v>
      </c>
      <c r="BT179" s="82">
        <v>11705</v>
      </c>
      <c r="BU179" s="82">
        <v>4321</v>
      </c>
      <c r="BV179" s="82">
        <v>2273</v>
      </c>
      <c r="BW179" s="82">
        <v>15851</v>
      </c>
      <c r="BX179" s="82">
        <v>13.8</v>
      </c>
      <c r="BY179" s="82">
        <v>5.5</v>
      </c>
      <c r="BZ179" s="82">
        <v>9.4</v>
      </c>
      <c r="CA179" s="82">
        <v>24.1</v>
      </c>
      <c r="CB179" s="82">
        <v>25</v>
      </c>
      <c r="CC179" s="82">
        <v>12.2</v>
      </c>
      <c r="CD179" s="82">
        <v>5.2</v>
      </c>
      <c r="CE179" s="82">
        <v>2.8</v>
      </c>
      <c r="CF179" s="82">
        <v>1.4</v>
      </c>
      <c r="CG179" s="82">
        <v>0.3</v>
      </c>
      <c r="CH179" s="82">
        <v>0.1</v>
      </c>
      <c r="CI179" s="82">
        <v>0.1</v>
      </c>
      <c r="CJ179" s="82">
        <f t="shared" si="14"/>
        <v>34150</v>
      </c>
      <c r="CK179" s="82">
        <f t="shared" si="15"/>
        <v>72382.712262516012</v>
      </c>
      <c r="CL179" s="95">
        <f ca="1">$CK179*SUM(OFFSET($AJ179,0,(COUNTA($CL$1:CL$1)-1)*4,1,4))/100</f>
        <v>17227.085518478809</v>
      </c>
      <c r="CM179" s="95">
        <f ca="1">$CK179*SUM(OFFSET($AJ179,0,(COUNTA($CL$1:CM$1)-1)*4,1,4))/100</f>
        <v>13607.949905353011</v>
      </c>
      <c r="CN179" s="95">
        <f ca="1">$CK179*SUM(OFFSET($AJ179,0,(COUNTA($CL$1:CN$1)-1)*4,1,4))/100</f>
        <v>12449.826509152756</v>
      </c>
      <c r="CO179" s="95">
        <f ca="1">$CK179*SUM(OFFSET($AJ179,0,(COUNTA($CL$1:CO$1)-1)*4,1,4))/100</f>
        <v>9699.2834431771444</v>
      </c>
      <c r="CP179" s="95">
        <f ca="1">$CK179*SUM(OFFSET($AJ179,0,(COUNTA($CL$1:CP$1)-1)*4,1,4))/100</f>
        <v>7310.6539385141186</v>
      </c>
      <c r="CQ179" s="95">
        <f ca="1">$CK179*SUM(OFFSET($AJ179,0,(COUNTA($CL$1:CQ$1)-1)*4,1,4))/100</f>
        <v>5501.086131951216</v>
      </c>
      <c r="CR179" s="95">
        <f ca="1">$CK179*SUM(OFFSET($AJ179,0,(COUNTA($CL$1:CR$1)-1)*4,1,4))/100</f>
        <v>3691.5183253883165</v>
      </c>
      <c r="CS179" s="95">
        <f ca="1">$CK179*SUM(OFFSET($AJ179,0,(COUNTA($CL$1:CS$1)-1)*4,1,4))/100</f>
        <v>1954.3332310879323</v>
      </c>
      <c r="CT179" s="95">
        <f ca="1">$CK179*SUM(OFFSET($AJ179,0,(COUNTA($CL$1:CT$1)-1)*4,1,4))/100</f>
        <v>868.59254715019222</v>
      </c>
      <c r="CU179" s="96">
        <f t="shared" si="16"/>
        <v>3780.1333333333332</v>
      </c>
      <c r="CV179" s="96">
        <f t="shared" si="17"/>
        <v>19.148190256741213</v>
      </c>
    </row>
    <row r="180" spans="1:100">
      <c r="A180" s="82" t="str">
        <f ca="1">IF(ISERROR(OFFSET(Map!$E$2,MATCH(D180,Map!$B$3:$B$239,0),0)),OFFSET(Map!$E$2,MATCH(D180,Map!$C$3:$C$239,0),0),OFFSET(Map!$E$2,MATCH(D180,Map!$B$3:$B$239,0),0))</f>
        <v>Dr Kenneth Kaunda</v>
      </c>
      <c r="B180" s="82">
        <v>179</v>
      </c>
      <c r="C180" s="82" t="s">
        <v>60</v>
      </c>
      <c r="D180" s="82" t="s">
        <v>559</v>
      </c>
      <c r="E180" s="82" t="s">
        <v>560</v>
      </c>
      <c r="F180" s="82">
        <v>162762</v>
      </c>
      <c r="G180" s="82">
        <v>25.2</v>
      </c>
      <c r="H180" s="82">
        <v>69.099999999999994</v>
      </c>
      <c r="I180" s="82">
        <f t="shared" si="12"/>
        <v>112469</v>
      </c>
      <c r="J180" s="82">
        <v>5.7</v>
      </c>
      <c r="K180" s="82">
        <v>44.7</v>
      </c>
      <c r="L180" s="82">
        <v>96.6</v>
      </c>
      <c r="M180" s="82">
        <v>2.38</v>
      </c>
      <c r="N180" s="82">
        <v>61</v>
      </c>
      <c r="O180" s="82">
        <v>21.6</v>
      </c>
      <c r="P180" s="82">
        <f t="shared" si="13"/>
        <v>88175</v>
      </c>
      <c r="Q180" s="82">
        <v>29.5</v>
      </c>
      <c r="R180" s="82">
        <v>6.9</v>
      </c>
      <c r="S180" s="82">
        <v>14.2</v>
      </c>
      <c r="T180" s="82">
        <v>30.3</v>
      </c>
      <c r="U180" s="82">
        <v>52537</v>
      </c>
      <c r="V180" s="82">
        <v>4894</v>
      </c>
      <c r="W180" s="82">
        <v>2.9</v>
      </c>
      <c r="X180" s="82">
        <v>36.799999999999997</v>
      </c>
      <c r="Y180" s="82">
        <v>81.099999999999994</v>
      </c>
      <c r="Z180" s="82">
        <v>51.9</v>
      </c>
      <c r="AA180" s="82">
        <v>80.599999999999994</v>
      </c>
      <c r="AB180" s="82">
        <v>62.9</v>
      </c>
      <c r="AC180" s="82">
        <v>56.9</v>
      </c>
      <c r="AD180" s="82">
        <v>90.5</v>
      </c>
      <c r="AE180" s="82">
        <v>71.3</v>
      </c>
      <c r="AF180" s="82">
        <v>6.8</v>
      </c>
      <c r="AG180" s="82">
        <v>0.9</v>
      </c>
      <c r="AH180" s="82">
        <v>20.6</v>
      </c>
      <c r="AI180" s="82">
        <v>0.4</v>
      </c>
      <c r="AJ180" s="82">
        <v>4.7</v>
      </c>
      <c r="AK180" s="82">
        <v>4.7</v>
      </c>
      <c r="AL180" s="82">
        <v>4.0999999999999996</v>
      </c>
      <c r="AM180" s="82">
        <v>4</v>
      </c>
      <c r="AN180" s="82">
        <v>3.9</v>
      </c>
      <c r="AO180" s="82">
        <v>3.8</v>
      </c>
      <c r="AP180" s="82">
        <v>4.3</v>
      </c>
      <c r="AQ180" s="82">
        <v>4.4000000000000004</v>
      </c>
      <c r="AR180" s="82">
        <v>6</v>
      </c>
      <c r="AS180" s="82">
        <v>6</v>
      </c>
      <c r="AT180" s="82">
        <v>4.8</v>
      </c>
      <c r="AU180" s="82">
        <v>4.5</v>
      </c>
      <c r="AV180" s="82">
        <v>3.9</v>
      </c>
      <c r="AW180" s="82">
        <v>3.8</v>
      </c>
      <c r="AX180" s="82">
        <v>3.6</v>
      </c>
      <c r="AY180" s="82">
        <v>3.6</v>
      </c>
      <c r="AZ180" s="82">
        <v>3.2</v>
      </c>
      <c r="BA180" s="82">
        <v>3.2</v>
      </c>
      <c r="BB180" s="82">
        <v>2.7</v>
      </c>
      <c r="BC180" s="82">
        <v>2.7</v>
      </c>
      <c r="BD180" s="82">
        <v>2.4</v>
      </c>
      <c r="BE180" s="82">
        <v>2.6</v>
      </c>
      <c r="BF180" s="82">
        <v>1.8</v>
      </c>
      <c r="BG180" s="82">
        <v>2.1</v>
      </c>
      <c r="BH180" s="82">
        <v>1.4</v>
      </c>
      <c r="BI180" s="82">
        <v>1.6</v>
      </c>
      <c r="BJ180" s="82">
        <v>1</v>
      </c>
      <c r="BK180" s="82">
        <v>1.2</v>
      </c>
      <c r="BL180" s="82">
        <v>0.7</v>
      </c>
      <c r="BM180" s="82">
        <v>0.9</v>
      </c>
      <c r="BN180" s="82">
        <v>0.4</v>
      </c>
      <c r="BO180" s="82">
        <v>0.6</v>
      </c>
      <c r="BP180" s="82">
        <v>0.2</v>
      </c>
      <c r="BQ180" s="82">
        <v>0.3</v>
      </c>
      <c r="BR180" s="82">
        <v>0.1</v>
      </c>
      <c r="BS180" s="82">
        <v>0.3</v>
      </c>
      <c r="BT180" s="82">
        <v>51667</v>
      </c>
      <c r="BU180" s="82">
        <v>14253</v>
      </c>
      <c r="BV180" s="82">
        <v>3153</v>
      </c>
      <c r="BW180" s="82">
        <v>43426</v>
      </c>
      <c r="BX180" s="82">
        <v>17.600000000000001</v>
      </c>
      <c r="BY180" s="82">
        <v>3</v>
      </c>
      <c r="BZ180" s="82">
        <v>5</v>
      </c>
      <c r="CA180" s="82">
        <v>15.3</v>
      </c>
      <c r="CB180" s="82">
        <v>18.899999999999999</v>
      </c>
      <c r="CC180" s="82">
        <v>14.2</v>
      </c>
      <c r="CD180" s="82">
        <v>10.8</v>
      </c>
      <c r="CE180" s="82">
        <v>8</v>
      </c>
      <c r="CF180" s="82">
        <v>4.7</v>
      </c>
      <c r="CG180" s="82">
        <v>1.6</v>
      </c>
      <c r="CH180" s="82">
        <v>0.4</v>
      </c>
      <c r="CI180" s="82">
        <v>0.5</v>
      </c>
      <c r="CJ180" s="82">
        <f t="shared" si="14"/>
        <v>112499</v>
      </c>
      <c r="CK180" s="82">
        <f t="shared" si="15"/>
        <v>201135.69232030117</v>
      </c>
      <c r="CL180" s="95">
        <f ca="1">$CK180*SUM(OFFSET($AJ180,0,(COUNTA($CL$1:CL$1)-1)*4,1,4))/100</f>
        <v>35198.746156052708</v>
      </c>
      <c r="CM180" s="95">
        <f ca="1">$CK180*SUM(OFFSET($AJ180,0,(COUNTA($CL$1:CM$1)-1)*4,1,4))/100</f>
        <v>32986.253540529389</v>
      </c>
      <c r="CN180" s="95">
        <f ca="1">$CK180*SUM(OFFSET($AJ180,0,(COUNTA($CL$1:CN$1)-1)*4,1,4))/100</f>
        <v>42841.902464224149</v>
      </c>
      <c r="CO180" s="95">
        <f ca="1">$CK180*SUM(OFFSET($AJ180,0,(COUNTA($CL$1:CO$1)-1)*4,1,4))/100</f>
        <v>29969.218155724873</v>
      </c>
      <c r="CP180" s="95">
        <f ca="1">$CK180*SUM(OFFSET($AJ180,0,(COUNTA($CL$1:CP$1)-1)*4,1,4))/100</f>
        <v>23734.011693795539</v>
      </c>
      <c r="CQ180" s="95">
        <f ca="1">$CK180*SUM(OFFSET($AJ180,0,(COUNTA($CL$1:CQ$1)-1)*4,1,4))/100</f>
        <v>17901.076616506805</v>
      </c>
      <c r="CR180" s="95">
        <f ca="1">$CK180*SUM(OFFSET($AJ180,0,(COUNTA($CL$1:CR$1)-1)*4,1,4))/100</f>
        <v>10459.056000655661</v>
      </c>
      <c r="CS180" s="95">
        <f ca="1">$CK180*SUM(OFFSET($AJ180,0,(COUNTA($CL$1:CS$1)-1)*4,1,4))/100</f>
        <v>5229.5280003278303</v>
      </c>
      <c r="CT180" s="95">
        <f ca="1">$CK180*SUM(OFFSET($AJ180,0,(COUNTA($CL$1:CT$1)-1)*4,1,4))/100</f>
        <v>1810.2212308827104</v>
      </c>
      <c r="CU180" s="96">
        <f t="shared" si="16"/>
        <v>2668.2295081967213</v>
      </c>
      <c r="CV180" s="96">
        <f t="shared" si="17"/>
        <v>75.381705997335814</v>
      </c>
    </row>
    <row r="181" spans="1:100">
      <c r="A181" s="82" t="str">
        <f ca="1">IF(ISERROR(OFFSET(Map!$E$2,MATCH(D181,Map!$B$3:$B$239,0),0)),OFFSET(Map!$E$2,MATCH(D181,Map!$C$3:$C$239,0),0),OFFSET(Map!$E$2,MATCH(D181,Map!$B$3:$B$239,0),0))</f>
        <v>Dr Kenneth Kaunda</v>
      </c>
      <c r="B181" s="82">
        <v>180</v>
      </c>
      <c r="C181" s="82" t="s">
        <v>60</v>
      </c>
      <c r="D181" s="82" t="s">
        <v>561</v>
      </c>
      <c r="E181" s="82" t="s">
        <v>562</v>
      </c>
      <c r="F181" s="82">
        <v>398676</v>
      </c>
      <c r="G181" s="82">
        <v>28.2</v>
      </c>
      <c r="H181" s="82">
        <v>66.400000000000006</v>
      </c>
      <c r="I181" s="82">
        <f t="shared" si="12"/>
        <v>264721</v>
      </c>
      <c r="J181" s="82">
        <v>5.4</v>
      </c>
      <c r="K181" s="82">
        <v>50.7</v>
      </c>
      <c r="L181" s="82">
        <v>100</v>
      </c>
      <c r="M181" s="82">
        <v>1.04</v>
      </c>
      <c r="N181" s="82">
        <v>112</v>
      </c>
      <c r="O181" s="82">
        <v>32.700000000000003</v>
      </c>
      <c r="P181" s="82">
        <f t="shared" si="13"/>
        <v>178157</v>
      </c>
      <c r="Q181" s="82">
        <v>43.1</v>
      </c>
      <c r="R181" s="82">
        <v>7.9</v>
      </c>
      <c r="S181" s="82">
        <v>9</v>
      </c>
      <c r="T181" s="82">
        <v>28.2</v>
      </c>
      <c r="U181" s="82">
        <v>120442</v>
      </c>
      <c r="V181" s="82">
        <v>14406</v>
      </c>
      <c r="W181" s="82">
        <v>3.2</v>
      </c>
      <c r="X181" s="82">
        <v>36.700000000000003</v>
      </c>
      <c r="Y181" s="82">
        <v>82.9</v>
      </c>
      <c r="Z181" s="82">
        <v>57.9</v>
      </c>
      <c r="AA181" s="82">
        <v>92.8</v>
      </c>
      <c r="AB181" s="82">
        <v>89.3</v>
      </c>
      <c r="AC181" s="82">
        <v>50.1</v>
      </c>
      <c r="AD181" s="82">
        <v>90.3</v>
      </c>
      <c r="AE181" s="82">
        <v>81</v>
      </c>
      <c r="AF181" s="82">
        <v>3.5</v>
      </c>
      <c r="AG181" s="82">
        <v>0.8</v>
      </c>
      <c r="AH181" s="82">
        <v>14.5</v>
      </c>
      <c r="AI181" s="82">
        <v>0.3</v>
      </c>
      <c r="AJ181" s="82">
        <v>5.4</v>
      </c>
      <c r="AK181" s="82">
        <v>5.3</v>
      </c>
      <c r="AL181" s="82">
        <v>4.5999999999999996</v>
      </c>
      <c r="AM181" s="82">
        <v>4.4000000000000004</v>
      </c>
      <c r="AN181" s="82">
        <v>4.4000000000000004</v>
      </c>
      <c r="AO181" s="82">
        <v>4.0999999999999996</v>
      </c>
      <c r="AP181" s="82">
        <v>4.4000000000000004</v>
      </c>
      <c r="AQ181" s="82">
        <v>4.2</v>
      </c>
      <c r="AR181" s="82">
        <v>4.5999999999999996</v>
      </c>
      <c r="AS181" s="82">
        <v>4.7</v>
      </c>
      <c r="AT181" s="82">
        <v>4.7</v>
      </c>
      <c r="AU181" s="82">
        <v>4.5999999999999996</v>
      </c>
      <c r="AV181" s="82">
        <v>4</v>
      </c>
      <c r="AW181" s="82">
        <v>3.9</v>
      </c>
      <c r="AX181" s="82">
        <v>3.6</v>
      </c>
      <c r="AY181" s="82">
        <v>3.4</v>
      </c>
      <c r="AZ181" s="82">
        <v>3.3</v>
      </c>
      <c r="BA181" s="82">
        <v>3.2</v>
      </c>
      <c r="BB181" s="82">
        <v>3</v>
      </c>
      <c r="BC181" s="82">
        <v>3</v>
      </c>
      <c r="BD181" s="82">
        <v>2.6</v>
      </c>
      <c r="BE181" s="82">
        <v>2.5</v>
      </c>
      <c r="BF181" s="82">
        <v>1.9</v>
      </c>
      <c r="BG181" s="82">
        <v>2</v>
      </c>
      <c r="BH181" s="82">
        <v>1.3</v>
      </c>
      <c r="BI181" s="82">
        <v>1.5</v>
      </c>
      <c r="BJ181" s="82">
        <v>0.9</v>
      </c>
      <c r="BK181" s="82">
        <v>1.1000000000000001</v>
      </c>
      <c r="BL181" s="82">
        <v>0.6</v>
      </c>
      <c r="BM181" s="82">
        <v>0.8</v>
      </c>
      <c r="BN181" s="82">
        <v>0.4</v>
      </c>
      <c r="BO181" s="82">
        <v>0.6</v>
      </c>
      <c r="BP181" s="82">
        <v>0.2</v>
      </c>
      <c r="BQ181" s="82">
        <v>0.3</v>
      </c>
      <c r="BR181" s="82">
        <v>0.1</v>
      </c>
      <c r="BS181" s="82">
        <v>0.2</v>
      </c>
      <c r="BT181" s="82">
        <v>106929</v>
      </c>
      <c r="BU181" s="82">
        <v>51967</v>
      </c>
      <c r="BV181" s="82">
        <v>11311</v>
      </c>
      <c r="BW181" s="82">
        <v>94420</v>
      </c>
      <c r="BX181" s="82">
        <v>15.9</v>
      </c>
      <c r="BY181" s="82">
        <v>4.5999999999999996</v>
      </c>
      <c r="BZ181" s="82">
        <v>7.2</v>
      </c>
      <c r="CA181" s="82">
        <v>16.100000000000001</v>
      </c>
      <c r="CB181" s="82">
        <v>18.3</v>
      </c>
      <c r="CC181" s="82">
        <v>15.9</v>
      </c>
      <c r="CD181" s="82">
        <v>10.199999999999999</v>
      </c>
      <c r="CE181" s="82">
        <v>7</v>
      </c>
      <c r="CF181" s="82">
        <v>3.4</v>
      </c>
      <c r="CG181" s="82">
        <v>0.8</v>
      </c>
      <c r="CH181" s="82">
        <v>0.3</v>
      </c>
      <c r="CI181" s="82">
        <v>0.2</v>
      </c>
      <c r="CJ181" s="82">
        <f t="shared" si="14"/>
        <v>264627</v>
      </c>
      <c r="CK181" s="82">
        <f t="shared" si="15"/>
        <v>437582.68640059175</v>
      </c>
      <c r="CL181" s="95">
        <f ca="1">$CK181*SUM(OFFSET($AJ181,0,(COUNTA($CL$1:CL$1)-1)*4,1,4))/100</f>
        <v>86203.789220916573</v>
      </c>
      <c r="CM181" s="95">
        <f ca="1">$CK181*SUM(OFFSET($AJ181,0,(COUNTA($CL$1:CM$1)-1)*4,1,4))/100</f>
        <v>74826.639374501188</v>
      </c>
      <c r="CN181" s="95">
        <f ca="1">$CK181*SUM(OFFSET($AJ181,0,(COUNTA($CL$1:CN$1)-1)*4,1,4))/100</f>
        <v>81390.379670510069</v>
      </c>
      <c r="CO181" s="95">
        <f ca="1">$CK181*SUM(OFFSET($AJ181,0,(COUNTA($CL$1:CO$1)-1)*4,1,4))/100</f>
        <v>65199.820273688172</v>
      </c>
      <c r="CP181" s="95">
        <f ca="1">$CK181*SUM(OFFSET($AJ181,0,(COUNTA($CL$1:CP$1)-1)*4,1,4))/100</f>
        <v>54697.835800073968</v>
      </c>
      <c r="CQ181" s="95">
        <f ca="1">$CK181*SUM(OFFSET($AJ181,0,(COUNTA($CL$1:CQ$1)-1)*4,1,4))/100</f>
        <v>39382.44177605326</v>
      </c>
      <c r="CR181" s="95">
        <f ca="1">$CK181*SUM(OFFSET($AJ181,0,(COUNTA($CL$1:CR$1)-1)*4,1,4))/100</f>
        <v>21003.968947228404</v>
      </c>
      <c r="CS181" s="95">
        <f ca="1">$CK181*SUM(OFFSET($AJ181,0,(COUNTA($CL$1:CS$1)-1)*4,1,4))/100</f>
        <v>10501.984473614202</v>
      </c>
      <c r="CT181" s="95">
        <f ca="1">$CK181*SUM(OFFSET($AJ181,0,(COUNTA($CL$1:CT$1)-1)*4,1,4))/100</f>
        <v>3500.6614912047344</v>
      </c>
      <c r="CU181" s="96">
        <f t="shared" si="16"/>
        <v>3559.6071428571427</v>
      </c>
      <c r="CV181" s="96">
        <f t="shared" si="17"/>
        <v>122.9300506598498</v>
      </c>
    </row>
    <row r="182" spans="1:100">
      <c r="A182" s="82" t="str">
        <f ca="1">IF(ISERROR(OFFSET(Map!$E$2,MATCH(D182,Map!$B$3:$B$239,0),0)),OFFSET(Map!$E$2,MATCH(D182,Map!$C$3:$C$239,0),0),OFFSET(Map!$E$2,MATCH(D182,Map!$B$3:$B$239,0),0))</f>
        <v>Dr Kenneth Kaunda</v>
      </c>
      <c r="B182" s="82">
        <v>181</v>
      </c>
      <c r="C182" s="82" t="s">
        <v>60</v>
      </c>
      <c r="D182" s="82" t="s">
        <v>563</v>
      </c>
      <c r="E182" s="82" t="s">
        <v>564</v>
      </c>
      <c r="F182" s="82">
        <v>77794</v>
      </c>
      <c r="G182" s="82">
        <v>33</v>
      </c>
      <c r="H182" s="82">
        <v>61.8</v>
      </c>
      <c r="I182" s="82">
        <f t="shared" si="12"/>
        <v>48077</v>
      </c>
      <c r="J182" s="82">
        <v>5.2</v>
      </c>
      <c r="K182" s="82">
        <v>61.8</v>
      </c>
      <c r="L182" s="82">
        <v>98.9</v>
      </c>
      <c r="M182" s="82">
        <v>1.19</v>
      </c>
      <c r="N182" s="82">
        <v>17</v>
      </c>
      <c r="O182" s="82">
        <v>33.4</v>
      </c>
      <c r="P182" s="82">
        <f t="shared" si="13"/>
        <v>32019</v>
      </c>
      <c r="Q182" s="82">
        <v>42.6</v>
      </c>
      <c r="R182" s="82">
        <v>23.5</v>
      </c>
      <c r="S182" s="82">
        <v>4.7</v>
      </c>
      <c r="T182" s="82">
        <v>18.899999999999999</v>
      </c>
      <c r="U182" s="82">
        <v>20505</v>
      </c>
      <c r="V182" s="82">
        <v>5157</v>
      </c>
      <c r="W182" s="82">
        <v>3.6</v>
      </c>
      <c r="X182" s="82">
        <v>34.200000000000003</v>
      </c>
      <c r="Y182" s="82">
        <v>81.900000000000006</v>
      </c>
      <c r="Z182" s="82">
        <v>55.4</v>
      </c>
      <c r="AA182" s="82">
        <v>74.400000000000006</v>
      </c>
      <c r="AB182" s="82">
        <v>52.6</v>
      </c>
      <c r="AC182" s="82">
        <v>32.200000000000003</v>
      </c>
      <c r="AD182" s="82">
        <v>82.8</v>
      </c>
      <c r="AE182" s="82">
        <v>88.7</v>
      </c>
      <c r="AF182" s="82">
        <v>2.2999999999999998</v>
      </c>
      <c r="AG182" s="82">
        <v>0.4</v>
      </c>
      <c r="AH182" s="82">
        <v>8.1999999999999993</v>
      </c>
      <c r="AI182" s="82">
        <v>0.3</v>
      </c>
      <c r="AJ182" s="82">
        <v>6.4</v>
      </c>
      <c r="AK182" s="82">
        <v>6.2</v>
      </c>
      <c r="AL182" s="82">
        <v>5.7</v>
      </c>
      <c r="AM182" s="82">
        <v>5.5</v>
      </c>
      <c r="AN182" s="82">
        <v>4.5999999999999996</v>
      </c>
      <c r="AO182" s="82">
        <v>4.5999999999999996</v>
      </c>
      <c r="AP182" s="82">
        <v>4.5</v>
      </c>
      <c r="AQ182" s="82">
        <v>4.4000000000000004</v>
      </c>
      <c r="AR182" s="82">
        <v>4.8</v>
      </c>
      <c r="AS182" s="82">
        <v>4.7</v>
      </c>
      <c r="AT182" s="82">
        <v>4.4000000000000004</v>
      </c>
      <c r="AU182" s="82">
        <v>4.5999999999999996</v>
      </c>
      <c r="AV182" s="82">
        <v>3.5</v>
      </c>
      <c r="AW182" s="82">
        <v>3.5</v>
      </c>
      <c r="AX182" s="82">
        <v>3.1</v>
      </c>
      <c r="AY182" s="82">
        <v>3.1</v>
      </c>
      <c r="AZ182" s="82">
        <v>2.7</v>
      </c>
      <c r="BA182" s="82">
        <v>2.8</v>
      </c>
      <c r="BB182" s="82">
        <v>2.5</v>
      </c>
      <c r="BC182" s="82">
        <v>2.5</v>
      </c>
      <c r="BD182" s="82">
        <v>2.2000000000000002</v>
      </c>
      <c r="BE182" s="82">
        <v>2.2000000000000002</v>
      </c>
      <c r="BF182" s="82">
        <v>1.9</v>
      </c>
      <c r="BG182" s="82">
        <v>1.8</v>
      </c>
      <c r="BH182" s="82">
        <v>1.2</v>
      </c>
      <c r="BI182" s="82">
        <v>1.4</v>
      </c>
      <c r="BJ182" s="82">
        <v>1</v>
      </c>
      <c r="BK182" s="82">
        <v>1</v>
      </c>
      <c r="BL182" s="82">
        <v>0.6</v>
      </c>
      <c r="BM182" s="82">
        <v>0.8</v>
      </c>
      <c r="BN182" s="82">
        <v>0.3</v>
      </c>
      <c r="BO182" s="82">
        <v>0.5</v>
      </c>
      <c r="BP182" s="82">
        <v>0.2</v>
      </c>
      <c r="BQ182" s="82">
        <v>0.3</v>
      </c>
      <c r="BR182" s="82">
        <v>0.2</v>
      </c>
      <c r="BS182" s="82">
        <v>0.3</v>
      </c>
      <c r="BT182" s="82">
        <v>15264</v>
      </c>
      <c r="BU182" s="82">
        <v>7672</v>
      </c>
      <c r="BV182" s="82">
        <v>3014</v>
      </c>
      <c r="BW182" s="82">
        <v>22128</v>
      </c>
      <c r="BX182" s="82">
        <v>14.5</v>
      </c>
      <c r="BY182" s="82">
        <v>6</v>
      </c>
      <c r="BZ182" s="82">
        <v>9.8000000000000007</v>
      </c>
      <c r="CA182" s="82">
        <v>24.2</v>
      </c>
      <c r="CB182" s="82">
        <v>22.8</v>
      </c>
      <c r="CC182" s="82">
        <v>10.199999999999999</v>
      </c>
      <c r="CD182" s="82">
        <v>6.3</v>
      </c>
      <c r="CE182" s="82">
        <v>4.0999999999999996</v>
      </c>
      <c r="CF182" s="82">
        <v>1.5</v>
      </c>
      <c r="CG182" s="82">
        <v>0.3</v>
      </c>
      <c r="CH182" s="82">
        <v>0.2</v>
      </c>
      <c r="CI182" s="82">
        <v>0.2</v>
      </c>
      <c r="CJ182" s="82">
        <f t="shared" si="14"/>
        <v>48078</v>
      </c>
      <c r="CK182" s="82">
        <f t="shared" si="15"/>
        <v>86533.539024014666</v>
      </c>
      <c r="CL182" s="95">
        <f ca="1">$CK182*SUM(OFFSET($AJ182,0,(COUNTA($CL$1:CL$1)-1)*4,1,4))/100</f>
        <v>20594.982287715491</v>
      </c>
      <c r="CM182" s="95">
        <f ca="1">$CK182*SUM(OFFSET($AJ182,0,(COUNTA($CL$1:CM$1)-1)*4,1,4))/100</f>
        <v>15662.570563346655</v>
      </c>
      <c r="CN182" s="95">
        <f ca="1">$CK182*SUM(OFFSET($AJ182,0,(COUNTA($CL$1:CN$1)-1)*4,1,4))/100</f>
        <v>16008.704719442714</v>
      </c>
      <c r="CO182" s="95">
        <f ca="1">$CK182*SUM(OFFSET($AJ182,0,(COUNTA($CL$1:CO$1)-1)*4,1,4))/100</f>
        <v>11422.427151169935</v>
      </c>
      <c r="CP182" s="95">
        <f ca="1">$CK182*SUM(OFFSET($AJ182,0,(COUNTA($CL$1:CP$1)-1)*4,1,4))/100</f>
        <v>9086.0215975215397</v>
      </c>
      <c r="CQ182" s="95">
        <f ca="1">$CK182*SUM(OFFSET($AJ182,0,(COUNTA($CL$1:CQ$1)-1)*4,1,4))/100</f>
        <v>7009.2166609451897</v>
      </c>
      <c r="CR182" s="95">
        <f ca="1">$CK182*SUM(OFFSET($AJ182,0,(COUNTA($CL$1:CR$1)-1)*4,1,4))/100</f>
        <v>3980.5427951046745</v>
      </c>
      <c r="CS182" s="95">
        <f ca="1">$CK182*SUM(OFFSET($AJ182,0,(COUNTA($CL$1:CS$1)-1)*4,1,4))/100</f>
        <v>1903.7378585283229</v>
      </c>
      <c r="CT182" s="95">
        <f ca="1">$CK182*SUM(OFFSET($AJ182,0,(COUNTA($CL$1:CT$1)-1)*4,1,4))/100</f>
        <v>865.33539024014669</v>
      </c>
      <c r="CU182" s="96">
        <f t="shared" si="16"/>
        <v>4576.1176470588234</v>
      </c>
      <c r="CV182" s="96">
        <f t="shared" si="17"/>
        <v>18.909815196650761</v>
      </c>
    </row>
    <row r="183" spans="1:100">
      <c r="A183" s="82" t="str">
        <f ca="1">IF(ISERROR(OFFSET(Map!$E$2,MATCH(D183,Map!$B$3:$B$239,0),0)),OFFSET(Map!$E$2,MATCH(D183,Map!$C$3:$C$239,0),0),OFFSET(Map!$E$2,MATCH(D183,Map!$B$3:$B$239,0),0))</f>
        <v>Ekurhuleni Metropolitan Municipality</v>
      </c>
      <c r="B183" s="82">
        <v>182</v>
      </c>
      <c r="C183" s="82" t="s">
        <v>56</v>
      </c>
      <c r="D183" s="82" t="s">
        <v>565</v>
      </c>
      <c r="E183" s="82" t="s">
        <v>110</v>
      </c>
      <c r="F183" s="82">
        <v>3178470</v>
      </c>
      <c r="G183" s="82">
        <v>24.3</v>
      </c>
      <c r="H183" s="82">
        <v>71.7</v>
      </c>
      <c r="I183" s="82">
        <f t="shared" si="12"/>
        <v>2278963</v>
      </c>
      <c r="J183" s="82">
        <v>4</v>
      </c>
      <c r="K183" s="82">
        <v>39.4</v>
      </c>
      <c r="L183" s="82">
        <v>105</v>
      </c>
      <c r="M183" s="82">
        <v>2.4700000000000002</v>
      </c>
      <c r="N183" s="82">
        <v>1609</v>
      </c>
      <c r="O183" s="82">
        <v>28.8</v>
      </c>
      <c r="P183" s="82">
        <f t="shared" si="13"/>
        <v>1622622</v>
      </c>
      <c r="Q183" s="82">
        <v>36.9</v>
      </c>
      <c r="R183" s="82">
        <v>3.6</v>
      </c>
      <c r="S183" s="82">
        <v>14.6</v>
      </c>
      <c r="T183" s="82">
        <v>35.4</v>
      </c>
      <c r="U183" s="82">
        <v>1015465</v>
      </c>
      <c r="V183" s="82">
        <v>69013</v>
      </c>
      <c r="W183" s="82">
        <v>2.9</v>
      </c>
      <c r="X183" s="82">
        <v>31.3</v>
      </c>
      <c r="Y183" s="82">
        <v>77.400000000000006</v>
      </c>
      <c r="Z183" s="82">
        <v>44</v>
      </c>
      <c r="AA183" s="82">
        <v>85</v>
      </c>
      <c r="AB183" s="82">
        <v>88.4</v>
      </c>
      <c r="AC183" s="82">
        <v>57.2</v>
      </c>
      <c r="AD183" s="82">
        <v>82.2</v>
      </c>
      <c r="AE183" s="82">
        <v>78.7</v>
      </c>
      <c r="AF183" s="82">
        <v>2.7</v>
      </c>
      <c r="AG183" s="82">
        <v>2.1</v>
      </c>
      <c r="AH183" s="82">
        <v>15.8</v>
      </c>
      <c r="AI183" s="82">
        <v>0.6</v>
      </c>
      <c r="AJ183" s="82">
        <v>5</v>
      </c>
      <c r="AK183" s="82">
        <v>5</v>
      </c>
      <c r="AL183" s="82">
        <v>3.8</v>
      </c>
      <c r="AM183" s="82">
        <v>3.7</v>
      </c>
      <c r="AN183" s="82">
        <v>3.5</v>
      </c>
      <c r="AO183" s="82">
        <v>3.4</v>
      </c>
      <c r="AP183" s="82">
        <v>3.7</v>
      </c>
      <c r="AQ183" s="82">
        <v>3.8</v>
      </c>
      <c r="AR183" s="82">
        <v>5.6</v>
      </c>
      <c r="AS183" s="82">
        <v>5.3</v>
      </c>
      <c r="AT183" s="82">
        <v>6.5</v>
      </c>
      <c r="AU183" s="82">
        <v>5.7</v>
      </c>
      <c r="AV183" s="82">
        <v>5.6</v>
      </c>
      <c r="AW183" s="82">
        <v>4.5</v>
      </c>
      <c r="AX183" s="82">
        <v>4.5</v>
      </c>
      <c r="AY183" s="82">
        <v>3.8</v>
      </c>
      <c r="AZ183" s="82">
        <v>3.5</v>
      </c>
      <c r="BA183" s="82">
        <v>3.2</v>
      </c>
      <c r="BB183" s="82">
        <v>2.8</v>
      </c>
      <c r="BC183" s="82">
        <v>2.8</v>
      </c>
      <c r="BD183" s="82">
        <v>2.2000000000000002</v>
      </c>
      <c r="BE183" s="82">
        <v>2.2999999999999998</v>
      </c>
      <c r="BF183" s="82">
        <v>1.7</v>
      </c>
      <c r="BG183" s="82">
        <v>1.8</v>
      </c>
      <c r="BH183" s="82">
        <v>1.2</v>
      </c>
      <c r="BI183" s="82">
        <v>1.3</v>
      </c>
      <c r="BJ183" s="82">
        <v>0.7</v>
      </c>
      <c r="BK183" s="82">
        <v>0.9</v>
      </c>
      <c r="BL183" s="82">
        <v>0.5</v>
      </c>
      <c r="BM183" s="82">
        <v>0.6</v>
      </c>
      <c r="BN183" s="82">
        <v>0.2</v>
      </c>
      <c r="BO183" s="82">
        <v>0.4</v>
      </c>
      <c r="BP183" s="82">
        <v>0.1</v>
      </c>
      <c r="BQ183" s="82">
        <v>0.3</v>
      </c>
      <c r="BR183" s="82">
        <v>0.1</v>
      </c>
      <c r="BS183" s="82">
        <v>0.2</v>
      </c>
      <c r="BT183" s="82">
        <v>1126844</v>
      </c>
      <c r="BU183" s="82">
        <v>455608</v>
      </c>
      <c r="BV183" s="82">
        <v>81959</v>
      </c>
      <c r="BW183" s="82">
        <v>615042</v>
      </c>
      <c r="BX183" s="82">
        <v>17.8</v>
      </c>
      <c r="BY183" s="82">
        <v>3.8</v>
      </c>
      <c r="BZ183" s="82">
        <v>5.3</v>
      </c>
      <c r="CA183" s="82">
        <v>11.6</v>
      </c>
      <c r="CB183" s="82">
        <v>16.899999999999999</v>
      </c>
      <c r="CC183" s="82">
        <v>15</v>
      </c>
      <c r="CD183" s="82">
        <v>10.8</v>
      </c>
      <c r="CE183" s="82">
        <v>8.6999999999999993</v>
      </c>
      <c r="CF183" s="82">
        <v>6.3</v>
      </c>
      <c r="CG183" s="82">
        <v>2.7</v>
      </c>
      <c r="CH183" s="82">
        <v>0.7</v>
      </c>
      <c r="CI183" s="82">
        <v>0.4</v>
      </c>
      <c r="CJ183" s="82">
        <f t="shared" si="14"/>
        <v>2279453</v>
      </c>
      <c r="CK183" s="82">
        <f t="shared" si="15"/>
        <v>3959029.5430521145</v>
      </c>
      <c r="CL183" s="95">
        <f ca="1">$CK183*SUM(OFFSET($AJ183,0,(COUNTA($CL$1:CL$1)-1)*4,1,4))/100</f>
        <v>692830.17003412009</v>
      </c>
      <c r="CM183" s="95">
        <f ca="1">$CK183*SUM(OFFSET($AJ183,0,(COUNTA($CL$1:CM$1)-1)*4,1,4))/100</f>
        <v>570100.2541995045</v>
      </c>
      <c r="CN183" s="95">
        <f ca="1">$CK183*SUM(OFFSET($AJ183,0,(COUNTA($CL$1:CN$1)-1)*4,1,4))/100</f>
        <v>914535.82444503845</v>
      </c>
      <c r="CO183" s="95">
        <f ca="1">$CK183*SUM(OFFSET($AJ183,0,(COUNTA($CL$1:CO$1)-1)*4,1,4))/100</f>
        <v>728461.43592158903</v>
      </c>
      <c r="CP183" s="95">
        <f ca="1">$CK183*SUM(OFFSET($AJ183,0,(COUNTA($CL$1:CP$1)-1)*4,1,4))/100</f>
        <v>486960.6337954101</v>
      </c>
      <c r="CQ183" s="95">
        <f ca="1">$CK183*SUM(OFFSET($AJ183,0,(COUNTA($CL$1:CQ$1)-1)*4,1,4))/100</f>
        <v>316722.36344416917</v>
      </c>
      <c r="CR183" s="95">
        <f ca="1">$CK183*SUM(OFFSET($AJ183,0,(COUNTA($CL$1:CR$1)-1)*4,1,4))/100</f>
        <v>162320.21126513672</v>
      </c>
      <c r="CS183" s="95">
        <f ca="1">$CK183*SUM(OFFSET($AJ183,0,(COUNTA($CL$1:CS$1)-1)*4,1,4))/100</f>
        <v>67303.502231885956</v>
      </c>
      <c r="CT183" s="95">
        <f ca="1">$CK183*SUM(OFFSET($AJ183,0,(COUNTA($CL$1:CT$1)-1)*4,1,4))/100</f>
        <v>27713.206801364799</v>
      </c>
      <c r="CU183" s="96">
        <f t="shared" si="16"/>
        <v>1975.4319453076446</v>
      </c>
      <c r="CV183" s="96">
        <f t="shared" si="17"/>
        <v>2004.1336035170546</v>
      </c>
    </row>
    <row r="184" spans="1:100">
      <c r="A184" s="82" t="str">
        <f ca="1">IF(ISERROR(OFFSET(Map!$E$2,MATCH(D184,Map!$B$3:$B$239,0),0)),OFFSET(Map!$E$2,MATCH(D184,Map!$C$3:$C$239,0),0),OFFSET(Map!$E$2,MATCH(D184,Map!$B$3:$B$239,0),0))</f>
        <v>Sedibeng</v>
      </c>
      <c r="B184" s="82">
        <v>183</v>
      </c>
      <c r="C184" s="82" t="s">
        <v>56</v>
      </c>
      <c r="D184" s="82" t="s">
        <v>566</v>
      </c>
      <c r="E184" s="82" t="s">
        <v>567</v>
      </c>
      <c r="F184" s="82">
        <v>721663</v>
      </c>
      <c r="G184" s="82">
        <v>25.6</v>
      </c>
      <c r="H184" s="82">
        <v>69.5</v>
      </c>
      <c r="I184" s="82">
        <f t="shared" si="12"/>
        <v>501556</v>
      </c>
      <c r="J184" s="82">
        <v>4.9000000000000004</v>
      </c>
      <c r="K184" s="82">
        <v>43.8</v>
      </c>
      <c r="L184" s="82">
        <v>96.7</v>
      </c>
      <c r="M184" s="82">
        <v>0.92</v>
      </c>
      <c r="N184" s="82">
        <v>747</v>
      </c>
      <c r="O184" s="82">
        <v>34.700000000000003</v>
      </c>
      <c r="P184" s="82">
        <f t="shared" si="13"/>
        <v>327516</v>
      </c>
      <c r="Q184" s="82">
        <v>45</v>
      </c>
      <c r="R184" s="82">
        <v>4</v>
      </c>
      <c r="S184" s="82">
        <v>12.9</v>
      </c>
      <c r="T184" s="82">
        <v>32.4</v>
      </c>
      <c r="U184" s="82">
        <v>220135</v>
      </c>
      <c r="V184" s="82">
        <v>17211</v>
      </c>
      <c r="W184" s="82">
        <v>3.1</v>
      </c>
      <c r="X184" s="82">
        <v>36.299999999999997</v>
      </c>
      <c r="Y184" s="82">
        <v>85.3</v>
      </c>
      <c r="Z184" s="82">
        <v>48.8</v>
      </c>
      <c r="AA184" s="82">
        <v>88.2</v>
      </c>
      <c r="AB184" s="82">
        <v>89.8</v>
      </c>
      <c r="AC184" s="82">
        <v>69.900000000000006</v>
      </c>
      <c r="AD184" s="82">
        <v>92.2</v>
      </c>
      <c r="AE184" s="82">
        <v>85.4</v>
      </c>
      <c r="AF184" s="82">
        <v>1.2</v>
      </c>
      <c r="AG184" s="82">
        <v>1</v>
      </c>
      <c r="AH184" s="82">
        <v>12</v>
      </c>
      <c r="AI184" s="82">
        <v>0.4</v>
      </c>
      <c r="AJ184" s="82">
        <v>4.9000000000000004</v>
      </c>
      <c r="AK184" s="82">
        <v>4.9000000000000004</v>
      </c>
      <c r="AL184" s="82">
        <v>4</v>
      </c>
      <c r="AM184" s="82">
        <v>4.0999999999999996</v>
      </c>
      <c r="AN184" s="82">
        <v>3.9</v>
      </c>
      <c r="AO184" s="82">
        <v>3.7</v>
      </c>
      <c r="AP184" s="82">
        <v>4.3</v>
      </c>
      <c r="AQ184" s="82">
        <v>4.5</v>
      </c>
      <c r="AR184" s="82">
        <v>5.5</v>
      </c>
      <c r="AS184" s="82">
        <v>5.4</v>
      </c>
      <c r="AT184" s="82">
        <v>5.0999999999999996</v>
      </c>
      <c r="AU184" s="82">
        <v>4.7</v>
      </c>
      <c r="AV184" s="82">
        <v>4.3</v>
      </c>
      <c r="AW184" s="82">
        <v>4.0999999999999996</v>
      </c>
      <c r="AX184" s="82">
        <v>3.7</v>
      </c>
      <c r="AY184" s="82">
        <v>3.6</v>
      </c>
      <c r="AZ184" s="82">
        <v>3.1</v>
      </c>
      <c r="BA184" s="82">
        <v>3.2</v>
      </c>
      <c r="BB184" s="82">
        <v>2.6</v>
      </c>
      <c r="BC184" s="82">
        <v>2.6</v>
      </c>
      <c r="BD184" s="82">
        <v>2.4</v>
      </c>
      <c r="BE184" s="82">
        <v>2.7</v>
      </c>
      <c r="BF184" s="82">
        <v>1.9</v>
      </c>
      <c r="BG184" s="82">
        <v>2.2000000000000002</v>
      </c>
      <c r="BH184" s="82">
        <v>1.4</v>
      </c>
      <c r="BI184" s="82">
        <v>1.6</v>
      </c>
      <c r="BJ184" s="82">
        <v>0.9</v>
      </c>
      <c r="BK184" s="82">
        <v>1.1000000000000001</v>
      </c>
      <c r="BL184" s="82">
        <v>0.6</v>
      </c>
      <c r="BM184" s="82">
        <v>0.8</v>
      </c>
      <c r="BN184" s="82">
        <v>0.3</v>
      </c>
      <c r="BO184" s="82">
        <v>0.5</v>
      </c>
      <c r="BP184" s="82">
        <v>0.2</v>
      </c>
      <c r="BQ184" s="82">
        <v>0.3</v>
      </c>
      <c r="BR184" s="82">
        <v>0.1</v>
      </c>
      <c r="BS184" s="82">
        <v>0.2</v>
      </c>
      <c r="BT184" s="82">
        <v>202543</v>
      </c>
      <c r="BU184" s="82">
        <v>107554</v>
      </c>
      <c r="BV184" s="82">
        <v>20145</v>
      </c>
      <c r="BW184" s="82">
        <v>171542</v>
      </c>
      <c r="BX184" s="82">
        <v>17.7</v>
      </c>
      <c r="BY184" s="82">
        <v>4.9000000000000004</v>
      </c>
      <c r="BZ184" s="82">
        <v>7</v>
      </c>
      <c r="CA184" s="82">
        <v>15.4</v>
      </c>
      <c r="CB184" s="82">
        <v>17.399999999999999</v>
      </c>
      <c r="CC184" s="82">
        <v>13.5</v>
      </c>
      <c r="CD184" s="82">
        <v>10.5</v>
      </c>
      <c r="CE184" s="82">
        <v>7.6</v>
      </c>
      <c r="CF184" s="82">
        <v>4.2</v>
      </c>
      <c r="CG184" s="82">
        <v>1.2</v>
      </c>
      <c r="CH184" s="82">
        <v>0.3</v>
      </c>
      <c r="CI184" s="82">
        <v>0.2</v>
      </c>
      <c r="CJ184" s="82">
        <f t="shared" si="14"/>
        <v>501784</v>
      </c>
      <c r="CK184" s="82">
        <f t="shared" si="15"/>
        <v>783663.49369695398</v>
      </c>
      <c r="CL184" s="95">
        <f ca="1">$CK184*SUM(OFFSET($AJ184,0,(COUNTA($CL$1:CL$1)-1)*4,1,4))/100</f>
        <v>140275.76537175474</v>
      </c>
      <c r="CM184" s="95">
        <f ca="1">$CK184*SUM(OFFSET($AJ184,0,(COUNTA($CL$1:CM$1)-1)*4,1,4))/100</f>
        <v>128520.81296630044</v>
      </c>
      <c r="CN184" s="95">
        <f ca="1">$CK184*SUM(OFFSET($AJ184,0,(COUNTA($CL$1:CN$1)-1)*4,1,4))/100</f>
        <v>162218.34319526947</v>
      </c>
      <c r="CO184" s="95">
        <f ca="1">$CK184*SUM(OFFSET($AJ184,0,(COUNTA($CL$1:CO$1)-1)*4,1,4))/100</f>
        <v>123035.16851042176</v>
      </c>
      <c r="CP184" s="95">
        <f ca="1">$CK184*SUM(OFFSET($AJ184,0,(COUNTA($CL$1:CP$1)-1)*4,1,4))/100</f>
        <v>90121.30177514971</v>
      </c>
      <c r="CQ184" s="95">
        <f ca="1">$CK184*SUM(OFFSET($AJ184,0,(COUNTA($CL$1:CQ$1)-1)*4,1,4))/100</f>
        <v>72097.041420119756</v>
      </c>
      <c r="CR184" s="95">
        <f ca="1">$CK184*SUM(OFFSET($AJ184,0,(COUNTA($CL$1:CR$1)-1)*4,1,4))/100</f>
        <v>39183.174684847698</v>
      </c>
      <c r="CS184" s="95">
        <f ca="1">$CK184*SUM(OFFSET($AJ184,0,(COUNTA($CL$1:CS$1)-1)*4,1,4))/100</f>
        <v>17240.59686133299</v>
      </c>
      <c r="CT184" s="95">
        <f ca="1">$CK184*SUM(OFFSET($AJ184,0,(COUNTA($CL$1:CT$1)-1)*4,1,4))/100</f>
        <v>6269.3079495756319</v>
      </c>
      <c r="CU184" s="96">
        <f t="shared" si="16"/>
        <v>966.08165997322624</v>
      </c>
      <c r="CV184" s="96">
        <f t="shared" si="17"/>
        <v>811.17728051961183</v>
      </c>
    </row>
    <row r="185" spans="1:100">
      <c r="A185" s="82" t="str">
        <f ca="1">IF(ISERROR(OFFSET(Map!$E$2,MATCH(D185,Map!$B$3:$B$239,0),0)),OFFSET(Map!$E$2,MATCH(D185,Map!$C$3:$C$239,0),0),OFFSET(Map!$E$2,MATCH(D185,Map!$B$3:$B$239,0),0))</f>
        <v>Sedibeng</v>
      </c>
      <c r="B185" s="82">
        <v>184</v>
      </c>
      <c r="C185" s="82" t="s">
        <v>56</v>
      </c>
      <c r="D185" s="82" t="s">
        <v>568</v>
      </c>
      <c r="E185" s="82" t="s">
        <v>569</v>
      </c>
      <c r="F185" s="82">
        <v>95301</v>
      </c>
      <c r="G185" s="82">
        <v>23.2</v>
      </c>
      <c r="H185" s="82">
        <v>70.5</v>
      </c>
      <c r="I185" s="82">
        <f t="shared" si="12"/>
        <v>67187</v>
      </c>
      <c r="J185" s="82">
        <v>6.3</v>
      </c>
      <c r="K185" s="82">
        <v>41.9</v>
      </c>
      <c r="L185" s="82">
        <v>106.6</v>
      </c>
      <c r="M185" s="82">
        <v>3.94</v>
      </c>
      <c r="N185" s="82">
        <v>55</v>
      </c>
      <c r="O185" s="82">
        <v>18.8</v>
      </c>
      <c r="P185" s="82">
        <f t="shared" si="13"/>
        <v>54556</v>
      </c>
      <c r="Q185" s="82">
        <v>25.4</v>
      </c>
      <c r="R185" s="82">
        <v>5.2</v>
      </c>
      <c r="S185" s="82">
        <v>15.2</v>
      </c>
      <c r="T185" s="82">
        <v>32.1</v>
      </c>
      <c r="U185" s="82">
        <v>29965</v>
      </c>
      <c r="V185" s="82">
        <v>4759</v>
      </c>
      <c r="W185" s="82">
        <v>3</v>
      </c>
      <c r="X185" s="82">
        <v>26.3</v>
      </c>
      <c r="Y185" s="82">
        <v>80.2</v>
      </c>
      <c r="Z185" s="82">
        <v>42.6</v>
      </c>
      <c r="AA185" s="82">
        <v>58</v>
      </c>
      <c r="AB185" s="82">
        <v>82.1</v>
      </c>
      <c r="AC185" s="82">
        <v>64.900000000000006</v>
      </c>
      <c r="AD185" s="82">
        <v>79.3</v>
      </c>
      <c r="AE185" s="82">
        <v>58.4</v>
      </c>
      <c r="AF185" s="82">
        <v>1.6</v>
      </c>
      <c r="AG185" s="82">
        <v>0.8</v>
      </c>
      <c r="AH185" s="82">
        <v>38.700000000000003</v>
      </c>
      <c r="AI185" s="82">
        <v>0.5</v>
      </c>
      <c r="AJ185" s="82">
        <v>4.4000000000000004</v>
      </c>
      <c r="AK185" s="82">
        <v>4.4000000000000004</v>
      </c>
      <c r="AL185" s="82">
        <v>3.7</v>
      </c>
      <c r="AM185" s="82">
        <v>3.6</v>
      </c>
      <c r="AN185" s="82">
        <v>3.6</v>
      </c>
      <c r="AO185" s="82">
        <v>3.4</v>
      </c>
      <c r="AP185" s="82">
        <v>3.8</v>
      </c>
      <c r="AQ185" s="82">
        <v>4.2</v>
      </c>
      <c r="AR185" s="82">
        <v>4.9000000000000004</v>
      </c>
      <c r="AS185" s="82">
        <v>4.4000000000000004</v>
      </c>
      <c r="AT185" s="82">
        <v>5.5</v>
      </c>
      <c r="AU185" s="82">
        <v>4.5</v>
      </c>
      <c r="AV185" s="82">
        <v>4.5999999999999996</v>
      </c>
      <c r="AW185" s="82">
        <v>3.8</v>
      </c>
      <c r="AX185" s="82">
        <v>4.4000000000000004</v>
      </c>
      <c r="AY185" s="82">
        <v>3.7</v>
      </c>
      <c r="AZ185" s="82">
        <v>3.7</v>
      </c>
      <c r="BA185" s="82">
        <v>3.4</v>
      </c>
      <c r="BB185" s="82">
        <v>3.1</v>
      </c>
      <c r="BC185" s="82">
        <v>3.1</v>
      </c>
      <c r="BD185" s="82">
        <v>2.8</v>
      </c>
      <c r="BE185" s="82">
        <v>2.5</v>
      </c>
      <c r="BF185" s="82">
        <v>2.2999999999999998</v>
      </c>
      <c r="BG185" s="82">
        <v>2.2000000000000002</v>
      </c>
      <c r="BH185" s="82">
        <v>1.8</v>
      </c>
      <c r="BI185" s="82">
        <v>1.7</v>
      </c>
      <c r="BJ185" s="82">
        <v>1.3</v>
      </c>
      <c r="BK185" s="82">
        <v>1.3</v>
      </c>
      <c r="BL185" s="82">
        <v>0.8</v>
      </c>
      <c r="BM185" s="82">
        <v>0.9</v>
      </c>
      <c r="BN185" s="82">
        <v>0.5</v>
      </c>
      <c r="BO185" s="82">
        <v>0.5</v>
      </c>
      <c r="BP185" s="82">
        <v>0.2</v>
      </c>
      <c r="BQ185" s="82">
        <v>0.3</v>
      </c>
      <c r="BR185" s="82">
        <v>0.1</v>
      </c>
      <c r="BS185" s="82">
        <v>0.3</v>
      </c>
      <c r="BT185" s="82">
        <v>37336</v>
      </c>
      <c r="BU185" s="82">
        <v>8620</v>
      </c>
      <c r="BV185" s="82">
        <v>1939</v>
      </c>
      <c r="BW185" s="82">
        <v>19287</v>
      </c>
      <c r="BX185" s="82">
        <v>14.5</v>
      </c>
      <c r="BY185" s="82">
        <v>3.2</v>
      </c>
      <c r="BZ185" s="82">
        <v>4.9000000000000004</v>
      </c>
      <c r="CA185" s="82">
        <v>14.8</v>
      </c>
      <c r="CB185" s="82">
        <v>16.399999999999999</v>
      </c>
      <c r="CC185" s="82">
        <v>12.4</v>
      </c>
      <c r="CD185" s="82">
        <v>10.3</v>
      </c>
      <c r="CE185" s="82">
        <v>10.9</v>
      </c>
      <c r="CF185" s="82">
        <v>8.3000000000000007</v>
      </c>
      <c r="CG185" s="82">
        <v>3.1</v>
      </c>
      <c r="CH185" s="82">
        <v>0.7</v>
      </c>
      <c r="CI185" s="82">
        <v>0.5</v>
      </c>
      <c r="CJ185" s="82">
        <f t="shared" si="14"/>
        <v>67182</v>
      </c>
      <c r="CK185" s="82">
        <f t="shared" si="15"/>
        <v>134940.3617631683</v>
      </c>
      <c r="CL185" s="95">
        <f ca="1">$CK185*SUM(OFFSET($AJ185,0,(COUNTA($CL$1:CL$1)-1)*4,1,4))/100</f>
        <v>21725.398243870099</v>
      </c>
      <c r="CM185" s="95">
        <f ca="1">$CK185*SUM(OFFSET($AJ185,0,(COUNTA($CL$1:CM$1)-1)*4,1,4))/100</f>
        <v>20241.054264475246</v>
      </c>
      <c r="CN185" s="95">
        <f ca="1">$CK185*SUM(OFFSET($AJ185,0,(COUNTA($CL$1:CN$1)-1)*4,1,4))/100</f>
        <v>26043.489820291485</v>
      </c>
      <c r="CO185" s="95">
        <f ca="1">$CK185*SUM(OFFSET($AJ185,0,(COUNTA($CL$1:CO$1)-1)*4,1,4))/100</f>
        <v>22265.15969092277</v>
      </c>
      <c r="CP185" s="95">
        <f ca="1">$CK185*SUM(OFFSET($AJ185,0,(COUNTA($CL$1:CP$1)-1)*4,1,4))/100</f>
        <v>17947.06811450138</v>
      </c>
      <c r="CQ185" s="95">
        <f ca="1">$CK185*SUM(OFFSET($AJ185,0,(COUNTA($CL$1:CQ$1)-1)*4,1,4))/100</f>
        <v>13224.155452790495</v>
      </c>
      <c r="CR185" s="95">
        <f ca="1">$CK185*SUM(OFFSET($AJ185,0,(COUNTA($CL$1:CR$1)-1)*4,1,4))/100</f>
        <v>8231.3620675532657</v>
      </c>
      <c r="CS185" s="95">
        <f ca="1">$CK185*SUM(OFFSET($AJ185,0,(COUNTA($CL$1:CS$1)-1)*4,1,4))/100</f>
        <v>3643.389767605544</v>
      </c>
      <c r="CT185" s="95">
        <f ca="1">$CK185*SUM(OFFSET($AJ185,0,(COUNTA($CL$1:CT$1)-1)*4,1,4))/100</f>
        <v>1214.4632558685146</v>
      </c>
      <c r="CU185" s="96">
        <f t="shared" si="16"/>
        <v>1732.7454545454545</v>
      </c>
      <c r="CV185" s="96">
        <f t="shared" si="17"/>
        <v>77.876621409788527</v>
      </c>
    </row>
    <row r="186" spans="1:100">
      <c r="A186" s="82" t="str">
        <f ca="1">IF(ISERROR(OFFSET(Map!$E$2,MATCH(D186,Map!$B$3:$B$239,0),0)),OFFSET(Map!$E$2,MATCH(D186,Map!$C$3:$C$239,0),0),OFFSET(Map!$E$2,MATCH(D186,Map!$B$3:$B$239,0),0))</f>
        <v>Sedibeng</v>
      </c>
      <c r="B186" s="82">
        <v>185</v>
      </c>
      <c r="C186" s="82" t="s">
        <v>56</v>
      </c>
      <c r="D186" s="82" t="s">
        <v>570</v>
      </c>
      <c r="E186" s="82" t="s">
        <v>571</v>
      </c>
      <c r="F186" s="82">
        <v>99520</v>
      </c>
      <c r="G186" s="82">
        <v>26</v>
      </c>
      <c r="H186" s="82">
        <v>68.599999999999994</v>
      </c>
      <c r="I186" s="82">
        <f t="shared" si="12"/>
        <v>68271</v>
      </c>
      <c r="J186" s="82">
        <v>5.4</v>
      </c>
      <c r="K186" s="82">
        <v>45.8</v>
      </c>
      <c r="L186" s="82">
        <v>106.5</v>
      </c>
      <c r="M186" s="82">
        <v>3.26</v>
      </c>
      <c r="N186" s="82">
        <v>67</v>
      </c>
      <c r="O186" s="82">
        <v>25.9</v>
      </c>
      <c r="P186" s="82">
        <f t="shared" si="13"/>
        <v>50589</v>
      </c>
      <c r="Q186" s="82">
        <v>33.799999999999997</v>
      </c>
      <c r="R186" s="82">
        <v>7.4</v>
      </c>
      <c r="S186" s="82">
        <v>11.2</v>
      </c>
      <c r="T186" s="82">
        <v>28.4</v>
      </c>
      <c r="U186" s="82">
        <v>29668</v>
      </c>
      <c r="V186" s="82">
        <v>4200</v>
      </c>
      <c r="W186" s="82">
        <v>3.2</v>
      </c>
      <c r="X186" s="82">
        <v>31.3</v>
      </c>
      <c r="Y186" s="82">
        <v>85.5</v>
      </c>
      <c r="Z186" s="82">
        <v>55.8</v>
      </c>
      <c r="AA186" s="82">
        <v>84.3</v>
      </c>
      <c r="AB186" s="82">
        <v>83.2</v>
      </c>
      <c r="AC186" s="82">
        <v>52.3</v>
      </c>
      <c r="AD186" s="82">
        <v>89.9</v>
      </c>
      <c r="AE186" s="82">
        <v>77.3</v>
      </c>
      <c r="AF186" s="82">
        <v>1.2</v>
      </c>
      <c r="AG186" s="82">
        <v>1.3</v>
      </c>
      <c r="AH186" s="82">
        <v>19.7</v>
      </c>
      <c r="AI186" s="82">
        <v>0.6</v>
      </c>
      <c r="AJ186" s="82">
        <v>5</v>
      </c>
      <c r="AK186" s="82">
        <v>5</v>
      </c>
      <c r="AL186" s="82">
        <v>4.3</v>
      </c>
      <c r="AM186" s="82">
        <v>4.0999999999999996</v>
      </c>
      <c r="AN186" s="82">
        <v>3.9</v>
      </c>
      <c r="AO186" s="82">
        <v>3.7</v>
      </c>
      <c r="AP186" s="82">
        <v>4.2</v>
      </c>
      <c r="AQ186" s="82">
        <v>4.0999999999999996</v>
      </c>
      <c r="AR186" s="82">
        <v>5.3</v>
      </c>
      <c r="AS186" s="82">
        <v>4.5999999999999996</v>
      </c>
      <c r="AT186" s="82">
        <v>5.8</v>
      </c>
      <c r="AU186" s="82">
        <v>4.5999999999999996</v>
      </c>
      <c r="AV186" s="82">
        <v>4.8</v>
      </c>
      <c r="AW186" s="82">
        <v>3.8</v>
      </c>
      <c r="AX186" s="82">
        <v>4</v>
      </c>
      <c r="AY186" s="82">
        <v>3.5</v>
      </c>
      <c r="AZ186" s="82">
        <v>3.3</v>
      </c>
      <c r="BA186" s="82">
        <v>3.2</v>
      </c>
      <c r="BB186" s="82">
        <v>2.9</v>
      </c>
      <c r="BC186" s="82">
        <v>2.9</v>
      </c>
      <c r="BD186" s="82">
        <v>2.2999999999999998</v>
      </c>
      <c r="BE186" s="82">
        <v>2.4</v>
      </c>
      <c r="BF186" s="82">
        <v>1.9</v>
      </c>
      <c r="BG186" s="82">
        <v>2</v>
      </c>
      <c r="BH186" s="82">
        <v>1.5</v>
      </c>
      <c r="BI186" s="82">
        <v>1.5</v>
      </c>
      <c r="BJ186" s="82">
        <v>1</v>
      </c>
      <c r="BK186" s="82">
        <v>1.1000000000000001</v>
      </c>
      <c r="BL186" s="82">
        <v>0.7</v>
      </c>
      <c r="BM186" s="82">
        <v>0.9</v>
      </c>
      <c r="BN186" s="82">
        <v>0.3</v>
      </c>
      <c r="BO186" s="82">
        <v>0.6</v>
      </c>
      <c r="BP186" s="82">
        <v>0.2</v>
      </c>
      <c r="BQ186" s="82">
        <v>0.3</v>
      </c>
      <c r="BR186" s="82">
        <v>0.1</v>
      </c>
      <c r="BS186" s="82">
        <v>0.2</v>
      </c>
      <c r="BT186" s="82">
        <v>31518</v>
      </c>
      <c r="BU186" s="82">
        <v>11042</v>
      </c>
      <c r="BV186" s="82">
        <v>2889</v>
      </c>
      <c r="BW186" s="82">
        <v>22805</v>
      </c>
      <c r="BX186" s="82">
        <v>14.7</v>
      </c>
      <c r="BY186" s="82">
        <v>4</v>
      </c>
      <c r="BZ186" s="82">
        <v>6</v>
      </c>
      <c r="CA186" s="82">
        <v>16</v>
      </c>
      <c r="CB186" s="82">
        <v>19.2</v>
      </c>
      <c r="CC186" s="82">
        <v>14.8</v>
      </c>
      <c r="CD186" s="82">
        <v>10.5</v>
      </c>
      <c r="CE186" s="82">
        <v>7.6</v>
      </c>
      <c r="CF186" s="82">
        <v>4.8</v>
      </c>
      <c r="CG186" s="82">
        <v>1.7</v>
      </c>
      <c r="CH186" s="82">
        <v>0.4</v>
      </c>
      <c r="CI186" s="82">
        <v>0.3</v>
      </c>
      <c r="CJ186" s="82">
        <f t="shared" si="14"/>
        <v>68254</v>
      </c>
      <c r="CK186" s="82">
        <f t="shared" si="15"/>
        <v>132831.00353672047</v>
      </c>
      <c r="CL186" s="95">
        <f ca="1">$CK186*SUM(OFFSET($AJ186,0,(COUNTA($CL$1:CL$1)-1)*4,1,4))/100</f>
        <v>24440.904650756562</v>
      </c>
      <c r="CM186" s="95">
        <f ca="1">$CK186*SUM(OFFSET($AJ186,0,(COUNTA($CL$1:CM$1)-1)*4,1,4))/100</f>
        <v>21120.129562338552</v>
      </c>
      <c r="CN186" s="95">
        <f ca="1">$CK186*SUM(OFFSET($AJ186,0,(COUNTA($CL$1:CN$1)-1)*4,1,4))/100</f>
        <v>26964.693717954251</v>
      </c>
      <c r="CO186" s="95">
        <f ca="1">$CK186*SUM(OFFSET($AJ186,0,(COUNTA($CL$1:CO$1)-1)*4,1,4))/100</f>
        <v>21385.791569411998</v>
      </c>
      <c r="CP186" s="95">
        <f ca="1">$CK186*SUM(OFFSET($AJ186,0,(COUNTA($CL$1:CP$1)-1)*4,1,4))/100</f>
        <v>16338.21343501662</v>
      </c>
      <c r="CQ186" s="95">
        <f ca="1">$CK186*SUM(OFFSET($AJ186,0,(COUNTA($CL$1:CQ$1)-1)*4,1,4))/100</f>
        <v>11423.466304157961</v>
      </c>
      <c r="CR186" s="95">
        <f ca="1">$CK186*SUM(OFFSET($AJ186,0,(COUNTA($CL$1:CR$1)-1)*4,1,4))/100</f>
        <v>6774.3811803727431</v>
      </c>
      <c r="CS186" s="95">
        <f ca="1">$CK186*SUM(OFFSET($AJ186,0,(COUNTA($CL$1:CS$1)-1)*4,1,4))/100</f>
        <v>3320.7750884180118</v>
      </c>
      <c r="CT186" s="95">
        <f ca="1">$CK186*SUM(OFFSET($AJ186,0,(COUNTA($CL$1:CT$1)-1)*4,1,4))/100</f>
        <v>1062.6480282937637</v>
      </c>
      <c r="CU186" s="96">
        <f t="shared" si="16"/>
        <v>1485.3731343283582</v>
      </c>
      <c r="CV186" s="96">
        <f t="shared" si="17"/>
        <v>89.426017252414297</v>
      </c>
    </row>
    <row r="187" spans="1:100">
      <c r="A187" s="82" t="str">
        <f ca="1">IF(ISERROR(OFFSET(Map!$E$2,MATCH(D187,Map!$B$3:$B$239,0),0)),OFFSET(Map!$E$2,MATCH(D187,Map!$C$3:$C$239,0),0),OFFSET(Map!$E$2,MATCH(D187,Map!$B$3:$B$239,0),0))</f>
        <v>West Rand</v>
      </c>
      <c r="B187" s="82">
        <v>186</v>
      </c>
      <c r="C187" s="82" t="s">
        <v>56</v>
      </c>
      <c r="D187" s="82" t="s">
        <v>572</v>
      </c>
      <c r="E187" s="82" t="s">
        <v>573</v>
      </c>
      <c r="F187" s="82">
        <v>362422</v>
      </c>
      <c r="G187" s="82">
        <v>23.7</v>
      </c>
      <c r="H187" s="82">
        <v>71.7</v>
      </c>
      <c r="I187" s="82">
        <f t="shared" si="12"/>
        <v>259857</v>
      </c>
      <c r="J187" s="82">
        <v>4.5999999999999996</v>
      </c>
      <c r="K187" s="82">
        <v>39.4</v>
      </c>
      <c r="L187" s="82">
        <v>104.2</v>
      </c>
      <c r="M187" s="82">
        <v>2.04</v>
      </c>
      <c r="N187" s="82">
        <v>270</v>
      </c>
      <c r="O187" s="82">
        <v>24.6</v>
      </c>
      <c r="P187" s="82">
        <f t="shared" si="13"/>
        <v>195932</v>
      </c>
      <c r="Q187" s="82">
        <v>32.299999999999997</v>
      </c>
      <c r="R187" s="82">
        <v>4.7</v>
      </c>
      <c r="S187" s="82">
        <v>14.1</v>
      </c>
      <c r="T187" s="82">
        <v>32.6</v>
      </c>
      <c r="U187" s="82">
        <v>117373</v>
      </c>
      <c r="V187" s="82">
        <v>7528</v>
      </c>
      <c r="W187" s="82">
        <v>2.9</v>
      </c>
      <c r="X187" s="82">
        <v>31.2</v>
      </c>
      <c r="Y187" s="82">
        <v>73.5</v>
      </c>
      <c r="Z187" s="82">
        <v>39</v>
      </c>
      <c r="AA187" s="82">
        <v>78.2</v>
      </c>
      <c r="AB187" s="82">
        <v>79.7</v>
      </c>
      <c r="AC187" s="82">
        <v>54.8</v>
      </c>
      <c r="AD187" s="82">
        <v>85.9</v>
      </c>
      <c r="AE187" s="82">
        <v>75.599999999999994</v>
      </c>
      <c r="AF187" s="82">
        <v>0.8</v>
      </c>
      <c r="AG187" s="82">
        <v>2.2000000000000002</v>
      </c>
      <c r="AH187" s="82">
        <v>21</v>
      </c>
      <c r="AI187" s="82">
        <v>0.5</v>
      </c>
      <c r="AJ187" s="82">
        <v>4.7</v>
      </c>
      <c r="AK187" s="82">
        <v>4.7</v>
      </c>
      <c r="AL187" s="82">
        <v>3.7</v>
      </c>
      <c r="AM187" s="82">
        <v>3.8</v>
      </c>
      <c r="AN187" s="82">
        <v>3.5</v>
      </c>
      <c r="AO187" s="82">
        <v>3.4</v>
      </c>
      <c r="AP187" s="82">
        <v>3.8</v>
      </c>
      <c r="AQ187" s="82">
        <v>3.8</v>
      </c>
      <c r="AR187" s="82">
        <v>6</v>
      </c>
      <c r="AS187" s="82">
        <v>4.9000000000000004</v>
      </c>
      <c r="AT187" s="82">
        <v>6</v>
      </c>
      <c r="AU187" s="82">
        <v>5.3</v>
      </c>
      <c r="AV187" s="82">
        <v>5.0999999999999996</v>
      </c>
      <c r="AW187" s="82">
        <v>4.4000000000000004</v>
      </c>
      <c r="AX187" s="82">
        <v>4.3</v>
      </c>
      <c r="AY187" s="82">
        <v>3.8</v>
      </c>
      <c r="AZ187" s="82">
        <v>3.4</v>
      </c>
      <c r="BA187" s="82">
        <v>3.4</v>
      </c>
      <c r="BB187" s="82">
        <v>2.9</v>
      </c>
      <c r="BC187" s="82">
        <v>2.9</v>
      </c>
      <c r="BD187" s="82">
        <v>2.4</v>
      </c>
      <c r="BE187" s="82">
        <v>2.6</v>
      </c>
      <c r="BF187" s="82">
        <v>1.9</v>
      </c>
      <c r="BG187" s="82">
        <v>2</v>
      </c>
      <c r="BH187" s="82">
        <v>1.3</v>
      </c>
      <c r="BI187" s="82">
        <v>1.4</v>
      </c>
      <c r="BJ187" s="82">
        <v>0.8</v>
      </c>
      <c r="BK187" s="82">
        <v>0.9</v>
      </c>
      <c r="BL187" s="82">
        <v>0.6</v>
      </c>
      <c r="BM187" s="82">
        <v>0.7</v>
      </c>
      <c r="BN187" s="82">
        <v>0.3</v>
      </c>
      <c r="BO187" s="82">
        <v>0.4</v>
      </c>
      <c r="BP187" s="82">
        <v>0.2</v>
      </c>
      <c r="BQ187" s="82">
        <v>0.3</v>
      </c>
      <c r="BR187" s="82">
        <v>0.1</v>
      </c>
      <c r="BS187" s="82">
        <v>0.2</v>
      </c>
      <c r="BT187" s="82">
        <v>134635</v>
      </c>
      <c r="BU187" s="82">
        <v>43846</v>
      </c>
      <c r="BV187" s="82">
        <v>8197</v>
      </c>
      <c r="BW187" s="82">
        <v>73240</v>
      </c>
      <c r="BX187" s="82">
        <v>15.5</v>
      </c>
      <c r="BY187" s="82">
        <v>3.6</v>
      </c>
      <c r="BZ187" s="82">
        <v>5.6</v>
      </c>
      <c r="CA187" s="82">
        <v>14.2</v>
      </c>
      <c r="CB187" s="82">
        <v>18.600000000000001</v>
      </c>
      <c r="CC187" s="82">
        <v>14.1</v>
      </c>
      <c r="CD187" s="82">
        <v>10.199999999999999</v>
      </c>
      <c r="CE187" s="82">
        <v>8.5</v>
      </c>
      <c r="CF187" s="82">
        <v>6</v>
      </c>
      <c r="CG187" s="82">
        <v>2.5</v>
      </c>
      <c r="CH187" s="82">
        <v>0.7</v>
      </c>
      <c r="CI187" s="82">
        <v>0.4</v>
      </c>
      <c r="CJ187" s="82">
        <f t="shared" si="14"/>
        <v>259918</v>
      </c>
      <c r="CK187" s="82">
        <f t="shared" si="15"/>
        <v>434658.92553056579</v>
      </c>
      <c r="CL187" s="95">
        <f ca="1">$CK187*SUM(OFFSET($AJ187,0,(COUNTA($CL$1:CL$1)-1)*4,1,4))/100</f>
        <v>73457.358414665621</v>
      </c>
      <c r="CM187" s="95">
        <f ca="1">$CK187*SUM(OFFSET($AJ187,0,(COUNTA($CL$1:CM$1)-1)*4,1,4))/100</f>
        <v>63025.54420193204</v>
      </c>
      <c r="CN187" s="95">
        <f ca="1">$CK187*SUM(OFFSET($AJ187,0,(COUNTA($CL$1:CN$1)-1)*4,1,4))/100</f>
        <v>96494.281467785593</v>
      </c>
      <c r="CO187" s="95">
        <f ca="1">$CK187*SUM(OFFSET($AJ187,0,(COUNTA($CL$1:CO$1)-1)*4,1,4))/100</f>
        <v>76499.970893379577</v>
      </c>
      <c r="CP187" s="95">
        <f ca="1">$CK187*SUM(OFFSET($AJ187,0,(COUNTA($CL$1:CP$1)-1)*4,1,4))/100</f>
        <v>54767.024616851282</v>
      </c>
      <c r="CQ187" s="95">
        <f ca="1">$CK187*SUM(OFFSET($AJ187,0,(COUNTA($CL$1:CQ$1)-1)*4,1,4))/100</f>
        <v>38684.644372220355</v>
      </c>
      <c r="CR187" s="95">
        <f ca="1">$CK187*SUM(OFFSET($AJ187,0,(COUNTA($CL$1:CR$1)-1)*4,1,4))/100</f>
        <v>19124.992723344894</v>
      </c>
      <c r="CS187" s="95">
        <f ca="1">$CK187*SUM(OFFSET($AJ187,0,(COUNTA($CL$1:CS$1)-1)*4,1,4))/100</f>
        <v>8693.1785106113166</v>
      </c>
      <c r="CT187" s="95">
        <f ca="1">$CK187*SUM(OFFSET($AJ187,0,(COUNTA($CL$1:CT$1)-1)*4,1,4))/100</f>
        <v>3477.2714042445268</v>
      </c>
      <c r="CU187" s="96">
        <f t="shared" si="16"/>
        <v>1342.3037037037036</v>
      </c>
      <c r="CV187" s="96">
        <f t="shared" si="17"/>
        <v>323.81563451791772</v>
      </c>
    </row>
    <row r="188" spans="1:100">
      <c r="A188" s="82" t="str">
        <f ca="1">IF(ISERROR(OFFSET(Map!$E$2,MATCH(D188,Map!$B$3:$B$239,0),0)),OFFSET(Map!$E$2,MATCH(D188,Map!$C$3:$C$239,0),0),OFFSET(Map!$E$2,MATCH(D188,Map!$B$3:$B$239,0),0))</f>
        <v>West Rand</v>
      </c>
      <c r="B188" s="82">
        <v>187</v>
      </c>
      <c r="C188" s="82" t="s">
        <v>56</v>
      </c>
      <c r="D188" s="82" t="s">
        <v>574</v>
      </c>
      <c r="E188" s="82" t="s">
        <v>575</v>
      </c>
      <c r="F188" s="82">
        <v>149286</v>
      </c>
      <c r="G188" s="82">
        <v>24.9</v>
      </c>
      <c r="H188" s="82">
        <v>70.2</v>
      </c>
      <c r="I188" s="82">
        <f t="shared" si="12"/>
        <v>104799</v>
      </c>
      <c r="J188" s="82">
        <v>4.9000000000000004</v>
      </c>
      <c r="K188" s="82">
        <v>42.4</v>
      </c>
      <c r="L188" s="82">
        <v>100.7</v>
      </c>
      <c r="M188" s="82">
        <v>1.47</v>
      </c>
      <c r="N188" s="82">
        <v>314</v>
      </c>
      <c r="O188" s="82">
        <v>27.1</v>
      </c>
      <c r="P188" s="82">
        <f t="shared" si="13"/>
        <v>76398</v>
      </c>
      <c r="Q188" s="82">
        <v>35.799999999999997</v>
      </c>
      <c r="R188" s="82">
        <v>4</v>
      </c>
      <c r="S188" s="82">
        <v>11.7</v>
      </c>
      <c r="T188" s="82">
        <v>32.1</v>
      </c>
      <c r="U188" s="82">
        <v>43299</v>
      </c>
      <c r="V188" s="82">
        <v>2918</v>
      </c>
      <c r="W188" s="82">
        <v>3</v>
      </c>
      <c r="X188" s="82">
        <v>33.6</v>
      </c>
      <c r="Y188" s="82">
        <v>80</v>
      </c>
      <c r="Z188" s="82">
        <v>46.6</v>
      </c>
      <c r="AA188" s="82">
        <v>79.3</v>
      </c>
      <c r="AB188" s="82">
        <v>78.8</v>
      </c>
      <c r="AC188" s="82">
        <v>61.9</v>
      </c>
      <c r="AD188" s="82">
        <v>84.5</v>
      </c>
      <c r="AE188" s="82">
        <v>69.2</v>
      </c>
      <c r="AF188" s="82">
        <v>9.8000000000000007</v>
      </c>
      <c r="AG188" s="82">
        <v>0.4</v>
      </c>
      <c r="AH188" s="82">
        <v>20.100000000000001</v>
      </c>
      <c r="AI188" s="82">
        <v>0.5</v>
      </c>
      <c r="AJ188" s="82">
        <v>4.7</v>
      </c>
      <c r="AK188" s="82">
        <v>4.7</v>
      </c>
      <c r="AL188" s="82">
        <v>3.9</v>
      </c>
      <c r="AM188" s="82">
        <v>4</v>
      </c>
      <c r="AN188" s="82">
        <v>3.8</v>
      </c>
      <c r="AO188" s="82">
        <v>3.8</v>
      </c>
      <c r="AP188" s="82">
        <v>3.9</v>
      </c>
      <c r="AQ188" s="82">
        <v>3.9</v>
      </c>
      <c r="AR188" s="82">
        <v>5.0999999999999996</v>
      </c>
      <c r="AS188" s="82">
        <v>4.8</v>
      </c>
      <c r="AT188" s="82">
        <v>5.3</v>
      </c>
      <c r="AU188" s="82">
        <v>4.8</v>
      </c>
      <c r="AV188" s="82">
        <v>4.7</v>
      </c>
      <c r="AW188" s="82">
        <v>4</v>
      </c>
      <c r="AX188" s="82">
        <v>3.9</v>
      </c>
      <c r="AY188" s="82">
        <v>3.8</v>
      </c>
      <c r="AZ188" s="82">
        <v>3.4</v>
      </c>
      <c r="BA188" s="82">
        <v>3.6</v>
      </c>
      <c r="BB188" s="82">
        <v>3.2</v>
      </c>
      <c r="BC188" s="82">
        <v>3.2</v>
      </c>
      <c r="BD188" s="82">
        <v>2.8</v>
      </c>
      <c r="BE188" s="82">
        <v>2.9</v>
      </c>
      <c r="BF188" s="82">
        <v>2.2000000000000002</v>
      </c>
      <c r="BG188" s="82">
        <v>2.1</v>
      </c>
      <c r="BH188" s="82">
        <v>1.4</v>
      </c>
      <c r="BI188" s="82">
        <v>1.4</v>
      </c>
      <c r="BJ188" s="82">
        <v>0.9</v>
      </c>
      <c r="BK188" s="82">
        <v>1.1000000000000001</v>
      </c>
      <c r="BL188" s="82">
        <v>0.6</v>
      </c>
      <c r="BM188" s="82">
        <v>0.8</v>
      </c>
      <c r="BN188" s="82">
        <v>0.3</v>
      </c>
      <c r="BO188" s="82">
        <v>0.5</v>
      </c>
      <c r="BP188" s="82">
        <v>0.2</v>
      </c>
      <c r="BQ188" s="82">
        <v>0.3</v>
      </c>
      <c r="BR188" s="82">
        <v>0.1</v>
      </c>
      <c r="BS188" s="82">
        <v>0.2</v>
      </c>
      <c r="BT188" s="82">
        <v>51480</v>
      </c>
      <c r="BU188" s="82">
        <v>19172</v>
      </c>
      <c r="BV188" s="82">
        <v>2991</v>
      </c>
      <c r="BW188" s="82">
        <v>31205</v>
      </c>
      <c r="BX188" s="82">
        <v>12.3</v>
      </c>
      <c r="BY188" s="82">
        <v>3.3</v>
      </c>
      <c r="BZ188" s="82">
        <v>5.3</v>
      </c>
      <c r="CA188" s="82">
        <v>15</v>
      </c>
      <c r="CB188" s="82">
        <v>17.8</v>
      </c>
      <c r="CC188" s="82">
        <v>15.5</v>
      </c>
      <c r="CD188" s="82">
        <v>12.3</v>
      </c>
      <c r="CE188" s="82">
        <v>10.5</v>
      </c>
      <c r="CF188" s="82">
        <v>5.9</v>
      </c>
      <c r="CG188" s="82">
        <v>1.6</v>
      </c>
      <c r="CH188" s="82">
        <v>0.3</v>
      </c>
      <c r="CI188" s="82">
        <v>0.2</v>
      </c>
      <c r="CJ188" s="82">
        <f t="shared" si="14"/>
        <v>104848</v>
      </c>
      <c r="CK188" s="82">
        <f t="shared" si="15"/>
        <v>170238.59446864336</v>
      </c>
      <c r="CL188" s="95">
        <f ca="1">$CK188*SUM(OFFSET($AJ188,0,(COUNTA($CL$1:CL$1)-1)*4,1,4))/100</f>
        <v>29451.276843075306</v>
      </c>
      <c r="CM188" s="95">
        <f ca="1">$CK188*SUM(OFFSET($AJ188,0,(COUNTA($CL$1:CM$1)-1)*4,1,4))/100</f>
        <v>26216.743548171078</v>
      </c>
      <c r="CN188" s="95">
        <f ca="1">$CK188*SUM(OFFSET($AJ188,0,(COUNTA($CL$1:CN$1)-1)*4,1,4))/100</f>
        <v>34047.718893728677</v>
      </c>
      <c r="CO188" s="95">
        <f ca="1">$CK188*SUM(OFFSET($AJ188,0,(COUNTA($CL$1:CO$1)-1)*4,1,4))/100</f>
        <v>27919.129492857508</v>
      </c>
      <c r="CP188" s="95">
        <f ca="1">$CK188*SUM(OFFSET($AJ188,0,(COUNTA($CL$1:CP$1)-1)*4,1,4))/100</f>
        <v>22811.971658798211</v>
      </c>
      <c r="CQ188" s="95">
        <f ca="1">$CK188*SUM(OFFSET($AJ188,0,(COUNTA($CL$1:CQ$1)-1)*4,1,4))/100</f>
        <v>17023.859446864339</v>
      </c>
      <c r="CR188" s="95">
        <f ca="1">$CK188*SUM(OFFSET($AJ188,0,(COUNTA($CL$1:CR$1)-1)*4,1,4))/100</f>
        <v>8171.4525344948806</v>
      </c>
      <c r="CS188" s="95">
        <f ca="1">$CK188*SUM(OFFSET($AJ188,0,(COUNTA($CL$1:CS$1)-1)*4,1,4))/100</f>
        <v>3745.2490783101543</v>
      </c>
      <c r="CT188" s="95">
        <f ca="1">$CK188*SUM(OFFSET($AJ188,0,(COUNTA($CL$1:CT$1)-1)*4,1,4))/100</f>
        <v>1361.9087557491471</v>
      </c>
      <c r="CU188" s="96">
        <f t="shared" si="16"/>
        <v>475.43312101910828</v>
      </c>
      <c r="CV188" s="96">
        <f t="shared" si="17"/>
        <v>358.07054019234232</v>
      </c>
    </row>
    <row r="189" spans="1:100">
      <c r="A189" s="82" t="str">
        <f ca="1">IF(ISERROR(OFFSET(Map!$E$2,MATCH(D189,Map!$B$3:$B$239,0),0)),OFFSET(Map!$E$2,MATCH(D189,Map!$C$3:$C$239,0),0),OFFSET(Map!$E$2,MATCH(D189,Map!$B$3:$B$239,0),0))</f>
        <v>West Rand</v>
      </c>
      <c r="B189" s="82">
        <v>188</v>
      </c>
      <c r="C189" s="82" t="s">
        <v>56</v>
      </c>
      <c r="D189" s="82" t="s">
        <v>576</v>
      </c>
      <c r="E189" s="82" t="s">
        <v>577</v>
      </c>
      <c r="F189" s="82">
        <v>111767</v>
      </c>
      <c r="G189" s="82">
        <v>24.5</v>
      </c>
      <c r="H189" s="82">
        <v>73.3</v>
      </c>
      <c r="I189" s="82">
        <f t="shared" si="12"/>
        <v>81925</v>
      </c>
      <c r="J189" s="82">
        <v>2.2000000000000002</v>
      </c>
      <c r="K189" s="82">
        <v>36.4</v>
      </c>
      <c r="L189" s="82">
        <v>120.8</v>
      </c>
      <c r="M189" s="82">
        <v>0.18</v>
      </c>
      <c r="N189" s="82">
        <v>175</v>
      </c>
      <c r="O189" s="82">
        <v>29.5</v>
      </c>
      <c r="P189" s="82">
        <f t="shared" si="13"/>
        <v>57757</v>
      </c>
      <c r="Q189" s="82">
        <v>39.299999999999997</v>
      </c>
      <c r="R189" s="82">
        <v>6.2</v>
      </c>
      <c r="S189" s="82">
        <v>5.3</v>
      </c>
      <c r="T189" s="82">
        <v>26.2</v>
      </c>
      <c r="U189" s="82">
        <v>40101</v>
      </c>
      <c r="V189" s="82">
        <v>2975</v>
      </c>
      <c r="W189" s="82">
        <v>2.4</v>
      </c>
      <c r="X189" s="82">
        <v>30.6</v>
      </c>
      <c r="Y189" s="82">
        <v>59</v>
      </c>
      <c r="Z189" s="82">
        <v>26</v>
      </c>
      <c r="AA189" s="82">
        <v>58.6</v>
      </c>
      <c r="AB189" s="82">
        <v>69.400000000000006</v>
      </c>
      <c r="AC189" s="82">
        <v>42.2</v>
      </c>
      <c r="AD189" s="82">
        <v>64.3</v>
      </c>
      <c r="AE189" s="82">
        <v>91.4</v>
      </c>
      <c r="AF189" s="82">
        <v>0.7</v>
      </c>
      <c r="AG189" s="82">
        <v>0.3</v>
      </c>
      <c r="AH189" s="82">
        <v>7</v>
      </c>
      <c r="AI189" s="82">
        <v>0.6</v>
      </c>
      <c r="AJ189" s="82">
        <v>5</v>
      </c>
      <c r="AK189" s="82">
        <v>5.0999999999999996</v>
      </c>
      <c r="AL189" s="82">
        <v>3.7</v>
      </c>
      <c r="AM189" s="82">
        <v>3.8</v>
      </c>
      <c r="AN189" s="82">
        <v>3.4</v>
      </c>
      <c r="AO189" s="82">
        <v>3.5</v>
      </c>
      <c r="AP189" s="82">
        <v>3.7</v>
      </c>
      <c r="AQ189" s="82">
        <v>3.8</v>
      </c>
      <c r="AR189" s="82">
        <v>5.9</v>
      </c>
      <c r="AS189" s="82">
        <v>5.2</v>
      </c>
      <c r="AT189" s="82">
        <v>7</v>
      </c>
      <c r="AU189" s="82">
        <v>5.5</v>
      </c>
      <c r="AV189" s="82">
        <v>5.7</v>
      </c>
      <c r="AW189" s="82">
        <v>4.3</v>
      </c>
      <c r="AX189" s="82">
        <v>4.7</v>
      </c>
      <c r="AY189" s="82">
        <v>3.6</v>
      </c>
      <c r="AZ189" s="82">
        <v>4.3</v>
      </c>
      <c r="BA189" s="82">
        <v>3</v>
      </c>
      <c r="BB189" s="82">
        <v>4.4000000000000004</v>
      </c>
      <c r="BC189" s="82">
        <v>4.4000000000000004</v>
      </c>
      <c r="BD189" s="82">
        <v>3.4</v>
      </c>
      <c r="BE189" s="82">
        <v>1.9</v>
      </c>
      <c r="BF189" s="82">
        <v>1.9</v>
      </c>
      <c r="BG189" s="82">
        <v>1.2</v>
      </c>
      <c r="BH189" s="82">
        <v>0.8</v>
      </c>
      <c r="BI189" s="82">
        <v>0.8</v>
      </c>
      <c r="BJ189" s="82">
        <v>0.4</v>
      </c>
      <c r="BK189" s="82">
        <v>0.5</v>
      </c>
      <c r="BL189" s="82">
        <v>0.3</v>
      </c>
      <c r="BM189" s="82">
        <v>0.3</v>
      </c>
      <c r="BN189" s="82">
        <v>0.1</v>
      </c>
      <c r="BO189" s="82">
        <v>0.2</v>
      </c>
      <c r="BP189" s="82">
        <v>0.1</v>
      </c>
      <c r="BQ189" s="82">
        <v>0.1</v>
      </c>
      <c r="BR189" s="82">
        <v>0.1</v>
      </c>
      <c r="BS189" s="82">
        <v>0.1</v>
      </c>
      <c r="BT189" s="82">
        <v>40585</v>
      </c>
      <c r="BU189" s="82">
        <v>16990</v>
      </c>
      <c r="BV189" s="82">
        <v>3386</v>
      </c>
      <c r="BW189" s="82">
        <v>20966</v>
      </c>
      <c r="BX189" s="82">
        <v>20.6</v>
      </c>
      <c r="BY189" s="82">
        <v>6</v>
      </c>
      <c r="BZ189" s="82">
        <v>7.8</v>
      </c>
      <c r="CA189" s="82">
        <v>11.4</v>
      </c>
      <c r="CB189" s="82">
        <v>16.399999999999999</v>
      </c>
      <c r="CC189" s="82">
        <v>20.2</v>
      </c>
      <c r="CD189" s="82">
        <v>9</v>
      </c>
      <c r="CE189" s="82">
        <v>5.4</v>
      </c>
      <c r="CF189" s="82">
        <v>2.4</v>
      </c>
      <c r="CG189" s="82">
        <v>0.5</v>
      </c>
      <c r="CH189" s="82">
        <v>0.1</v>
      </c>
      <c r="CI189" s="82">
        <v>0.2</v>
      </c>
      <c r="CJ189" s="82">
        <f t="shared" si="14"/>
        <v>81927</v>
      </c>
      <c r="CK189" s="82">
        <f t="shared" si="15"/>
        <v>113590.71680429252</v>
      </c>
      <c r="CL189" s="95">
        <f ca="1">$CK189*SUM(OFFSET($AJ189,0,(COUNTA($CL$1:CL$1)-1)*4,1,4))/100</f>
        <v>19991.966157555486</v>
      </c>
      <c r="CM189" s="95">
        <f ca="1">$CK189*SUM(OFFSET($AJ189,0,(COUNTA($CL$1:CM$1)-1)*4,1,4))/100</f>
        <v>16357.063219818127</v>
      </c>
      <c r="CN189" s="95">
        <f ca="1">$CK189*SUM(OFFSET($AJ189,0,(COUNTA($CL$1:CN$1)-1)*4,1,4))/100</f>
        <v>26807.409165813038</v>
      </c>
      <c r="CO189" s="95">
        <f ca="1">$CK189*SUM(OFFSET($AJ189,0,(COUNTA($CL$1:CO$1)-1)*4,1,4))/100</f>
        <v>20787.101175185533</v>
      </c>
      <c r="CP189" s="95">
        <f ca="1">$CK189*SUM(OFFSET($AJ189,0,(COUNTA($CL$1:CP$1)-1)*4,1,4))/100</f>
        <v>18288.105405491096</v>
      </c>
      <c r="CQ189" s="95">
        <f ca="1">$CK189*SUM(OFFSET($AJ189,0,(COUNTA($CL$1:CQ$1)-1)*4,1,4))/100</f>
        <v>9541.6202115605702</v>
      </c>
      <c r="CR189" s="95">
        <f ca="1">$CK189*SUM(OFFSET($AJ189,0,(COUNTA($CL$1:CR$1)-1)*4,1,4))/100</f>
        <v>2839.7679201073129</v>
      </c>
      <c r="CS189" s="95">
        <f ca="1">$CK189*SUM(OFFSET($AJ189,0,(COUNTA($CL$1:CS$1)-1)*4,1,4))/100</f>
        <v>1022.3164512386326</v>
      </c>
      <c r="CT189" s="95">
        <f ca="1">$CK189*SUM(OFFSET($AJ189,0,(COUNTA($CL$1:CT$1)-1)*4,1,4))/100</f>
        <v>454.36286721717011</v>
      </c>
      <c r="CU189" s="96">
        <f t="shared" si="16"/>
        <v>638.66857142857145</v>
      </c>
      <c r="CV189" s="96">
        <f t="shared" si="17"/>
        <v>177.85549796228932</v>
      </c>
    </row>
    <row r="190" spans="1:100">
      <c r="A190" s="82" t="str">
        <f ca="1">IF(ISERROR(OFFSET(Map!$E$2,MATCH(D190,Map!$B$3:$B$239,0),0)),OFFSET(Map!$E$2,MATCH(D190,Map!$C$3:$C$239,0),0),OFFSET(Map!$E$2,MATCH(D190,Map!$B$3:$B$239,0),0))</f>
        <v>West Rand</v>
      </c>
      <c r="B190" s="82">
        <v>189</v>
      </c>
      <c r="C190" s="82" t="s">
        <v>56</v>
      </c>
      <c r="D190" s="82" t="s">
        <v>578</v>
      </c>
      <c r="E190" s="82" t="s">
        <v>579</v>
      </c>
      <c r="F190" s="82">
        <v>197520</v>
      </c>
      <c r="G190" s="82">
        <v>24.1</v>
      </c>
      <c r="H190" s="82">
        <v>72.5</v>
      </c>
      <c r="I190" s="82">
        <f t="shared" si="12"/>
        <v>143202</v>
      </c>
      <c r="J190" s="82">
        <v>3.4</v>
      </c>
      <c r="K190" s="82">
        <v>37.9</v>
      </c>
      <c r="L190" s="82">
        <v>118.6</v>
      </c>
      <c r="M190" s="82">
        <v>-0.64</v>
      </c>
      <c r="N190" s="82">
        <v>121</v>
      </c>
      <c r="O190" s="82">
        <v>27.2</v>
      </c>
      <c r="P190" s="82">
        <f t="shared" si="13"/>
        <v>104251</v>
      </c>
      <c r="Q190" s="82">
        <v>37.799999999999997</v>
      </c>
      <c r="R190" s="82">
        <v>6.5</v>
      </c>
      <c r="S190" s="82">
        <v>7.1</v>
      </c>
      <c r="T190" s="82">
        <v>26.3</v>
      </c>
      <c r="U190" s="82">
        <v>66624</v>
      </c>
      <c r="V190" s="82">
        <v>5673</v>
      </c>
      <c r="W190" s="82">
        <v>2.7</v>
      </c>
      <c r="X190" s="82">
        <v>29.4</v>
      </c>
      <c r="Y190" s="82">
        <v>74.7</v>
      </c>
      <c r="Z190" s="82">
        <v>29.8</v>
      </c>
      <c r="AA190" s="82">
        <v>81</v>
      </c>
      <c r="AB190" s="82">
        <v>74.900000000000006</v>
      </c>
      <c r="AC190" s="82">
        <v>52.9</v>
      </c>
      <c r="AD190" s="82">
        <v>82.8</v>
      </c>
      <c r="AE190" s="82">
        <v>86.5</v>
      </c>
      <c r="AF190" s="82">
        <v>1.1000000000000001</v>
      </c>
      <c r="AG190" s="82">
        <v>0.3</v>
      </c>
      <c r="AH190" s="82">
        <v>11.8</v>
      </c>
      <c r="AI190" s="82">
        <v>0.3</v>
      </c>
      <c r="AJ190" s="82">
        <v>4.9000000000000004</v>
      </c>
      <c r="AK190" s="82">
        <v>4.8</v>
      </c>
      <c r="AL190" s="82">
        <v>3.8</v>
      </c>
      <c r="AM190" s="82">
        <v>3.7</v>
      </c>
      <c r="AN190" s="82">
        <v>3.5</v>
      </c>
      <c r="AO190" s="82">
        <v>3.4</v>
      </c>
      <c r="AP190" s="82">
        <v>3.7</v>
      </c>
      <c r="AQ190" s="82">
        <v>3.9</v>
      </c>
      <c r="AR190" s="82">
        <v>5.2</v>
      </c>
      <c r="AS190" s="82">
        <v>4.9000000000000004</v>
      </c>
      <c r="AT190" s="82">
        <v>6</v>
      </c>
      <c r="AU190" s="82">
        <v>5</v>
      </c>
      <c r="AV190" s="82">
        <v>5.2</v>
      </c>
      <c r="AW190" s="82">
        <v>4.0999999999999996</v>
      </c>
      <c r="AX190" s="82">
        <v>4.7</v>
      </c>
      <c r="AY190" s="82">
        <v>3.5</v>
      </c>
      <c r="AZ190" s="82">
        <v>4.5999999999999996</v>
      </c>
      <c r="BA190" s="82">
        <v>3</v>
      </c>
      <c r="BB190" s="82">
        <v>4.5</v>
      </c>
      <c r="BC190" s="82">
        <v>4.5</v>
      </c>
      <c r="BD190" s="82">
        <v>3.7</v>
      </c>
      <c r="BE190" s="82">
        <v>2.1</v>
      </c>
      <c r="BF190" s="82">
        <v>2.1</v>
      </c>
      <c r="BG190" s="82">
        <v>1.5</v>
      </c>
      <c r="BH190" s="82">
        <v>1</v>
      </c>
      <c r="BI190" s="82">
        <v>1</v>
      </c>
      <c r="BJ190" s="82">
        <v>0.6</v>
      </c>
      <c r="BK190" s="82">
        <v>0.7</v>
      </c>
      <c r="BL190" s="82">
        <v>0.4</v>
      </c>
      <c r="BM190" s="82">
        <v>0.5</v>
      </c>
      <c r="BN190" s="82">
        <v>0.2</v>
      </c>
      <c r="BO190" s="82">
        <v>0.3</v>
      </c>
      <c r="BP190" s="82">
        <v>0.1</v>
      </c>
      <c r="BQ190" s="82">
        <v>0.2</v>
      </c>
      <c r="BR190" s="82">
        <v>0.1</v>
      </c>
      <c r="BS190" s="82">
        <v>0.2</v>
      </c>
      <c r="BT190" s="82">
        <v>66635</v>
      </c>
      <c r="BU190" s="82">
        <v>24886</v>
      </c>
      <c r="BV190" s="82">
        <v>4968</v>
      </c>
      <c r="BW190" s="82">
        <v>46789</v>
      </c>
      <c r="BX190" s="82">
        <v>15.3</v>
      </c>
      <c r="BY190" s="82">
        <v>4</v>
      </c>
      <c r="BZ190" s="82">
        <v>5.9</v>
      </c>
      <c r="CA190" s="82">
        <v>11.1</v>
      </c>
      <c r="CB190" s="82">
        <v>14.7</v>
      </c>
      <c r="CC190" s="82">
        <v>26.6</v>
      </c>
      <c r="CD190" s="82">
        <v>11.3</v>
      </c>
      <c r="CE190" s="82">
        <v>6.8</v>
      </c>
      <c r="CF190" s="82">
        <v>3.1</v>
      </c>
      <c r="CG190" s="82">
        <v>0.8</v>
      </c>
      <c r="CH190" s="82">
        <v>0.2</v>
      </c>
      <c r="CI190" s="82">
        <v>0.1</v>
      </c>
      <c r="CJ190" s="82">
        <f t="shared" si="14"/>
        <v>143278</v>
      </c>
      <c r="CK190" s="82">
        <f t="shared" si="15"/>
        <v>186429.79517007736</v>
      </c>
      <c r="CL190" s="95">
        <f ca="1">$CK190*SUM(OFFSET($AJ190,0,(COUNTA($CL$1:CL$1)-1)*4,1,4))/100</f>
        <v>32065.924769253303</v>
      </c>
      <c r="CM190" s="95">
        <f ca="1">$CK190*SUM(OFFSET($AJ190,0,(COUNTA($CL$1:CM$1)-1)*4,1,4))/100</f>
        <v>27032.32029966122</v>
      </c>
      <c r="CN190" s="95">
        <f ca="1">$CK190*SUM(OFFSET($AJ190,0,(COUNTA($CL$1:CN$1)-1)*4,1,4))/100</f>
        <v>39336.686780886324</v>
      </c>
      <c r="CO190" s="95">
        <f ca="1">$CK190*SUM(OFFSET($AJ190,0,(COUNTA($CL$1:CO$1)-1)*4,1,4))/100</f>
        <v>32625.21415476354</v>
      </c>
      <c r="CP190" s="95">
        <f ca="1">$CK190*SUM(OFFSET($AJ190,0,(COUNTA($CL$1:CP$1)-1)*4,1,4))/100</f>
        <v>30947.345998232846</v>
      </c>
      <c r="CQ190" s="95">
        <f ca="1">$CK190*SUM(OFFSET($AJ190,0,(COUNTA($CL$1:CQ$1)-1)*4,1,4))/100</f>
        <v>17524.400745987274</v>
      </c>
      <c r="CR190" s="95">
        <f ca="1">$CK190*SUM(OFFSET($AJ190,0,(COUNTA($CL$1:CR$1)-1)*4,1,4))/100</f>
        <v>6152.1832406125523</v>
      </c>
      <c r="CS190" s="95">
        <f ca="1">$CK190*SUM(OFFSET($AJ190,0,(COUNTA($CL$1:CS$1)-1)*4,1,4))/100</f>
        <v>2610.0171323810832</v>
      </c>
      <c r="CT190" s="95">
        <f ca="1">$CK190*SUM(OFFSET($AJ190,0,(COUNTA($CL$1:CT$1)-1)*4,1,4))/100</f>
        <v>1118.5787710204643</v>
      </c>
      <c r="CU190" s="96">
        <f t="shared" si="16"/>
        <v>1632.3966942148761</v>
      </c>
      <c r="CV190" s="96">
        <f t="shared" si="17"/>
        <v>114.20618274392142</v>
      </c>
    </row>
    <row r="191" spans="1:100">
      <c r="A191" s="82" t="str">
        <f ca="1">IF(ISERROR(OFFSET(Map!$E$2,MATCH(D191,Map!$B$3:$B$239,0),0)),OFFSET(Map!$E$2,MATCH(D191,Map!$C$3:$C$239,0),0),OFFSET(Map!$E$2,MATCH(D191,Map!$B$3:$B$239,0),0))</f>
        <v>City of Johannesburg Metropolitan Municipality</v>
      </c>
      <c r="B191" s="82">
        <v>190</v>
      </c>
      <c r="C191" s="82" t="s">
        <v>56</v>
      </c>
      <c r="D191" s="82" t="s">
        <v>580</v>
      </c>
      <c r="E191" s="82" t="s">
        <v>108</v>
      </c>
      <c r="F191" s="82">
        <v>4434827</v>
      </c>
      <c r="G191" s="82">
        <v>23.2</v>
      </c>
      <c r="H191" s="82">
        <v>72.7</v>
      </c>
      <c r="I191" s="82">
        <f t="shared" si="12"/>
        <v>3224119</v>
      </c>
      <c r="J191" s="82">
        <v>4.0999999999999996</v>
      </c>
      <c r="K191" s="82">
        <v>37.6</v>
      </c>
      <c r="L191" s="82">
        <v>100.7</v>
      </c>
      <c r="M191" s="82">
        <v>3.18</v>
      </c>
      <c r="N191" s="82">
        <v>2696</v>
      </c>
      <c r="O191" s="82">
        <v>25</v>
      </c>
      <c r="P191" s="82">
        <f t="shared" si="13"/>
        <v>2418089</v>
      </c>
      <c r="Q191" s="82">
        <v>31.5</v>
      </c>
      <c r="R191" s="82">
        <v>2.9</v>
      </c>
      <c r="S191" s="82">
        <v>19.2</v>
      </c>
      <c r="T191" s="82">
        <v>34.700000000000003</v>
      </c>
      <c r="U191" s="82">
        <v>1434856</v>
      </c>
      <c r="V191" s="82">
        <v>80316</v>
      </c>
      <c r="W191" s="82">
        <v>2.8</v>
      </c>
      <c r="X191" s="82">
        <v>36.200000000000003</v>
      </c>
      <c r="Y191" s="82">
        <v>81.400000000000006</v>
      </c>
      <c r="Z191" s="82">
        <v>40.200000000000003</v>
      </c>
      <c r="AA191" s="82">
        <v>87.1</v>
      </c>
      <c r="AB191" s="82">
        <v>95.3</v>
      </c>
      <c r="AC191" s="82">
        <v>64.7</v>
      </c>
      <c r="AD191" s="82">
        <v>90.8</v>
      </c>
      <c r="AE191" s="82">
        <v>76.400000000000006</v>
      </c>
      <c r="AF191" s="82">
        <v>5.6</v>
      </c>
      <c r="AG191" s="82">
        <v>4.9000000000000004</v>
      </c>
      <c r="AH191" s="82">
        <v>12.3</v>
      </c>
      <c r="AI191" s="82">
        <v>0.8</v>
      </c>
      <c r="AJ191" s="82">
        <v>4.9000000000000004</v>
      </c>
      <c r="AK191" s="82">
        <v>4.8</v>
      </c>
      <c r="AL191" s="82">
        <v>3.6</v>
      </c>
      <c r="AM191" s="82">
        <v>3.6</v>
      </c>
      <c r="AN191" s="82">
        <v>3.1</v>
      </c>
      <c r="AO191" s="82">
        <v>3.1</v>
      </c>
      <c r="AP191" s="82">
        <v>3.5</v>
      </c>
      <c r="AQ191" s="82">
        <v>3.6</v>
      </c>
      <c r="AR191" s="82">
        <v>5.7</v>
      </c>
      <c r="AS191" s="82">
        <v>5.6</v>
      </c>
      <c r="AT191" s="82">
        <v>6.7</v>
      </c>
      <c r="AU191" s="82">
        <v>6.2</v>
      </c>
      <c r="AV191" s="82">
        <v>5.7</v>
      </c>
      <c r="AW191" s="82">
        <v>5</v>
      </c>
      <c r="AX191" s="82">
        <v>4.5</v>
      </c>
      <c r="AY191" s="82">
        <v>4</v>
      </c>
      <c r="AZ191" s="82">
        <v>3.4</v>
      </c>
      <c r="BA191" s="82">
        <v>3.2</v>
      </c>
      <c r="BB191" s="82">
        <v>2.6</v>
      </c>
      <c r="BC191" s="82">
        <v>2.6</v>
      </c>
      <c r="BD191" s="82">
        <v>2.1</v>
      </c>
      <c r="BE191" s="82">
        <v>2.2999999999999998</v>
      </c>
      <c r="BF191" s="82">
        <v>1.6</v>
      </c>
      <c r="BG191" s="82">
        <v>1.8</v>
      </c>
      <c r="BH191" s="82">
        <v>1.1000000000000001</v>
      </c>
      <c r="BI191" s="82">
        <v>1.3</v>
      </c>
      <c r="BJ191" s="82">
        <v>0.7</v>
      </c>
      <c r="BK191" s="82">
        <v>0.8</v>
      </c>
      <c r="BL191" s="82">
        <v>0.5</v>
      </c>
      <c r="BM191" s="82">
        <v>0.6</v>
      </c>
      <c r="BN191" s="82">
        <v>0.3</v>
      </c>
      <c r="BO191" s="82">
        <v>0.4</v>
      </c>
      <c r="BP191" s="82">
        <v>0.2</v>
      </c>
      <c r="BQ191" s="82">
        <v>0.3</v>
      </c>
      <c r="BR191" s="82">
        <v>0.1</v>
      </c>
      <c r="BS191" s="82">
        <v>0.2</v>
      </c>
      <c r="BT191" s="82">
        <v>1696520</v>
      </c>
      <c r="BU191" s="82">
        <v>564970</v>
      </c>
      <c r="BV191" s="82">
        <v>105882</v>
      </c>
      <c r="BW191" s="82">
        <v>855234</v>
      </c>
      <c r="BX191" s="82">
        <v>16.8</v>
      </c>
      <c r="BY191" s="82">
        <v>3.1</v>
      </c>
      <c r="BZ191" s="82">
        <v>4.4000000000000004</v>
      </c>
      <c r="CA191" s="82">
        <v>10.7</v>
      </c>
      <c r="CB191" s="82">
        <v>16.8</v>
      </c>
      <c r="CC191" s="82">
        <v>14.2</v>
      </c>
      <c r="CD191" s="82">
        <v>10.5</v>
      </c>
      <c r="CE191" s="82">
        <v>9.1</v>
      </c>
      <c r="CF191" s="82">
        <v>7.7</v>
      </c>
      <c r="CG191" s="82">
        <v>4.5</v>
      </c>
      <c r="CH191" s="82">
        <v>1.6</v>
      </c>
      <c r="CI191" s="82">
        <v>0.8</v>
      </c>
      <c r="CJ191" s="82">
        <f t="shared" si="14"/>
        <v>3222606</v>
      </c>
      <c r="CK191" s="82">
        <f t="shared" si="15"/>
        <v>5878092.2122475961</v>
      </c>
      <c r="CL191" s="95">
        <f ca="1">$CK191*SUM(OFFSET($AJ191,0,(COUNTA($CL$1:CL$1)-1)*4,1,4))/100</f>
        <v>993397.58386984363</v>
      </c>
      <c r="CM191" s="95">
        <f ca="1">$CK191*SUM(OFFSET($AJ191,0,(COUNTA($CL$1:CM$1)-1)*4,1,4))/100</f>
        <v>781786.26422893023</v>
      </c>
      <c r="CN191" s="95">
        <f ca="1">$CK191*SUM(OFFSET($AJ191,0,(COUNTA($CL$1:CN$1)-1)*4,1,4))/100</f>
        <v>1422498.3153639182</v>
      </c>
      <c r="CO191" s="95">
        <f ca="1">$CK191*SUM(OFFSET($AJ191,0,(COUNTA($CL$1:CO$1)-1)*4,1,4))/100</f>
        <v>1128593.7047515386</v>
      </c>
      <c r="CP191" s="95">
        <f ca="1">$CK191*SUM(OFFSET($AJ191,0,(COUNTA($CL$1:CP$1)-1)*4,1,4))/100</f>
        <v>693614.88104521635</v>
      </c>
      <c r="CQ191" s="95">
        <f ca="1">$CK191*SUM(OFFSET($AJ191,0,(COUNTA($CL$1:CQ$1)-1)*4,1,4))/100</f>
        <v>458491.19255531253</v>
      </c>
      <c r="CR191" s="95">
        <f ca="1">$CK191*SUM(OFFSET($AJ191,0,(COUNTA($CL$1:CR$1)-1)*4,1,4))/100</f>
        <v>229245.59627765627</v>
      </c>
      <c r="CS191" s="95">
        <f ca="1">$CK191*SUM(OFFSET($AJ191,0,(COUNTA($CL$1:CS$1)-1)*4,1,4))/100</f>
        <v>105805.65982045674</v>
      </c>
      <c r="CT191" s="95">
        <f ca="1">$CK191*SUM(OFFSET($AJ191,0,(COUNTA($CL$1:CT$1)-1)*4,1,4))/100</f>
        <v>47024.737697980767</v>
      </c>
      <c r="CU191" s="96">
        <f t="shared" si="16"/>
        <v>1644.9655044510387</v>
      </c>
      <c r="CV191" s="96">
        <f t="shared" si="17"/>
        <v>3573.3832693404993</v>
      </c>
    </row>
    <row r="192" spans="1:100">
      <c r="A192" s="82" t="str">
        <f ca="1">IF(ISERROR(OFFSET(Map!$E$2,MATCH(D192,Map!$B$3:$B$239,0),0)),OFFSET(Map!$E$2,MATCH(D192,Map!$C$3:$C$239,0),0),OFFSET(Map!$E$2,MATCH(D192,Map!$B$3:$B$239,0),0))</f>
        <v>City of Tshwane Metropolitan Municipality</v>
      </c>
      <c r="B192" s="82">
        <v>191</v>
      </c>
      <c r="C192" s="82" t="s">
        <v>56</v>
      </c>
      <c r="D192" s="82" t="s">
        <v>581</v>
      </c>
      <c r="E192" s="82" t="s">
        <v>109</v>
      </c>
      <c r="F192" s="82">
        <v>2921488</v>
      </c>
      <c r="G192" s="82">
        <v>23.2</v>
      </c>
      <c r="H192" s="82">
        <v>71.900000000000006</v>
      </c>
      <c r="I192" s="82">
        <f t="shared" si="12"/>
        <v>2100550</v>
      </c>
      <c r="J192" s="82">
        <v>4.9000000000000004</v>
      </c>
      <c r="K192" s="82">
        <v>39</v>
      </c>
      <c r="L192" s="82">
        <v>99</v>
      </c>
      <c r="M192" s="82">
        <v>3.1</v>
      </c>
      <c r="N192" s="82">
        <v>464</v>
      </c>
      <c r="O192" s="82">
        <v>24.2</v>
      </c>
      <c r="P192" s="82">
        <f t="shared" si="13"/>
        <v>1592217</v>
      </c>
      <c r="Q192" s="82">
        <v>32.6</v>
      </c>
      <c r="R192" s="82">
        <v>4.2</v>
      </c>
      <c r="S192" s="82">
        <v>23.4</v>
      </c>
      <c r="T192" s="82">
        <v>34</v>
      </c>
      <c r="U192" s="82">
        <v>911536</v>
      </c>
      <c r="V192" s="82">
        <v>84516</v>
      </c>
      <c r="W192" s="82">
        <v>3</v>
      </c>
      <c r="X192" s="82">
        <v>35.799999999999997</v>
      </c>
      <c r="Y192" s="82">
        <v>80.7</v>
      </c>
      <c r="Z192" s="82">
        <v>52</v>
      </c>
      <c r="AA192" s="82">
        <v>76.599999999999994</v>
      </c>
      <c r="AB192" s="82">
        <v>80.7</v>
      </c>
      <c r="AC192" s="82">
        <v>64.2</v>
      </c>
      <c r="AD192" s="82">
        <v>88.6</v>
      </c>
      <c r="AE192" s="82">
        <v>75.400000000000006</v>
      </c>
      <c r="AF192" s="82">
        <v>2</v>
      </c>
      <c r="AG192" s="82">
        <v>1.8</v>
      </c>
      <c r="AH192" s="82">
        <v>20.100000000000001</v>
      </c>
      <c r="AI192" s="82">
        <v>0.7</v>
      </c>
      <c r="AJ192" s="82">
        <v>4.7</v>
      </c>
      <c r="AK192" s="82">
        <v>4.7</v>
      </c>
      <c r="AL192" s="82">
        <v>3.6</v>
      </c>
      <c r="AM192" s="82">
        <v>3.6</v>
      </c>
      <c r="AN192" s="82">
        <v>3.3</v>
      </c>
      <c r="AO192" s="82">
        <v>3.2</v>
      </c>
      <c r="AP192" s="82">
        <v>3.8</v>
      </c>
      <c r="AQ192" s="82">
        <v>4</v>
      </c>
      <c r="AR192" s="82">
        <v>5.9</v>
      </c>
      <c r="AS192" s="82">
        <v>5.8</v>
      </c>
      <c r="AT192" s="82">
        <v>6</v>
      </c>
      <c r="AU192" s="82">
        <v>5.6</v>
      </c>
      <c r="AV192" s="82">
        <v>5</v>
      </c>
      <c r="AW192" s="82">
        <v>4.5</v>
      </c>
      <c r="AX192" s="82">
        <v>4.2</v>
      </c>
      <c r="AY192" s="82">
        <v>3.9</v>
      </c>
      <c r="AZ192" s="82">
        <v>3.4</v>
      </c>
      <c r="BA192" s="82">
        <v>3.4</v>
      </c>
      <c r="BB192" s="82">
        <v>2.7</v>
      </c>
      <c r="BC192" s="82">
        <v>2.7</v>
      </c>
      <c r="BD192" s="82">
        <v>2.2000000000000002</v>
      </c>
      <c r="BE192" s="82">
        <v>2.4</v>
      </c>
      <c r="BF192" s="82">
        <v>1.8</v>
      </c>
      <c r="BG192" s="82">
        <v>1.9</v>
      </c>
      <c r="BH192" s="82">
        <v>1.2</v>
      </c>
      <c r="BI192" s="82">
        <v>1.4</v>
      </c>
      <c r="BJ192" s="82">
        <v>0.8</v>
      </c>
      <c r="BK192" s="82">
        <v>1</v>
      </c>
      <c r="BL192" s="82">
        <v>0.5</v>
      </c>
      <c r="BM192" s="82">
        <v>0.7</v>
      </c>
      <c r="BN192" s="82">
        <v>0.3</v>
      </c>
      <c r="BO192" s="82">
        <v>0.5</v>
      </c>
      <c r="BP192" s="82">
        <v>0.2</v>
      </c>
      <c r="BQ192" s="82">
        <v>0.4</v>
      </c>
      <c r="BR192" s="82">
        <v>0.1</v>
      </c>
      <c r="BS192" s="82">
        <v>0.3</v>
      </c>
      <c r="BT192" s="82">
        <v>1079273</v>
      </c>
      <c r="BU192" s="82">
        <v>345356</v>
      </c>
      <c r="BV192" s="82">
        <v>64095</v>
      </c>
      <c r="BW192" s="82">
        <v>612750</v>
      </c>
      <c r="BX192" s="82">
        <v>14.9</v>
      </c>
      <c r="BY192" s="82">
        <v>2.9</v>
      </c>
      <c r="BZ192" s="82">
        <v>4.2</v>
      </c>
      <c r="CA192" s="82">
        <v>10.6</v>
      </c>
      <c r="CB192" s="82">
        <v>15.5</v>
      </c>
      <c r="CC192" s="82">
        <v>13.3</v>
      </c>
      <c r="CD192" s="82">
        <v>11.8</v>
      </c>
      <c r="CE192" s="82">
        <v>11.3</v>
      </c>
      <c r="CF192" s="82">
        <v>9.3000000000000007</v>
      </c>
      <c r="CG192" s="82">
        <v>4.5</v>
      </c>
      <c r="CH192" s="82">
        <v>1.2</v>
      </c>
      <c r="CI192" s="82">
        <v>0.6</v>
      </c>
      <c r="CJ192" s="82">
        <f t="shared" si="14"/>
        <v>2101474</v>
      </c>
      <c r="CK192" s="82">
        <f t="shared" si="15"/>
        <v>3845316.5252788891</v>
      </c>
      <c r="CL192" s="95">
        <f ca="1">$CK192*SUM(OFFSET($AJ192,0,(COUNTA($CL$1:CL$1)-1)*4,1,4))/100</f>
        <v>638322.54319629562</v>
      </c>
      <c r="CM192" s="95">
        <f ca="1">$CK192*SUM(OFFSET($AJ192,0,(COUNTA($CL$1:CM$1)-1)*4,1,4))/100</f>
        <v>549880.26311488112</v>
      </c>
      <c r="CN192" s="95">
        <f ca="1">$CK192*SUM(OFFSET($AJ192,0,(COUNTA($CL$1:CN$1)-1)*4,1,4))/100</f>
        <v>895958.75038998108</v>
      </c>
      <c r="CO192" s="95">
        <f ca="1">$CK192*SUM(OFFSET($AJ192,0,(COUNTA($CL$1:CO$1)-1)*4,1,4))/100</f>
        <v>676775.70844908443</v>
      </c>
      <c r="CP192" s="95">
        <f ca="1">$CK192*SUM(OFFSET($AJ192,0,(COUNTA($CL$1:CP$1)-1)*4,1,4))/100</f>
        <v>469128.61608402448</v>
      </c>
      <c r="CQ192" s="95">
        <f ca="1">$CK192*SUM(OFFSET($AJ192,0,(COUNTA($CL$1:CQ$1)-1)*4,1,4))/100</f>
        <v>319161.27159814775</v>
      </c>
      <c r="CR192" s="95">
        <f ca="1">$CK192*SUM(OFFSET($AJ192,0,(COUNTA($CL$1:CR$1)-1)*4,1,4))/100</f>
        <v>169193.92711227111</v>
      </c>
      <c r="CS192" s="95">
        <f ca="1">$CK192*SUM(OFFSET($AJ192,0,(COUNTA($CL$1:CS$1)-1)*4,1,4))/100</f>
        <v>76906.330505577789</v>
      </c>
      <c r="CT192" s="95">
        <f ca="1">$CK192*SUM(OFFSET($AJ192,0,(COUNTA($CL$1:CT$1)-1)*4,1,4))/100</f>
        <v>38453.165252788895</v>
      </c>
      <c r="CU192" s="96">
        <f t="shared" si="16"/>
        <v>6296.3103448275861</v>
      </c>
      <c r="CV192" s="96">
        <f t="shared" si="17"/>
        <v>610.72537957691577</v>
      </c>
    </row>
    <row r="193" spans="1:100">
      <c r="A193" s="82" t="str">
        <f ca="1">IF(ISERROR(OFFSET(Map!$E$2,MATCH(D193,Map!$B$3:$B$239,0),0)),OFFSET(Map!$E$2,MATCH(D193,Map!$C$3:$C$239,0),0),OFFSET(Map!$E$2,MATCH(D193,Map!$B$3:$B$239,0),0))</f>
        <v>Gert Sibande</v>
      </c>
      <c r="B193" s="82">
        <v>192</v>
      </c>
      <c r="C193" s="82" t="s">
        <v>59</v>
      </c>
      <c r="D193" s="82" t="s">
        <v>582</v>
      </c>
      <c r="E193" s="82" t="s">
        <v>583</v>
      </c>
      <c r="F193" s="82">
        <v>186010</v>
      </c>
      <c r="G193" s="82">
        <v>36.5</v>
      </c>
      <c r="H193" s="82">
        <v>58.2</v>
      </c>
      <c r="I193" s="82">
        <f t="shared" si="12"/>
        <v>108258</v>
      </c>
      <c r="J193" s="82">
        <v>5.3</v>
      </c>
      <c r="K193" s="82">
        <v>71.7</v>
      </c>
      <c r="L193" s="82">
        <v>88.2</v>
      </c>
      <c r="M193" s="82">
        <v>-0.09</v>
      </c>
      <c r="N193" s="82">
        <v>33</v>
      </c>
      <c r="O193" s="82">
        <v>35.4</v>
      </c>
      <c r="P193" s="82">
        <f t="shared" si="13"/>
        <v>69935</v>
      </c>
      <c r="Q193" s="82">
        <v>45.1</v>
      </c>
      <c r="R193" s="82">
        <v>19.899999999999999</v>
      </c>
      <c r="S193" s="82">
        <v>6.3</v>
      </c>
      <c r="T193" s="82">
        <v>27</v>
      </c>
      <c r="U193" s="82">
        <v>47705</v>
      </c>
      <c r="V193" s="82">
        <v>19113</v>
      </c>
      <c r="W193" s="82">
        <v>3.8</v>
      </c>
      <c r="X193" s="82">
        <v>49.3</v>
      </c>
      <c r="Y193" s="82">
        <v>76.5</v>
      </c>
      <c r="Z193" s="82">
        <v>56.3</v>
      </c>
      <c r="AA193" s="82">
        <v>18.899999999999999</v>
      </c>
      <c r="AB193" s="82">
        <v>19.3</v>
      </c>
      <c r="AC193" s="82">
        <v>22.6</v>
      </c>
      <c r="AD193" s="82">
        <v>87.5</v>
      </c>
      <c r="AE193" s="82">
        <v>97.6</v>
      </c>
      <c r="AF193" s="82">
        <v>0.2</v>
      </c>
      <c r="AG193" s="82">
        <v>0.4</v>
      </c>
      <c r="AH193" s="82">
        <v>1.6</v>
      </c>
      <c r="AI193" s="82">
        <v>0.2</v>
      </c>
      <c r="AJ193" s="82">
        <v>6.4</v>
      </c>
      <c r="AK193" s="82">
        <v>6.2</v>
      </c>
      <c r="AL193" s="82">
        <v>6</v>
      </c>
      <c r="AM193" s="82">
        <v>6</v>
      </c>
      <c r="AN193" s="82">
        <v>6</v>
      </c>
      <c r="AO193" s="82">
        <v>5.8</v>
      </c>
      <c r="AP193" s="82">
        <v>6.4</v>
      </c>
      <c r="AQ193" s="82">
        <v>6.3</v>
      </c>
      <c r="AR193" s="82">
        <v>4.8</v>
      </c>
      <c r="AS193" s="82">
        <v>5.2</v>
      </c>
      <c r="AT193" s="82">
        <v>3.7</v>
      </c>
      <c r="AU193" s="82">
        <v>4.2</v>
      </c>
      <c r="AV193" s="82">
        <v>2.5</v>
      </c>
      <c r="AW193" s="82">
        <v>2.9</v>
      </c>
      <c r="AX193" s="82">
        <v>2.1</v>
      </c>
      <c r="AY193" s="82">
        <v>2.6</v>
      </c>
      <c r="AZ193" s="82">
        <v>1.8</v>
      </c>
      <c r="BA193" s="82">
        <v>2.6</v>
      </c>
      <c r="BB193" s="82">
        <v>1.6</v>
      </c>
      <c r="BC193" s="82">
        <v>1.6</v>
      </c>
      <c r="BD193" s="82">
        <v>1.4</v>
      </c>
      <c r="BE193" s="82">
        <v>2.1</v>
      </c>
      <c r="BF193" s="82">
        <v>1.2</v>
      </c>
      <c r="BG193" s="82">
        <v>1.9</v>
      </c>
      <c r="BH193" s="82">
        <v>1</v>
      </c>
      <c r="BI193" s="82">
        <v>1.4</v>
      </c>
      <c r="BJ193" s="82">
        <v>0.7</v>
      </c>
      <c r="BK193" s="82">
        <v>1</v>
      </c>
      <c r="BL193" s="82">
        <v>0.5</v>
      </c>
      <c r="BM193" s="82">
        <v>0.9</v>
      </c>
      <c r="BN193" s="82">
        <v>0.3</v>
      </c>
      <c r="BO193" s="82">
        <v>0.6</v>
      </c>
      <c r="BP193" s="82">
        <v>0.2</v>
      </c>
      <c r="BQ193" s="82">
        <v>0.4</v>
      </c>
      <c r="BR193" s="82">
        <v>0.2</v>
      </c>
      <c r="BS193" s="82">
        <v>0.4</v>
      </c>
      <c r="BT193" s="82">
        <v>29141</v>
      </c>
      <c r="BU193" s="82">
        <v>15975</v>
      </c>
      <c r="BV193" s="82">
        <v>9282</v>
      </c>
      <c r="BW193" s="82">
        <v>53944</v>
      </c>
      <c r="BX193" s="82">
        <v>14.9</v>
      </c>
      <c r="BY193" s="82">
        <v>7.1</v>
      </c>
      <c r="BZ193" s="82">
        <v>11.9</v>
      </c>
      <c r="CA193" s="82">
        <v>23.3</v>
      </c>
      <c r="CB193" s="82">
        <v>20.5</v>
      </c>
      <c r="CC193" s="82">
        <v>10</v>
      </c>
      <c r="CD193" s="82">
        <v>6.6</v>
      </c>
      <c r="CE193" s="82">
        <v>3.9</v>
      </c>
      <c r="CF193" s="82">
        <v>1.3</v>
      </c>
      <c r="CG193" s="82">
        <v>0.3</v>
      </c>
      <c r="CH193" s="82">
        <v>0.2</v>
      </c>
      <c r="CI193" s="82">
        <v>0.1</v>
      </c>
      <c r="CJ193" s="82">
        <f t="shared" si="14"/>
        <v>108342</v>
      </c>
      <c r="CK193" s="82">
        <f t="shared" si="15"/>
        <v>184508.73167645495</v>
      </c>
      <c r="CL193" s="95">
        <f ca="1">$CK193*SUM(OFFSET($AJ193,0,(COUNTA($CL$1:CL$1)-1)*4,1,4))/100</f>
        <v>45389.147992407925</v>
      </c>
      <c r="CM193" s="95">
        <f ca="1">$CK193*SUM(OFFSET($AJ193,0,(COUNTA($CL$1:CM$1)-1)*4,1,4))/100</f>
        <v>45204.63926073147</v>
      </c>
      <c r="CN193" s="95">
        <f ca="1">$CK193*SUM(OFFSET($AJ193,0,(COUNTA($CL$1:CN$1)-1)*4,1,4))/100</f>
        <v>33027.062970085433</v>
      </c>
      <c r="CO193" s="95">
        <f ca="1">$CK193*SUM(OFFSET($AJ193,0,(COUNTA($CL$1:CO$1)-1)*4,1,4))/100</f>
        <v>18635.38189932195</v>
      </c>
      <c r="CP193" s="95">
        <f ca="1">$CK193*SUM(OFFSET($AJ193,0,(COUNTA($CL$1:CP$1)-1)*4,1,4))/100</f>
        <v>14022.663607410574</v>
      </c>
      <c r="CQ193" s="95">
        <f ca="1">$CK193*SUM(OFFSET($AJ193,0,(COUNTA($CL$1:CQ$1)-1)*4,1,4))/100</f>
        <v>12177.576290646026</v>
      </c>
      <c r="CR193" s="95">
        <f ca="1">$CK193*SUM(OFFSET($AJ193,0,(COUNTA($CL$1:CR$1)-1)*4,1,4))/100</f>
        <v>7564.857998734652</v>
      </c>
      <c r="CS193" s="95">
        <f ca="1">$CK193*SUM(OFFSET($AJ193,0,(COUNTA($CL$1:CS$1)-1)*4,1,4))/100</f>
        <v>4243.7008285584634</v>
      </c>
      <c r="CT193" s="95">
        <f ca="1">$CK193*SUM(OFFSET($AJ193,0,(COUNTA($CL$1:CT$1)-1)*4,1,4))/100</f>
        <v>2214.1047801174595</v>
      </c>
      <c r="CU193" s="96">
        <f t="shared" si="16"/>
        <v>5636.666666666667</v>
      </c>
      <c r="CV193" s="96">
        <f t="shared" si="17"/>
        <v>32.733660261937601</v>
      </c>
    </row>
    <row r="194" spans="1:100">
      <c r="A194" s="82" t="str">
        <f ca="1">IF(ISERROR(OFFSET(Map!$E$2,MATCH(D194,Map!$B$3:$B$239,0),0)),OFFSET(Map!$E$2,MATCH(D194,Map!$C$3:$C$239,0),0),OFFSET(Map!$E$2,MATCH(D194,Map!$B$3:$B$239,0),0))</f>
        <v>Gert Sibande</v>
      </c>
      <c r="B194" s="82">
        <v>193</v>
      </c>
      <c r="C194" s="82" t="s">
        <v>59</v>
      </c>
      <c r="D194" s="82" t="s">
        <v>584</v>
      </c>
      <c r="E194" s="82" t="s">
        <v>585</v>
      </c>
      <c r="F194" s="82">
        <v>149377</v>
      </c>
      <c r="G194" s="82">
        <v>30.4</v>
      </c>
      <c r="H194" s="82">
        <v>65.5</v>
      </c>
      <c r="I194" s="82">
        <f t="shared" ref="I194:I235" si="18">ROUND(F194*H194/100,0)</f>
        <v>97842</v>
      </c>
      <c r="J194" s="82">
        <v>4.0999999999999996</v>
      </c>
      <c r="K194" s="82">
        <v>52.6</v>
      </c>
      <c r="L194" s="82">
        <v>98.5</v>
      </c>
      <c r="M194" s="82">
        <v>1.8</v>
      </c>
      <c r="N194" s="82">
        <v>25</v>
      </c>
      <c r="O194" s="82">
        <v>26.8</v>
      </c>
      <c r="P194" s="82">
        <f t="shared" ref="P194:P235" si="19">ROUND(F194*(H194/100)*(100-O194)/100,0)</f>
        <v>71620</v>
      </c>
      <c r="Q194" s="82">
        <v>34.5</v>
      </c>
      <c r="R194" s="82">
        <v>12.3</v>
      </c>
      <c r="S194" s="82">
        <v>9.6</v>
      </c>
      <c r="T194" s="82">
        <v>29.2</v>
      </c>
      <c r="U194" s="82">
        <v>40932</v>
      </c>
      <c r="V194" s="82">
        <v>7678</v>
      </c>
      <c r="W194" s="82">
        <v>3.5</v>
      </c>
      <c r="X194" s="82">
        <v>37.799999999999997</v>
      </c>
      <c r="Y194" s="82">
        <v>75.3</v>
      </c>
      <c r="Z194" s="82">
        <v>43.4</v>
      </c>
      <c r="AA194" s="82">
        <v>70.599999999999994</v>
      </c>
      <c r="AB194" s="82">
        <v>65.5</v>
      </c>
      <c r="AC194" s="82">
        <v>53</v>
      </c>
      <c r="AD194" s="82">
        <v>74.7</v>
      </c>
      <c r="AE194" s="82">
        <v>88.1</v>
      </c>
      <c r="AF194" s="82">
        <v>0.6</v>
      </c>
      <c r="AG194" s="82">
        <v>1.1000000000000001</v>
      </c>
      <c r="AH194" s="82">
        <v>9.8000000000000007</v>
      </c>
      <c r="AI194" s="82">
        <v>0.3</v>
      </c>
      <c r="AJ194" s="82">
        <v>5.6</v>
      </c>
      <c r="AK194" s="82">
        <v>5.5</v>
      </c>
      <c r="AL194" s="82">
        <v>5.0999999999999996</v>
      </c>
      <c r="AM194" s="82">
        <v>4.9000000000000004</v>
      </c>
      <c r="AN194" s="82">
        <v>4.7</v>
      </c>
      <c r="AO194" s="82">
        <v>4.5999999999999996</v>
      </c>
      <c r="AP194" s="82">
        <v>5</v>
      </c>
      <c r="AQ194" s="82">
        <v>5</v>
      </c>
      <c r="AR194" s="82">
        <v>5.4</v>
      </c>
      <c r="AS194" s="82">
        <v>5.3</v>
      </c>
      <c r="AT194" s="82">
        <v>5.3</v>
      </c>
      <c r="AU194" s="82">
        <v>5</v>
      </c>
      <c r="AV194" s="82">
        <v>3.9</v>
      </c>
      <c r="AW194" s="82">
        <v>3.6</v>
      </c>
      <c r="AX194" s="82">
        <v>3.2</v>
      </c>
      <c r="AY194" s="82">
        <v>3.2</v>
      </c>
      <c r="AZ194" s="82">
        <v>2.8</v>
      </c>
      <c r="BA194" s="82">
        <v>2.8</v>
      </c>
      <c r="BB194" s="82">
        <v>2.2999999999999998</v>
      </c>
      <c r="BC194" s="82">
        <v>2.2999999999999998</v>
      </c>
      <c r="BD194" s="82">
        <v>2</v>
      </c>
      <c r="BE194" s="82">
        <v>2.2000000000000002</v>
      </c>
      <c r="BF194" s="82">
        <v>1.6</v>
      </c>
      <c r="BG194" s="82">
        <v>1.8</v>
      </c>
      <c r="BH194" s="82">
        <v>1.1000000000000001</v>
      </c>
      <c r="BI194" s="82">
        <v>1.3</v>
      </c>
      <c r="BJ194" s="82">
        <v>0.6</v>
      </c>
      <c r="BK194" s="82">
        <v>0.8</v>
      </c>
      <c r="BL194" s="82">
        <v>0.4</v>
      </c>
      <c r="BM194" s="82">
        <v>0.7</v>
      </c>
      <c r="BN194" s="82">
        <v>0.2</v>
      </c>
      <c r="BO194" s="82">
        <v>0.4</v>
      </c>
      <c r="BP194" s="82">
        <v>0.1</v>
      </c>
      <c r="BQ194" s="82">
        <v>0.3</v>
      </c>
      <c r="BR194" s="82">
        <v>0.1</v>
      </c>
      <c r="BS194" s="82">
        <v>0.2</v>
      </c>
      <c r="BT194" s="82">
        <v>41698</v>
      </c>
      <c r="BU194" s="82">
        <v>15267</v>
      </c>
      <c r="BV194" s="82">
        <v>5311</v>
      </c>
      <c r="BW194" s="82">
        <v>35625</v>
      </c>
      <c r="BX194" s="82">
        <v>12.2</v>
      </c>
      <c r="BY194" s="82">
        <v>4.0999999999999996</v>
      </c>
      <c r="BZ194" s="82">
        <v>7.1</v>
      </c>
      <c r="CA194" s="82">
        <v>17.8</v>
      </c>
      <c r="CB194" s="82">
        <v>20.9</v>
      </c>
      <c r="CC194" s="82">
        <v>15.4</v>
      </c>
      <c r="CD194" s="82">
        <v>10.5</v>
      </c>
      <c r="CE194" s="82">
        <v>7.1</v>
      </c>
      <c r="CF194" s="82">
        <v>3.5</v>
      </c>
      <c r="CG194" s="82">
        <v>0.8</v>
      </c>
      <c r="CH194" s="82">
        <v>0.3</v>
      </c>
      <c r="CI194" s="82">
        <v>0.2</v>
      </c>
      <c r="CJ194" s="82">
        <f t="shared" ref="CJ194:CJ235" si="20">SUM(BT194:BW194)</f>
        <v>97901</v>
      </c>
      <c r="CK194" s="82">
        <f t="shared" ref="CK194:CK235" si="21">F194*(1+M194/100)^9</f>
        <v>175393.59712835905</v>
      </c>
      <c r="CL194" s="95">
        <f ca="1">$CK194*SUM(OFFSET($AJ194,0,(COUNTA($CL$1:CL$1)-1)*4,1,4))/100</f>
        <v>37008.048994083765</v>
      </c>
      <c r="CM194" s="95">
        <f ca="1">$CK194*SUM(OFFSET($AJ194,0,(COUNTA($CL$1:CM$1)-1)*4,1,4))/100</f>
        <v>33850.964245773299</v>
      </c>
      <c r="CN194" s="95">
        <f ca="1">$CK194*SUM(OFFSET($AJ194,0,(COUNTA($CL$1:CN$1)-1)*4,1,4))/100</f>
        <v>36832.655396955401</v>
      </c>
      <c r="CO194" s="95">
        <f ca="1">$CK194*SUM(OFFSET($AJ194,0,(COUNTA($CL$1:CO$1)-1)*4,1,4))/100</f>
        <v>24379.710000841907</v>
      </c>
      <c r="CP194" s="95">
        <f ca="1">$CK194*SUM(OFFSET($AJ194,0,(COUNTA($CL$1:CP$1)-1)*4,1,4))/100</f>
        <v>17890.146907092621</v>
      </c>
      <c r="CQ194" s="95">
        <f ca="1">$CK194*SUM(OFFSET($AJ194,0,(COUNTA($CL$1:CQ$1)-1)*4,1,4))/100</f>
        <v>13329.913381755288</v>
      </c>
      <c r="CR194" s="95">
        <f ca="1">$CK194*SUM(OFFSET($AJ194,0,(COUNTA($CL$1:CR$1)-1)*4,1,4))/100</f>
        <v>6664.9566908776442</v>
      </c>
      <c r="CS194" s="95">
        <f ca="1">$CK194*SUM(OFFSET($AJ194,0,(COUNTA($CL$1:CS$1)-1)*4,1,4))/100</f>
        <v>2981.6911511821045</v>
      </c>
      <c r="CT194" s="95">
        <f ca="1">$CK194*SUM(OFFSET($AJ194,0,(COUNTA($CL$1:CT$1)-1)*4,1,4))/100</f>
        <v>1227.7551798985132</v>
      </c>
      <c r="CU194" s="96">
        <f t="shared" ref="CU194:CU235" si="22">IF(N194 = 0,0,F194/N194)</f>
        <v>5975.08</v>
      </c>
      <c r="CV194" s="96">
        <f t="shared" ref="CV194:CV235" si="23">IF(CU194=0,0,CK194/CU194)</f>
        <v>29.354183898518354</v>
      </c>
    </row>
    <row r="195" spans="1:100">
      <c r="A195" s="82" t="str">
        <f ca="1">IF(ISERROR(OFFSET(Map!$E$2,MATCH(D195,Map!$B$3:$B$239,0),0)),OFFSET(Map!$E$2,MATCH(D195,Map!$C$3:$C$239,0),0),OFFSET(Map!$E$2,MATCH(D195,Map!$B$3:$B$239,0),0))</f>
        <v>Gert Sibande</v>
      </c>
      <c r="B195" s="82">
        <v>194</v>
      </c>
      <c r="C195" s="82" t="s">
        <v>59</v>
      </c>
      <c r="D195" s="82" t="s">
        <v>586</v>
      </c>
      <c r="E195" s="82" t="s">
        <v>587</v>
      </c>
      <c r="F195" s="82">
        <v>171982</v>
      </c>
      <c r="G195" s="82">
        <v>36.6</v>
      </c>
      <c r="H195" s="82">
        <v>59.2</v>
      </c>
      <c r="I195" s="82">
        <f t="shared" si="18"/>
        <v>101813</v>
      </c>
      <c r="J195" s="82">
        <v>4.2</v>
      </c>
      <c r="K195" s="82">
        <v>69</v>
      </c>
      <c r="L195" s="82">
        <v>91.7</v>
      </c>
      <c r="M195" s="82">
        <v>1.84</v>
      </c>
      <c r="N195" s="82">
        <v>35</v>
      </c>
      <c r="O195" s="82">
        <v>35.9</v>
      </c>
      <c r="P195" s="82">
        <f t="shared" si="19"/>
        <v>65262</v>
      </c>
      <c r="Q195" s="82">
        <v>44.6</v>
      </c>
      <c r="R195" s="82">
        <v>18.100000000000001</v>
      </c>
      <c r="S195" s="82">
        <v>5.4</v>
      </c>
      <c r="T195" s="82">
        <v>25.5</v>
      </c>
      <c r="U195" s="82">
        <v>37433</v>
      </c>
      <c r="V195" s="82">
        <v>13799</v>
      </c>
      <c r="W195" s="82">
        <v>4.5</v>
      </c>
      <c r="X195" s="82">
        <v>45.3</v>
      </c>
      <c r="Y195" s="82">
        <v>65.2</v>
      </c>
      <c r="Z195" s="82">
        <v>52.1</v>
      </c>
      <c r="AA195" s="82">
        <v>39.5</v>
      </c>
      <c r="AB195" s="82">
        <v>33.799999999999997</v>
      </c>
      <c r="AC195" s="82">
        <v>30.9</v>
      </c>
      <c r="AD195" s="82">
        <v>66.8</v>
      </c>
      <c r="AE195" s="82">
        <v>94.7</v>
      </c>
      <c r="AF195" s="82">
        <v>0.5</v>
      </c>
      <c r="AG195" s="82">
        <v>0.8</v>
      </c>
      <c r="AH195" s="82">
        <v>3.7</v>
      </c>
      <c r="AI195" s="82">
        <v>0.2</v>
      </c>
      <c r="AJ195" s="82">
        <v>6.4</v>
      </c>
      <c r="AK195" s="82">
        <v>6.2</v>
      </c>
      <c r="AL195" s="82">
        <v>6.1</v>
      </c>
      <c r="AM195" s="82">
        <v>6.2</v>
      </c>
      <c r="AN195" s="82">
        <v>5.9</v>
      </c>
      <c r="AO195" s="82">
        <v>5.8</v>
      </c>
      <c r="AP195" s="82">
        <v>5.8</v>
      </c>
      <c r="AQ195" s="82">
        <v>5.8</v>
      </c>
      <c r="AR195" s="82">
        <v>4.9000000000000004</v>
      </c>
      <c r="AS195" s="82">
        <v>5.2</v>
      </c>
      <c r="AT195" s="82">
        <v>4.2</v>
      </c>
      <c r="AU195" s="82">
        <v>4.3</v>
      </c>
      <c r="AV195" s="82">
        <v>3</v>
      </c>
      <c r="AW195" s="82">
        <v>3.1</v>
      </c>
      <c r="AX195" s="82">
        <v>2.7</v>
      </c>
      <c r="AY195" s="82">
        <v>3</v>
      </c>
      <c r="AZ195" s="82">
        <v>2.2000000000000002</v>
      </c>
      <c r="BA195" s="82">
        <v>2.5</v>
      </c>
      <c r="BB195" s="82">
        <v>1.8</v>
      </c>
      <c r="BC195" s="82">
        <v>1.8</v>
      </c>
      <c r="BD195" s="82">
        <v>1.4</v>
      </c>
      <c r="BE195" s="82">
        <v>1.9</v>
      </c>
      <c r="BF195" s="82">
        <v>1.2</v>
      </c>
      <c r="BG195" s="82">
        <v>1.6</v>
      </c>
      <c r="BH195" s="82">
        <v>0.9</v>
      </c>
      <c r="BI195" s="82">
        <v>1.2</v>
      </c>
      <c r="BJ195" s="82">
        <v>0.5</v>
      </c>
      <c r="BK195" s="82">
        <v>0.9</v>
      </c>
      <c r="BL195" s="82">
        <v>0.4</v>
      </c>
      <c r="BM195" s="82">
        <v>0.8</v>
      </c>
      <c r="BN195" s="82">
        <v>0.2</v>
      </c>
      <c r="BO195" s="82">
        <v>0.4</v>
      </c>
      <c r="BP195" s="82">
        <v>0.2</v>
      </c>
      <c r="BQ195" s="82">
        <v>0.4</v>
      </c>
      <c r="BR195" s="82">
        <v>0.1</v>
      </c>
      <c r="BS195" s="82">
        <v>0.3</v>
      </c>
      <c r="BT195" s="82">
        <v>30510</v>
      </c>
      <c r="BU195" s="82">
        <v>17123</v>
      </c>
      <c r="BV195" s="82">
        <v>6060</v>
      </c>
      <c r="BW195" s="82">
        <v>48086</v>
      </c>
      <c r="BX195" s="82">
        <v>15.1</v>
      </c>
      <c r="BY195" s="82">
        <v>5.4</v>
      </c>
      <c r="BZ195" s="82">
        <v>10.4</v>
      </c>
      <c r="CA195" s="82">
        <v>22.2</v>
      </c>
      <c r="CB195" s="82">
        <v>21.6</v>
      </c>
      <c r="CC195" s="82">
        <v>11.8</v>
      </c>
      <c r="CD195" s="82">
        <v>6.6</v>
      </c>
      <c r="CE195" s="82">
        <v>4.2</v>
      </c>
      <c r="CF195" s="82">
        <v>2.1</v>
      </c>
      <c r="CG195" s="82">
        <v>0.4</v>
      </c>
      <c r="CH195" s="82">
        <v>0.2</v>
      </c>
      <c r="CI195" s="82">
        <v>0.1</v>
      </c>
      <c r="CJ195" s="82">
        <f t="shared" si="20"/>
        <v>101779</v>
      </c>
      <c r="CK195" s="82">
        <f t="shared" si="21"/>
        <v>202650.88790269993</v>
      </c>
      <c r="CL195" s="95">
        <f ca="1">$CK195*SUM(OFFSET($AJ195,0,(COUNTA($CL$1:CL$1)-1)*4,1,4))/100</f>
        <v>50460.071087772289</v>
      </c>
      <c r="CM195" s="95">
        <f ca="1">$CK195*SUM(OFFSET($AJ195,0,(COUNTA($CL$1:CM$1)-1)*4,1,4))/100</f>
        <v>47217.65688132908</v>
      </c>
      <c r="CN195" s="95">
        <f ca="1">$CK195*SUM(OFFSET($AJ195,0,(COUNTA($CL$1:CN$1)-1)*4,1,4))/100</f>
        <v>37693.065149902191</v>
      </c>
      <c r="CO195" s="95">
        <f ca="1">$CK195*SUM(OFFSET($AJ195,0,(COUNTA($CL$1:CO$1)-1)*4,1,4))/100</f>
        <v>23912.804772518593</v>
      </c>
      <c r="CP195" s="95">
        <f ca="1">$CK195*SUM(OFFSET($AJ195,0,(COUNTA($CL$1:CP$1)-1)*4,1,4))/100</f>
        <v>16820.023695924097</v>
      </c>
      <c r="CQ195" s="95">
        <f ca="1">$CK195*SUM(OFFSET($AJ195,0,(COUNTA($CL$1:CQ$1)-1)*4,1,4))/100</f>
        <v>12361.704162064696</v>
      </c>
      <c r="CR195" s="95">
        <f ca="1">$CK195*SUM(OFFSET($AJ195,0,(COUNTA($CL$1:CR$1)-1)*4,1,4))/100</f>
        <v>7092.7810765944978</v>
      </c>
      <c r="CS195" s="95">
        <f ca="1">$CK195*SUM(OFFSET($AJ195,0,(COUNTA($CL$1:CS$1)-1)*4,1,4))/100</f>
        <v>3647.7159822485992</v>
      </c>
      <c r="CT195" s="95">
        <f ca="1">$CK195*SUM(OFFSET($AJ195,0,(COUNTA($CL$1:CT$1)-1)*4,1,4))/100</f>
        <v>2026.5088790269992</v>
      </c>
      <c r="CU195" s="96">
        <f t="shared" si="22"/>
        <v>4913.7714285714283</v>
      </c>
      <c r="CV195" s="96">
        <f t="shared" si="23"/>
        <v>41.241415244586634</v>
      </c>
    </row>
    <row r="196" spans="1:100">
      <c r="A196" s="82" t="str">
        <f ca="1">IF(ISERROR(OFFSET(Map!$E$2,MATCH(D196,Map!$B$3:$B$239,0),0)),OFFSET(Map!$E$2,MATCH(D196,Map!$C$3:$C$239,0),0),OFFSET(Map!$E$2,MATCH(D196,Map!$B$3:$B$239,0),0))</f>
        <v>Gert Sibande</v>
      </c>
      <c r="B196" s="82">
        <v>195</v>
      </c>
      <c r="C196" s="82" t="s">
        <v>59</v>
      </c>
      <c r="D196" s="82" t="s">
        <v>588</v>
      </c>
      <c r="E196" s="82" t="s">
        <v>589</v>
      </c>
      <c r="F196" s="82">
        <v>83235</v>
      </c>
      <c r="G196" s="82">
        <v>34.9</v>
      </c>
      <c r="H196" s="82">
        <v>59.4</v>
      </c>
      <c r="I196" s="82">
        <f t="shared" si="18"/>
        <v>49442</v>
      </c>
      <c r="J196" s="82">
        <v>5.7</v>
      </c>
      <c r="K196" s="82">
        <v>68.3</v>
      </c>
      <c r="L196" s="82">
        <v>90.4</v>
      </c>
      <c r="M196" s="82">
        <v>0.3</v>
      </c>
      <c r="N196" s="82">
        <v>16</v>
      </c>
      <c r="O196" s="82">
        <v>36.1</v>
      </c>
      <c r="P196" s="82">
        <f t="shared" si="19"/>
        <v>31593</v>
      </c>
      <c r="Q196" s="82">
        <v>45.1</v>
      </c>
      <c r="R196" s="82">
        <v>19.3</v>
      </c>
      <c r="S196" s="82">
        <v>7.3</v>
      </c>
      <c r="T196" s="82">
        <v>24.7</v>
      </c>
      <c r="U196" s="82">
        <v>19838</v>
      </c>
      <c r="V196" s="82">
        <v>7120</v>
      </c>
      <c r="W196" s="82">
        <v>4.0999999999999996</v>
      </c>
      <c r="X196" s="82">
        <v>45.1</v>
      </c>
      <c r="Y196" s="82">
        <v>76.8</v>
      </c>
      <c r="Z196" s="82">
        <v>40</v>
      </c>
      <c r="AA196" s="82">
        <v>62.5</v>
      </c>
      <c r="AB196" s="82">
        <v>62</v>
      </c>
      <c r="AC196" s="82">
        <v>38.9</v>
      </c>
      <c r="AD196" s="82">
        <v>85.2</v>
      </c>
      <c r="AE196" s="82">
        <v>90.5</v>
      </c>
      <c r="AF196" s="82">
        <v>0.6</v>
      </c>
      <c r="AG196" s="82">
        <v>1.2</v>
      </c>
      <c r="AH196" s="82">
        <v>7.4</v>
      </c>
      <c r="AI196" s="82">
        <v>0.3</v>
      </c>
      <c r="AJ196" s="82">
        <v>6.2</v>
      </c>
      <c r="AK196" s="82">
        <v>6.1</v>
      </c>
      <c r="AL196" s="82">
        <v>5.6</v>
      </c>
      <c r="AM196" s="82">
        <v>5.8</v>
      </c>
      <c r="AN196" s="82">
        <v>5.7</v>
      </c>
      <c r="AO196" s="82">
        <v>5.5</v>
      </c>
      <c r="AP196" s="82">
        <v>5.5</v>
      </c>
      <c r="AQ196" s="82">
        <v>5.6</v>
      </c>
      <c r="AR196" s="82">
        <v>4.7</v>
      </c>
      <c r="AS196" s="82">
        <v>4.9000000000000004</v>
      </c>
      <c r="AT196" s="82">
        <v>3.8</v>
      </c>
      <c r="AU196" s="82">
        <v>4</v>
      </c>
      <c r="AV196" s="82">
        <v>2.9</v>
      </c>
      <c r="AW196" s="82">
        <v>3.1</v>
      </c>
      <c r="AX196" s="82">
        <v>2.6</v>
      </c>
      <c r="AY196" s="82">
        <v>2.8</v>
      </c>
      <c r="AZ196" s="82">
        <v>2.1</v>
      </c>
      <c r="BA196" s="82">
        <v>2.8</v>
      </c>
      <c r="BB196" s="82">
        <v>1.9</v>
      </c>
      <c r="BC196" s="82">
        <v>1.9</v>
      </c>
      <c r="BD196" s="82">
        <v>1.8</v>
      </c>
      <c r="BE196" s="82">
        <v>2.2000000000000002</v>
      </c>
      <c r="BF196" s="82">
        <v>1.4</v>
      </c>
      <c r="BG196" s="82">
        <v>2</v>
      </c>
      <c r="BH196" s="82">
        <v>1.2</v>
      </c>
      <c r="BI196" s="82">
        <v>1.6</v>
      </c>
      <c r="BJ196" s="82">
        <v>0.8</v>
      </c>
      <c r="BK196" s="82">
        <v>1.2</v>
      </c>
      <c r="BL196" s="82">
        <v>0.6</v>
      </c>
      <c r="BM196" s="82">
        <v>0.9</v>
      </c>
      <c r="BN196" s="82">
        <v>0.4</v>
      </c>
      <c r="BO196" s="82">
        <v>0.6</v>
      </c>
      <c r="BP196" s="82">
        <v>0.2</v>
      </c>
      <c r="BQ196" s="82">
        <v>0.4</v>
      </c>
      <c r="BR196" s="82">
        <v>0.2</v>
      </c>
      <c r="BS196" s="82">
        <v>0.4</v>
      </c>
      <c r="BT196" s="82">
        <v>13979</v>
      </c>
      <c r="BU196" s="82">
        <v>7906</v>
      </c>
      <c r="BV196" s="82">
        <v>4184</v>
      </c>
      <c r="BW196" s="82">
        <v>23383</v>
      </c>
      <c r="BX196" s="82">
        <v>15.4</v>
      </c>
      <c r="BY196" s="82">
        <v>6.7</v>
      </c>
      <c r="BZ196" s="82">
        <v>10.199999999999999</v>
      </c>
      <c r="CA196" s="82">
        <v>20.399999999999999</v>
      </c>
      <c r="CB196" s="82">
        <v>20.399999999999999</v>
      </c>
      <c r="CC196" s="82">
        <v>11.1</v>
      </c>
      <c r="CD196" s="82">
        <v>6.9</v>
      </c>
      <c r="CE196" s="82">
        <v>5.0999999999999996</v>
      </c>
      <c r="CF196" s="82">
        <v>2.7</v>
      </c>
      <c r="CG196" s="82">
        <v>0.6</v>
      </c>
      <c r="CH196" s="82">
        <v>0.3</v>
      </c>
      <c r="CI196" s="82">
        <v>0.2</v>
      </c>
      <c r="CJ196" s="82">
        <f t="shared" si="20"/>
        <v>49452</v>
      </c>
      <c r="CK196" s="82">
        <f t="shared" si="21"/>
        <v>85509.502769029903</v>
      </c>
      <c r="CL196" s="95">
        <f ca="1">$CK196*SUM(OFFSET($AJ196,0,(COUNTA($CL$1:CL$1)-1)*4,1,4))/100</f>
        <v>20265.752156260085</v>
      </c>
      <c r="CM196" s="95">
        <f ca="1">$CK196*SUM(OFFSET($AJ196,0,(COUNTA($CL$1:CM$1)-1)*4,1,4))/100</f>
        <v>19068.619117493668</v>
      </c>
      <c r="CN196" s="95">
        <f ca="1">$CK196*SUM(OFFSET($AJ196,0,(COUNTA($CL$1:CN$1)-1)*4,1,4))/100</f>
        <v>14878.653481811205</v>
      </c>
      <c r="CO196" s="95">
        <f ca="1">$CK196*SUM(OFFSET($AJ196,0,(COUNTA($CL$1:CO$1)-1)*4,1,4))/100</f>
        <v>9748.083315669408</v>
      </c>
      <c r="CP196" s="95">
        <f ca="1">$CK196*SUM(OFFSET($AJ196,0,(COUNTA($CL$1:CP$1)-1)*4,1,4))/100</f>
        <v>7439.3267409056025</v>
      </c>
      <c r="CQ196" s="95">
        <f ca="1">$CK196*SUM(OFFSET($AJ196,0,(COUNTA($CL$1:CQ$1)-1)*4,1,4))/100</f>
        <v>6327.7032049082127</v>
      </c>
      <c r="CR196" s="95">
        <f ca="1">$CK196*SUM(OFFSET($AJ196,0,(COUNTA($CL$1:CR$1)-1)*4,1,4))/100</f>
        <v>4104.4561329134349</v>
      </c>
      <c r="CS196" s="95">
        <f ca="1">$CK196*SUM(OFFSET($AJ196,0,(COUNTA($CL$1:CS$1)-1)*4,1,4))/100</f>
        <v>2137.7375692257478</v>
      </c>
      <c r="CT196" s="95">
        <f ca="1">$CK196*SUM(OFFSET($AJ196,0,(COUNTA($CL$1:CT$1)-1)*4,1,4))/100</f>
        <v>1026.1140332283589</v>
      </c>
      <c r="CU196" s="96">
        <f t="shared" si="22"/>
        <v>5202.1875</v>
      </c>
      <c r="CV196" s="96">
        <f t="shared" si="23"/>
        <v>16.43722045178685</v>
      </c>
    </row>
    <row r="197" spans="1:100">
      <c r="A197" s="82" t="str">
        <f ca="1">IF(ISERROR(OFFSET(Map!$E$2,MATCH(D197,Map!$B$3:$B$239,0),0)),OFFSET(Map!$E$2,MATCH(D197,Map!$C$3:$C$239,0),0),OFFSET(Map!$E$2,MATCH(D197,Map!$B$3:$B$239,0),0))</f>
        <v>Gert Sibande</v>
      </c>
      <c r="B197" s="82">
        <v>196</v>
      </c>
      <c r="C197" s="82" t="s">
        <v>59</v>
      </c>
      <c r="D197" s="82" t="s">
        <v>590</v>
      </c>
      <c r="E197" s="82" t="s">
        <v>591</v>
      </c>
      <c r="F197" s="82">
        <v>115662</v>
      </c>
      <c r="G197" s="82">
        <v>28.6</v>
      </c>
      <c r="H197" s="82">
        <v>66.400000000000006</v>
      </c>
      <c r="I197" s="82">
        <f t="shared" si="18"/>
        <v>76800</v>
      </c>
      <c r="J197" s="82">
        <v>5</v>
      </c>
      <c r="K197" s="82">
        <v>50.6</v>
      </c>
      <c r="L197" s="82">
        <v>99.4</v>
      </c>
      <c r="M197" s="82">
        <v>1.1299999999999999</v>
      </c>
      <c r="N197" s="82">
        <v>25</v>
      </c>
      <c r="O197" s="82">
        <v>25.9</v>
      </c>
      <c r="P197" s="82">
        <f t="shared" si="19"/>
        <v>56908</v>
      </c>
      <c r="Q197" s="82">
        <v>35.200000000000003</v>
      </c>
      <c r="R197" s="82">
        <v>11.2</v>
      </c>
      <c r="S197" s="82">
        <v>10.3</v>
      </c>
      <c r="T197" s="82">
        <v>25.1</v>
      </c>
      <c r="U197" s="82">
        <v>31071</v>
      </c>
      <c r="V197" s="82">
        <v>6635</v>
      </c>
      <c r="W197" s="82">
        <v>3.6</v>
      </c>
      <c r="X197" s="82">
        <v>35.700000000000003</v>
      </c>
      <c r="Y197" s="82">
        <v>73.599999999999994</v>
      </c>
      <c r="Z197" s="82">
        <v>50</v>
      </c>
      <c r="AA197" s="82">
        <v>83.6</v>
      </c>
      <c r="AB197" s="82">
        <v>82.2</v>
      </c>
      <c r="AC197" s="82">
        <v>55.2</v>
      </c>
      <c r="AD197" s="82">
        <v>88.6</v>
      </c>
      <c r="AE197" s="82">
        <v>84.2</v>
      </c>
      <c r="AF197" s="82">
        <v>2.9</v>
      </c>
      <c r="AG197" s="82">
        <v>1.2</v>
      </c>
      <c r="AH197" s="82">
        <v>11.4</v>
      </c>
      <c r="AI197" s="82">
        <v>0.3</v>
      </c>
      <c r="AJ197" s="82">
        <v>5.2</v>
      </c>
      <c r="AK197" s="82">
        <v>5.2</v>
      </c>
      <c r="AL197" s="82">
        <v>4.5999999999999996</v>
      </c>
      <c r="AM197" s="82">
        <v>4.5999999999999996</v>
      </c>
      <c r="AN197" s="82">
        <v>4.5999999999999996</v>
      </c>
      <c r="AO197" s="82">
        <v>4.5</v>
      </c>
      <c r="AP197" s="82">
        <v>4.8</v>
      </c>
      <c r="AQ197" s="82">
        <v>4.8</v>
      </c>
      <c r="AR197" s="82">
        <v>5.4</v>
      </c>
      <c r="AS197" s="82">
        <v>4.7</v>
      </c>
      <c r="AT197" s="82">
        <v>4.8</v>
      </c>
      <c r="AU197" s="82">
        <v>4.5999999999999996</v>
      </c>
      <c r="AV197" s="82">
        <v>3.9</v>
      </c>
      <c r="AW197" s="82">
        <v>3.6</v>
      </c>
      <c r="AX197" s="82">
        <v>3.4</v>
      </c>
      <c r="AY197" s="82">
        <v>3.4</v>
      </c>
      <c r="AZ197" s="82">
        <v>2.9</v>
      </c>
      <c r="BA197" s="82">
        <v>3</v>
      </c>
      <c r="BB197" s="82">
        <v>2.6</v>
      </c>
      <c r="BC197" s="82">
        <v>2.6</v>
      </c>
      <c r="BD197" s="82">
        <v>2.2999999999999998</v>
      </c>
      <c r="BE197" s="82">
        <v>2.5</v>
      </c>
      <c r="BF197" s="82">
        <v>2</v>
      </c>
      <c r="BG197" s="82">
        <v>1.9</v>
      </c>
      <c r="BH197" s="82">
        <v>1.3</v>
      </c>
      <c r="BI197" s="82">
        <v>1.5</v>
      </c>
      <c r="BJ197" s="82">
        <v>0.9</v>
      </c>
      <c r="BK197" s="82">
        <v>1.1000000000000001</v>
      </c>
      <c r="BL197" s="82">
        <v>0.5</v>
      </c>
      <c r="BM197" s="82">
        <v>0.8</v>
      </c>
      <c r="BN197" s="82">
        <v>0.3</v>
      </c>
      <c r="BO197" s="82">
        <v>0.5</v>
      </c>
      <c r="BP197" s="82">
        <v>0.2</v>
      </c>
      <c r="BQ197" s="82">
        <v>0.3</v>
      </c>
      <c r="BR197" s="82">
        <v>0.1</v>
      </c>
      <c r="BS197" s="82">
        <v>0.2</v>
      </c>
      <c r="BT197" s="82">
        <v>34118</v>
      </c>
      <c r="BU197" s="82">
        <v>11895</v>
      </c>
      <c r="BV197" s="82">
        <v>2600</v>
      </c>
      <c r="BW197" s="82">
        <v>28171</v>
      </c>
      <c r="BX197" s="82">
        <v>10.7</v>
      </c>
      <c r="BY197" s="82">
        <v>3.9</v>
      </c>
      <c r="BZ197" s="82">
        <v>6</v>
      </c>
      <c r="CA197" s="82">
        <v>17.8</v>
      </c>
      <c r="CB197" s="82">
        <v>22.5</v>
      </c>
      <c r="CC197" s="82">
        <v>15.6</v>
      </c>
      <c r="CD197" s="82">
        <v>10.4</v>
      </c>
      <c r="CE197" s="82">
        <v>7.8</v>
      </c>
      <c r="CF197" s="82">
        <v>3.9</v>
      </c>
      <c r="CG197" s="82">
        <v>1</v>
      </c>
      <c r="CH197" s="82">
        <v>0.2</v>
      </c>
      <c r="CI197" s="82">
        <v>0.3</v>
      </c>
      <c r="CJ197" s="82">
        <f t="shared" si="20"/>
        <v>76784</v>
      </c>
      <c r="CK197" s="82">
        <f t="shared" si="21"/>
        <v>127970.76405073555</v>
      </c>
      <c r="CL197" s="95">
        <f ca="1">$CK197*SUM(OFFSET($AJ197,0,(COUNTA($CL$1:CL$1)-1)*4,1,4))/100</f>
        <v>25082.269753944172</v>
      </c>
      <c r="CM197" s="95">
        <f ca="1">$CK197*SUM(OFFSET($AJ197,0,(COUNTA($CL$1:CM$1)-1)*4,1,4))/100</f>
        <v>23930.532877487549</v>
      </c>
      <c r="CN197" s="95">
        <f ca="1">$CK197*SUM(OFFSET($AJ197,0,(COUNTA($CL$1:CN$1)-1)*4,1,4))/100</f>
        <v>24954.298989893432</v>
      </c>
      <c r="CO197" s="95">
        <f ca="1">$CK197*SUM(OFFSET($AJ197,0,(COUNTA($CL$1:CO$1)-1)*4,1,4))/100</f>
        <v>18299.819259255186</v>
      </c>
      <c r="CP197" s="95">
        <f ca="1">$CK197*SUM(OFFSET($AJ197,0,(COUNTA($CL$1:CP$1)-1)*4,1,4))/100</f>
        <v>14204.754809631648</v>
      </c>
      <c r="CQ197" s="95">
        <f ca="1">$CK197*SUM(OFFSET($AJ197,0,(COUNTA($CL$1:CQ$1)-1)*4,1,4))/100</f>
        <v>11133.456472413991</v>
      </c>
      <c r="CR197" s="95">
        <f ca="1">$CK197*SUM(OFFSET($AJ197,0,(COUNTA($CL$1:CR$1)-1)*4,1,4))/100</f>
        <v>6142.5966744353063</v>
      </c>
      <c r="CS197" s="95">
        <f ca="1">$CK197*SUM(OFFSET($AJ197,0,(COUNTA($CL$1:CS$1)-1)*4,1,4))/100</f>
        <v>2687.3860450654465</v>
      </c>
      <c r="CT197" s="95">
        <f ca="1">$CK197*SUM(OFFSET($AJ197,0,(COUNTA($CL$1:CT$1)-1)*4,1,4))/100</f>
        <v>1023.7661124058845</v>
      </c>
      <c r="CU197" s="96">
        <f t="shared" si="22"/>
        <v>4626.4799999999996</v>
      </c>
      <c r="CV197" s="96">
        <f t="shared" si="23"/>
        <v>27.66050302837915</v>
      </c>
    </row>
    <row r="198" spans="1:100">
      <c r="A198" s="82" t="str">
        <f ca="1">IF(ISERROR(OFFSET(Map!$E$2,MATCH(D198,Map!$B$3:$B$239,0),0)),OFFSET(Map!$E$2,MATCH(D198,Map!$C$3:$C$239,0),0),OFFSET(Map!$E$2,MATCH(D198,Map!$B$3:$B$239,0),0))</f>
        <v>Gert Sibande</v>
      </c>
      <c r="B198" s="82">
        <v>197</v>
      </c>
      <c r="C198" s="82" t="s">
        <v>59</v>
      </c>
      <c r="D198" s="82" t="s">
        <v>592</v>
      </c>
      <c r="E198" s="82" t="s">
        <v>593</v>
      </c>
      <c r="F198" s="82">
        <v>42390</v>
      </c>
      <c r="G198" s="82">
        <v>28.2</v>
      </c>
      <c r="H198" s="82">
        <v>66</v>
      </c>
      <c r="I198" s="82">
        <f t="shared" si="18"/>
        <v>27977</v>
      </c>
      <c r="J198" s="82">
        <v>5.8</v>
      </c>
      <c r="K198" s="82">
        <v>51.6</v>
      </c>
      <c r="L198" s="82">
        <v>102.6</v>
      </c>
      <c r="M198" s="82">
        <v>0.93</v>
      </c>
      <c r="N198" s="82">
        <v>16</v>
      </c>
      <c r="O198" s="82">
        <v>37.200000000000003</v>
      </c>
      <c r="P198" s="82">
        <f t="shared" si="19"/>
        <v>17570</v>
      </c>
      <c r="Q198" s="82">
        <v>45.2</v>
      </c>
      <c r="R198" s="82">
        <v>12</v>
      </c>
      <c r="S198" s="82">
        <v>5.7</v>
      </c>
      <c r="T198" s="82">
        <v>24.1</v>
      </c>
      <c r="U198" s="82">
        <v>12637</v>
      </c>
      <c r="V198" s="82">
        <v>2947</v>
      </c>
      <c r="W198" s="82">
        <v>3.3</v>
      </c>
      <c r="X198" s="82">
        <v>35.200000000000003</v>
      </c>
      <c r="Y198" s="82">
        <v>67.400000000000006</v>
      </c>
      <c r="Z198" s="82">
        <v>57</v>
      </c>
      <c r="AA198" s="82">
        <v>74.900000000000006</v>
      </c>
      <c r="AB198" s="82">
        <v>81.8</v>
      </c>
      <c r="AC198" s="82">
        <v>38.200000000000003</v>
      </c>
      <c r="AD198" s="82">
        <v>83.1</v>
      </c>
      <c r="AE198" s="82">
        <v>89.8</v>
      </c>
      <c r="AF198" s="82">
        <v>0.5</v>
      </c>
      <c r="AG198" s="82">
        <v>0.9</v>
      </c>
      <c r="AH198" s="82">
        <v>8.6</v>
      </c>
      <c r="AI198" s="82">
        <v>0.2</v>
      </c>
      <c r="AJ198" s="82">
        <v>5.5</v>
      </c>
      <c r="AK198" s="82">
        <v>5.4</v>
      </c>
      <c r="AL198" s="82">
        <v>4.5</v>
      </c>
      <c r="AM198" s="82">
        <v>4.3</v>
      </c>
      <c r="AN198" s="82">
        <v>4.2</v>
      </c>
      <c r="AO198" s="82">
        <v>4.3</v>
      </c>
      <c r="AP198" s="82">
        <v>4.7</v>
      </c>
      <c r="AQ198" s="82">
        <v>4.7</v>
      </c>
      <c r="AR198" s="82">
        <v>5.2</v>
      </c>
      <c r="AS198" s="82">
        <v>4.7</v>
      </c>
      <c r="AT198" s="82">
        <v>5.4</v>
      </c>
      <c r="AU198" s="82">
        <v>4.5</v>
      </c>
      <c r="AV198" s="82">
        <v>4.4000000000000004</v>
      </c>
      <c r="AW198" s="82">
        <v>3.7</v>
      </c>
      <c r="AX198" s="82">
        <v>3.6</v>
      </c>
      <c r="AY198" s="82">
        <v>3.3</v>
      </c>
      <c r="AZ198" s="82">
        <v>3</v>
      </c>
      <c r="BA198" s="82">
        <v>2.7</v>
      </c>
      <c r="BB198" s="82">
        <v>2.5</v>
      </c>
      <c r="BC198" s="82">
        <v>2.5</v>
      </c>
      <c r="BD198" s="82">
        <v>2.1</v>
      </c>
      <c r="BE198" s="82">
        <v>2.2000000000000002</v>
      </c>
      <c r="BF198" s="82">
        <v>1.7</v>
      </c>
      <c r="BG198" s="82">
        <v>2</v>
      </c>
      <c r="BH198" s="82">
        <v>1.4</v>
      </c>
      <c r="BI198" s="82">
        <v>1.5</v>
      </c>
      <c r="BJ198" s="82">
        <v>0.9</v>
      </c>
      <c r="BK198" s="82">
        <v>1.3</v>
      </c>
      <c r="BL198" s="82">
        <v>0.7</v>
      </c>
      <c r="BM198" s="82">
        <v>1</v>
      </c>
      <c r="BN198" s="82">
        <v>0.3</v>
      </c>
      <c r="BO198" s="82">
        <v>0.6</v>
      </c>
      <c r="BP198" s="82">
        <v>0.2</v>
      </c>
      <c r="BQ198" s="82">
        <v>0.4</v>
      </c>
      <c r="BR198" s="82">
        <v>0.2</v>
      </c>
      <c r="BS198" s="82">
        <v>0.3</v>
      </c>
      <c r="BT198" s="82">
        <v>10546</v>
      </c>
      <c r="BU198" s="82">
        <v>6244</v>
      </c>
      <c r="BV198" s="82">
        <v>1295</v>
      </c>
      <c r="BW198" s="82">
        <v>9877</v>
      </c>
      <c r="BX198" s="82">
        <v>12.9</v>
      </c>
      <c r="BY198" s="82">
        <v>4.4000000000000004</v>
      </c>
      <c r="BZ198" s="82">
        <v>6.9</v>
      </c>
      <c r="CA198" s="82">
        <v>19.899999999999999</v>
      </c>
      <c r="CB198" s="82">
        <v>22.9</v>
      </c>
      <c r="CC198" s="82">
        <v>15.4</v>
      </c>
      <c r="CD198" s="82">
        <v>9.4</v>
      </c>
      <c r="CE198" s="82">
        <v>5.3</v>
      </c>
      <c r="CF198" s="82">
        <v>2.2000000000000002</v>
      </c>
      <c r="CG198" s="82">
        <v>0.4</v>
      </c>
      <c r="CH198" s="82">
        <v>0.1</v>
      </c>
      <c r="CI198" s="82">
        <v>0.1</v>
      </c>
      <c r="CJ198" s="82">
        <f t="shared" si="20"/>
        <v>27962</v>
      </c>
      <c r="CK198" s="82">
        <f t="shared" si="21"/>
        <v>46072.934650226351</v>
      </c>
      <c r="CL198" s="95">
        <f ca="1">$CK198*SUM(OFFSET($AJ198,0,(COUNTA($CL$1:CL$1)-1)*4,1,4))/100</f>
        <v>9076.3681260945905</v>
      </c>
      <c r="CM198" s="95">
        <f ca="1">$CK198*SUM(OFFSET($AJ198,0,(COUNTA($CL$1:CM$1)-1)*4,1,4))/100</f>
        <v>8247.0553023905159</v>
      </c>
      <c r="CN198" s="95">
        <f ca="1">$CK198*SUM(OFFSET($AJ198,0,(COUNTA($CL$1:CN$1)-1)*4,1,4))/100</f>
        <v>9122.4410607448172</v>
      </c>
      <c r="CO198" s="95">
        <f ca="1">$CK198*SUM(OFFSET($AJ198,0,(COUNTA($CL$1:CO$1)-1)*4,1,4))/100</f>
        <v>6910.9401975339524</v>
      </c>
      <c r="CP198" s="95">
        <f ca="1">$CK198*SUM(OFFSET($AJ198,0,(COUNTA($CL$1:CP$1)-1)*4,1,4))/100</f>
        <v>4929.8040075742192</v>
      </c>
      <c r="CQ198" s="95">
        <f ca="1">$CK198*SUM(OFFSET($AJ198,0,(COUNTA($CL$1:CQ$1)-1)*4,1,4))/100</f>
        <v>3685.8347720181082</v>
      </c>
      <c r="CR198" s="95">
        <f ca="1">$CK198*SUM(OFFSET($AJ198,0,(COUNTA($CL$1:CR$1)-1)*4,1,4))/100</f>
        <v>2349.7196671615438</v>
      </c>
      <c r="CS198" s="95">
        <f ca="1">$CK198*SUM(OFFSET($AJ198,0,(COUNTA($CL$1:CS$1)-1)*4,1,4))/100</f>
        <v>1197.8963009058853</v>
      </c>
      <c r="CT198" s="95">
        <f ca="1">$CK198*SUM(OFFSET($AJ198,0,(COUNTA($CL$1:CT$1)-1)*4,1,4))/100</f>
        <v>506.80228115248991</v>
      </c>
      <c r="CU198" s="96">
        <f t="shared" si="22"/>
        <v>2649.375</v>
      </c>
      <c r="CV198" s="96">
        <f t="shared" si="23"/>
        <v>17.390114517660336</v>
      </c>
    </row>
    <row r="199" spans="1:100">
      <c r="A199" s="82" t="str">
        <f ca="1">IF(ISERROR(OFFSET(Map!$E$2,MATCH(D199,Map!$B$3:$B$239,0),0)),OFFSET(Map!$E$2,MATCH(D199,Map!$C$3:$C$239,0),0),OFFSET(Map!$E$2,MATCH(D199,Map!$B$3:$B$239,0),0))</f>
        <v>Gert Sibande</v>
      </c>
      <c r="B199" s="82">
        <v>198</v>
      </c>
      <c r="C199" s="82" t="s">
        <v>59</v>
      </c>
      <c r="D199" s="82" t="s">
        <v>594</v>
      </c>
      <c r="E199" s="82" t="s">
        <v>595</v>
      </c>
      <c r="F199" s="82">
        <v>294538</v>
      </c>
      <c r="G199" s="82">
        <v>26.9</v>
      </c>
      <c r="H199" s="82">
        <v>69.400000000000006</v>
      </c>
      <c r="I199" s="82">
        <f t="shared" si="18"/>
        <v>204409</v>
      </c>
      <c r="J199" s="82">
        <v>3.7</v>
      </c>
      <c r="K199" s="82">
        <v>44</v>
      </c>
      <c r="L199" s="82">
        <v>106.9</v>
      </c>
      <c r="M199" s="82">
        <v>2.84</v>
      </c>
      <c r="N199" s="82">
        <v>100</v>
      </c>
      <c r="O199" s="82">
        <v>26.2</v>
      </c>
      <c r="P199" s="82">
        <f t="shared" si="19"/>
        <v>150854</v>
      </c>
      <c r="Q199" s="82">
        <v>34.4</v>
      </c>
      <c r="R199" s="82">
        <v>7.9</v>
      </c>
      <c r="S199" s="82">
        <v>12.6</v>
      </c>
      <c r="T199" s="82">
        <v>31.3</v>
      </c>
      <c r="U199" s="82">
        <v>83874</v>
      </c>
      <c r="V199" s="82">
        <v>10253</v>
      </c>
      <c r="W199" s="82">
        <v>3.3</v>
      </c>
      <c r="X199" s="82">
        <v>30.8</v>
      </c>
      <c r="Y199" s="82">
        <v>71</v>
      </c>
      <c r="Z199" s="82">
        <v>52</v>
      </c>
      <c r="AA199" s="82">
        <v>88.9</v>
      </c>
      <c r="AB199" s="82">
        <v>91.7</v>
      </c>
      <c r="AC199" s="82">
        <v>56.5</v>
      </c>
      <c r="AD199" s="82">
        <v>90.3</v>
      </c>
      <c r="AE199" s="82">
        <v>80.5</v>
      </c>
      <c r="AF199" s="82">
        <v>1.5</v>
      </c>
      <c r="AG199" s="82">
        <v>1.5</v>
      </c>
      <c r="AH199" s="82">
        <v>16</v>
      </c>
      <c r="AI199" s="82">
        <v>0.4</v>
      </c>
      <c r="AJ199" s="82">
        <v>5.0999999999999996</v>
      </c>
      <c r="AK199" s="82">
        <v>5.2</v>
      </c>
      <c r="AL199" s="82">
        <v>4.4000000000000004</v>
      </c>
      <c r="AM199" s="82">
        <v>4.3</v>
      </c>
      <c r="AN199" s="82">
        <v>4</v>
      </c>
      <c r="AO199" s="82">
        <v>3.9</v>
      </c>
      <c r="AP199" s="82">
        <v>4.4000000000000004</v>
      </c>
      <c r="AQ199" s="82">
        <v>4.4000000000000004</v>
      </c>
      <c r="AR199" s="82">
        <v>5.9</v>
      </c>
      <c r="AS199" s="82">
        <v>4.9000000000000004</v>
      </c>
      <c r="AT199" s="82">
        <v>6.3</v>
      </c>
      <c r="AU199" s="82">
        <v>5</v>
      </c>
      <c r="AV199" s="82">
        <v>4.9000000000000004</v>
      </c>
      <c r="AW199" s="82">
        <v>3.8</v>
      </c>
      <c r="AX199" s="82">
        <v>3.7</v>
      </c>
      <c r="AY199" s="82">
        <v>3.3</v>
      </c>
      <c r="AZ199" s="82">
        <v>3.1</v>
      </c>
      <c r="BA199" s="82">
        <v>3</v>
      </c>
      <c r="BB199" s="82">
        <v>2.8</v>
      </c>
      <c r="BC199" s="82">
        <v>2.8</v>
      </c>
      <c r="BD199" s="82">
        <v>2.6</v>
      </c>
      <c r="BE199" s="82">
        <v>2.5</v>
      </c>
      <c r="BF199" s="82">
        <v>1.9</v>
      </c>
      <c r="BG199" s="82">
        <v>1.7</v>
      </c>
      <c r="BH199" s="82">
        <v>1.1000000000000001</v>
      </c>
      <c r="BI199" s="82">
        <v>1.1000000000000001</v>
      </c>
      <c r="BJ199" s="82">
        <v>0.7</v>
      </c>
      <c r="BK199" s="82">
        <v>0.8</v>
      </c>
      <c r="BL199" s="82">
        <v>0.3</v>
      </c>
      <c r="BM199" s="82">
        <v>0.6</v>
      </c>
      <c r="BN199" s="82">
        <v>0.2</v>
      </c>
      <c r="BO199" s="82">
        <v>0.4</v>
      </c>
      <c r="BP199" s="82">
        <v>0.1</v>
      </c>
      <c r="BQ199" s="82">
        <v>0.2</v>
      </c>
      <c r="BR199" s="82">
        <v>0.1</v>
      </c>
      <c r="BS199" s="82">
        <v>0.2</v>
      </c>
      <c r="BT199" s="82">
        <v>99138</v>
      </c>
      <c r="BU199" s="82">
        <v>35249</v>
      </c>
      <c r="BV199" s="82">
        <v>6787</v>
      </c>
      <c r="BW199" s="82">
        <v>63301</v>
      </c>
      <c r="BX199" s="82">
        <v>16.2</v>
      </c>
      <c r="BY199" s="82">
        <v>3.6</v>
      </c>
      <c r="BZ199" s="82">
        <v>5.5</v>
      </c>
      <c r="CA199" s="82">
        <v>12.6</v>
      </c>
      <c r="CB199" s="82">
        <v>16.5</v>
      </c>
      <c r="CC199" s="82">
        <v>15</v>
      </c>
      <c r="CD199" s="82">
        <v>11.7</v>
      </c>
      <c r="CE199" s="82">
        <v>9.1</v>
      </c>
      <c r="CF199" s="82">
        <v>6.4</v>
      </c>
      <c r="CG199" s="82">
        <v>2.5</v>
      </c>
      <c r="CH199" s="82">
        <v>0.7</v>
      </c>
      <c r="CI199" s="82">
        <v>0.3</v>
      </c>
      <c r="CJ199" s="82">
        <f t="shared" si="20"/>
        <v>204475</v>
      </c>
      <c r="CK199" s="82">
        <f t="shared" si="21"/>
        <v>378965.73601859296</v>
      </c>
      <c r="CL199" s="95">
        <f ca="1">$CK199*SUM(OFFSET($AJ199,0,(COUNTA($CL$1:CL$1)-1)*4,1,4))/100</f>
        <v>72003.489843532661</v>
      </c>
      <c r="CM199" s="95">
        <f ca="1">$CK199*SUM(OFFSET($AJ199,0,(COUNTA($CL$1:CM$1)-1)*4,1,4))/100</f>
        <v>63287.277915105034</v>
      </c>
      <c r="CN199" s="95">
        <f ca="1">$CK199*SUM(OFFSET($AJ199,0,(COUNTA($CL$1:CN$1)-1)*4,1,4))/100</f>
        <v>83751.427660109053</v>
      </c>
      <c r="CO199" s="95">
        <f ca="1">$CK199*SUM(OFFSET($AJ199,0,(COUNTA($CL$1:CO$1)-1)*4,1,4))/100</f>
        <v>59497.620554919093</v>
      </c>
      <c r="CP199" s="95">
        <f ca="1">$CK199*SUM(OFFSET($AJ199,0,(COUNTA($CL$1:CP$1)-1)*4,1,4))/100</f>
        <v>44338.991114175376</v>
      </c>
      <c r="CQ199" s="95">
        <f ca="1">$CK199*SUM(OFFSET($AJ199,0,(COUNTA($CL$1:CQ$1)-1)*4,1,4))/100</f>
        <v>32970.019033617587</v>
      </c>
      <c r="CR199" s="95">
        <f ca="1">$CK199*SUM(OFFSET($AJ199,0,(COUNTA($CL$1:CR$1)-1)*4,1,4))/100</f>
        <v>14021.732232687938</v>
      </c>
      <c r="CS199" s="95">
        <f ca="1">$CK199*SUM(OFFSET($AJ199,0,(COUNTA($CL$1:CS$1)-1)*4,1,4))/100</f>
        <v>5684.4860402788945</v>
      </c>
      <c r="CT199" s="95">
        <f ca="1">$CK199*SUM(OFFSET($AJ199,0,(COUNTA($CL$1:CT$1)-1)*4,1,4))/100</f>
        <v>2273.7944161115579</v>
      </c>
      <c r="CU199" s="96">
        <f t="shared" si="22"/>
        <v>2945.38</v>
      </c>
      <c r="CV199" s="96">
        <f t="shared" si="23"/>
        <v>128.66446299580798</v>
      </c>
    </row>
    <row r="200" spans="1:100">
      <c r="A200" s="82" t="str">
        <f ca="1">IF(ISERROR(OFFSET(Map!$E$2,MATCH(D200,Map!$B$3:$B$239,0),0)),OFFSET(Map!$E$2,MATCH(D200,Map!$C$3:$C$239,0),0),OFFSET(Map!$E$2,MATCH(D200,Map!$B$3:$B$239,0),0))</f>
        <v>Nkangala</v>
      </c>
      <c r="B200" s="82">
        <v>199</v>
      </c>
      <c r="C200" s="82" t="s">
        <v>59</v>
      </c>
      <c r="D200" s="82" t="s">
        <v>596</v>
      </c>
      <c r="E200" s="82" t="s">
        <v>597</v>
      </c>
      <c r="F200" s="82">
        <v>75452</v>
      </c>
      <c r="G200" s="82">
        <v>28.2</v>
      </c>
      <c r="H200" s="82">
        <v>67.099999999999994</v>
      </c>
      <c r="I200" s="82">
        <f t="shared" si="18"/>
        <v>50628</v>
      </c>
      <c r="J200" s="82">
        <v>4.7</v>
      </c>
      <c r="K200" s="82">
        <v>49.1</v>
      </c>
      <c r="L200" s="82">
        <v>106</v>
      </c>
      <c r="M200" s="82">
        <v>2.92</v>
      </c>
      <c r="N200" s="82">
        <v>48</v>
      </c>
      <c r="O200" s="82">
        <v>28.2</v>
      </c>
      <c r="P200" s="82">
        <f t="shared" si="19"/>
        <v>36351</v>
      </c>
      <c r="Q200" s="82">
        <v>35.799999999999997</v>
      </c>
      <c r="R200" s="82">
        <v>11.8</v>
      </c>
      <c r="S200" s="82">
        <v>7.7</v>
      </c>
      <c r="T200" s="82">
        <v>26.7</v>
      </c>
      <c r="U200" s="82">
        <v>20548</v>
      </c>
      <c r="V200" s="82">
        <v>3050</v>
      </c>
      <c r="W200" s="82">
        <v>3.6</v>
      </c>
      <c r="X200" s="82">
        <v>30.2</v>
      </c>
      <c r="Y200" s="82">
        <v>79.3</v>
      </c>
      <c r="Z200" s="82">
        <v>53.7</v>
      </c>
      <c r="AA200" s="82">
        <v>70.599999999999994</v>
      </c>
      <c r="AB200" s="82">
        <v>73.7</v>
      </c>
      <c r="AC200" s="82">
        <v>48.4</v>
      </c>
      <c r="AD200" s="82">
        <v>84.9</v>
      </c>
      <c r="AE200" s="82">
        <v>82.3</v>
      </c>
      <c r="AF200" s="82">
        <v>1.1000000000000001</v>
      </c>
      <c r="AG200" s="82">
        <v>0.3</v>
      </c>
      <c r="AH200" s="82">
        <v>16</v>
      </c>
      <c r="AI200" s="82">
        <v>0.3</v>
      </c>
      <c r="AJ200" s="82">
        <v>5.3</v>
      </c>
      <c r="AK200" s="82">
        <v>5.4</v>
      </c>
      <c r="AL200" s="82">
        <v>4.4000000000000004</v>
      </c>
      <c r="AM200" s="82">
        <v>4.4000000000000004</v>
      </c>
      <c r="AN200" s="82">
        <v>4.5</v>
      </c>
      <c r="AO200" s="82">
        <v>4.2</v>
      </c>
      <c r="AP200" s="82">
        <v>4.5</v>
      </c>
      <c r="AQ200" s="82">
        <v>4.4000000000000004</v>
      </c>
      <c r="AR200" s="82">
        <v>5.5</v>
      </c>
      <c r="AS200" s="82">
        <v>4.7</v>
      </c>
      <c r="AT200" s="82">
        <v>5.6</v>
      </c>
      <c r="AU200" s="82">
        <v>4.7</v>
      </c>
      <c r="AV200" s="82">
        <v>4.4000000000000004</v>
      </c>
      <c r="AW200" s="82">
        <v>3.7</v>
      </c>
      <c r="AX200" s="82">
        <v>3.8</v>
      </c>
      <c r="AY200" s="82">
        <v>3.4</v>
      </c>
      <c r="AZ200" s="82">
        <v>3.2</v>
      </c>
      <c r="BA200" s="82">
        <v>2.7</v>
      </c>
      <c r="BB200" s="82">
        <v>2.7</v>
      </c>
      <c r="BC200" s="82">
        <v>2.7</v>
      </c>
      <c r="BD200" s="82">
        <v>2.2000000000000002</v>
      </c>
      <c r="BE200" s="82">
        <v>2.2000000000000002</v>
      </c>
      <c r="BF200" s="82">
        <v>1.8</v>
      </c>
      <c r="BG200" s="82">
        <v>1.8</v>
      </c>
      <c r="BH200" s="82">
        <v>1.3</v>
      </c>
      <c r="BI200" s="82">
        <v>1.5</v>
      </c>
      <c r="BJ200" s="82">
        <v>0.9</v>
      </c>
      <c r="BK200" s="82">
        <v>0.9</v>
      </c>
      <c r="BL200" s="82">
        <v>0.6</v>
      </c>
      <c r="BM200" s="82">
        <v>0.7</v>
      </c>
      <c r="BN200" s="82">
        <v>0.3</v>
      </c>
      <c r="BO200" s="82">
        <v>0.5</v>
      </c>
      <c r="BP200" s="82">
        <v>0.2</v>
      </c>
      <c r="BQ200" s="82">
        <v>0.3</v>
      </c>
      <c r="BR200" s="82">
        <v>0.1</v>
      </c>
      <c r="BS200" s="82">
        <v>0.3</v>
      </c>
      <c r="BT200" s="82">
        <v>21843</v>
      </c>
      <c r="BU200" s="82">
        <v>8573</v>
      </c>
      <c r="BV200" s="82">
        <v>2477</v>
      </c>
      <c r="BW200" s="82">
        <v>17712</v>
      </c>
      <c r="BX200" s="82">
        <v>14.9</v>
      </c>
      <c r="BY200" s="82">
        <v>3.7</v>
      </c>
      <c r="BZ200" s="82">
        <v>6.3</v>
      </c>
      <c r="CA200" s="82">
        <v>17.5</v>
      </c>
      <c r="CB200" s="82">
        <v>21.4</v>
      </c>
      <c r="CC200" s="82">
        <v>16.3</v>
      </c>
      <c r="CD200" s="82">
        <v>9.5</v>
      </c>
      <c r="CE200" s="82">
        <v>5.7</v>
      </c>
      <c r="CF200" s="82">
        <v>3.2</v>
      </c>
      <c r="CG200" s="82">
        <v>0.9</v>
      </c>
      <c r="CH200" s="82">
        <v>0.3</v>
      </c>
      <c r="CI200" s="82">
        <v>0.3</v>
      </c>
      <c r="CJ200" s="82">
        <f t="shared" si="20"/>
        <v>50605</v>
      </c>
      <c r="CK200" s="82">
        <f t="shared" si="21"/>
        <v>97761.70200558989</v>
      </c>
      <c r="CL200" s="95">
        <f ca="1">$CK200*SUM(OFFSET($AJ200,0,(COUNTA($CL$1:CL$1)-1)*4,1,4))/100</f>
        <v>19063.531891090028</v>
      </c>
      <c r="CM200" s="95">
        <f ca="1">$CK200*SUM(OFFSET($AJ200,0,(COUNTA($CL$1:CM$1)-1)*4,1,4))/100</f>
        <v>17206.059552983821</v>
      </c>
      <c r="CN200" s="95">
        <f ca="1">$CK200*SUM(OFFSET($AJ200,0,(COUNTA($CL$1:CN$1)-1)*4,1,4))/100</f>
        <v>20041.148911145927</v>
      </c>
      <c r="CO200" s="95">
        <f ca="1">$CK200*SUM(OFFSET($AJ200,0,(COUNTA($CL$1:CO$1)-1)*4,1,4))/100</f>
        <v>14957.540406855256</v>
      </c>
      <c r="CP200" s="95">
        <f ca="1">$CK200*SUM(OFFSET($AJ200,0,(COUNTA($CL$1:CP$1)-1)*4,1,4))/100</f>
        <v>11047.072326631658</v>
      </c>
      <c r="CQ200" s="95">
        <f ca="1">$CK200*SUM(OFFSET($AJ200,0,(COUNTA($CL$1:CQ$1)-1)*4,1,4))/100</f>
        <v>7820.9361604471915</v>
      </c>
      <c r="CR200" s="95">
        <f ca="1">$CK200*SUM(OFFSET($AJ200,0,(COUNTA($CL$1:CR$1)-1)*4,1,4))/100</f>
        <v>4497.0382922571343</v>
      </c>
      <c r="CS200" s="95">
        <f ca="1">$CK200*SUM(OFFSET($AJ200,0,(COUNTA($CL$1:CS$1)-1)*4,1,4))/100</f>
        <v>2052.9957421173876</v>
      </c>
      <c r="CT200" s="95">
        <f ca="1">$CK200*SUM(OFFSET($AJ200,0,(COUNTA($CL$1:CT$1)-1)*4,1,4))/100</f>
        <v>879.85531805030905</v>
      </c>
      <c r="CU200" s="96">
        <f t="shared" si="22"/>
        <v>1571.9166666666667</v>
      </c>
      <c r="CV200" s="96">
        <f t="shared" si="23"/>
        <v>62.192674763668485</v>
      </c>
    </row>
    <row r="201" spans="1:100">
      <c r="A201" s="82" t="str">
        <f ca="1">IF(ISERROR(OFFSET(Map!$E$2,MATCH(D201,Map!$B$3:$B$239,0),0)),OFFSET(Map!$E$2,MATCH(D201,Map!$C$3:$C$239,0),0),OFFSET(Map!$E$2,MATCH(D201,Map!$B$3:$B$239,0),0))</f>
        <v>Nkangala</v>
      </c>
      <c r="B201" s="82">
        <v>200</v>
      </c>
      <c r="C201" s="82" t="s">
        <v>59</v>
      </c>
      <c r="D201" s="82" t="s">
        <v>598</v>
      </c>
      <c r="E201" s="82" t="s">
        <v>301</v>
      </c>
      <c r="F201" s="82">
        <v>395466</v>
      </c>
      <c r="G201" s="82">
        <v>25.2</v>
      </c>
      <c r="H201" s="82">
        <v>71.2</v>
      </c>
      <c r="I201" s="82">
        <f t="shared" si="18"/>
        <v>281572</v>
      </c>
      <c r="J201" s="82">
        <v>3.6</v>
      </c>
      <c r="K201" s="82">
        <v>40.4</v>
      </c>
      <c r="L201" s="82">
        <v>111.8</v>
      </c>
      <c r="M201" s="82">
        <v>3.58</v>
      </c>
      <c r="N201" s="82">
        <v>148</v>
      </c>
      <c r="O201" s="82">
        <v>27.3</v>
      </c>
      <c r="P201" s="82">
        <f t="shared" si="19"/>
        <v>204703</v>
      </c>
      <c r="Q201" s="82">
        <v>36</v>
      </c>
      <c r="R201" s="82">
        <v>5.8</v>
      </c>
      <c r="S201" s="82">
        <v>13.9</v>
      </c>
      <c r="T201" s="82">
        <v>31.4</v>
      </c>
      <c r="U201" s="82">
        <v>119874</v>
      </c>
      <c r="V201" s="82">
        <v>10947</v>
      </c>
      <c r="W201" s="82">
        <v>3.2</v>
      </c>
      <c r="X201" s="82">
        <v>27.9</v>
      </c>
      <c r="Y201" s="82">
        <v>77.2</v>
      </c>
      <c r="Z201" s="82">
        <v>45.3</v>
      </c>
      <c r="AA201" s="82">
        <v>68.8</v>
      </c>
      <c r="AB201" s="82">
        <v>67.2</v>
      </c>
      <c r="AC201" s="82">
        <v>54.9</v>
      </c>
      <c r="AD201" s="82">
        <v>73.400000000000006</v>
      </c>
      <c r="AE201" s="82">
        <v>81.3</v>
      </c>
      <c r="AF201" s="82">
        <v>1.7</v>
      </c>
      <c r="AG201" s="82">
        <v>0.9</v>
      </c>
      <c r="AH201" s="82">
        <v>15.7</v>
      </c>
      <c r="AI201" s="82">
        <v>0.4</v>
      </c>
      <c r="AJ201" s="82">
        <v>5</v>
      </c>
      <c r="AK201" s="82">
        <v>5</v>
      </c>
      <c r="AL201" s="82">
        <v>3.9</v>
      </c>
      <c r="AM201" s="82">
        <v>3.9</v>
      </c>
      <c r="AN201" s="82">
        <v>3.7</v>
      </c>
      <c r="AO201" s="82">
        <v>3.6</v>
      </c>
      <c r="AP201" s="82">
        <v>4</v>
      </c>
      <c r="AQ201" s="82">
        <v>4.0999999999999996</v>
      </c>
      <c r="AR201" s="82">
        <v>6.1</v>
      </c>
      <c r="AS201" s="82">
        <v>5.0999999999999996</v>
      </c>
      <c r="AT201" s="82">
        <v>6.8</v>
      </c>
      <c r="AU201" s="82">
        <v>5.0999999999999996</v>
      </c>
      <c r="AV201" s="82">
        <v>5.2</v>
      </c>
      <c r="AW201" s="82">
        <v>3.9</v>
      </c>
      <c r="AX201" s="82">
        <v>4.2</v>
      </c>
      <c r="AY201" s="82">
        <v>3.5</v>
      </c>
      <c r="AZ201" s="82">
        <v>3.4</v>
      </c>
      <c r="BA201" s="82">
        <v>3</v>
      </c>
      <c r="BB201" s="82">
        <v>3</v>
      </c>
      <c r="BC201" s="82">
        <v>3</v>
      </c>
      <c r="BD201" s="82">
        <v>2.7</v>
      </c>
      <c r="BE201" s="82">
        <v>2.2000000000000002</v>
      </c>
      <c r="BF201" s="82">
        <v>2</v>
      </c>
      <c r="BG201" s="82">
        <v>1.7</v>
      </c>
      <c r="BH201" s="82">
        <v>1.2</v>
      </c>
      <c r="BI201" s="82">
        <v>1.2</v>
      </c>
      <c r="BJ201" s="82">
        <v>0.6</v>
      </c>
      <c r="BK201" s="82">
        <v>0.8</v>
      </c>
      <c r="BL201" s="82">
        <v>0.4</v>
      </c>
      <c r="BM201" s="82">
        <v>0.6</v>
      </c>
      <c r="BN201" s="82">
        <v>0.2</v>
      </c>
      <c r="BO201" s="82">
        <v>0.3</v>
      </c>
      <c r="BP201" s="82">
        <v>0.1</v>
      </c>
      <c r="BQ201" s="82">
        <v>0.2</v>
      </c>
      <c r="BR201" s="82">
        <v>0.1</v>
      </c>
      <c r="BS201" s="82">
        <v>0.2</v>
      </c>
      <c r="BT201" s="82">
        <v>138548</v>
      </c>
      <c r="BU201" s="82">
        <v>52114</v>
      </c>
      <c r="BV201" s="82">
        <v>9612</v>
      </c>
      <c r="BW201" s="82">
        <v>81494</v>
      </c>
      <c r="BX201" s="82">
        <v>13.5</v>
      </c>
      <c r="BY201" s="82">
        <v>3.2</v>
      </c>
      <c r="BZ201" s="82">
        <v>5</v>
      </c>
      <c r="CA201" s="82">
        <v>11.1</v>
      </c>
      <c r="CB201" s="82">
        <v>16.8</v>
      </c>
      <c r="CC201" s="82">
        <v>17.5</v>
      </c>
      <c r="CD201" s="82">
        <v>13.5</v>
      </c>
      <c r="CE201" s="82">
        <v>10.5</v>
      </c>
      <c r="CF201" s="82">
        <v>6.1</v>
      </c>
      <c r="CG201" s="82">
        <v>2</v>
      </c>
      <c r="CH201" s="82">
        <v>0.5</v>
      </c>
      <c r="CI201" s="82">
        <v>0.3</v>
      </c>
      <c r="CJ201" s="82">
        <f t="shared" si="20"/>
        <v>281768</v>
      </c>
      <c r="CK201" s="82">
        <f t="shared" si="21"/>
        <v>542740.60111278703</v>
      </c>
      <c r="CL201" s="95">
        <f ca="1">$CK201*SUM(OFFSET($AJ201,0,(COUNTA($CL$1:CL$1)-1)*4,1,4))/100</f>
        <v>96607.826998076111</v>
      </c>
      <c r="CM201" s="95">
        <f ca="1">$CK201*SUM(OFFSET($AJ201,0,(COUNTA($CL$1:CM$1)-1)*4,1,4))/100</f>
        <v>83582.052571369204</v>
      </c>
      <c r="CN201" s="95">
        <f ca="1">$CK201*SUM(OFFSET($AJ201,0,(COUNTA($CL$1:CN$1)-1)*4,1,4))/100</f>
        <v>125373.07885705381</v>
      </c>
      <c r="CO201" s="95">
        <f ca="1">$CK201*SUM(OFFSET($AJ201,0,(COUNTA($CL$1:CO$1)-1)*4,1,4))/100</f>
        <v>91180.420986948215</v>
      </c>
      <c r="CP201" s="95">
        <f ca="1">$CK201*SUM(OFFSET($AJ201,0,(COUNTA($CL$1:CP$1)-1)*4,1,4))/100</f>
        <v>67299.834537985589</v>
      </c>
      <c r="CQ201" s="95">
        <f ca="1">$CK201*SUM(OFFSET($AJ201,0,(COUNTA($CL$1:CQ$1)-1)*4,1,4))/100</f>
        <v>46675.691695699679</v>
      </c>
      <c r="CR201" s="95">
        <f ca="1">$CK201*SUM(OFFSET($AJ201,0,(COUNTA($CL$1:CR$1)-1)*4,1,4))/100</f>
        <v>20624.142842285906</v>
      </c>
      <c r="CS201" s="95">
        <f ca="1">$CK201*SUM(OFFSET($AJ201,0,(COUNTA($CL$1:CS$1)-1)*4,1,4))/100</f>
        <v>8141.1090166918048</v>
      </c>
      <c r="CT201" s="95">
        <f ca="1">$CK201*SUM(OFFSET($AJ201,0,(COUNTA($CL$1:CT$1)-1)*4,1,4))/100</f>
        <v>3256.4436066767225</v>
      </c>
      <c r="CU201" s="96">
        <f t="shared" si="22"/>
        <v>2672.0675675675675</v>
      </c>
      <c r="CV201" s="96">
        <f t="shared" si="23"/>
        <v>203.1163461958613</v>
      </c>
    </row>
    <row r="202" spans="1:100">
      <c r="A202" s="82" t="str">
        <f ca="1">IF(ISERROR(OFFSET(Map!$E$2,MATCH(D202,Map!$B$3:$B$239,0),0)),OFFSET(Map!$E$2,MATCH(D202,Map!$C$3:$C$239,0),0),OFFSET(Map!$E$2,MATCH(D202,Map!$B$3:$B$239,0),0))</f>
        <v>Nkangala</v>
      </c>
      <c r="B202" s="82">
        <v>201</v>
      </c>
      <c r="C202" s="82" t="s">
        <v>59</v>
      </c>
      <c r="D202" s="82" t="s">
        <v>599</v>
      </c>
      <c r="E202" s="82" t="s">
        <v>600</v>
      </c>
      <c r="F202" s="82">
        <v>229831</v>
      </c>
      <c r="G202" s="82">
        <v>25</v>
      </c>
      <c r="H202" s="82">
        <v>70.7</v>
      </c>
      <c r="I202" s="82">
        <f t="shared" si="18"/>
        <v>162491</v>
      </c>
      <c r="J202" s="82">
        <v>4.3</v>
      </c>
      <c r="K202" s="82">
        <v>41.5</v>
      </c>
      <c r="L202" s="82">
        <v>108.1</v>
      </c>
      <c r="M202" s="82">
        <v>4.76</v>
      </c>
      <c r="N202" s="82">
        <v>58</v>
      </c>
      <c r="O202" s="82">
        <v>19.7</v>
      </c>
      <c r="P202" s="82">
        <f t="shared" si="19"/>
        <v>130480</v>
      </c>
      <c r="Q202" s="82">
        <v>27.1</v>
      </c>
      <c r="R202" s="82">
        <v>7.4</v>
      </c>
      <c r="S202" s="82">
        <v>14.4</v>
      </c>
      <c r="T202" s="82">
        <v>35</v>
      </c>
      <c r="U202" s="82">
        <v>64971</v>
      </c>
      <c r="V202" s="82">
        <v>6025</v>
      </c>
      <c r="W202" s="82">
        <v>3.3</v>
      </c>
      <c r="X202" s="82">
        <v>29.4</v>
      </c>
      <c r="Y202" s="82">
        <v>83</v>
      </c>
      <c r="Z202" s="82">
        <v>44.5</v>
      </c>
      <c r="AA202" s="82">
        <v>81.900000000000006</v>
      </c>
      <c r="AB202" s="82">
        <v>84.7</v>
      </c>
      <c r="AC202" s="82">
        <v>62.2</v>
      </c>
      <c r="AD202" s="82">
        <v>90.8</v>
      </c>
      <c r="AE202" s="82">
        <v>73.599999999999994</v>
      </c>
      <c r="AF202" s="82">
        <v>2.6</v>
      </c>
      <c r="AG202" s="82">
        <v>1.6</v>
      </c>
      <c r="AH202" s="82">
        <v>21.8</v>
      </c>
      <c r="AI202" s="82">
        <v>0.4</v>
      </c>
      <c r="AJ202" s="82">
        <v>4.8</v>
      </c>
      <c r="AK202" s="82">
        <v>4.8</v>
      </c>
      <c r="AL202" s="82">
        <v>3.9</v>
      </c>
      <c r="AM202" s="82">
        <v>3.9</v>
      </c>
      <c r="AN202" s="82">
        <v>3.8</v>
      </c>
      <c r="AO202" s="82">
        <v>3.7</v>
      </c>
      <c r="AP202" s="82">
        <v>4.0999999999999996</v>
      </c>
      <c r="AQ202" s="82">
        <v>4.0999999999999996</v>
      </c>
      <c r="AR202" s="82">
        <v>5.7</v>
      </c>
      <c r="AS202" s="82">
        <v>4.8</v>
      </c>
      <c r="AT202" s="82">
        <v>6.2</v>
      </c>
      <c r="AU202" s="82">
        <v>4.9000000000000004</v>
      </c>
      <c r="AV202" s="82">
        <v>4.9000000000000004</v>
      </c>
      <c r="AW202" s="82">
        <v>3.9</v>
      </c>
      <c r="AX202" s="82">
        <v>4.2</v>
      </c>
      <c r="AY202" s="82">
        <v>3.6</v>
      </c>
      <c r="AZ202" s="82">
        <v>3.6</v>
      </c>
      <c r="BA202" s="82">
        <v>3.3</v>
      </c>
      <c r="BB202" s="82">
        <v>3</v>
      </c>
      <c r="BC202" s="82">
        <v>3</v>
      </c>
      <c r="BD202" s="82">
        <v>2.7</v>
      </c>
      <c r="BE202" s="82">
        <v>2.4</v>
      </c>
      <c r="BF202" s="82">
        <v>2</v>
      </c>
      <c r="BG202" s="82">
        <v>1.8</v>
      </c>
      <c r="BH202" s="82">
        <v>1.3</v>
      </c>
      <c r="BI202" s="82">
        <v>1.3</v>
      </c>
      <c r="BJ202" s="82">
        <v>0.8</v>
      </c>
      <c r="BK202" s="82">
        <v>0.9</v>
      </c>
      <c r="BL202" s="82">
        <v>0.5</v>
      </c>
      <c r="BM202" s="82">
        <v>0.7</v>
      </c>
      <c r="BN202" s="82">
        <v>0.3</v>
      </c>
      <c r="BO202" s="82">
        <v>0.4</v>
      </c>
      <c r="BP202" s="82">
        <v>0.2</v>
      </c>
      <c r="BQ202" s="82">
        <v>0.3</v>
      </c>
      <c r="BR202" s="82">
        <v>0.1</v>
      </c>
      <c r="BS202" s="82">
        <v>0.2</v>
      </c>
      <c r="BT202" s="82">
        <v>85968</v>
      </c>
      <c r="BU202" s="82">
        <v>21101</v>
      </c>
      <c r="BV202" s="82">
        <v>5092</v>
      </c>
      <c r="BW202" s="82">
        <v>50252</v>
      </c>
      <c r="BX202" s="82">
        <v>12.8</v>
      </c>
      <c r="BY202" s="82">
        <v>2.6</v>
      </c>
      <c r="BZ202" s="82">
        <v>4.2</v>
      </c>
      <c r="CA202" s="82">
        <v>11.3</v>
      </c>
      <c r="CB202" s="82">
        <v>16.100000000000001</v>
      </c>
      <c r="CC202" s="82">
        <v>17</v>
      </c>
      <c r="CD202" s="82">
        <v>14.3</v>
      </c>
      <c r="CE202" s="82">
        <v>11.4</v>
      </c>
      <c r="CF202" s="82">
        <v>7</v>
      </c>
      <c r="CG202" s="82">
        <v>2.2999999999999998</v>
      </c>
      <c r="CH202" s="82">
        <v>0.5</v>
      </c>
      <c r="CI202" s="82">
        <v>0.4</v>
      </c>
      <c r="CJ202" s="82">
        <f t="shared" si="20"/>
        <v>162413</v>
      </c>
      <c r="CK202" s="82">
        <f t="shared" si="21"/>
        <v>349275.41268810263</v>
      </c>
      <c r="CL202" s="95">
        <f ca="1">$CK202*SUM(OFFSET($AJ202,0,(COUNTA($CL$1:CL$1)-1)*4,1,4))/100</f>
        <v>60773.92180772985</v>
      </c>
      <c r="CM202" s="95">
        <f ca="1">$CK202*SUM(OFFSET($AJ202,0,(COUNTA($CL$1:CM$1)-1)*4,1,4))/100</f>
        <v>54836.239792032109</v>
      </c>
      <c r="CN202" s="95">
        <f ca="1">$CK202*SUM(OFFSET($AJ202,0,(COUNTA($CL$1:CN$1)-1)*4,1,4))/100</f>
        <v>75443.489140630176</v>
      </c>
      <c r="CO202" s="95">
        <f ca="1">$CK202*SUM(OFFSET($AJ202,0,(COUNTA($CL$1:CO$1)-1)*4,1,4))/100</f>
        <v>57979.718506225043</v>
      </c>
      <c r="CP202" s="95">
        <f ca="1">$CK202*SUM(OFFSET($AJ202,0,(COUNTA($CL$1:CP$1)-1)*4,1,4))/100</f>
        <v>45056.52823676524</v>
      </c>
      <c r="CQ202" s="95">
        <f ca="1">$CK202*SUM(OFFSET($AJ202,0,(COUNTA($CL$1:CQ$1)-1)*4,1,4))/100</f>
        <v>31085.511729241134</v>
      </c>
      <c r="CR202" s="95">
        <f ca="1">$CK202*SUM(OFFSET($AJ202,0,(COUNTA($CL$1:CR$1)-1)*4,1,4))/100</f>
        <v>15018.842745588416</v>
      </c>
      <c r="CS202" s="95">
        <f ca="1">$CK202*SUM(OFFSET($AJ202,0,(COUNTA($CL$1:CS$1)-1)*4,1,4))/100</f>
        <v>6636.2328410739501</v>
      </c>
      <c r="CT202" s="95">
        <f ca="1">$CK202*SUM(OFFSET($AJ202,0,(COUNTA($CL$1:CT$1)-1)*4,1,4))/100</f>
        <v>2794.2033015048214</v>
      </c>
      <c r="CU202" s="96">
        <f t="shared" si="22"/>
        <v>3962.6034482758619</v>
      </c>
      <c r="CV202" s="96">
        <f t="shared" si="23"/>
        <v>88.142913427300726</v>
      </c>
    </row>
    <row r="203" spans="1:100">
      <c r="A203" s="82" t="str">
        <f ca="1">IF(ISERROR(OFFSET(Map!$E$2,MATCH(D203,Map!$B$3:$B$239,0),0)),OFFSET(Map!$E$2,MATCH(D203,Map!$C$3:$C$239,0),0),OFFSET(Map!$E$2,MATCH(D203,Map!$B$3:$B$239,0),0))</f>
        <v>Nkangala</v>
      </c>
      <c r="B203" s="82">
        <v>202</v>
      </c>
      <c r="C203" s="82" t="s">
        <v>59</v>
      </c>
      <c r="D203" s="82" t="s">
        <v>601</v>
      </c>
      <c r="E203" s="82" t="s">
        <v>602</v>
      </c>
      <c r="F203" s="82">
        <v>47216</v>
      </c>
      <c r="G203" s="82">
        <v>28</v>
      </c>
      <c r="H203" s="82">
        <v>66.2</v>
      </c>
      <c r="I203" s="82">
        <f t="shared" si="18"/>
        <v>31257</v>
      </c>
      <c r="J203" s="82">
        <v>5.8</v>
      </c>
      <c r="K203" s="82">
        <v>51</v>
      </c>
      <c r="L203" s="82">
        <v>104.2</v>
      </c>
      <c r="M203" s="82">
        <v>0.93</v>
      </c>
      <c r="N203" s="82">
        <v>10</v>
      </c>
      <c r="O203" s="82">
        <v>25.9</v>
      </c>
      <c r="P203" s="82">
        <f t="shared" si="19"/>
        <v>23161</v>
      </c>
      <c r="Q203" s="82">
        <v>34.200000000000003</v>
      </c>
      <c r="R203" s="82">
        <v>15</v>
      </c>
      <c r="S203" s="82">
        <v>7.4</v>
      </c>
      <c r="T203" s="82">
        <v>28.6</v>
      </c>
      <c r="U203" s="82">
        <v>13722</v>
      </c>
      <c r="V203" s="82">
        <v>2715</v>
      </c>
      <c r="W203" s="82">
        <v>3.3</v>
      </c>
      <c r="X203" s="82">
        <v>35.9</v>
      </c>
      <c r="Y203" s="82">
        <v>81.8</v>
      </c>
      <c r="Z203" s="82">
        <v>52.7</v>
      </c>
      <c r="AA203" s="82">
        <v>74.400000000000006</v>
      </c>
      <c r="AB203" s="82">
        <v>71.7</v>
      </c>
      <c r="AC203" s="82">
        <v>55</v>
      </c>
      <c r="AD203" s="82">
        <v>83.6</v>
      </c>
      <c r="AE203" s="82">
        <v>87.2</v>
      </c>
      <c r="AF203" s="82">
        <v>1.2</v>
      </c>
      <c r="AG203" s="82">
        <v>0.7</v>
      </c>
      <c r="AH203" s="82">
        <v>10.8</v>
      </c>
      <c r="AI203" s="82">
        <v>0.2</v>
      </c>
      <c r="AJ203" s="82">
        <v>5.3</v>
      </c>
      <c r="AK203" s="82">
        <v>5</v>
      </c>
      <c r="AL203" s="82">
        <v>4.5</v>
      </c>
      <c r="AM203" s="82">
        <v>4.4000000000000004</v>
      </c>
      <c r="AN203" s="82">
        <v>4.5999999999999996</v>
      </c>
      <c r="AO203" s="82">
        <v>4.0999999999999996</v>
      </c>
      <c r="AP203" s="82">
        <v>4.7</v>
      </c>
      <c r="AQ203" s="82">
        <v>4.5999999999999996</v>
      </c>
      <c r="AR203" s="82">
        <v>5.3</v>
      </c>
      <c r="AS203" s="82">
        <v>4.9000000000000004</v>
      </c>
      <c r="AT203" s="82">
        <v>5.6</v>
      </c>
      <c r="AU203" s="82">
        <v>4.5999999999999996</v>
      </c>
      <c r="AV203" s="82">
        <v>4.3</v>
      </c>
      <c r="AW203" s="82">
        <v>3.7</v>
      </c>
      <c r="AX203" s="82">
        <v>3.6</v>
      </c>
      <c r="AY203" s="82">
        <v>3.2</v>
      </c>
      <c r="AZ203" s="82">
        <v>3.1</v>
      </c>
      <c r="BA203" s="82">
        <v>3</v>
      </c>
      <c r="BB203" s="82">
        <v>2.5</v>
      </c>
      <c r="BC203" s="82">
        <v>2.5</v>
      </c>
      <c r="BD203" s="82">
        <v>2</v>
      </c>
      <c r="BE203" s="82">
        <v>2.2000000000000002</v>
      </c>
      <c r="BF203" s="82">
        <v>1.7</v>
      </c>
      <c r="BG203" s="82">
        <v>1.9</v>
      </c>
      <c r="BH203" s="82">
        <v>1.4</v>
      </c>
      <c r="BI203" s="82">
        <v>1.4</v>
      </c>
      <c r="BJ203" s="82">
        <v>1</v>
      </c>
      <c r="BK203" s="82">
        <v>1.2</v>
      </c>
      <c r="BL203" s="82">
        <v>0.7</v>
      </c>
      <c r="BM203" s="82">
        <v>0.8</v>
      </c>
      <c r="BN203" s="82">
        <v>0.3</v>
      </c>
      <c r="BO203" s="82">
        <v>0.5</v>
      </c>
      <c r="BP203" s="82">
        <v>0.3</v>
      </c>
      <c r="BQ203" s="82">
        <v>0.4</v>
      </c>
      <c r="BR203" s="82">
        <v>0.2</v>
      </c>
      <c r="BS203" s="82">
        <v>0.4</v>
      </c>
      <c r="BT203" s="82">
        <v>13671</v>
      </c>
      <c r="BU203" s="82">
        <v>4783</v>
      </c>
      <c r="BV203" s="82">
        <v>1573</v>
      </c>
      <c r="BW203" s="82">
        <v>11243</v>
      </c>
      <c r="BX203" s="82">
        <v>12</v>
      </c>
      <c r="BY203" s="82">
        <v>3.4</v>
      </c>
      <c r="BZ203" s="82">
        <v>5</v>
      </c>
      <c r="CA203" s="82">
        <v>21.1</v>
      </c>
      <c r="CB203" s="82">
        <v>22.1</v>
      </c>
      <c r="CC203" s="82">
        <v>15.9</v>
      </c>
      <c r="CD203" s="82">
        <v>10.9</v>
      </c>
      <c r="CE203" s="82">
        <v>5.9</v>
      </c>
      <c r="CF203" s="82">
        <v>2.7</v>
      </c>
      <c r="CG203" s="82">
        <v>0.7</v>
      </c>
      <c r="CH203" s="82">
        <v>0.2</v>
      </c>
      <c r="CI203" s="82">
        <v>0.2</v>
      </c>
      <c r="CJ203" s="82">
        <f t="shared" si="20"/>
        <v>31270</v>
      </c>
      <c r="CK203" s="82">
        <f t="shared" si="21"/>
        <v>51318.227941615653</v>
      </c>
      <c r="CL203" s="95">
        <f ca="1">$CK203*SUM(OFFSET($AJ203,0,(COUNTA($CL$1:CL$1)-1)*4,1,4))/100</f>
        <v>9853.0997647902059</v>
      </c>
      <c r="CM203" s="95">
        <f ca="1">$CK203*SUM(OFFSET($AJ203,0,(COUNTA($CL$1:CM$1)-1)*4,1,4))/100</f>
        <v>9237.2810294908177</v>
      </c>
      <c r="CN203" s="95">
        <f ca="1">$CK203*SUM(OFFSET($AJ203,0,(COUNTA($CL$1:CN$1)-1)*4,1,4))/100</f>
        <v>10468.918500089592</v>
      </c>
      <c r="CO203" s="95">
        <f ca="1">$CK203*SUM(OFFSET($AJ203,0,(COUNTA($CL$1:CO$1)-1)*4,1,4))/100</f>
        <v>7595.097735359117</v>
      </c>
      <c r="CP203" s="95">
        <f ca="1">$CK203*SUM(OFFSET($AJ203,0,(COUNTA($CL$1:CP$1)-1)*4,1,4))/100</f>
        <v>5696.3233015193373</v>
      </c>
      <c r="CQ203" s="95">
        <f ca="1">$CK203*SUM(OFFSET($AJ203,0,(COUNTA($CL$1:CQ$1)-1)*4,1,4))/100</f>
        <v>4002.8217794460215</v>
      </c>
      <c r="CR203" s="95">
        <f ca="1">$CK203*SUM(OFFSET($AJ203,0,(COUNTA($CL$1:CR$1)-1)*4,1,4))/100</f>
        <v>2565.9113970807825</v>
      </c>
      <c r="CS203" s="95">
        <f ca="1">$CK203*SUM(OFFSET($AJ203,0,(COUNTA($CL$1:CS$1)-1)*4,1,4))/100</f>
        <v>1180.31924265716</v>
      </c>
      <c r="CT203" s="95">
        <f ca="1">$CK203*SUM(OFFSET($AJ203,0,(COUNTA($CL$1:CT$1)-1)*4,1,4))/100</f>
        <v>667.1369632410034</v>
      </c>
      <c r="CU203" s="96">
        <f t="shared" si="22"/>
        <v>4721.6000000000004</v>
      </c>
      <c r="CV203" s="96">
        <f t="shared" si="23"/>
        <v>10.868821573537709</v>
      </c>
    </row>
    <row r="204" spans="1:100">
      <c r="A204" s="82" t="str">
        <f ca="1">IF(ISERROR(OFFSET(Map!$E$2,MATCH(D204,Map!$B$3:$B$239,0),0)),OFFSET(Map!$E$2,MATCH(D204,Map!$C$3:$C$239,0),0),OFFSET(Map!$E$2,MATCH(D204,Map!$B$3:$B$239,0),0))</f>
        <v>Nkangala</v>
      </c>
      <c r="B204" s="82">
        <v>203</v>
      </c>
      <c r="C204" s="82" t="s">
        <v>59</v>
      </c>
      <c r="D204" s="82" t="s">
        <v>603</v>
      </c>
      <c r="E204" s="82" t="s">
        <v>604</v>
      </c>
      <c r="F204" s="82">
        <v>310458</v>
      </c>
      <c r="G204" s="82">
        <v>32.1</v>
      </c>
      <c r="H204" s="82">
        <v>62.9</v>
      </c>
      <c r="I204" s="82">
        <f t="shared" si="18"/>
        <v>195278</v>
      </c>
      <c r="J204" s="82">
        <v>4.9000000000000004</v>
      </c>
      <c r="K204" s="82">
        <v>58.9</v>
      </c>
      <c r="L204" s="82">
        <v>90.7</v>
      </c>
      <c r="M204" s="82">
        <v>1.91</v>
      </c>
      <c r="N204" s="82">
        <v>130</v>
      </c>
      <c r="O204" s="82">
        <v>37</v>
      </c>
      <c r="P204" s="82">
        <f t="shared" si="19"/>
        <v>123025</v>
      </c>
      <c r="Q204" s="82">
        <v>49.4</v>
      </c>
      <c r="R204" s="82">
        <v>18</v>
      </c>
      <c r="S204" s="82">
        <v>5.2</v>
      </c>
      <c r="T204" s="82">
        <v>26.1</v>
      </c>
      <c r="U204" s="82">
        <v>75634</v>
      </c>
      <c r="V204" s="82">
        <v>24513</v>
      </c>
      <c r="W204" s="82">
        <v>4.0999999999999996</v>
      </c>
      <c r="X204" s="82">
        <v>46.1</v>
      </c>
      <c r="Y204" s="82">
        <v>85.6</v>
      </c>
      <c r="Z204" s="82">
        <v>76.099999999999994</v>
      </c>
      <c r="AA204" s="82">
        <v>6.8</v>
      </c>
      <c r="AB204" s="82">
        <v>4.5999999999999996</v>
      </c>
      <c r="AC204" s="82">
        <v>16.3</v>
      </c>
      <c r="AD204" s="82">
        <v>92.3</v>
      </c>
      <c r="AE204" s="82">
        <v>99.2</v>
      </c>
      <c r="AF204" s="82">
        <v>0.2</v>
      </c>
      <c r="AG204" s="82">
        <v>0.3</v>
      </c>
      <c r="AH204" s="82">
        <v>0.1</v>
      </c>
      <c r="AI204" s="82">
        <v>0.2</v>
      </c>
      <c r="AJ204" s="82">
        <v>5.8</v>
      </c>
      <c r="AK204" s="82">
        <v>5.8</v>
      </c>
      <c r="AL204" s="82">
        <v>5.3</v>
      </c>
      <c r="AM204" s="82">
        <v>5.3</v>
      </c>
      <c r="AN204" s="82">
        <v>5</v>
      </c>
      <c r="AO204" s="82">
        <v>4.9000000000000004</v>
      </c>
      <c r="AP204" s="82">
        <v>5.4</v>
      </c>
      <c r="AQ204" s="82">
        <v>5.5</v>
      </c>
      <c r="AR204" s="82">
        <v>5.0999999999999996</v>
      </c>
      <c r="AS204" s="82">
        <v>5</v>
      </c>
      <c r="AT204" s="82">
        <v>4.2</v>
      </c>
      <c r="AU204" s="82">
        <v>4.5</v>
      </c>
      <c r="AV204" s="82">
        <v>3.3</v>
      </c>
      <c r="AW204" s="82">
        <v>3.6</v>
      </c>
      <c r="AX204" s="82">
        <v>2.8</v>
      </c>
      <c r="AY204" s="82">
        <v>3.3</v>
      </c>
      <c r="AZ204" s="82">
        <v>2.4</v>
      </c>
      <c r="BA204" s="82">
        <v>2.8</v>
      </c>
      <c r="BB204" s="82">
        <v>2.1</v>
      </c>
      <c r="BC204" s="82">
        <v>2.1</v>
      </c>
      <c r="BD204" s="82">
        <v>1.7</v>
      </c>
      <c r="BE204" s="82">
        <v>2.2999999999999998</v>
      </c>
      <c r="BF204" s="82">
        <v>1.5</v>
      </c>
      <c r="BG204" s="82">
        <v>2</v>
      </c>
      <c r="BH204" s="82">
        <v>1.1000000000000001</v>
      </c>
      <c r="BI204" s="82">
        <v>1.5</v>
      </c>
      <c r="BJ204" s="82">
        <v>0.7</v>
      </c>
      <c r="BK204" s="82">
        <v>1</v>
      </c>
      <c r="BL204" s="82">
        <v>0.4</v>
      </c>
      <c r="BM204" s="82">
        <v>0.9</v>
      </c>
      <c r="BN204" s="82">
        <v>0.2</v>
      </c>
      <c r="BO204" s="82">
        <v>0.5</v>
      </c>
      <c r="BP204" s="82">
        <v>0.2</v>
      </c>
      <c r="BQ204" s="82">
        <v>0.4</v>
      </c>
      <c r="BR204" s="82">
        <v>0.2</v>
      </c>
      <c r="BS204" s="82">
        <v>0.4</v>
      </c>
      <c r="BT204" s="82">
        <v>61605</v>
      </c>
      <c r="BU204" s="82">
        <v>36139</v>
      </c>
      <c r="BV204" s="82">
        <v>13477</v>
      </c>
      <c r="BW204" s="82">
        <v>84188</v>
      </c>
      <c r="BX204" s="82">
        <v>13.8</v>
      </c>
      <c r="BY204" s="82">
        <v>5.6</v>
      </c>
      <c r="BZ204" s="82">
        <v>9.6999999999999993</v>
      </c>
      <c r="CA204" s="82">
        <v>20.3</v>
      </c>
      <c r="CB204" s="82">
        <v>23.6</v>
      </c>
      <c r="CC204" s="82">
        <v>15.2</v>
      </c>
      <c r="CD204" s="82">
        <v>7.4</v>
      </c>
      <c r="CE204" s="82">
        <v>2.9</v>
      </c>
      <c r="CF204" s="82">
        <v>1</v>
      </c>
      <c r="CG204" s="82">
        <v>0.2</v>
      </c>
      <c r="CH204" s="82">
        <v>0.1</v>
      </c>
      <c r="CI204" s="82">
        <v>0.1</v>
      </c>
      <c r="CJ204" s="82">
        <f t="shared" si="20"/>
        <v>195409</v>
      </c>
      <c r="CK204" s="82">
        <f t="shared" si="21"/>
        <v>368090.04296026228</v>
      </c>
      <c r="CL204" s="95">
        <f ca="1">$CK204*SUM(OFFSET($AJ204,0,(COUNTA($CL$1:CL$1)-1)*4,1,4))/100</f>
        <v>81715.989537178219</v>
      </c>
      <c r="CM204" s="95">
        <f ca="1">$CK204*SUM(OFFSET($AJ204,0,(COUNTA($CL$1:CM$1)-1)*4,1,4))/100</f>
        <v>76562.728935734558</v>
      </c>
      <c r="CN204" s="95">
        <f ca="1">$CK204*SUM(OFFSET($AJ204,0,(COUNTA($CL$1:CN$1)-1)*4,1,4))/100</f>
        <v>69200.928076529308</v>
      </c>
      <c r="CO204" s="95">
        <f ca="1">$CK204*SUM(OFFSET($AJ204,0,(COUNTA($CL$1:CO$1)-1)*4,1,4))/100</f>
        <v>47851.705584834097</v>
      </c>
      <c r="CP204" s="95">
        <f ca="1">$CK204*SUM(OFFSET($AJ204,0,(COUNTA($CL$1:CP$1)-1)*4,1,4))/100</f>
        <v>34600.464038264647</v>
      </c>
      <c r="CQ204" s="95">
        <f ca="1">$CK204*SUM(OFFSET($AJ204,0,(COUNTA($CL$1:CQ$1)-1)*4,1,4))/100</f>
        <v>27606.753222019674</v>
      </c>
      <c r="CR204" s="95">
        <f ca="1">$CK204*SUM(OFFSET($AJ204,0,(COUNTA($CL$1:CR$1)-1)*4,1,4))/100</f>
        <v>15827.871847291277</v>
      </c>
      <c r="CS204" s="95">
        <f ca="1">$CK204*SUM(OFFSET($AJ204,0,(COUNTA($CL$1:CS$1)-1)*4,1,4))/100</f>
        <v>7361.8008592052456</v>
      </c>
      <c r="CT204" s="95">
        <f ca="1">$CK204*SUM(OFFSET($AJ204,0,(COUNTA($CL$1:CT$1)-1)*4,1,4))/100</f>
        <v>4417.0805155231474</v>
      </c>
      <c r="CU204" s="96">
        <f t="shared" si="22"/>
        <v>2388.1384615384613</v>
      </c>
      <c r="CV204" s="96">
        <f t="shared" si="23"/>
        <v>154.13262207717017</v>
      </c>
    </row>
    <row r="205" spans="1:100">
      <c r="A205" s="82" t="str">
        <f ca="1">IF(ISERROR(OFFSET(Map!$E$2,MATCH(D205,Map!$B$3:$B$239,0),0)),OFFSET(Map!$E$2,MATCH(D205,Map!$C$3:$C$239,0),0),OFFSET(Map!$E$2,MATCH(D205,Map!$B$3:$B$239,0),0))</f>
        <v>Nkangala</v>
      </c>
      <c r="B205" s="82">
        <v>204</v>
      </c>
      <c r="C205" s="82" t="s">
        <v>59</v>
      </c>
      <c r="D205" s="82" t="s">
        <v>605</v>
      </c>
      <c r="E205" s="82" t="s">
        <v>606</v>
      </c>
      <c r="F205" s="82">
        <v>249705</v>
      </c>
      <c r="G205" s="82">
        <v>32.6</v>
      </c>
      <c r="H205" s="82">
        <v>59.5</v>
      </c>
      <c r="I205" s="82">
        <f t="shared" si="18"/>
        <v>148574</v>
      </c>
      <c r="J205" s="82">
        <v>7.9</v>
      </c>
      <c r="K205" s="82">
        <v>68.2</v>
      </c>
      <c r="L205" s="82">
        <v>88.9</v>
      </c>
      <c r="M205" s="82">
        <v>0.26</v>
      </c>
      <c r="N205" s="82">
        <v>176</v>
      </c>
      <c r="O205" s="82">
        <v>46.6</v>
      </c>
      <c r="P205" s="82">
        <f t="shared" si="19"/>
        <v>79339</v>
      </c>
      <c r="Q205" s="82">
        <v>61.4</v>
      </c>
      <c r="R205" s="82">
        <v>17.399999999999999</v>
      </c>
      <c r="S205" s="82">
        <v>6.6</v>
      </c>
      <c r="T205" s="82">
        <v>25.1</v>
      </c>
      <c r="U205" s="82">
        <v>62162</v>
      </c>
      <c r="V205" s="82">
        <v>23439</v>
      </c>
      <c r="W205" s="82">
        <v>4</v>
      </c>
      <c r="X205" s="82">
        <v>49.3</v>
      </c>
      <c r="Y205" s="82">
        <v>90.9</v>
      </c>
      <c r="Z205" s="82">
        <v>82.4</v>
      </c>
      <c r="AA205" s="82">
        <v>13.3</v>
      </c>
      <c r="AB205" s="82">
        <v>13.6</v>
      </c>
      <c r="AC205" s="82">
        <v>14.2</v>
      </c>
      <c r="AD205" s="82">
        <v>96.7</v>
      </c>
      <c r="AE205" s="82">
        <v>99.4</v>
      </c>
      <c r="AF205" s="82">
        <v>0.1</v>
      </c>
      <c r="AG205" s="82">
        <v>0.3</v>
      </c>
      <c r="AH205" s="82">
        <v>0.1</v>
      </c>
      <c r="AI205" s="82">
        <v>0.1</v>
      </c>
      <c r="AJ205" s="82">
        <v>5.9</v>
      </c>
      <c r="AK205" s="82">
        <v>5.9</v>
      </c>
      <c r="AL205" s="82">
        <v>5.3</v>
      </c>
      <c r="AM205" s="82">
        <v>5.3</v>
      </c>
      <c r="AN205" s="82">
        <v>5.3</v>
      </c>
      <c r="AO205" s="82">
        <v>5</v>
      </c>
      <c r="AP205" s="82">
        <v>5.7</v>
      </c>
      <c r="AQ205" s="82">
        <v>5.5</v>
      </c>
      <c r="AR205" s="82">
        <v>4.8</v>
      </c>
      <c r="AS205" s="82">
        <v>4.7</v>
      </c>
      <c r="AT205" s="82">
        <v>3.6</v>
      </c>
      <c r="AU205" s="82">
        <v>4.0999999999999996</v>
      </c>
      <c r="AV205" s="82">
        <v>2.7</v>
      </c>
      <c r="AW205" s="82">
        <v>3.1</v>
      </c>
      <c r="AX205" s="82">
        <v>2.2999999999999998</v>
      </c>
      <c r="AY205" s="82">
        <v>2.9</v>
      </c>
      <c r="AZ205" s="82">
        <v>2.1</v>
      </c>
      <c r="BA205" s="82">
        <v>2.6</v>
      </c>
      <c r="BB205" s="82">
        <v>2</v>
      </c>
      <c r="BC205" s="82">
        <v>2</v>
      </c>
      <c r="BD205" s="82">
        <v>1.7</v>
      </c>
      <c r="BE205" s="82">
        <v>2.2000000000000002</v>
      </c>
      <c r="BF205" s="82">
        <v>1.6</v>
      </c>
      <c r="BG205" s="82">
        <v>2</v>
      </c>
      <c r="BH205" s="82">
        <v>1.4</v>
      </c>
      <c r="BI205" s="82">
        <v>1.9</v>
      </c>
      <c r="BJ205" s="82">
        <v>1</v>
      </c>
      <c r="BK205" s="82">
        <v>1.6</v>
      </c>
      <c r="BL205" s="82">
        <v>0.8</v>
      </c>
      <c r="BM205" s="82">
        <v>1.3</v>
      </c>
      <c r="BN205" s="82">
        <v>0.4</v>
      </c>
      <c r="BO205" s="82">
        <v>0.9</v>
      </c>
      <c r="BP205" s="82">
        <v>0.3</v>
      </c>
      <c r="BQ205" s="82">
        <v>0.7</v>
      </c>
      <c r="BR205" s="82">
        <v>0.3</v>
      </c>
      <c r="BS205" s="82">
        <v>0.7</v>
      </c>
      <c r="BT205" s="82">
        <v>33844</v>
      </c>
      <c r="BU205" s="82">
        <v>29539</v>
      </c>
      <c r="BV205" s="82">
        <v>10321</v>
      </c>
      <c r="BW205" s="82">
        <v>74753</v>
      </c>
      <c r="BX205" s="82">
        <v>15.9</v>
      </c>
      <c r="BY205" s="82">
        <v>5.8</v>
      </c>
      <c r="BZ205" s="82">
        <v>9.8000000000000007</v>
      </c>
      <c r="CA205" s="82">
        <v>24.5</v>
      </c>
      <c r="CB205" s="82">
        <v>21.9</v>
      </c>
      <c r="CC205" s="82">
        <v>11.3</v>
      </c>
      <c r="CD205" s="82">
        <v>6.2</v>
      </c>
      <c r="CE205" s="82">
        <v>3.2</v>
      </c>
      <c r="CF205" s="82">
        <v>1.1000000000000001</v>
      </c>
      <c r="CG205" s="82">
        <v>0.1</v>
      </c>
      <c r="CH205" s="82">
        <v>0.1</v>
      </c>
      <c r="CI205" s="82">
        <v>0.1</v>
      </c>
      <c r="CJ205" s="82">
        <f t="shared" si="20"/>
        <v>148457</v>
      </c>
      <c r="CK205" s="82">
        <f t="shared" si="21"/>
        <v>255609.2353107871</v>
      </c>
      <c r="CL205" s="95">
        <f ca="1">$CK205*SUM(OFFSET($AJ205,0,(COUNTA($CL$1:CL$1)-1)*4,1,4))/100</f>
        <v>57256.468709616318</v>
      </c>
      <c r="CM205" s="95">
        <f ca="1">$CK205*SUM(OFFSET($AJ205,0,(COUNTA($CL$1:CM$1)-1)*4,1,4))/100</f>
        <v>54955.985591819233</v>
      </c>
      <c r="CN205" s="95">
        <f ca="1">$CK205*SUM(OFFSET($AJ205,0,(COUNTA($CL$1:CN$1)-1)*4,1,4))/100</f>
        <v>43964.788473455381</v>
      </c>
      <c r="CO205" s="95">
        <f ca="1">$CK205*SUM(OFFSET($AJ205,0,(COUNTA($CL$1:CO$1)-1)*4,1,4))/100</f>
        <v>28117.015884186585</v>
      </c>
      <c r="CP205" s="95">
        <f ca="1">$CK205*SUM(OFFSET($AJ205,0,(COUNTA($CL$1:CP$1)-1)*4,1,4))/100</f>
        <v>22238.003472038476</v>
      </c>
      <c r="CQ205" s="95">
        <f ca="1">$CK205*SUM(OFFSET($AJ205,0,(COUNTA($CL$1:CQ$1)-1)*4,1,4))/100</f>
        <v>19170.692648309032</v>
      </c>
      <c r="CR205" s="95">
        <f ca="1">$CK205*SUM(OFFSET($AJ205,0,(COUNTA($CL$1:CR$1)-1)*4,1,4))/100</f>
        <v>15080.944883336439</v>
      </c>
      <c r="CS205" s="95">
        <f ca="1">$CK205*SUM(OFFSET($AJ205,0,(COUNTA($CL$1:CS$1)-1)*4,1,4))/100</f>
        <v>8690.7140005667607</v>
      </c>
      <c r="CT205" s="95">
        <f ca="1">$CK205*SUM(OFFSET($AJ205,0,(COUNTA($CL$1:CT$1)-1)*4,1,4))/100</f>
        <v>5112.1847062157422</v>
      </c>
      <c r="CU205" s="96">
        <f t="shared" si="22"/>
        <v>1418.778409090909</v>
      </c>
      <c r="CV205" s="96">
        <f t="shared" si="23"/>
        <v>180.16149221961328</v>
      </c>
    </row>
    <row r="206" spans="1:100">
      <c r="A206" s="82" t="str">
        <f ca="1">IF(ISERROR(OFFSET(Map!$E$2,MATCH(D206,Map!$B$3:$B$239,0),0)),OFFSET(Map!$E$2,MATCH(D206,Map!$C$3:$C$239,0),0),OFFSET(Map!$E$2,MATCH(D206,Map!$B$3:$B$239,0),0))</f>
        <v>Ehlanzeni</v>
      </c>
      <c r="B206" s="82">
        <v>205</v>
      </c>
      <c r="C206" s="82" t="s">
        <v>59</v>
      </c>
      <c r="D206" s="82" t="s">
        <v>607</v>
      </c>
      <c r="E206" s="82" t="s">
        <v>608</v>
      </c>
      <c r="F206" s="82">
        <v>98387</v>
      </c>
      <c r="G206" s="82">
        <v>25.2</v>
      </c>
      <c r="H206" s="82">
        <v>69.900000000000006</v>
      </c>
      <c r="I206" s="82">
        <f t="shared" si="18"/>
        <v>68773</v>
      </c>
      <c r="J206" s="82">
        <v>4.9000000000000004</v>
      </c>
      <c r="K206" s="82">
        <v>43</v>
      </c>
      <c r="L206" s="82">
        <v>105.1</v>
      </c>
      <c r="M206" s="82">
        <v>1.86</v>
      </c>
      <c r="N206" s="82">
        <v>17</v>
      </c>
      <c r="O206" s="82">
        <v>20.5</v>
      </c>
      <c r="P206" s="82">
        <f t="shared" si="19"/>
        <v>54674</v>
      </c>
      <c r="Q206" s="82">
        <v>27.1</v>
      </c>
      <c r="R206" s="82">
        <v>9.6999999999999993</v>
      </c>
      <c r="S206" s="82">
        <v>9.6</v>
      </c>
      <c r="T206" s="82">
        <v>30.2</v>
      </c>
      <c r="U206" s="82">
        <v>33352</v>
      </c>
      <c r="V206" s="82">
        <v>5500</v>
      </c>
      <c r="W206" s="82">
        <v>2.7</v>
      </c>
      <c r="X206" s="82">
        <v>33.200000000000003</v>
      </c>
      <c r="Y206" s="82">
        <v>74.599999999999994</v>
      </c>
      <c r="Z206" s="82">
        <v>37.4</v>
      </c>
      <c r="AA206" s="82">
        <v>64.2</v>
      </c>
      <c r="AB206" s="82">
        <v>58.6</v>
      </c>
      <c r="AC206" s="82">
        <v>38.799999999999997</v>
      </c>
      <c r="AD206" s="82">
        <v>84.3</v>
      </c>
      <c r="AE206" s="82">
        <v>81.599999999999994</v>
      </c>
      <c r="AF206" s="82">
        <v>2.6</v>
      </c>
      <c r="AG206" s="82">
        <v>0.6</v>
      </c>
      <c r="AH206" s="82">
        <v>14.5</v>
      </c>
      <c r="AI206" s="82">
        <v>0.6</v>
      </c>
      <c r="AJ206" s="82">
        <v>4.9000000000000004</v>
      </c>
      <c r="AK206" s="82">
        <v>4.9000000000000004</v>
      </c>
      <c r="AL206" s="82">
        <v>3.9</v>
      </c>
      <c r="AM206" s="82">
        <v>3.8</v>
      </c>
      <c r="AN206" s="82">
        <v>3.9</v>
      </c>
      <c r="AO206" s="82">
        <v>3.8</v>
      </c>
      <c r="AP206" s="82">
        <v>4.2</v>
      </c>
      <c r="AQ206" s="82">
        <v>4.2</v>
      </c>
      <c r="AR206" s="82">
        <v>5.4</v>
      </c>
      <c r="AS206" s="82">
        <v>4.8</v>
      </c>
      <c r="AT206" s="82">
        <v>6</v>
      </c>
      <c r="AU206" s="82">
        <v>5</v>
      </c>
      <c r="AV206" s="82">
        <v>4.8</v>
      </c>
      <c r="AW206" s="82">
        <v>4.0999999999999996</v>
      </c>
      <c r="AX206" s="82">
        <v>4.3</v>
      </c>
      <c r="AY206" s="82">
        <v>3.7</v>
      </c>
      <c r="AZ206" s="82">
        <v>3.6</v>
      </c>
      <c r="BA206" s="82">
        <v>3.2</v>
      </c>
      <c r="BB206" s="82">
        <v>3</v>
      </c>
      <c r="BC206" s="82">
        <v>3</v>
      </c>
      <c r="BD206" s="82">
        <v>2.2999999999999998</v>
      </c>
      <c r="BE206" s="82">
        <v>2.2000000000000002</v>
      </c>
      <c r="BF206" s="82">
        <v>1.8</v>
      </c>
      <c r="BG206" s="82">
        <v>1.9</v>
      </c>
      <c r="BH206" s="82">
        <v>1.2</v>
      </c>
      <c r="BI206" s="82">
        <v>1.3</v>
      </c>
      <c r="BJ206" s="82">
        <v>0.8</v>
      </c>
      <c r="BK206" s="82">
        <v>1</v>
      </c>
      <c r="BL206" s="82">
        <v>0.6</v>
      </c>
      <c r="BM206" s="82">
        <v>0.8</v>
      </c>
      <c r="BN206" s="82">
        <v>0.3</v>
      </c>
      <c r="BO206" s="82">
        <v>0.5</v>
      </c>
      <c r="BP206" s="82">
        <v>0.2</v>
      </c>
      <c r="BQ206" s="82">
        <v>0.4</v>
      </c>
      <c r="BR206" s="82">
        <v>0.1</v>
      </c>
      <c r="BS206" s="82">
        <v>0.3</v>
      </c>
      <c r="BT206" s="82">
        <v>35972</v>
      </c>
      <c r="BU206" s="82">
        <v>9268</v>
      </c>
      <c r="BV206" s="82">
        <v>2213</v>
      </c>
      <c r="BW206" s="82">
        <v>21327</v>
      </c>
      <c r="BX206" s="82">
        <v>12</v>
      </c>
      <c r="BY206" s="82">
        <v>3.3</v>
      </c>
      <c r="BZ206" s="82">
        <v>5.8</v>
      </c>
      <c r="CA206" s="82">
        <v>20.6</v>
      </c>
      <c r="CB206" s="82">
        <v>22.4</v>
      </c>
      <c r="CC206" s="82">
        <v>14.9</v>
      </c>
      <c r="CD206" s="82">
        <v>9.6</v>
      </c>
      <c r="CE206" s="82">
        <v>6.2</v>
      </c>
      <c r="CF206" s="82">
        <v>3.7</v>
      </c>
      <c r="CG206" s="82">
        <v>1</v>
      </c>
      <c r="CH206" s="82">
        <v>0.3</v>
      </c>
      <c r="CI206" s="82">
        <v>0.2</v>
      </c>
      <c r="CJ206" s="82">
        <f t="shared" si="20"/>
        <v>68780</v>
      </c>
      <c r="CK206" s="82">
        <f t="shared" si="21"/>
        <v>116137.04320390607</v>
      </c>
      <c r="CL206" s="95">
        <f ca="1">$CK206*SUM(OFFSET($AJ206,0,(COUNTA($CL$1:CL$1)-1)*4,1,4))/100</f>
        <v>20323.982560683562</v>
      </c>
      <c r="CM206" s="95">
        <f ca="1">$CK206*SUM(OFFSET($AJ206,0,(COUNTA($CL$1:CM$1)-1)*4,1,4))/100</f>
        <v>18698.063955828875</v>
      </c>
      <c r="CN206" s="95">
        <f ca="1">$CK206*SUM(OFFSET($AJ206,0,(COUNTA($CL$1:CN$1)-1)*4,1,4))/100</f>
        <v>24621.053159228082</v>
      </c>
      <c r="CO206" s="95">
        <f ca="1">$CK206*SUM(OFFSET($AJ206,0,(COUNTA($CL$1:CO$1)-1)*4,1,4))/100</f>
        <v>19627.160301460124</v>
      </c>
      <c r="CP206" s="95">
        <f ca="1">$CK206*SUM(OFFSET($AJ206,0,(COUNTA($CL$1:CP$1)-1)*4,1,4))/100</f>
        <v>14865.541530099978</v>
      </c>
      <c r="CQ206" s="95">
        <f ca="1">$CK206*SUM(OFFSET($AJ206,0,(COUNTA($CL$1:CQ$1)-1)*4,1,4))/100</f>
        <v>9523.2375427202969</v>
      </c>
      <c r="CR206" s="95">
        <f ca="1">$CK206*SUM(OFFSET($AJ206,0,(COUNTA($CL$1:CR$1)-1)*4,1,4))/100</f>
        <v>4993.8928577679608</v>
      </c>
      <c r="CS206" s="95">
        <f ca="1">$CK206*SUM(OFFSET($AJ206,0,(COUNTA($CL$1:CS$1)-1)*4,1,4))/100</f>
        <v>2555.0149504859337</v>
      </c>
      <c r="CT206" s="95">
        <f ca="1">$CK206*SUM(OFFSET($AJ206,0,(COUNTA($CL$1:CT$1)-1)*4,1,4))/100</f>
        <v>1161.3704320390607</v>
      </c>
      <c r="CU206" s="96">
        <f t="shared" si="22"/>
        <v>5787.4705882352937</v>
      </c>
      <c r="CV206" s="96">
        <f t="shared" si="23"/>
        <v>20.066977694882489</v>
      </c>
    </row>
    <row r="207" spans="1:100">
      <c r="A207" s="82" t="str">
        <f ca="1">IF(ISERROR(OFFSET(Map!$E$2,MATCH(D207,Map!$B$3:$B$239,0),0)),OFFSET(Map!$E$2,MATCH(D207,Map!$C$3:$C$239,0),0),OFFSET(Map!$E$2,MATCH(D207,Map!$B$3:$B$239,0),0))</f>
        <v>Ehlanzeni</v>
      </c>
      <c r="B207" s="82">
        <v>206</v>
      </c>
      <c r="C207" s="82" t="s">
        <v>59</v>
      </c>
      <c r="D207" s="82" t="s">
        <v>609</v>
      </c>
      <c r="E207" s="82" t="s">
        <v>610</v>
      </c>
      <c r="F207" s="82">
        <v>588794</v>
      </c>
      <c r="G207" s="82">
        <v>29.8</v>
      </c>
      <c r="H207" s="82">
        <v>66</v>
      </c>
      <c r="I207" s="82">
        <f t="shared" si="18"/>
        <v>388604</v>
      </c>
      <c r="J207" s="82">
        <v>4.2</v>
      </c>
      <c r="K207" s="82">
        <v>51.6</v>
      </c>
      <c r="L207" s="82">
        <v>94.3</v>
      </c>
      <c r="M207" s="82">
        <v>2.11</v>
      </c>
      <c r="N207" s="82">
        <v>109</v>
      </c>
      <c r="O207" s="82">
        <v>28.1</v>
      </c>
      <c r="P207" s="82">
        <f t="shared" si="19"/>
        <v>279406</v>
      </c>
      <c r="Q207" s="82">
        <v>37.6</v>
      </c>
      <c r="R207" s="82">
        <v>11.9</v>
      </c>
      <c r="S207" s="82">
        <v>12.7</v>
      </c>
      <c r="T207" s="82">
        <v>33.299999999999997</v>
      </c>
      <c r="U207" s="82">
        <v>161773</v>
      </c>
      <c r="V207" s="82">
        <v>34648</v>
      </c>
      <c r="W207" s="82">
        <v>3.5</v>
      </c>
      <c r="X207" s="82">
        <v>38.9</v>
      </c>
      <c r="Y207" s="82">
        <v>92.7</v>
      </c>
      <c r="Z207" s="82">
        <v>66.400000000000006</v>
      </c>
      <c r="AA207" s="82">
        <v>28.4</v>
      </c>
      <c r="AB207" s="82">
        <v>29.4</v>
      </c>
      <c r="AC207" s="82">
        <v>37.1</v>
      </c>
      <c r="AD207" s="82">
        <v>90.2</v>
      </c>
      <c r="AE207" s="82">
        <v>89.4</v>
      </c>
      <c r="AF207" s="82">
        <v>0.9</v>
      </c>
      <c r="AG207" s="82">
        <v>0.7</v>
      </c>
      <c r="AH207" s="82">
        <v>8.6999999999999993</v>
      </c>
      <c r="AI207" s="82">
        <v>0.2</v>
      </c>
      <c r="AJ207" s="82">
        <v>5.7</v>
      </c>
      <c r="AK207" s="82">
        <v>5.6</v>
      </c>
      <c r="AL207" s="82">
        <v>4.5999999999999996</v>
      </c>
      <c r="AM207" s="82">
        <v>4.5999999999999996</v>
      </c>
      <c r="AN207" s="82">
        <v>4.8</v>
      </c>
      <c r="AO207" s="82">
        <v>4.5999999999999996</v>
      </c>
      <c r="AP207" s="82">
        <v>5</v>
      </c>
      <c r="AQ207" s="82">
        <v>5.2</v>
      </c>
      <c r="AR207" s="82">
        <v>5.6</v>
      </c>
      <c r="AS207" s="82">
        <v>5.7</v>
      </c>
      <c r="AT207" s="82">
        <v>5.3</v>
      </c>
      <c r="AU207" s="82">
        <v>5.4</v>
      </c>
      <c r="AV207" s="82">
        <v>3.9</v>
      </c>
      <c r="AW207" s="82">
        <v>4</v>
      </c>
      <c r="AX207" s="82">
        <v>3.3</v>
      </c>
      <c r="AY207" s="82">
        <v>3.6</v>
      </c>
      <c r="AZ207" s="82">
        <v>2.6</v>
      </c>
      <c r="BA207" s="82">
        <v>3</v>
      </c>
      <c r="BB207" s="82">
        <v>2.2000000000000002</v>
      </c>
      <c r="BC207" s="82">
        <v>2.2000000000000002</v>
      </c>
      <c r="BD207" s="82">
        <v>1.7</v>
      </c>
      <c r="BE207" s="82">
        <v>1.9</v>
      </c>
      <c r="BF207" s="82">
        <v>1.3</v>
      </c>
      <c r="BG207" s="82">
        <v>1.6</v>
      </c>
      <c r="BH207" s="82">
        <v>1</v>
      </c>
      <c r="BI207" s="82">
        <v>1.1000000000000001</v>
      </c>
      <c r="BJ207" s="82">
        <v>0.6</v>
      </c>
      <c r="BK207" s="82">
        <v>0.7</v>
      </c>
      <c r="BL207" s="82">
        <v>0.5</v>
      </c>
      <c r="BM207" s="82">
        <v>0.7</v>
      </c>
      <c r="BN207" s="82">
        <v>0.2</v>
      </c>
      <c r="BO207" s="82">
        <v>0.4</v>
      </c>
      <c r="BP207" s="82">
        <v>0.2</v>
      </c>
      <c r="BQ207" s="82">
        <v>0.4</v>
      </c>
      <c r="BR207" s="82">
        <v>0.2</v>
      </c>
      <c r="BS207" s="82">
        <v>0.3</v>
      </c>
      <c r="BT207" s="82">
        <v>164000</v>
      </c>
      <c r="BU207" s="82">
        <v>64237</v>
      </c>
      <c r="BV207" s="82">
        <v>20771</v>
      </c>
      <c r="BW207" s="82">
        <v>139312</v>
      </c>
      <c r="BX207" s="82">
        <v>13</v>
      </c>
      <c r="BY207" s="82">
        <v>4.9000000000000004</v>
      </c>
      <c r="BZ207" s="82">
        <v>7.8</v>
      </c>
      <c r="CA207" s="82">
        <v>18.3</v>
      </c>
      <c r="CB207" s="82">
        <v>20.6</v>
      </c>
      <c r="CC207" s="82">
        <v>13.3</v>
      </c>
      <c r="CD207" s="82">
        <v>8.6999999999999993</v>
      </c>
      <c r="CE207" s="82">
        <v>6.8</v>
      </c>
      <c r="CF207" s="82">
        <v>4.4000000000000004</v>
      </c>
      <c r="CG207" s="82">
        <v>1.4</v>
      </c>
      <c r="CH207" s="82">
        <v>0.4</v>
      </c>
      <c r="CI207" s="82">
        <v>0.3</v>
      </c>
      <c r="CJ207" s="82">
        <f t="shared" si="20"/>
        <v>388320</v>
      </c>
      <c r="CK207" s="82">
        <f t="shared" si="21"/>
        <v>710522.54297543026</v>
      </c>
      <c r="CL207" s="95">
        <f ca="1">$CK207*SUM(OFFSET($AJ207,0,(COUNTA($CL$1:CL$1)-1)*4,1,4))/100</f>
        <v>145657.1213099632</v>
      </c>
      <c r="CM207" s="95">
        <f ca="1">$CK207*SUM(OFFSET($AJ207,0,(COUNTA($CL$1:CM$1)-1)*4,1,4))/100</f>
        <v>139262.41842318431</v>
      </c>
      <c r="CN207" s="95">
        <f ca="1">$CK207*SUM(OFFSET($AJ207,0,(COUNTA($CL$1:CN$1)-1)*4,1,4))/100</f>
        <v>156314.95945459467</v>
      </c>
      <c r="CO207" s="95">
        <f ca="1">$CK207*SUM(OFFSET($AJ207,0,(COUNTA($CL$1:CO$1)-1)*4,1,4))/100</f>
        <v>105157.33636036367</v>
      </c>
      <c r="CP207" s="95">
        <f ca="1">$CK207*SUM(OFFSET($AJ207,0,(COUNTA($CL$1:CP$1)-1)*4,1,4))/100</f>
        <v>71052.254297543026</v>
      </c>
      <c r="CQ207" s="95">
        <f ca="1">$CK207*SUM(OFFSET($AJ207,0,(COUNTA($CL$1:CQ$1)-1)*4,1,4))/100</f>
        <v>46183.965293402973</v>
      </c>
      <c r="CR207" s="95">
        <f ca="1">$CK207*SUM(OFFSET($AJ207,0,(COUNTA($CL$1:CR$1)-1)*4,1,4))/100</f>
        <v>24157.766461164629</v>
      </c>
      <c r="CS207" s="95">
        <f ca="1">$CK207*SUM(OFFSET($AJ207,0,(COUNTA($CL$1:CS$1)-1)*4,1,4))/100</f>
        <v>12789.405773557744</v>
      </c>
      <c r="CT207" s="95">
        <f ca="1">$CK207*SUM(OFFSET($AJ207,0,(COUNTA($CL$1:CT$1)-1)*4,1,4))/100</f>
        <v>7815.7479727297332</v>
      </c>
      <c r="CU207" s="96">
        <f t="shared" si="22"/>
        <v>5401.779816513761</v>
      </c>
      <c r="CV207" s="96">
        <f t="shared" si="23"/>
        <v>131.53489536972506</v>
      </c>
    </row>
    <row r="208" spans="1:100">
      <c r="A208" s="82" t="str">
        <f ca="1">IF(ISERROR(OFFSET(Map!$E$2,MATCH(D208,Map!$B$3:$B$239,0),0)),OFFSET(Map!$E$2,MATCH(D208,Map!$C$3:$C$239,0),0),OFFSET(Map!$E$2,MATCH(D208,Map!$B$3:$B$239,0),0))</f>
        <v>Ehlanzeni</v>
      </c>
      <c r="B208" s="82">
        <v>207</v>
      </c>
      <c r="C208" s="82" t="s">
        <v>59</v>
      </c>
      <c r="D208" s="82" t="s">
        <v>611</v>
      </c>
      <c r="E208" s="82" t="s">
        <v>612</v>
      </c>
      <c r="F208" s="82">
        <v>67156</v>
      </c>
      <c r="G208" s="82">
        <v>27.4</v>
      </c>
      <c r="H208" s="82">
        <v>68.400000000000006</v>
      </c>
      <c r="I208" s="82">
        <f t="shared" si="18"/>
        <v>45935</v>
      </c>
      <c r="J208" s="82">
        <v>4.2</v>
      </c>
      <c r="K208" s="82">
        <v>46.2</v>
      </c>
      <c r="L208" s="82">
        <v>109.8</v>
      </c>
      <c r="M208" s="82">
        <v>2.23</v>
      </c>
      <c r="N208" s="82">
        <v>38</v>
      </c>
      <c r="O208" s="82">
        <v>27.3</v>
      </c>
      <c r="P208" s="82">
        <f t="shared" si="19"/>
        <v>33395</v>
      </c>
      <c r="Q208" s="82">
        <v>36.5</v>
      </c>
      <c r="R208" s="82">
        <v>10.4</v>
      </c>
      <c r="S208" s="82">
        <v>9.1999999999999993</v>
      </c>
      <c r="T208" s="82">
        <v>30.7</v>
      </c>
      <c r="U208" s="82">
        <v>19563</v>
      </c>
      <c r="V208" s="82">
        <v>3804</v>
      </c>
      <c r="W208" s="82">
        <v>3.4</v>
      </c>
      <c r="X208" s="82">
        <v>34.9</v>
      </c>
      <c r="Y208" s="82">
        <v>81.8</v>
      </c>
      <c r="Z208" s="82">
        <v>52.1</v>
      </c>
      <c r="AA208" s="82">
        <v>59.6</v>
      </c>
      <c r="AB208" s="82">
        <v>65.3</v>
      </c>
      <c r="AC208" s="82">
        <v>42</v>
      </c>
      <c r="AD208" s="82">
        <v>78.5</v>
      </c>
      <c r="AE208" s="82">
        <v>87</v>
      </c>
      <c r="AF208" s="82">
        <v>2</v>
      </c>
      <c r="AG208" s="82">
        <v>1</v>
      </c>
      <c r="AH208" s="82">
        <v>9.8000000000000007</v>
      </c>
      <c r="AI208" s="82">
        <v>0.2</v>
      </c>
      <c r="AJ208" s="82">
        <v>5.2</v>
      </c>
      <c r="AK208" s="82">
        <v>5.0999999999999996</v>
      </c>
      <c r="AL208" s="82">
        <v>4.3</v>
      </c>
      <c r="AM208" s="82">
        <v>4.3</v>
      </c>
      <c r="AN208" s="82">
        <v>4.3</v>
      </c>
      <c r="AO208" s="82">
        <v>4.2</v>
      </c>
      <c r="AP208" s="82">
        <v>4.5999999999999996</v>
      </c>
      <c r="AQ208" s="82">
        <v>4.7</v>
      </c>
      <c r="AR208" s="82">
        <v>5.8</v>
      </c>
      <c r="AS208" s="82">
        <v>4.9000000000000004</v>
      </c>
      <c r="AT208" s="82">
        <v>6.4</v>
      </c>
      <c r="AU208" s="82">
        <v>5</v>
      </c>
      <c r="AV208" s="82">
        <v>4.9000000000000004</v>
      </c>
      <c r="AW208" s="82">
        <v>3.7</v>
      </c>
      <c r="AX208" s="82">
        <v>4</v>
      </c>
      <c r="AY208" s="82">
        <v>3.5</v>
      </c>
      <c r="AZ208" s="82">
        <v>3.3</v>
      </c>
      <c r="BA208" s="82">
        <v>2.9</v>
      </c>
      <c r="BB208" s="82">
        <v>2.8</v>
      </c>
      <c r="BC208" s="82">
        <v>2.8</v>
      </c>
      <c r="BD208" s="82">
        <v>2.1</v>
      </c>
      <c r="BE208" s="82">
        <v>2</v>
      </c>
      <c r="BF208" s="82">
        <v>1.7</v>
      </c>
      <c r="BG208" s="82">
        <v>1.5</v>
      </c>
      <c r="BH208" s="82">
        <v>1.1000000000000001</v>
      </c>
      <c r="BI208" s="82">
        <v>1.2</v>
      </c>
      <c r="BJ208" s="82">
        <v>0.7</v>
      </c>
      <c r="BK208" s="82">
        <v>0.8</v>
      </c>
      <c r="BL208" s="82">
        <v>0.6</v>
      </c>
      <c r="BM208" s="82">
        <v>0.6</v>
      </c>
      <c r="BN208" s="82">
        <v>0.3</v>
      </c>
      <c r="BO208" s="82">
        <v>0.4</v>
      </c>
      <c r="BP208" s="82">
        <v>0.1</v>
      </c>
      <c r="BQ208" s="82">
        <v>0.3</v>
      </c>
      <c r="BR208" s="82">
        <v>0.1</v>
      </c>
      <c r="BS208" s="82">
        <v>0.2</v>
      </c>
      <c r="BT208" s="82">
        <v>20894</v>
      </c>
      <c r="BU208" s="82">
        <v>7681</v>
      </c>
      <c r="BV208" s="82">
        <v>1711</v>
      </c>
      <c r="BW208" s="82">
        <v>15643</v>
      </c>
      <c r="BX208" s="82">
        <v>11.3</v>
      </c>
      <c r="BY208" s="82">
        <v>3.7</v>
      </c>
      <c r="BZ208" s="82">
        <v>6.4</v>
      </c>
      <c r="CA208" s="82">
        <v>20.3</v>
      </c>
      <c r="CB208" s="82">
        <v>21.7</v>
      </c>
      <c r="CC208" s="82">
        <v>15.1</v>
      </c>
      <c r="CD208" s="82">
        <v>9.4</v>
      </c>
      <c r="CE208" s="82">
        <v>7.3</v>
      </c>
      <c r="CF208" s="82">
        <v>3.5</v>
      </c>
      <c r="CG208" s="82">
        <v>0.8</v>
      </c>
      <c r="CH208" s="82">
        <v>0.3</v>
      </c>
      <c r="CI208" s="82">
        <v>0.3</v>
      </c>
      <c r="CJ208" s="82">
        <f t="shared" si="20"/>
        <v>45929</v>
      </c>
      <c r="CK208" s="82">
        <f t="shared" si="21"/>
        <v>81901.162770613853</v>
      </c>
      <c r="CL208" s="95">
        <f ca="1">$CK208*SUM(OFFSET($AJ208,0,(COUNTA($CL$1:CL$1)-1)*4,1,4))/100</f>
        <v>15479.319763646021</v>
      </c>
      <c r="CM208" s="95">
        <f ca="1">$CK208*SUM(OFFSET($AJ208,0,(COUNTA($CL$1:CM$1)-1)*4,1,4))/100</f>
        <v>14578.406973169267</v>
      </c>
      <c r="CN208" s="95">
        <f ca="1">$CK208*SUM(OFFSET($AJ208,0,(COUNTA($CL$1:CN$1)-1)*4,1,4))/100</f>
        <v>18100.156972305664</v>
      </c>
      <c r="CO208" s="95">
        <f ca="1">$CK208*SUM(OFFSET($AJ208,0,(COUNTA($CL$1:CO$1)-1)*4,1,4))/100</f>
        <v>13186.087206068831</v>
      </c>
      <c r="CP208" s="95">
        <f ca="1">$CK208*SUM(OFFSET($AJ208,0,(COUNTA($CL$1:CP$1)-1)*4,1,4))/100</f>
        <v>9664.3372069324359</v>
      </c>
      <c r="CQ208" s="95">
        <f ca="1">$CK208*SUM(OFFSET($AJ208,0,(COUNTA($CL$1:CQ$1)-1)*4,1,4))/100</f>
        <v>5978.7848822548112</v>
      </c>
      <c r="CR208" s="95">
        <f ca="1">$CK208*SUM(OFFSET($AJ208,0,(COUNTA($CL$1:CR$1)-1)*4,1,4))/100</f>
        <v>3112.2441852833263</v>
      </c>
      <c r="CS208" s="95">
        <f ca="1">$CK208*SUM(OFFSET($AJ208,0,(COUNTA($CL$1:CS$1)-1)*4,1,4))/100</f>
        <v>1556.1220926416631</v>
      </c>
      <c r="CT208" s="95">
        <f ca="1">$CK208*SUM(OFFSET($AJ208,0,(COUNTA($CL$1:CT$1)-1)*4,1,4))/100</f>
        <v>573.30813939429697</v>
      </c>
      <c r="CU208" s="96">
        <f t="shared" si="22"/>
        <v>1767.2631578947369</v>
      </c>
      <c r="CV208" s="96">
        <f t="shared" si="23"/>
        <v>46.343501478398451</v>
      </c>
    </row>
    <row r="209" spans="1:100">
      <c r="A209" s="82" t="str">
        <f ca="1">IF(ISERROR(OFFSET(Map!$E$2,MATCH(D209,Map!$B$3:$B$239,0),0)),OFFSET(Map!$E$2,MATCH(D209,Map!$C$3:$C$239,0),0),OFFSET(Map!$E$2,MATCH(D209,Map!$B$3:$B$239,0),0))</f>
        <v>Ehlanzeni</v>
      </c>
      <c r="B209" s="82">
        <v>208</v>
      </c>
      <c r="C209" s="82" t="s">
        <v>59</v>
      </c>
      <c r="D209" s="82" t="s">
        <v>613</v>
      </c>
      <c r="E209" s="82" t="s">
        <v>614</v>
      </c>
      <c r="F209" s="82">
        <v>393030</v>
      </c>
      <c r="G209" s="82">
        <v>35.4</v>
      </c>
      <c r="H209" s="82">
        <v>60.5</v>
      </c>
      <c r="I209" s="82">
        <f t="shared" si="18"/>
        <v>237783</v>
      </c>
      <c r="J209" s="82">
        <v>4.0999999999999996</v>
      </c>
      <c r="K209" s="82">
        <v>65.400000000000006</v>
      </c>
      <c r="L209" s="82">
        <v>89.9</v>
      </c>
      <c r="M209" s="82">
        <v>1.61</v>
      </c>
      <c r="N209" s="82">
        <v>82</v>
      </c>
      <c r="O209" s="82">
        <v>34.200000000000003</v>
      </c>
      <c r="P209" s="82">
        <f t="shared" si="19"/>
        <v>156461</v>
      </c>
      <c r="Q209" s="82">
        <v>42.3</v>
      </c>
      <c r="R209" s="82">
        <v>25.6</v>
      </c>
      <c r="S209" s="82">
        <v>6.7</v>
      </c>
      <c r="T209" s="82">
        <v>25.6</v>
      </c>
      <c r="U209" s="82">
        <v>96202</v>
      </c>
      <c r="V209" s="82">
        <v>28004</v>
      </c>
      <c r="W209" s="82">
        <v>4.0999999999999996</v>
      </c>
      <c r="X209" s="82">
        <v>45.6</v>
      </c>
      <c r="Y209" s="82">
        <v>92.5</v>
      </c>
      <c r="Z209" s="82">
        <v>65.599999999999994</v>
      </c>
      <c r="AA209" s="82">
        <v>7.7</v>
      </c>
      <c r="AB209" s="82">
        <v>20.3</v>
      </c>
      <c r="AC209" s="82">
        <v>21</v>
      </c>
      <c r="AD209" s="82">
        <v>83.3</v>
      </c>
      <c r="AE209" s="82">
        <v>97.7</v>
      </c>
      <c r="AF209" s="82">
        <v>0.2</v>
      </c>
      <c r="AG209" s="82">
        <v>0.3</v>
      </c>
      <c r="AH209" s="82">
        <v>1.6</v>
      </c>
      <c r="AI209" s="82">
        <v>0.1</v>
      </c>
      <c r="AJ209" s="82">
        <v>6.2</v>
      </c>
      <c r="AK209" s="82">
        <v>6.3</v>
      </c>
      <c r="AL209" s="82">
        <v>5.5</v>
      </c>
      <c r="AM209" s="82">
        <v>5.6</v>
      </c>
      <c r="AN209" s="82">
        <v>5.9</v>
      </c>
      <c r="AO209" s="82">
        <v>5.9</v>
      </c>
      <c r="AP209" s="82">
        <v>6.2</v>
      </c>
      <c r="AQ209" s="82">
        <v>6.2</v>
      </c>
      <c r="AR209" s="82">
        <v>5.5</v>
      </c>
      <c r="AS209" s="82">
        <v>5.8</v>
      </c>
      <c r="AT209" s="82">
        <v>4.5</v>
      </c>
      <c r="AU209" s="82">
        <v>5</v>
      </c>
      <c r="AV209" s="82">
        <v>3.2</v>
      </c>
      <c r="AW209" s="82">
        <v>3.7</v>
      </c>
      <c r="AX209" s="82">
        <v>2.5</v>
      </c>
      <c r="AY209" s="82">
        <v>3.1</v>
      </c>
      <c r="AZ209" s="82">
        <v>1.9</v>
      </c>
      <c r="BA209" s="82">
        <v>2.6</v>
      </c>
      <c r="BB209" s="82">
        <v>1.6</v>
      </c>
      <c r="BC209" s="82">
        <v>1.6</v>
      </c>
      <c r="BD209" s="82">
        <v>1.2</v>
      </c>
      <c r="BE209" s="82">
        <v>1.5</v>
      </c>
      <c r="BF209" s="82">
        <v>1</v>
      </c>
      <c r="BG209" s="82">
        <v>1.3</v>
      </c>
      <c r="BH209" s="82">
        <v>0.7</v>
      </c>
      <c r="BI209" s="82">
        <v>1</v>
      </c>
      <c r="BJ209" s="82">
        <v>0.5</v>
      </c>
      <c r="BK209" s="82">
        <v>0.7</v>
      </c>
      <c r="BL209" s="82">
        <v>0.4</v>
      </c>
      <c r="BM209" s="82">
        <v>0.7</v>
      </c>
      <c r="BN209" s="82">
        <v>0.2</v>
      </c>
      <c r="BO209" s="82">
        <v>0.5</v>
      </c>
      <c r="BP209" s="82">
        <v>0.2</v>
      </c>
      <c r="BQ209" s="82">
        <v>0.4</v>
      </c>
      <c r="BR209" s="82">
        <v>0.2</v>
      </c>
      <c r="BS209" s="82">
        <v>0.3</v>
      </c>
      <c r="BT209" s="82">
        <v>72588</v>
      </c>
      <c r="BU209" s="82">
        <v>37881</v>
      </c>
      <c r="BV209" s="82">
        <v>17651</v>
      </c>
      <c r="BW209" s="82">
        <v>109557</v>
      </c>
      <c r="BX209" s="82">
        <v>16.8</v>
      </c>
      <c r="BY209" s="82">
        <v>7</v>
      </c>
      <c r="BZ209" s="82">
        <v>12.7</v>
      </c>
      <c r="CA209" s="82">
        <v>23</v>
      </c>
      <c r="CB209" s="82">
        <v>19.8</v>
      </c>
      <c r="CC209" s="82">
        <v>9.4</v>
      </c>
      <c r="CD209" s="82">
        <v>5.6</v>
      </c>
      <c r="CE209" s="82">
        <v>3.5</v>
      </c>
      <c r="CF209" s="82">
        <v>1.5</v>
      </c>
      <c r="CG209" s="82">
        <v>0.3</v>
      </c>
      <c r="CH209" s="82">
        <v>0.1</v>
      </c>
      <c r="CI209" s="82">
        <v>0.1</v>
      </c>
      <c r="CJ209" s="82">
        <f t="shared" si="20"/>
        <v>237677</v>
      </c>
      <c r="CK209" s="82">
        <f t="shared" si="21"/>
        <v>453788.790404992</v>
      </c>
      <c r="CL209" s="95">
        <f ca="1">$CK209*SUM(OFFSET($AJ209,0,(COUNTA($CL$1:CL$1)-1)*4,1,4))/100</f>
        <v>107094.15453557811</v>
      </c>
      <c r="CM209" s="95">
        <f ca="1">$CK209*SUM(OFFSET($AJ209,0,(COUNTA($CL$1:CM$1)-1)*4,1,4))/100</f>
        <v>109816.88727800807</v>
      </c>
      <c r="CN209" s="95">
        <f ca="1">$CK209*SUM(OFFSET($AJ209,0,(COUNTA($CL$1:CN$1)-1)*4,1,4))/100</f>
        <v>94388.068404238336</v>
      </c>
      <c r="CO209" s="95">
        <f ca="1">$CK209*SUM(OFFSET($AJ209,0,(COUNTA($CL$1:CO$1)-1)*4,1,4))/100</f>
        <v>56723.598800624</v>
      </c>
      <c r="CP209" s="95">
        <f ca="1">$CK209*SUM(OFFSET($AJ209,0,(COUNTA($CL$1:CP$1)-1)*4,1,4))/100</f>
        <v>34941.736861184378</v>
      </c>
      <c r="CQ209" s="95">
        <f ca="1">$CK209*SUM(OFFSET($AJ209,0,(COUNTA($CL$1:CQ$1)-1)*4,1,4))/100</f>
        <v>22689.439520249598</v>
      </c>
      <c r="CR209" s="95">
        <f ca="1">$CK209*SUM(OFFSET($AJ209,0,(COUNTA($CL$1:CR$1)-1)*4,1,4))/100</f>
        <v>13159.874921744771</v>
      </c>
      <c r="CS209" s="95">
        <f ca="1">$CK209*SUM(OFFSET($AJ209,0,(COUNTA($CL$1:CS$1)-1)*4,1,4))/100</f>
        <v>8168.1982272898558</v>
      </c>
      <c r="CT209" s="95">
        <f ca="1">$CK209*SUM(OFFSET($AJ209,0,(COUNTA($CL$1:CT$1)-1)*4,1,4))/100</f>
        <v>4991.6766944549126</v>
      </c>
      <c r="CU209" s="96">
        <f t="shared" si="22"/>
        <v>4793.0487804878048</v>
      </c>
      <c r="CV209" s="96">
        <f t="shared" si="23"/>
        <v>94.676438982289767</v>
      </c>
    </row>
    <row r="210" spans="1:100">
      <c r="A210" s="82" t="str">
        <f ca="1">IF(ISERROR(OFFSET(Map!$E$2,MATCH(D210,Map!$B$3:$B$239,0),0)),OFFSET(Map!$E$2,MATCH(D210,Map!$C$3:$C$239,0),0),OFFSET(Map!$E$2,MATCH(D210,Map!$B$3:$B$239,0),0))</f>
        <v>Ehlanzeni</v>
      </c>
      <c r="B210" s="82">
        <v>209</v>
      </c>
      <c r="C210" s="82" t="s">
        <v>59</v>
      </c>
      <c r="D210" s="82" t="s">
        <v>615</v>
      </c>
      <c r="E210" s="82" t="s">
        <v>616</v>
      </c>
      <c r="F210" s="82">
        <v>541248</v>
      </c>
      <c r="G210" s="82">
        <v>37</v>
      </c>
      <c r="H210" s="82">
        <v>57.7</v>
      </c>
      <c r="I210" s="82">
        <f t="shared" si="18"/>
        <v>312300</v>
      </c>
      <c r="J210" s="82">
        <v>5.3</v>
      </c>
      <c r="K210" s="82">
        <v>73.400000000000006</v>
      </c>
      <c r="L210" s="82">
        <v>83.3</v>
      </c>
      <c r="M210" s="82">
        <v>0.79</v>
      </c>
      <c r="N210" s="82">
        <v>53</v>
      </c>
      <c r="O210" s="82">
        <v>52.1</v>
      </c>
      <c r="P210" s="82">
        <f t="shared" si="19"/>
        <v>149592</v>
      </c>
      <c r="Q210" s="82">
        <v>64.599999999999994</v>
      </c>
      <c r="R210" s="82">
        <v>18.600000000000001</v>
      </c>
      <c r="S210" s="82">
        <v>7.4</v>
      </c>
      <c r="T210" s="82">
        <v>25.7</v>
      </c>
      <c r="U210" s="82">
        <v>134197</v>
      </c>
      <c r="V210" s="82">
        <v>53204</v>
      </c>
      <c r="W210" s="82">
        <v>4</v>
      </c>
      <c r="X210" s="82">
        <v>53.3</v>
      </c>
      <c r="Y210" s="82">
        <v>95.9</v>
      </c>
      <c r="Z210" s="82">
        <v>72.900000000000006</v>
      </c>
      <c r="AA210" s="82">
        <v>6.8</v>
      </c>
      <c r="AB210" s="82">
        <v>7.5</v>
      </c>
      <c r="AC210" s="82">
        <v>11.9</v>
      </c>
      <c r="AD210" s="82">
        <v>93.9</v>
      </c>
      <c r="AE210" s="82">
        <v>99.5</v>
      </c>
      <c r="AF210" s="82">
        <v>0.1</v>
      </c>
      <c r="AG210" s="82">
        <v>0.1</v>
      </c>
      <c r="AH210" s="82">
        <v>0.2</v>
      </c>
      <c r="AI210" s="82">
        <v>0.1</v>
      </c>
      <c r="AJ210" s="82">
        <v>6.6</v>
      </c>
      <c r="AK210" s="82">
        <v>6.4</v>
      </c>
      <c r="AL210" s="82">
        <v>6</v>
      </c>
      <c r="AM210" s="82">
        <v>6</v>
      </c>
      <c r="AN210" s="82">
        <v>6.1</v>
      </c>
      <c r="AO210" s="82">
        <v>5.9</v>
      </c>
      <c r="AP210" s="82">
        <v>6.3</v>
      </c>
      <c r="AQ210" s="82">
        <v>6.3</v>
      </c>
      <c r="AR210" s="82">
        <v>5</v>
      </c>
      <c r="AS210" s="82">
        <v>5.4</v>
      </c>
      <c r="AT210" s="82">
        <v>3.4</v>
      </c>
      <c r="AU210" s="82">
        <v>4.5999999999999996</v>
      </c>
      <c r="AV210" s="82">
        <v>2.5</v>
      </c>
      <c r="AW210" s="82">
        <v>3.6</v>
      </c>
      <c r="AX210" s="82">
        <v>2</v>
      </c>
      <c r="AY210" s="82">
        <v>3.1</v>
      </c>
      <c r="AZ210" s="82">
        <v>1.7</v>
      </c>
      <c r="BA210" s="82">
        <v>2.7</v>
      </c>
      <c r="BB210" s="82">
        <v>1.4</v>
      </c>
      <c r="BC210" s="82">
        <v>1.4</v>
      </c>
      <c r="BD210" s="82">
        <v>1</v>
      </c>
      <c r="BE210" s="82">
        <v>1.8</v>
      </c>
      <c r="BF210" s="82">
        <v>1</v>
      </c>
      <c r="BG210" s="82">
        <v>1.7</v>
      </c>
      <c r="BH210" s="82">
        <v>0.8</v>
      </c>
      <c r="BI210" s="82">
        <v>1.2</v>
      </c>
      <c r="BJ210" s="82">
        <v>0.6</v>
      </c>
      <c r="BK210" s="82">
        <v>1</v>
      </c>
      <c r="BL210" s="82">
        <v>0.5</v>
      </c>
      <c r="BM210" s="82">
        <v>0.9</v>
      </c>
      <c r="BN210" s="82">
        <v>0.3</v>
      </c>
      <c r="BO210" s="82">
        <v>0.7</v>
      </c>
      <c r="BP210" s="82">
        <v>0.2</v>
      </c>
      <c r="BQ210" s="82">
        <v>0.6</v>
      </c>
      <c r="BR210" s="82">
        <v>0.2</v>
      </c>
      <c r="BS210" s="82">
        <v>0.4</v>
      </c>
      <c r="BT210" s="82">
        <v>61710</v>
      </c>
      <c r="BU210" s="82">
        <v>67152</v>
      </c>
      <c r="BV210" s="82">
        <v>30426</v>
      </c>
      <c r="BW210" s="82">
        <v>152937</v>
      </c>
      <c r="BX210" s="82">
        <v>17</v>
      </c>
      <c r="BY210" s="82">
        <v>9</v>
      </c>
      <c r="BZ210" s="82">
        <v>15.1</v>
      </c>
      <c r="CA210" s="82">
        <v>22.3</v>
      </c>
      <c r="CB210" s="82">
        <v>19.100000000000001</v>
      </c>
      <c r="CC210" s="82">
        <v>8.1999999999999993</v>
      </c>
      <c r="CD210" s="82">
        <v>4.9000000000000004</v>
      </c>
      <c r="CE210" s="82">
        <v>3</v>
      </c>
      <c r="CF210" s="82">
        <v>1.1000000000000001</v>
      </c>
      <c r="CG210" s="82">
        <v>0.2</v>
      </c>
      <c r="CH210" s="82">
        <v>0.1</v>
      </c>
      <c r="CI210" s="82">
        <v>0.1</v>
      </c>
      <c r="CJ210" s="82">
        <f t="shared" si="20"/>
        <v>312225</v>
      </c>
      <c r="CK210" s="82">
        <f t="shared" si="21"/>
        <v>580969.47083017509</v>
      </c>
      <c r="CL210" s="95">
        <f ca="1">$CK210*SUM(OFFSET($AJ210,0,(COUNTA($CL$1:CL$1)-1)*4,1,4))/100</f>
        <v>145242.36770754377</v>
      </c>
      <c r="CM210" s="95">
        <f ca="1">$CK210*SUM(OFFSET($AJ210,0,(COUNTA($CL$1:CM$1)-1)*4,1,4))/100</f>
        <v>142918.4898242231</v>
      </c>
      <c r="CN210" s="95">
        <f ca="1">$CK210*SUM(OFFSET($AJ210,0,(COUNTA($CL$1:CN$1)-1)*4,1,4))/100</f>
        <v>106898.38263275221</v>
      </c>
      <c r="CO210" s="95">
        <f ca="1">$CK210*SUM(OFFSET($AJ210,0,(COUNTA($CL$1:CO$1)-1)*4,1,4))/100</f>
        <v>65068.580732979608</v>
      </c>
      <c r="CP210" s="95">
        <f ca="1">$CK210*SUM(OFFSET($AJ210,0,(COUNTA($CL$1:CP$1)-1)*4,1,4))/100</f>
        <v>41829.80189977261</v>
      </c>
      <c r="CQ210" s="95">
        <f ca="1">$CK210*SUM(OFFSET($AJ210,0,(COUNTA($CL$1:CQ$1)-1)*4,1,4))/100</f>
        <v>31953.320895659632</v>
      </c>
      <c r="CR210" s="95">
        <f ca="1">$CK210*SUM(OFFSET($AJ210,0,(COUNTA($CL$1:CR$1)-1)*4,1,4))/100</f>
        <v>20914.900949886305</v>
      </c>
      <c r="CS210" s="95">
        <f ca="1">$CK210*SUM(OFFSET($AJ210,0,(COUNTA($CL$1:CS$1)-1)*4,1,4))/100</f>
        <v>13943.267299924202</v>
      </c>
      <c r="CT210" s="95">
        <f ca="1">$CK210*SUM(OFFSET($AJ210,0,(COUNTA($CL$1:CT$1)-1)*4,1,4))/100</f>
        <v>8133.572591622451</v>
      </c>
      <c r="CU210" s="96">
        <f t="shared" si="22"/>
        <v>10212.226415094339</v>
      </c>
      <c r="CV210" s="96">
        <f t="shared" si="23"/>
        <v>56.889599507063828</v>
      </c>
    </row>
    <row r="211" spans="1:100">
      <c r="A211" s="82" t="str">
        <f ca="1">IF(ISERROR(OFFSET(Map!$E$2,MATCH(D211,Map!$B$3:$B$239,0),0)),OFFSET(Map!$E$2,MATCH(D211,Map!$C$3:$C$239,0),0),OFFSET(Map!$E$2,MATCH(D211,Map!$B$3:$B$239,0),0))</f>
        <v>Mopani</v>
      </c>
      <c r="B211" s="82">
        <v>210</v>
      </c>
      <c r="C211" s="82" t="s">
        <v>58</v>
      </c>
      <c r="D211" s="82" t="s">
        <v>617</v>
      </c>
      <c r="E211" s="82" t="s">
        <v>618</v>
      </c>
      <c r="F211" s="82">
        <v>244217</v>
      </c>
      <c r="G211" s="82">
        <v>36.799999999999997</v>
      </c>
      <c r="H211" s="82">
        <v>57.4</v>
      </c>
      <c r="I211" s="82">
        <f t="shared" si="18"/>
        <v>140181</v>
      </c>
      <c r="J211" s="82">
        <v>5.8</v>
      </c>
      <c r="K211" s="82">
        <v>74.2</v>
      </c>
      <c r="L211" s="82">
        <v>79.400000000000006</v>
      </c>
      <c r="M211" s="82">
        <v>0.14000000000000001</v>
      </c>
      <c r="N211" s="82">
        <v>59</v>
      </c>
      <c r="O211" s="82">
        <v>47</v>
      </c>
      <c r="P211" s="82">
        <f t="shared" si="19"/>
        <v>74296</v>
      </c>
      <c r="Q211" s="82">
        <v>61.2</v>
      </c>
      <c r="R211" s="82">
        <v>25</v>
      </c>
      <c r="S211" s="82">
        <v>7.1</v>
      </c>
      <c r="T211" s="82">
        <v>20.7</v>
      </c>
      <c r="U211" s="82">
        <v>63548</v>
      </c>
      <c r="V211" s="82">
        <v>19897</v>
      </c>
      <c r="W211" s="82">
        <v>3.8</v>
      </c>
      <c r="X211" s="82">
        <v>57.3</v>
      </c>
      <c r="Y211" s="82">
        <v>88</v>
      </c>
      <c r="Z211" s="82">
        <v>69.400000000000006</v>
      </c>
      <c r="AA211" s="82">
        <v>11.9</v>
      </c>
      <c r="AB211" s="82">
        <v>11.7</v>
      </c>
      <c r="AC211" s="82">
        <v>13.4</v>
      </c>
      <c r="AD211" s="82">
        <v>89</v>
      </c>
      <c r="AE211" s="82">
        <v>99.5</v>
      </c>
      <c r="AF211" s="82">
        <v>0.1</v>
      </c>
      <c r="AG211" s="82">
        <v>0.3</v>
      </c>
      <c r="AH211" s="82">
        <v>0.1</v>
      </c>
      <c r="AI211" s="82">
        <v>0.1</v>
      </c>
      <c r="AJ211" s="82">
        <v>6.6</v>
      </c>
      <c r="AK211" s="82">
        <v>6.6</v>
      </c>
      <c r="AL211" s="82">
        <v>6</v>
      </c>
      <c r="AM211" s="82">
        <v>6</v>
      </c>
      <c r="AN211" s="82">
        <v>6</v>
      </c>
      <c r="AO211" s="82">
        <v>5.7</v>
      </c>
      <c r="AP211" s="82">
        <v>6.6</v>
      </c>
      <c r="AQ211" s="82">
        <v>6.5</v>
      </c>
      <c r="AR211" s="82">
        <v>4.9000000000000004</v>
      </c>
      <c r="AS211" s="82">
        <v>5.5</v>
      </c>
      <c r="AT211" s="82">
        <v>3</v>
      </c>
      <c r="AU211" s="82">
        <v>4.4000000000000004</v>
      </c>
      <c r="AV211" s="82">
        <v>2.1</v>
      </c>
      <c r="AW211" s="82">
        <v>3.5</v>
      </c>
      <c r="AX211" s="82">
        <v>1.7</v>
      </c>
      <c r="AY211" s="82">
        <v>3.3</v>
      </c>
      <c r="AZ211" s="82">
        <v>1.4</v>
      </c>
      <c r="BA211" s="82">
        <v>2.7</v>
      </c>
      <c r="BB211" s="82">
        <v>1.3</v>
      </c>
      <c r="BC211" s="82">
        <v>1.3</v>
      </c>
      <c r="BD211" s="82">
        <v>1.1000000000000001</v>
      </c>
      <c r="BE211" s="82">
        <v>2.2000000000000002</v>
      </c>
      <c r="BF211" s="82">
        <v>0.9</v>
      </c>
      <c r="BG211" s="82">
        <v>1.6</v>
      </c>
      <c r="BH211" s="82">
        <v>0.8</v>
      </c>
      <c r="BI211" s="82">
        <v>1.2</v>
      </c>
      <c r="BJ211" s="82">
        <v>0.6</v>
      </c>
      <c r="BK211" s="82">
        <v>1.1000000000000001</v>
      </c>
      <c r="BL211" s="82">
        <v>0.5</v>
      </c>
      <c r="BM211" s="82">
        <v>1.2</v>
      </c>
      <c r="BN211" s="82">
        <v>0.3</v>
      </c>
      <c r="BO211" s="82">
        <v>0.8</v>
      </c>
      <c r="BP211" s="82">
        <v>0.2</v>
      </c>
      <c r="BQ211" s="82">
        <v>0.6</v>
      </c>
      <c r="BR211" s="82">
        <v>0.1</v>
      </c>
      <c r="BS211" s="82">
        <v>0.5</v>
      </c>
      <c r="BT211" s="82">
        <v>25469</v>
      </c>
      <c r="BU211" s="82">
        <v>22596</v>
      </c>
      <c r="BV211" s="82">
        <v>10846</v>
      </c>
      <c r="BW211" s="82">
        <v>81315</v>
      </c>
      <c r="BX211" s="82">
        <v>15.7</v>
      </c>
      <c r="BY211" s="82">
        <v>9.6</v>
      </c>
      <c r="BZ211" s="82">
        <v>17.100000000000001</v>
      </c>
      <c r="CA211" s="82">
        <v>21.8</v>
      </c>
      <c r="CB211" s="82">
        <v>18.7</v>
      </c>
      <c r="CC211" s="82">
        <v>7.2</v>
      </c>
      <c r="CD211" s="82">
        <v>4.3</v>
      </c>
      <c r="CE211" s="82">
        <v>3.3</v>
      </c>
      <c r="CF211" s="82">
        <v>1.6</v>
      </c>
      <c r="CG211" s="82">
        <v>0.3</v>
      </c>
      <c r="CH211" s="82">
        <v>0.1</v>
      </c>
      <c r="CI211" s="82">
        <v>0.1</v>
      </c>
      <c r="CJ211" s="82">
        <f t="shared" si="20"/>
        <v>140226</v>
      </c>
      <c r="CK211" s="82">
        <f t="shared" si="21"/>
        <v>247311.42256093872</v>
      </c>
      <c r="CL211" s="95">
        <f ca="1">$CK211*SUM(OFFSET($AJ211,0,(COUNTA($CL$1:CL$1)-1)*4,1,4))/100</f>
        <v>62322.478485356558</v>
      </c>
      <c r="CM211" s="95">
        <f ca="1">$CK211*SUM(OFFSET($AJ211,0,(COUNTA($CL$1:CM$1)-1)*4,1,4))/100</f>
        <v>61333.232795112795</v>
      </c>
      <c r="CN211" s="95">
        <f ca="1">$CK211*SUM(OFFSET($AJ211,0,(COUNTA($CL$1:CN$1)-1)*4,1,4))/100</f>
        <v>44021.433215847093</v>
      </c>
      <c r="CO211" s="95">
        <f ca="1">$CK211*SUM(OFFSET($AJ211,0,(COUNTA($CL$1:CO$1)-1)*4,1,4))/100</f>
        <v>26215.010791459503</v>
      </c>
      <c r="CP211" s="95">
        <f ca="1">$CK211*SUM(OFFSET($AJ211,0,(COUNTA($CL$1:CP$1)-1)*4,1,4))/100</f>
        <v>16569.865311582893</v>
      </c>
      <c r="CQ211" s="95">
        <f ca="1">$CK211*SUM(OFFSET($AJ211,0,(COUNTA($CL$1:CQ$1)-1)*4,1,4))/100</f>
        <v>14344.062508534447</v>
      </c>
      <c r="CR211" s="95">
        <f ca="1">$CK211*SUM(OFFSET($AJ211,0,(COUNTA($CL$1:CR$1)-1)*4,1,4))/100</f>
        <v>9150.5226347547323</v>
      </c>
      <c r="CS211" s="95">
        <f ca="1">$CK211*SUM(OFFSET($AJ211,0,(COUNTA($CL$1:CS$1)-1)*4,1,4))/100</f>
        <v>6924.7198317062839</v>
      </c>
      <c r="CT211" s="95">
        <f ca="1">$CK211*SUM(OFFSET($AJ211,0,(COUNTA($CL$1:CT$1)-1)*4,1,4))/100</f>
        <v>3462.359915853142</v>
      </c>
      <c r="CU211" s="96">
        <f t="shared" si="22"/>
        <v>4139.2711864406783</v>
      </c>
      <c r="CV211" s="96">
        <f t="shared" si="23"/>
        <v>59.747576667862532</v>
      </c>
    </row>
    <row r="212" spans="1:100">
      <c r="A212" s="82" t="str">
        <f ca="1">IF(ISERROR(OFFSET(Map!$E$2,MATCH(D212,Map!$B$3:$B$239,0),0)),OFFSET(Map!$E$2,MATCH(D212,Map!$C$3:$C$239,0),0),OFFSET(Map!$E$2,MATCH(D212,Map!$B$3:$B$239,0),0))</f>
        <v>Mopani</v>
      </c>
      <c r="B212" s="82">
        <v>211</v>
      </c>
      <c r="C212" s="82" t="s">
        <v>58</v>
      </c>
      <c r="D212" s="82" t="s">
        <v>619</v>
      </c>
      <c r="E212" s="82" t="s">
        <v>620</v>
      </c>
      <c r="F212" s="82">
        <v>212701</v>
      </c>
      <c r="G212" s="82">
        <v>34.5</v>
      </c>
      <c r="H212" s="82">
        <v>58.6</v>
      </c>
      <c r="I212" s="82">
        <f t="shared" si="18"/>
        <v>124643</v>
      </c>
      <c r="J212" s="82">
        <v>6.9</v>
      </c>
      <c r="K212" s="82">
        <v>70.7</v>
      </c>
      <c r="L212" s="82">
        <v>81.2</v>
      </c>
      <c r="M212" s="82">
        <v>-0.28999999999999998</v>
      </c>
      <c r="N212" s="82">
        <v>112</v>
      </c>
      <c r="O212" s="82">
        <v>40.299999999999997</v>
      </c>
      <c r="P212" s="82">
        <f t="shared" si="19"/>
        <v>74412</v>
      </c>
      <c r="Q212" s="82">
        <v>49.9</v>
      </c>
      <c r="R212" s="82">
        <v>27</v>
      </c>
      <c r="S212" s="82">
        <v>6</v>
      </c>
      <c r="T212" s="82">
        <v>17.7</v>
      </c>
      <c r="U212" s="82">
        <v>58261</v>
      </c>
      <c r="V212" s="82">
        <v>22324</v>
      </c>
      <c r="W212" s="82">
        <v>3.6</v>
      </c>
      <c r="X212" s="82">
        <v>56.8</v>
      </c>
      <c r="Y212" s="82">
        <v>91.9</v>
      </c>
      <c r="Z212" s="82">
        <v>46.1</v>
      </c>
      <c r="AA212" s="82">
        <v>6.8</v>
      </c>
      <c r="AB212" s="82">
        <v>8.5</v>
      </c>
      <c r="AC212" s="82">
        <v>10.199999999999999</v>
      </c>
      <c r="AD212" s="82">
        <v>90.8</v>
      </c>
      <c r="AE212" s="82">
        <v>98.8</v>
      </c>
      <c r="AF212" s="82">
        <v>0.1</v>
      </c>
      <c r="AG212" s="82">
        <v>0.1</v>
      </c>
      <c r="AH212" s="82">
        <v>0.8</v>
      </c>
      <c r="AI212" s="82">
        <v>0.2</v>
      </c>
      <c r="AJ212" s="82">
        <v>6.4</v>
      </c>
      <c r="AK212" s="82">
        <v>6.4</v>
      </c>
      <c r="AL212" s="82">
        <v>5.4</v>
      </c>
      <c r="AM212" s="82">
        <v>5.4</v>
      </c>
      <c r="AN212" s="82">
        <v>5.6</v>
      </c>
      <c r="AO212" s="82">
        <v>5.3</v>
      </c>
      <c r="AP212" s="82">
        <v>6.8</v>
      </c>
      <c r="AQ212" s="82">
        <v>6.5</v>
      </c>
      <c r="AR212" s="82">
        <v>5.2</v>
      </c>
      <c r="AS212" s="82">
        <v>5.2</v>
      </c>
      <c r="AT212" s="82">
        <v>3.1</v>
      </c>
      <c r="AU212" s="82">
        <v>4.2</v>
      </c>
      <c r="AV212" s="82">
        <v>2.2000000000000002</v>
      </c>
      <c r="AW212" s="82">
        <v>3.4</v>
      </c>
      <c r="AX212" s="82">
        <v>2</v>
      </c>
      <c r="AY212" s="82">
        <v>3.1</v>
      </c>
      <c r="AZ212" s="82">
        <v>1.6</v>
      </c>
      <c r="BA212" s="82">
        <v>2.8</v>
      </c>
      <c r="BB212" s="82">
        <v>1.4</v>
      </c>
      <c r="BC212" s="82">
        <v>1.4</v>
      </c>
      <c r="BD212" s="82">
        <v>1.2</v>
      </c>
      <c r="BE212" s="82">
        <v>2.1</v>
      </c>
      <c r="BF212" s="82">
        <v>1</v>
      </c>
      <c r="BG212" s="82">
        <v>1.8</v>
      </c>
      <c r="BH212" s="82">
        <v>0.9</v>
      </c>
      <c r="BI212" s="82">
        <v>1.5</v>
      </c>
      <c r="BJ212" s="82">
        <v>0.7</v>
      </c>
      <c r="BK212" s="82">
        <v>1.4</v>
      </c>
      <c r="BL212" s="82">
        <v>0.6</v>
      </c>
      <c r="BM212" s="82">
        <v>1.4</v>
      </c>
      <c r="BN212" s="82">
        <v>0.3</v>
      </c>
      <c r="BO212" s="82">
        <v>0.9</v>
      </c>
      <c r="BP212" s="82">
        <v>0.2</v>
      </c>
      <c r="BQ212" s="82">
        <v>0.7</v>
      </c>
      <c r="BR212" s="82">
        <v>0.2</v>
      </c>
      <c r="BS212" s="82">
        <v>0.6</v>
      </c>
      <c r="BT212" s="82">
        <v>27838</v>
      </c>
      <c r="BU212" s="82">
        <v>18806</v>
      </c>
      <c r="BV212" s="82">
        <v>7900</v>
      </c>
      <c r="BW212" s="82">
        <v>70056</v>
      </c>
      <c r="BX212" s="82">
        <v>14.4</v>
      </c>
      <c r="BY212" s="82">
        <v>8.5</v>
      </c>
      <c r="BZ212" s="82">
        <v>15.9</v>
      </c>
      <c r="CA212" s="82">
        <v>26</v>
      </c>
      <c r="CB212" s="82">
        <v>21</v>
      </c>
      <c r="CC212" s="82">
        <v>6.5</v>
      </c>
      <c r="CD212" s="82">
        <v>3.7</v>
      </c>
      <c r="CE212" s="82">
        <v>2.4</v>
      </c>
      <c r="CF212" s="82">
        <v>1.1000000000000001</v>
      </c>
      <c r="CG212" s="82">
        <v>0.2</v>
      </c>
      <c r="CH212" s="82">
        <v>0.1</v>
      </c>
      <c r="CI212" s="82">
        <v>0.1</v>
      </c>
      <c r="CJ212" s="82">
        <f t="shared" si="20"/>
        <v>124600</v>
      </c>
      <c r="CK212" s="82">
        <f t="shared" si="21"/>
        <v>207213.46738937576</v>
      </c>
      <c r="CL212" s="95">
        <f ca="1">$CK212*SUM(OFFSET($AJ212,0,(COUNTA($CL$1:CL$1)-1)*4,1,4))/100</f>
        <v>48902.378303892678</v>
      </c>
      <c r="CM212" s="95">
        <f ca="1">$CK212*SUM(OFFSET($AJ212,0,(COUNTA($CL$1:CM$1)-1)*4,1,4))/100</f>
        <v>50145.659108228938</v>
      </c>
      <c r="CN212" s="95">
        <f ca="1">$CK212*SUM(OFFSET($AJ212,0,(COUNTA($CL$1:CN$1)-1)*4,1,4))/100</f>
        <v>36676.783727919508</v>
      </c>
      <c r="CO212" s="95">
        <f ca="1">$CK212*SUM(OFFSET($AJ212,0,(COUNTA($CL$1:CO$1)-1)*4,1,4))/100</f>
        <v>22171.841010663207</v>
      </c>
      <c r="CP212" s="95">
        <f ca="1">$CK212*SUM(OFFSET($AJ212,0,(COUNTA($CL$1:CP$1)-1)*4,1,4))/100</f>
        <v>14919.369652035057</v>
      </c>
      <c r="CQ212" s="95">
        <f ca="1">$CK212*SUM(OFFSET($AJ212,0,(COUNTA($CL$1:CQ$1)-1)*4,1,4))/100</f>
        <v>12640.02151075192</v>
      </c>
      <c r="CR212" s="95">
        <f ca="1">$CK212*SUM(OFFSET($AJ212,0,(COUNTA($CL$1:CR$1)-1)*4,1,4))/100</f>
        <v>9324.6060325219078</v>
      </c>
      <c r="CS212" s="95">
        <f ca="1">$CK212*SUM(OFFSET($AJ212,0,(COUNTA($CL$1:CS$1)-1)*4,1,4))/100</f>
        <v>6630.8309564600231</v>
      </c>
      <c r="CT212" s="95">
        <f ca="1">$CK212*SUM(OFFSET($AJ212,0,(COUNTA($CL$1:CT$1)-1)*4,1,4))/100</f>
        <v>3522.6289456193872</v>
      </c>
      <c r="CU212" s="96">
        <f t="shared" si="22"/>
        <v>1899.1160714285713</v>
      </c>
      <c r="CV212" s="96">
        <f t="shared" si="23"/>
        <v>109.11048066351397</v>
      </c>
    </row>
    <row r="213" spans="1:100">
      <c r="A213" s="82" t="str">
        <f ca="1">IF(ISERROR(OFFSET(Map!$E$2,MATCH(D213,Map!$B$3:$B$239,0),0)),OFFSET(Map!$E$2,MATCH(D213,Map!$C$3:$C$239,0),0),OFFSET(Map!$E$2,MATCH(D213,Map!$B$3:$B$239,0),0))</f>
        <v>Mopani</v>
      </c>
      <c r="B213" s="82">
        <v>212</v>
      </c>
      <c r="C213" s="82" t="s">
        <v>58</v>
      </c>
      <c r="D213" s="82" t="s">
        <v>621</v>
      </c>
      <c r="E213" s="82" t="s">
        <v>622</v>
      </c>
      <c r="F213" s="82">
        <v>390095</v>
      </c>
      <c r="G213" s="82">
        <v>31.8</v>
      </c>
      <c r="H213" s="82">
        <v>62.4</v>
      </c>
      <c r="I213" s="82">
        <f t="shared" si="18"/>
        <v>243419</v>
      </c>
      <c r="J213" s="82">
        <v>5.7</v>
      </c>
      <c r="K213" s="82">
        <v>60.1</v>
      </c>
      <c r="L213" s="82">
        <v>87.1</v>
      </c>
      <c r="M213" s="82">
        <v>0.38</v>
      </c>
      <c r="N213" s="82">
        <v>120</v>
      </c>
      <c r="O213" s="82">
        <v>36.700000000000003</v>
      </c>
      <c r="P213" s="82">
        <f t="shared" si="19"/>
        <v>154084</v>
      </c>
      <c r="Q213" s="82">
        <v>48.5</v>
      </c>
      <c r="R213" s="82">
        <v>18.7</v>
      </c>
      <c r="S213" s="82">
        <v>8.6999999999999993</v>
      </c>
      <c r="T213" s="82">
        <v>21.8</v>
      </c>
      <c r="U213" s="82">
        <v>108926</v>
      </c>
      <c r="V213" s="82">
        <v>36793</v>
      </c>
      <c r="W213" s="82">
        <v>3.5</v>
      </c>
      <c r="X213" s="82">
        <v>47.8</v>
      </c>
      <c r="Y213" s="82">
        <v>92.4</v>
      </c>
      <c r="Z213" s="82">
        <v>57.3</v>
      </c>
      <c r="AA213" s="82">
        <v>15.3</v>
      </c>
      <c r="AB213" s="82">
        <v>14.7</v>
      </c>
      <c r="AC213" s="82">
        <v>16.100000000000001</v>
      </c>
      <c r="AD213" s="82">
        <v>86.2</v>
      </c>
      <c r="AE213" s="82">
        <v>96.4</v>
      </c>
      <c r="AF213" s="82">
        <v>0.2</v>
      </c>
      <c r="AG213" s="82">
        <v>0.4</v>
      </c>
      <c r="AH213" s="82">
        <v>3</v>
      </c>
      <c r="AI213" s="82">
        <v>0.1</v>
      </c>
      <c r="AJ213" s="82">
        <v>6.2</v>
      </c>
      <c r="AK213" s="82">
        <v>6.2</v>
      </c>
      <c r="AL213" s="82">
        <v>4.8</v>
      </c>
      <c r="AM213" s="82">
        <v>4.9000000000000004</v>
      </c>
      <c r="AN213" s="82">
        <v>5.0999999999999996</v>
      </c>
      <c r="AO213" s="82">
        <v>4.8</v>
      </c>
      <c r="AP213" s="82">
        <v>5.6</v>
      </c>
      <c r="AQ213" s="82">
        <v>5.5</v>
      </c>
      <c r="AR213" s="82">
        <v>5.3</v>
      </c>
      <c r="AS213" s="82">
        <v>5.0999999999999996</v>
      </c>
      <c r="AT213" s="82">
        <v>4.0999999999999996</v>
      </c>
      <c r="AU213" s="82">
        <v>4.5999999999999996</v>
      </c>
      <c r="AV213" s="82">
        <v>3.1</v>
      </c>
      <c r="AW213" s="82">
        <v>3.7</v>
      </c>
      <c r="AX213" s="82">
        <v>2.6</v>
      </c>
      <c r="AY213" s="82">
        <v>3.5</v>
      </c>
      <c r="AZ213" s="82">
        <v>2.2000000000000002</v>
      </c>
      <c r="BA213" s="82">
        <v>3.1</v>
      </c>
      <c r="BB213" s="82">
        <v>1.9</v>
      </c>
      <c r="BC213" s="82">
        <v>1.9</v>
      </c>
      <c r="BD213" s="82">
        <v>1.5</v>
      </c>
      <c r="BE213" s="82">
        <v>2.2000000000000002</v>
      </c>
      <c r="BF213" s="82">
        <v>1.3</v>
      </c>
      <c r="BG213" s="82">
        <v>1.8</v>
      </c>
      <c r="BH213" s="82">
        <v>1.1000000000000001</v>
      </c>
      <c r="BI213" s="82">
        <v>1.4</v>
      </c>
      <c r="BJ213" s="82">
        <v>0.7</v>
      </c>
      <c r="BK213" s="82">
        <v>1.1000000000000001</v>
      </c>
      <c r="BL213" s="82">
        <v>0.5</v>
      </c>
      <c r="BM213" s="82">
        <v>1</v>
      </c>
      <c r="BN213" s="82">
        <v>0.3</v>
      </c>
      <c r="BO213" s="82">
        <v>0.7</v>
      </c>
      <c r="BP213" s="82">
        <v>0.2</v>
      </c>
      <c r="BQ213" s="82">
        <v>0.6</v>
      </c>
      <c r="BR213" s="82">
        <v>0.2</v>
      </c>
      <c r="BS213" s="82">
        <v>0.5</v>
      </c>
      <c r="BT213" s="82">
        <v>73482</v>
      </c>
      <c r="BU213" s="82">
        <v>42537</v>
      </c>
      <c r="BV213" s="82">
        <v>13421</v>
      </c>
      <c r="BW213" s="82">
        <v>114156</v>
      </c>
      <c r="BX213" s="82">
        <v>13.4</v>
      </c>
      <c r="BY213" s="82">
        <v>7</v>
      </c>
      <c r="BZ213" s="82">
        <v>11.9</v>
      </c>
      <c r="CA213" s="82">
        <v>25</v>
      </c>
      <c r="CB213" s="82">
        <v>22</v>
      </c>
      <c r="CC213" s="82">
        <v>8.8000000000000007</v>
      </c>
      <c r="CD213" s="82">
        <v>5</v>
      </c>
      <c r="CE213" s="82">
        <v>3.9</v>
      </c>
      <c r="CF213" s="82">
        <v>2.1</v>
      </c>
      <c r="CG213" s="82">
        <v>0.5</v>
      </c>
      <c r="CH213" s="82">
        <v>0.2</v>
      </c>
      <c r="CI213" s="82">
        <v>0.2</v>
      </c>
      <c r="CJ213" s="82">
        <f t="shared" si="20"/>
        <v>243596</v>
      </c>
      <c r="CK213" s="82">
        <f t="shared" si="21"/>
        <v>403640.84431729728</v>
      </c>
      <c r="CL213" s="95">
        <f ca="1">$CK213*SUM(OFFSET($AJ213,0,(COUNTA($CL$1:CL$1)-1)*4,1,4))/100</f>
        <v>89204.626594122703</v>
      </c>
      <c r="CM213" s="95">
        <f ca="1">$CK213*SUM(OFFSET($AJ213,0,(COUNTA($CL$1:CM$1)-1)*4,1,4))/100</f>
        <v>84764.577306632433</v>
      </c>
      <c r="CN213" s="95">
        <f ca="1">$CK213*SUM(OFFSET($AJ213,0,(COUNTA($CL$1:CN$1)-1)*4,1,4))/100</f>
        <v>77095.401264603774</v>
      </c>
      <c r="CO213" s="95">
        <f ca="1">$CK213*SUM(OFFSET($AJ213,0,(COUNTA($CL$1:CO$1)-1)*4,1,4))/100</f>
        <v>52069.668916931347</v>
      </c>
      <c r="CP213" s="95">
        <f ca="1">$CK213*SUM(OFFSET($AJ213,0,(COUNTA($CL$1:CP$1)-1)*4,1,4))/100</f>
        <v>36731.316832874058</v>
      </c>
      <c r="CQ213" s="95">
        <f ca="1">$CK213*SUM(OFFSET($AJ213,0,(COUNTA($CL$1:CQ$1)-1)*4,1,4))/100</f>
        <v>27447.577413576211</v>
      </c>
      <c r="CR213" s="95">
        <f ca="1">$CK213*SUM(OFFSET($AJ213,0,(COUNTA($CL$1:CR$1)-1)*4,1,4))/100</f>
        <v>17356.556305643786</v>
      </c>
      <c r="CS213" s="95">
        <f ca="1">$CK213*SUM(OFFSET($AJ213,0,(COUNTA($CL$1:CS$1)-1)*4,1,4))/100</f>
        <v>10091.021107932431</v>
      </c>
      <c r="CT213" s="95">
        <f ca="1">$CK213*SUM(OFFSET($AJ213,0,(COUNTA($CL$1:CT$1)-1)*4,1,4))/100</f>
        <v>6054.6126647594592</v>
      </c>
      <c r="CU213" s="96">
        <f t="shared" si="22"/>
        <v>3250.7916666666665</v>
      </c>
      <c r="CV213" s="96">
        <f t="shared" si="23"/>
        <v>124.1669370744964</v>
      </c>
    </row>
    <row r="214" spans="1:100">
      <c r="A214" s="82" t="str">
        <f ca="1">IF(ISERROR(OFFSET(Map!$E$2,MATCH(D214,Map!$B$3:$B$239,0),0)),OFFSET(Map!$E$2,MATCH(D214,Map!$C$3:$C$239,0),0),OFFSET(Map!$E$2,MATCH(D214,Map!$B$3:$B$239,0),0))</f>
        <v>Mopani</v>
      </c>
      <c r="B214" s="82">
        <v>213</v>
      </c>
      <c r="C214" s="82" t="s">
        <v>58</v>
      </c>
      <c r="D214" s="82" t="s">
        <v>623</v>
      </c>
      <c r="E214" s="82" t="s">
        <v>624</v>
      </c>
      <c r="F214" s="82">
        <v>150637</v>
      </c>
      <c r="G214" s="82">
        <v>32.9</v>
      </c>
      <c r="H214" s="82">
        <v>63.2</v>
      </c>
      <c r="I214" s="82">
        <f t="shared" si="18"/>
        <v>95203</v>
      </c>
      <c r="J214" s="82">
        <v>3.9</v>
      </c>
      <c r="K214" s="82">
        <v>58.2</v>
      </c>
      <c r="L214" s="82">
        <v>94.1</v>
      </c>
      <c r="M214" s="82">
        <v>1.36</v>
      </c>
      <c r="N214" s="82">
        <v>20</v>
      </c>
      <c r="O214" s="82">
        <v>37.4</v>
      </c>
      <c r="P214" s="82">
        <f t="shared" si="19"/>
        <v>59597</v>
      </c>
      <c r="Q214" s="82">
        <v>50.2</v>
      </c>
      <c r="R214" s="82">
        <v>14.6</v>
      </c>
      <c r="S214" s="82">
        <v>12.1</v>
      </c>
      <c r="T214" s="82">
        <v>23.3</v>
      </c>
      <c r="U214" s="82">
        <v>41115</v>
      </c>
      <c r="V214" s="82">
        <v>10628</v>
      </c>
      <c r="W214" s="82">
        <v>3.6</v>
      </c>
      <c r="X214" s="82">
        <v>39.5</v>
      </c>
      <c r="Y214" s="82">
        <v>96.4</v>
      </c>
      <c r="Z214" s="82">
        <v>61.6</v>
      </c>
      <c r="AA214" s="82">
        <v>40.5</v>
      </c>
      <c r="AB214" s="82">
        <v>48.8</v>
      </c>
      <c r="AC214" s="82">
        <v>37.1</v>
      </c>
      <c r="AD214" s="82">
        <v>90.8</v>
      </c>
      <c r="AE214" s="82">
        <v>93</v>
      </c>
      <c r="AF214" s="82">
        <v>0.3</v>
      </c>
      <c r="AG214" s="82">
        <v>0.2</v>
      </c>
      <c r="AH214" s="82">
        <v>6.4</v>
      </c>
      <c r="AI214" s="82">
        <v>0.1</v>
      </c>
      <c r="AJ214" s="82">
        <v>6.5</v>
      </c>
      <c r="AK214" s="82">
        <v>6.4</v>
      </c>
      <c r="AL214" s="82">
        <v>5</v>
      </c>
      <c r="AM214" s="82">
        <v>5.2</v>
      </c>
      <c r="AN214" s="82">
        <v>5</v>
      </c>
      <c r="AO214" s="82">
        <v>4.8</v>
      </c>
      <c r="AP214" s="82">
        <v>4.7</v>
      </c>
      <c r="AQ214" s="82">
        <v>5</v>
      </c>
      <c r="AR214" s="82">
        <v>5.4</v>
      </c>
      <c r="AS214" s="82">
        <v>5.3</v>
      </c>
      <c r="AT214" s="82">
        <v>4.5</v>
      </c>
      <c r="AU214" s="82">
        <v>4.9000000000000004</v>
      </c>
      <c r="AV214" s="82">
        <v>3.6</v>
      </c>
      <c r="AW214" s="82">
        <v>4</v>
      </c>
      <c r="AX214" s="82">
        <v>3.1</v>
      </c>
      <c r="AY214" s="82">
        <v>3.6</v>
      </c>
      <c r="AZ214" s="82">
        <v>2.6</v>
      </c>
      <c r="BA214" s="82">
        <v>2.9</v>
      </c>
      <c r="BB214" s="82">
        <v>2.1</v>
      </c>
      <c r="BC214" s="82">
        <v>2.1</v>
      </c>
      <c r="BD214" s="82">
        <v>1.8</v>
      </c>
      <c r="BE214" s="82">
        <v>1.9</v>
      </c>
      <c r="BF214" s="82">
        <v>1.6</v>
      </c>
      <c r="BG214" s="82">
        <v>1.5</v>
      </c>
      <c r="BH214" s="82">
        <v>1.1000000000000001</v>
      </c>
      <c r="BI214" s="82">
        <v>1.1000000000000001</v>
      </c>
      <c r="BJ214" s="82">
        <v>0.6</v>
      </c>
      <c r="BK214" s="82">
        <v>0.8</v>
      </c>
      <c r="BL214" s="82">
        <v>0.4</v>
      </c>
      <c r="BM214" s="82">
        <v>0.6</v>
      </c>
      <c r="BN214" s="82">
        <v>0.2</v>
      </c>
      <c r="BO214" s="82">
        <v>0.4</v>
      </c>
      <c r="BP214" s="82">
        <v>0.1</v>
      </c>
      <c r="BQ214" s="82">
        <v>0.3</v>
      </c>
      <c r="BR214" s="82">
        <v>0.1</v>
      </c>
      <c r="BS214" s="82">
        <v>0.2</v>
      </c>
      <c r="BT214" s="82">
        <v>33959</v>
      </c>
      <c r="BU214" s="82">
        <v>20282</v>
      </c>
      <c r="BV214" s="82">
        <v>4087</v>
      </c>
      <c r="BW214" s="82">
        <v>36897</v>
      </c>
      <c r="BX214" s="82">
        <v>12.5</v>
      </c>
      <c r="BY214" s="82">
        <v>5.5</v>
      </c>
      <c r="BZ214" s="82">
        <v>10.7</v>
      </c>
      <c r="CA214" s="82">
        <v>18.7</v>
      </c>
      <c r="CB214" s="82">
        <v>18.899999999999999</v>
      </c>
      <c r="CC214" s="82">
        <v>11.9</v>
      </c>
      <c r="CD214" s="82">
        <v>10</v>
      </c>
      <c r="CE214" s="82">
        <v>7.1</v>
      </c>
      <c r="CF214" s="82">
        <v>3.7</v>
      </c>
      <c r="CG214" s="82">
        <v>0.8</v>
      </c>
      <c r="CH214" s="82">
        <v>0.2</v>
      </c>
      <c r="CI214" s="82">
        <v>0.2</v>
      </c>
      <c r="CJ214" s="82">
        <f t="shared" si="20"/>
        <v>95225</v>
      </c>
      <c r="CK214" s="82">
        <f t="shared" si="21"/>
        <v>170110.48187519549</v>
      </c>
      <c r="CL214" s="95">
        <f ca="1">$CK214*SUM(OFFSET($AJ214,0,(COUNTA($CL$1:CL$1)-1)*4,1,4))/100</f>
        <v>39295.521313170153</v>
      </c>
      <c r="CM214" s="95">
        <f ca="1">$CK214*SUM(OFFSET($AJ214,0,(COUNTA($CL$1:CM$1)-1)*4,1,4))/100</f>
        <v>33171.543965663121</v>
      </c>
      <c r="CN214" s="95">
        <f ca="1">$CK214*SUM(OFFSET($AJ214,0,(COUNTA($CL$1:CN$1)-1)*4,1,4))/100</f>
        <v>34192.206856914301</v>
      </c>
      <c r="CO214" s="95">
        <f ca="1">$CK214*SUM(OFFSET($AJ214,0,(COUNTA($CL$1:CO$1)-1)*4,1,4))/100</f>
        <v>24325.798908152952</v>
      </c>
      <c r="CP214" s="95">
        <f ca="1">$CK214*SUM(OFFSET($AJ214,0,(COUNTA($CL$1:CP$1)-1)*4,1,4))/100</f>
        <v>16500.716741893961</v>
      </c>
      <c r="CQ214" s="95">
        <f ca="1">$CK214*SUM(OFFSET($AJ214,0,(COUNTA($CL$1:CQ$1)-1)*4,1,4))/100</f>
        <v>11567.512767513294</v>
      </c>
      <c r="CR214" s="95">
        <f ca="1">$CK214*SUM(OFFSET($AJ214,0,(COUNTA($CL$1:CR$1)-1)*4,1,4))/100</f>
        <v>6123.9773475070378</v>
      </c>
      <c r="CS214" s="95">
        <f ca="1">$CK214*SUM(OFFSET($AJ214,0,(COUNTA($CL$1:CS$1)-1)*4,1,4))/100</f>
        <v>2721.7677100031283</v>
      </c>
      <c r="CT214" s="95">
        <f ca="1">$CK214*SUM(OFFSET($AJ214,0,(COUNTA($CL$1:CT$1)-1)*4,1,4))/100</f>
        <v>1190.7733731263684</v>
      </c>
      <c r="CU214" s="96">
        <f t="shared" si="22"/>
        <v>7531.85</v>
      </c>
      <c r="CV214" s="96">
        <f t="shared" si="23"/>
        <v>22.585484558932464</v>
      </c>
    </row>
    <row r="215" spans="1:100">
      <c r="A215" s="82" t="str">
        <f ca="1">IF(ISERROR(OFFSET(Map!$E$2,MATCH(D215,Map!$B$3:$B$239,0),0)),OFFSET(Map!$E$2,MATCH(D215,Map!$C$3:$C$239,0),0),OFFSET(Map!$E$2,MATCH(D215,Map!$B$3:$B$239,0),0))</f>
        <v>Mopani</v>
      </c>
      <c r="B215" s="82">
        <v>214</v>
      </c>
      <c r="C215" s="82" t="s">
        <v>58</v>
      </c>
      <c r="D215" s="82" t="s">
        <v>625</v>
      </c>
      <c r="E215" s="82" t="s">
        <v>626</v>
      </c>
      <c r="F215" s="82">
        <v>94857</v>
      </c>
      <c r="G215" s="82">
        <v>34.4</v>
      </c>
      <c r="H215" s="82">
        <v>60.3</v>
      </c>
      <c r="I215" s="82">
        <f t="shared" si="18"/>
        <v>57199</v>
      </c>
      <c r="J215" s="82">
        <v>5.3</v>
      </c>
      <c r="K215" s="82">
        <v>65.8</v>
      </c>
      <c r="L215" s="82">
        <v>85</v>
      </c>
      <c r="M215" s="82">
        <v>0.05</v>
      </c>
      <c r="N215" s="82">
        <v>29</v>
      </c>
      <c r="O215" s="82">
        <v>39.9</v>
      </c>
      <c r="P215" s="82">
        <f t="shared" si="19"/>
        <v>34376</v>
      </c>
      <c r="Q215" s="82">
        <v>51.2</v>
      </c>
      <c r="R215" s="82">
        <v>20.9</v>
      </c>
      <c r="S215" s="82">
        <v>7</v>
      </c>
      <c r="T215" s="82">
        <v>18.5</v>
      </c>
      <c r="U215" s="82">
        <v>24470</v>
      </c>
      <c r="V215" s="82">
        <v>9427</v>
      </c>
      <c r="W215" s="82">
        <v>3.7</v>
      </c>
      <c r="X215" s="82">
        <v>53.7</v>
      </c>
      <c r="Y215" s="82">
        <v>96</v>
      </c>
      <c r="Z215" s="82">
        <v>24.7</v>
      </c>
      <c r="AA215" s="82">
        <v>8.1999999999999993</v>
      </c>
      <c r="AB215" s="82">
        <v>5.9</v>
      </c>
      <c r="AC215" s="82">
        <v>10.9</v>
      </c>
      <c r="AD215" s="82">
        <v>90.6</v>
      </c>
      <c r="AE215" s="82">
        <v>95.5</v>
      </c>
      <c r="AF215" s="82">
        <v>0.3</v>
      </c>
      <c r="AG215" s="82">
        <v>0.2</v>
      </c>
      <c r="AH215" s="82">
        <v>3.8</v>
      </c>
      <c r="AI215" s="82">
        <v>0.2</v>
      </c>
      <c r="AJ215" s="82">
        <v>6.4</v>
      </c>
      <c r="AK215" s="82">
        <v>6.3</v>
      </c>
      <c r="AL215" s="82">
        <v>5.5</v>
      </c>
      <c r="AM215" s="82">
        <v>5.4</v>
      </c>
      <c r="AN215" s="82">
        <v>5.5</v>
      </c>
      <c r="AO215" s="82">
        <v>5.2</v>
      </c>
      <c r="AP215" s="82">
        <v>6</v>
      </c>
      <c r="AQ215" s="82">
        <v>5.9</v>
      </c>
      <c r="AR215" s="82">
        <v>5.0999999999999996</v>
      </c>
      <c r="AS215" s="82">
        <v>5.2</v>
      </c>
      <c r="AT215" s="82">
        <v>3.7</v>
      </c>
      <c r="AU215" s="82">
        <v>4.7</v>
      </c>
      <c r="AV215" s="82">
        <v>2.7</v>
      </c>
      <c r="AW215" s="82">
        <v>3.8</v>
      </c>
      <c r="AX215" s="82">
        <v>2.2000000000000002</v>
      </c>
      <c r="AY215" s="82">
        <v>3.2</v>
      </c>
      <c r="AZ215" s="82">
        <v>2</v>
      </c>
      <c r="BA215" s="82">
        <v>3</v>
      </c>
      <c r="BB215" s="82">
        <v>1.7</v>
      </c>
      <c r="BC215" s="82">
        <v>1.7</v>
      </c>
      <c r="BD215" s="82">
        <v>1.4</v>
      </c>
      <c r="BE215" s="82">
        <v>2.1</v>
      </c>
      <c r="BF215" s="82">
        <v>1.1000000000000001</v>
      </c>
      <c r="BG215" s="82">
        <v>1.6</v>
      </c>
      <c r="BH215" s="82">
        <v>1</v>
      </c>
      <c r="BI215" s="82">
        <v>1.3</v>
      </c>
      <c r="BJ215" s="82">
        <v>0.7</v>
      </c>
      <c r="BK215" s="82">
        <v>0.9</v>
      </c>
      <c r="BL215" s="82">
        <v>0.5</v>
      </c>
      <c r="BM215" s="82">
        <v>0.9</v>
      </c>
      <c r="BN215" s="82">
        <v>0.2</v>
      </c>
      <c r="BO215" s="82">
        <v>0.7</v>
      </c>
      <c r="BP215" s="82">
        <v>0.2</v>
      </c>
      <c r="BQ215" s="82">
        <v>0.6</v>
      </c>
      <c r="BR215" s="82">
        <v>0.1</v>
      </c>
      <c r="BS215" s="82">
        <v>0.5</v>
      </c>
      <c r="BT215" s="82">
        <v>13493</v>
      </c>
      <c r="BU215" s="82">
        <v>8945</v>
      </c>
      <c r="BV215" s="82">
        <v>4355</v>
      </c>
      <c r="BW215" s="82">
        <v>30428</v>
      </c>
      <c r="BX215" s="82">
        <v>15.9</v>
      </c>
      <c r="BY215" s="82">
        <v>7.2</v>
      </c>
      <c r="BZ215" s="82">
        <v>14.5</v>
      </c>
      <c r="CA215" s="82">
        <v>25.1</v>
      </c>
      <c r="CB215" s="82">
        <v>20.2</v>
      </c>
      <c r="CC215" s="82">
        <v>6.3</v>
      </c>
      <c r="CD215" s="82">
        <v>4.5999999999999996</v>
      </c>
      <c r="CE215" s="82">
        <v>3.8</v>
      </c>
      <c r="CF215" s="82">
        <v>1.6</v>
      </c>
      <c r="CG215" s="82">
        <v>0.4</v>
      </c>
      <c r="CH215" s="82">
        <v>0.2</v>
      </c>
      <c r="CI215" s="82">
        <v>0.2</v>
      </c>
      <c r="CJ215" s="82">
        <f t="shared" si="20"/>
        <v>57221</v>
      </c>
      <c r="CK215" s="82">
        <f t="shared" si="21"/>
        <v>95284.711209745845</v>
      </c>
      <c r="CL215" s="95">
        <f ca="1">$CK215*SUM(OFFSET($AJ215,0,(COUNTA($CL$1:CL$1)-1)*4,1,4))/100</f>
        <v>22487.191845500023</v>
      </c>
      <c r="CM215" s="95">
        <f ca="1">$CK215*SUM(OFFSET($AJ215,0,(COUNTA($CL$1:CM$1)-1)*4,1,4))/100</f>
        <v>21534.344733402562</v>
      </c>
      <c r="CN215" s="95">
        <f ca="1">$CK215*SUM(OFFSET($AJ215,0,(COUNTA($CL$1:CN$1)-1)*4,1,4))/100</f>
        <v>17818.240996222474</v>
      </c>
      <c r="CO215" s="95">
        <f ca="1">$CK215*SUM(OFFSET($AJ215,0,(COUNTA($CL$1:CO$1)-1)*4,1,4))/100</f>
        <v>11338.880633959754</v>
      </c>
      <c r="CP215" s="95">
        <f ca="1">$CK215*SUM(OFFSET($AJ215,0,(COUNTA($CL$1:CP$1)-1)*4,1,4))/100</f>
        <v>8003.9157416186517</v>
      </c>
      <c r="CQ215" s="95">
        <f ca="1">$CK215*SUM(OFFSET($AJ215,0,(COUNTA($CL$1:CQ$1)-1)*4,1,4))/100</f>
        <v>5907.6520950042423</v>
      </c>
      <c r="CR215" s="95">
        <f ca="1">$CK215*SUM(OFFSET($AJ215,0,(COUNTA($CL$1:CR$1)-1)*4,1,4))/100</f>
        <v>3716.103737180088</v>
      </c>
      <c r="CS215" s="95">
        <f ca="1">$CK215*SUM(OFFSET($AJ215,0,(COUNTA($CL$1:CS$1)-1)*4,1,4))/100</f>
        <v>2191.5483578241542</v>
      </c>
      <c r="CT215" s="95">
        <f ca="1">$CK215*SUM(OFFSET($AJ215,0,(COUNTA($CL$1:CT$1)-1)*4,1,4))/100</f>
        <v>1333.9859569364417</v>
      </c>
      <c r="CU215" s="96">
        <f t="shared" si="22"/>
        <v>3270.9310344827586</v>
      </c>
      <c r="CV215" s="96">
        <f t="shared" si="23"/>
        <v>29.13076130472848</v>
      </c>
    </row>
    <row r="216" spans="1:100">
      <c r="A216" s="82" t="str">
        <f ca="1">IF(ISERROR(OFFSET(Map!$E$2,MATCH(D216,Map!$B$3:$B$239,0),0)),OFFSET(Map!$E$2,MATCH(D216,Map!$C$3:$C$239,0),0),OFFSET(Map!$E$2,MATCH(D216,Map!$B$3:$B$239,0),0))</f>
        <v>Vhembe</v>
      </c>
      <c r="B216" s="82">
        <v>215</v>
      </c>
      <c r="C216" s="82" t="s">
        <v>58</v>
      </c>
      <c r="D216" s="82" t="s">
        <v>627</v>
      </c>
      <c r="E216" s="82" t="s">
        <v>628</v>
      </c>
      <c r="F216" s="82">
        <v>68359</v>
      </c>
      <c r="G216" s="82">
        <v>28.2</v>
      </c>
      <c r="H216" s="82">
        <v>69.2</v>
      </c>
      <c r="I216" s="82">
        <f t="shared" si="18"/>
        <v>47304</v>
      </c>
      <c r="J216" s="82">
        <v>2.6</v>
      </c>
      <c r="K216" s="82">
        <v>44.5</v>
      </c>
      <c r="L216" s="82">
        <v>101.9</v>
      </c>
      <c r="M216" s="82">
        <v>5.53</v>
      </c>
      <c r="N216" s="82">
        <v>9</v>
      </c>
      <c r="O216" s="82">
        <v>18.7</v>
      </c>
      <c r="P216" s="82">
        <f t="shared" si="19"/>
        <v>38458</v>
      </c>
      <c r="Q216" s="82">
        <v>22.5</v>
      </c>
      <c r="R216" s="82">
        <v>11.3</v>
      </c>
      <c r="S216" s="82">
        <v>6.8</v>
      </c>
      <c r="T216" s="82">
        <v>21.6</v>
      </c>
      <c r="U216" s="82">
        <v>20042</v>
      </c>
      <c r="V216" s="82">
        <v>2261</v>
      </c>
      <c r="W216" s="82">
        <v>3</v>
      </c>
      <c r="X216" s="82">
        <v>39.6</v>
      </c>
      <c r="Y216" s="82">
        <v>74.8</v>
      </c>
      <c r="Z216" s="82">
        <v>31.3</v>
      </c>
      <c r="AA216" s="82">
        <v>63.2</v>
      </c>
      <c r="AB216" s="82">
        <v>61.5</v>
      </c>
      <c r="AC216" s="82">
        <v>26.4</v>
      </c>
      <c r="AD216" s="82">
        <v>76.400000000000006</v>
      </c>
      <c r="AE216" s="82">
        <v>94</v>
      </c>
      <c r="AF216" s="82">
        <v>0.3</v>
      </c>
      <c r="AG216" s="82">
        <v>0.5</v>
      </c>
      <c r="AH216" s="82">
        <v>4.8</v>
      </c>
      <c r="AI216" s="82">
        <v>0.3</v>
      </c>
      <c r="AJ216" s="82">
        <v>6.6</v>
      </c>
      <c r="AK216" s="82">
        <v>6.2</v>
      </c>
      <c r="AL216" s="82">
        <v>4</v>
      </c>
      <c r="AM216" s="82">
        <v>4</v>
      </c>
      <c r="AN216" s="82">
        <v>3.8</v>
      </c>
      <c r="AO216" s="82">
        <v>3.6</v>
      </c>
      <c r="AP216" s="82">
        <v>4.3</v>
      </c>
      <c r="AQ216" s="82">
        <v>4.2</v>
      </c>
      <c r="AR216" s="82">
        <v>6.3</v>
      </c>
      <c r="AS216" s="82">
        <v>6.2</v>
      </c>
      <c r="AT216" s="82">
        <v>6.9</v>
      </c>
      <c r="AU216" s="82">
        <v>6.7</v>
      </c>
      <c r="AV216" s="82">
        <v>5.5</v>
      </c>
      <c r="AW216" s="82">
        <v>4.9000000000000004</v>
      </c>
      <c r="AX216" s="82">
        <v>4.0999999999999996</v>
      </c>
      <c r="AY216" s="82">
        <v>4.0999999999999996</v>
      </c>
      <c r="AZ216" s="82">
        <v>2.9</v>
      </c>
      <c r="BA216" s="82">
        <v>2.8</v>
      </c>
      <c r="BB216" s="82">
        <v>1.9</v>
      </c>
      <c r="BC216" s="82">
        <v>1.9</v>
      </c>
      <c r="BD216" s="82">
        <v>1.4</v>
      </c>
      <c r="BE216" s="82">
        <v>1.5</v>
      </c>
      <c r="BF216" s="82">
        <v>1</v>
      </c>
      <c r="BG216" s="82">
        <v>1.1000000000000001</v>
      </c>
      <c r="BH216" s="82">
        <v>0.7</v>
      </c>
      <c r="BI216" s="82">
        <v>0.7</v>
      </c>
      <c r="BJ216" s="82">
        <v>0.5</v>
      </c>
      <c r="BK216" s="82">
        <v>0.5</v>
      </c>
      <c r="BL216" s="82">
        <v>0.3</v>
      </c>
      <c r="BM216" s="82">
        <v>0.4</v>
      </c>
      <c r="BN216" s="82">
        <v>0.1</v>
      </c>
      <c r="BO216" s="82">
        <v>0.3</v>
      </c>
      <c r="BP216" s="82">
        <v>0.1</v>
      </c>
      <c r="BQ216" s="82">
        <v>0.2</v>
      </c>
      <c r="BR216" s="82">
        <v>0.1</v>
      </c>
      <c r="BS216" s="82">
        <v>0.2</v>
      </c>
      <c r="BT216" s="82">
        <v>25588</v>
      </c>
      <c r="BU216" s="82">
        <v>5893</v>
      </c>
      <c r="BV216" s="82">
        <v>1869</v>
      </c>
      <c r="BW216" s="82">
        <v>13966</v>
      </c>
      <c r="BX216" s="82">
        <v>12</v>
      </c>
      <c r="BY216" s="82">
        <v>3.9</v>
      </c>
      <c r="BZ216" s="82">
        <v>11.3</v>
      </c>
      <c r="CA216" s="82">
        <v>27.8</v>
      </c>
      <c r="CB216" s="82">
        <v>20.3</v>
      </c>
      <c r="CC216" s="82">
        <v>10.3</v>
      </c>
      <c r="CD216" s="82">
        <v>6.6</v>
      </c>
      <c r="CE216" s="82">
        <v>4.4000000000000004</v>
      </c>
      <c r="CF216" s="82">
        <v>2.5</v>
      </c>
      <c r="CG216" s="82">
        <v>0.6</v>
      </c>
      <c r="CH216" s="82">
        <v>0.2</v>
      </c>
      <c r="CI216" s="82">
        <v>0.2</v>
      </c>
      <c r="CJ216" s="82">
        <f t="shared" si="20"/>
        <v>47316</v>
      </c>
      <c r="CK216" s="82">
        <f t="shared" si="21"/>
        <v>110963.24384654034</v>
      </c>
      <c r="CL216" s="95">
        <f ca="1">$CK216*SUM(OFFSET($AJ216,0,(COUNTA($CL$1:CL$1)-1)*4,1,4))/100</f>
        <v>23080.354720080391</v>
      </c>
      <c r="CM216" s="95">
        <f ca="1">$CK216*SUM(OFFSET($AJ216,0,(COUNTA($CL$1:CM$1)-1)*4,1,4))/100</f>
        <v>17643.155771599912</v>
      </c>
      <c r="CN216" s="95">
        <f ca="1">$CK216*SUM(OFFSET($AJ216,0,(COUNTA($CL$1:CN$1)-1)*4,1,4))/100</f>
        <v>28961.406643947026</v>
      </c>
      <c r="CO216" s="95">
        <f ca="1">$CK216*SUM(OFFSET($AJ216,0,(COUNTA($CL$1:CO$1)-1)*4,1,4))/100</f>
        <v>20639.163355456505</v>
      </c>
      <c r="CP216" s="95">
        <f ca="1">$CK216*SUM(OFFSET($AJ216,0,(COUNTA($CL$1:CP$1)-1)*4,1,4))/100</f>
        <v>10541.508165421332</v>
      </c>
      <c r="CQ216" s="95">
        <f ca="1">$CK216*SUM(OFFSET($AJ216,0,(COUNTA($CL$1:CQ$1)-1)*4,1,4))/100</f>
        <v>5548.1621923270168</v>
      </c>
      <c r="CR216" s="95">
        <f ca="1">$CK216*SUM(OFFSET($AJ216,0,(COUNTA($CL$1:CR$1)-1)*4,1,4))/100</f>
        <v>2663.1178523169679</v>
      </c>
      <c r="CS216" s="95">
        <f ca="1">$CK216*SUM(OFFSET($AJ216,0,(COUNTA($CL$1:CS$1)-1)*4,1,4))/100</f>
        <v>1220.5956823119436</v>
      </c>
      <c r="CT216" s="95">
        <f ca="1">$CK216*SUM(OFFSET($AJ216,0,(COUNTA($CL$1:CT$1)-1)*4,1,4))/100</f>
        <v>665.77946307924208</v>
      </c>
      <c r="CU216" s="96">
        <f t="shared" si="22"/>
        <v>7595.4444444444443</v>
      </c>
      <c r="CV216" s="96">
        <f t="shared" si="23"/>
        <v>14.609183788804152</v>
      </c>
    </row>
    <row r="217" spans="1:100">
      <c r="A217" s="82" t="str">
        <f ca="1">IF(ISERROR(OFFSET(Map!$E$2,MATCH(D217,Map!$B$3:$B$239,0),0)),OFFSET(Map!$E$2,MATCH(D217,Map!$C$3:$C$239,0),0),OFFSET(Map!$E$2,MATCH(D217,Map!$B$3:$B$239,0),0))</f>
        <v>Vhembe</v>
      </c>
      <c r="B217" s="82">
        <v>216</v>
      </c>
      <c r="C217" s="82" t="s">
        <v>58</v>
      </c>
      <c r="D217" s="82" t="s">
        <v>629</v>
      </c>
      <c r="E217" s="82" t="s">
        <v>630</v>
      </c>
      <c r="F217" s="82">
        <v>91870</v>
      </c>
      <c r="G217" s="82">
        <v>38.200000000000003</v>
      </c>
      <c r="H217" s="82">
        <v>55.6</v>
      </c>
      <c r="I217" s="82">
        <f t="shared" si="18"/>
        <v>51080</v>
      </c>
      <c r="J217" s="82">
        <v>6.2</v>
      </c>
      <c r="K217" s="82">
        <v>79.900000000000006</v>
      </c>
      <c r="L217" s="82">
        <v>82.6</v>
      </c>
      <c r="M217" s="82">
        <v>1.03</v>
      </c>
      <c r="N217" s="82">
        <v>24</v>
      </c>
      <c r="O217" s="82">
        <v>48.8</v>
      </c>
      <c r="P217" s="82">
        <f t="shared" si="19"/>
        <v>26153</v>
      </c>
      <c r="Q217" s="82">
        <v>62.2</v>
      </c>
      <c r="R217" s="82">
        <v>18.8</v>
      </c>
      <c r="S217" s="82">
        <v>7.8</v>
      </c>
      <c r="T217" s="82">
        <v>18.8</v>
      </c>
      <c r="U217" s="82">
        <v>23751</v>
      </c>
      <c r="V217" s="82">
        <v>12754</v>
      </c>
      <c r="W217" s="82">
        <v>3.8</v>
      </c>
      <c r="X217" s="82">
        <v>54.8</v>
      </c>
      <c r="Y217" s="82">
        <v>87.3</v>
      </c>
      <c r="Z217" s="82">
        <v>64.099999999999994</v>
      </c>
      <c r="AA217" s="82">
        <v>3.8</v>
      </c>
      <c r="AB217" s="82">
        <v>5.2</v>
      </c>
      <c r="AC217" s="82">
        <v>5.8</v>
      </c>
      <c r="AD217" s="82">
        <v>83.3</v>
      </c>
      <c r="AE217" s="82">
        <v>99.3</v>
      </c>
      <c r="AF217" s="82">
        <v>0.1</v>
      </c>
      <c r="AG217" s="82">
        <v>0.1</v>
      </c>
      <c r="AH217" s="82">
        <v>0.5</v>
      </c>
      <c r="AI217" s="82">
        <v>0.1</v>
      </c>
      <c r="AJ217" s="82">
        <v>6.6</v>
      </c>
      <c r="AK217" s="82">
        <v>6.5</v>
      </c>
      <c r="AL217" s="82">
        <v>6.3</v>
      </c>
      <c r="AM217" s="82">
        <v>6.2</v>
      </c>
      <c r="AN217" s="82">
        <v>6.6</v>
      </c>
      <c r="AO217" s="82">
        <v>6.1</v>
      </c>
      <c r="AP217" s="82">
        <v>6.6</v>
      </c>
      <c r="AQ217" s="82">
        <v>6.4</v>
      </c>
      <c r="AR217" s="82">
        <v>4.5999999999999996</v>
      </c>
      <c r="AS217" s="82">
        <v>4.8</v>
      </c>
      <c r="AT217" s="82">
        <v>2.8</v>
      </c>
      <c r="AU217" s="82">
        <v>4.0999999999999996</v>
      </c>
      <c r="AV217" s="82">
        <v>2.1</v>
      </c>
      <c r="AW217" s="82">
        <v>3.4</v>
      </c>
      <c r="AX217" s="82">
        <v>1.8</v>
      </c>
      <c r="AY217" s="82">
        <v>3.2</v>
      </c>
      <c r="AZ217" s="82">
        <v>1.6</v>
      </c>
      <c r="BA217" s="82">
        <v>2.6</v>
      </c>
      <c r="BB217" s="82">
        <v>1.5</v>
      </c>
      <c r="BC217" s="82">
        <v>1.5</v>
      </c>
      <c r="BD217" s="82">
        <v>1.1000000000000001</v>
      </c>
      <c r="BE217" s="82">
        <v>2.1</v>
      </c>
      <c r="BF217" s="82">
        <v>0.9</v>
      </c>
      <c r="BG217" s="82">
        <v>1.4</v>
      </c>
      <c r="BH217" s="82">
        <v>0.8</v>
      </c>
      <c r="BI217" s="82">
        <v>1.2</v>
      </c>
      <c r="BJ217" s="82">
        <v>0.5</v>
      </c>
      <c r="BK217" s="82">
        <v>0.9</v>
      </c>
      <c r="BL217" s="82">
        <v>0.5</v>
      </c>
      <c r="BM217" s="82">
        <v>0.8</v>
      </c>
      <c r="BN217" s="82">
        <v>0.3</v>
      </c>
      <c r="BO217" s="82">
        <v>0.8</v>
      </c>
      <c r="BP217" s="82">
        <v>0.3</v>
      </c>
      <c r="BQ217" s="82">
        <v>0.8</v>
      </c>
      <c r="BR217" s="82">
        <v>0.3</v>
      </c>
      <c r="BS217" s="82">
        <v>1</v>
      </c>
      <c r="BT217" s="82">
        <v>9413</v>
      </c>
      <c r="BU217" s="82">
        <v>8983</v>
      </c>
      <c r="BV217" s="82">
        <v>6322</v>
      </c>
      <c r="BW217" s="82">
        <v>26361</v>
      </c>
      <c r="BX217" s="82">
        <v>13.2</v>
      </c>
      <c r="BY217" s="82">
        <v>8.9</v>
      </c>
      <c r="BZ217" s="82">
        <v>17.5</v>
      </c>
      <c r="CA217" s="82">
        <v>24</v>
      </c>
      <c r="CB217" s="82">
        <v>19.100000000000001</v>
      </c>
      <c r="CC217" s="82">
        <v>7.4</v>
      </c>
      <c r="CD217" s="82">
        <v>4.9000000000000004</v>
      </c>
      <c r="CE217" s="82">
        <v>3.3</v>
      </c>
      <c r="CF217" s="82">
        <v>1.3</v>
      </c>
      <c r="CG217" s="82">
        <v>0.3</v>
      </c>
      <c r="CH217" s="82">
        <v>0.1</v>
      </c>
      <c r="CI217" s="82">
        <v>0.2</v>
      </c>
      <c r="CJ217" s="82">
        <f t="shared" si="20"/>
        <v>51079</v>
      </c>
      <c r="CK217" s="82">
        <f t="shared" si="21"/>
        <v>100745.78687628708</v>
      </c>
      <c r="CL217" s="95">
        <f ca="1">$CK217*SUM(OFFSET($AJ217,0,(COUNTA($CL$1:CL$1)-1)*4,1,4))/100</f>
        <v>25790.92144032949</v>
      </c>
      <c r="CM217" s="95">
        <f ca="1">$CK217*SUM(OFFSET($AJ217,0,(COUNTA($CL$1:CM$1)-1)*4,1,4))/100</f>
        <v>25891.667227205773</v>
      </c>
      <c r="CN217" s="95">
        <f ca="1">$CK217*SUM(OFFSET($AJ217,0,(COUNTA($CL$1:CN$1)-1)*4,1,4))/100</f>
        <v>16421.563260834791</v>
      </c>
      <c r="CO217" s="95">
        <f ca="1">$CK217*SUM(OFFSET($AJ217,0,(COUNTA($CL$1:CO$1)-1)*4,1,4))/100</f>
        <v>10578.307622010145</v>
      </c>
      <c r="CP217" s="95">
        <f ca="1">$CK217*SUM(OFFSET($AJ217,0,(COUNTA($CL$1:CP$1)-1)*4,1,4))/100</f>
        <v>7253.69665509267</v>
      </c>
      <c r="CQ217" s="95">
        <f ca="1">$CK217*SUM(OFFSET($AJ217,0,(COUNTA($CL$1:CQ$1)-1)*4,1,4))/100</f>
        <v>5541.0182781957892</v>
      </c>
      <c r="CR217" s="95">
        <f ca="1">$CK217*SUM(OFFSET($AJ217,0,(COUNTA($CL$1:CR$1)-1)*4,1,4))/100</f>
        <v>3425.3567537937606</v>
      </c>
      <c r="CS217" s="95">
        <f ca="1">$CK217*SUM(OFFSET($AJ217,0,(COUNTA($CL$1:CS$1)-1)*4,1,4))/100</f>
        <v>2417.8988850308901</v>
      </c>
      <c r="CT217" s="95">
        <f ca="1">$CK217*SUM(OFFSET($AJ217,0,(COUNTA($CL$1:CT$1)-1)*4,1,4))/100</f>
        <v>2417.8988850308901</v>
      </c>
      <c r="CU217" s="96">
        <f t="shared" si="22"/>
        <v>3827.9166666666665</v>
      </c>
      <c r="CV217" s="96">
        <f t="shared" si="23"/>
        <v>26.318699086000763</v>
      </c>
    </row>
    <row r="218" spans="1:100">
      <c r="A218" s="82" t="str">
        <f ca="1">IF(ISERROR(OFFSET(Map!$E$2,MATCH(D218,Map!$B$3:$B$239,0),0)),OFFSET(Map!$E$2,MATCH(D218,Map!$C$3:$C$239,0),0),OFFSET(Map!$E$2,MATCH(D218,Map!$B$3:$B$239,0),0))</f>
        <v>Vhembe</v>
      </c>
      <c r="B218" s="82">
        <v>217</v>
      </c>
      <c r="C218" s="82" t="s">
        <v>58</v>
      </c>
      <c r="D218" s="82" t="s">
        <v>631</v>
      </c>
      <c r="E218" s="82" t="s">
        <v>632</v>
      </c>
      <c r="F218" s="82">
        <v>618462</v>
      </c>
      <c r="G218" s="82">
        <v>35.200000000000003</v>
      </c>
      <c r="H218" s="82">
        <v>58.8</v>
      </c>
      <c r="I218" s="82">
        <f t="shared" si="18"/>
        <v>363656</v>
      </c>
      <c r="J218" s="82">
        <v>6</v>
      </c>
      <c r="K218" s="82">
        <v>70.099999999999994</v>
      </c>
      <c r="L218" s="82">
        <v>82</v>
      </c>
      <c r="M218" s="82">
        <v>0.62</v>
      </c>
      <c r="N218" s="82">
        <v>106</v>
      </c>
      <c r="O218" s="82">
        <v>43.8</v>
      </c>
      <c r="P218" s="82">
        <f t="shared" si="19"/>
        <v>204374</v>
      </c>
      <c r="Q218" s="82">
        <v>58.3</v>
      </c>
      <c r="R218" s="82">
        <v>17.399999999999999</v>
      </c>
      <c r="S218" s="82">
        <v>11.2</v>
      </c>
      <c r="T218" s="82">
        <v>21.9</v>
      </c>
      <c r="U218" s="82">
        <v>156594</v>
      </c>
      <c r="V218" s="82">
        <v>71812</v>
      </c>
      <c r="W218" s="82">
        <v>3.9</v>
      </c>
      <c r="X218" s="82">
        <v>54.4</v>
      </c>
      <c r="Y218" s="82">
        <v>85.7</v>
      </c>
      <c r="Z218" s="82">
        <v>69.7</v>
      </c>
      <c r="AA218" s="82">
        <v>10.7</v>
      </c>
      <c r="AB218" s="82">
        <v>12.5</v>
      </c>
      <c r="AC218" s="82">
        <v>15.2</v>
      </c>
      <c r="AD218" s="82">
        <v>87.2</v>
      </c>
      <c r="AE218" s="82">
        <v>99.3</v>
      </c>
      <c r="AF218" s="82">
        <v>0.1</v>
      </c>
      <c r="AG218" s="82">
        <v>0.5</v>
      </c>
      <c r="AH218" s="82">
        <v>0.1</v>
      </c>
      <c r="AI218" s="82">
        <v>0.1</v>
      </c>
      <c r="AJ218" s="82">
        <v>6.3</v>
      </c>
      <c r="AK218" s="82">
        <v>6.3</v>
      </c>
      <c r="AL218" s="82">
        <v>5.7</v>
      </c>
      <c r="AM218" s="82">
        <v>5.7</v>
      </c>
      <c r="AN218" s="82">
        <v>5.8</v>
      </c>
      <c r="AO218" s="82">
        <v>5.5</v>
      </c>
      <c r="AP218" s="82">
        <v>6.6</v>
      </c>
      <c r="AQ218" s="82">
        <v>6.4</v>
      </c>
      <c r="AR218" s="82">
        <v>5.2</v>
      </c>
      <c r="AS218" s="82">
        <v>5.2</v>
      </c>
      <c r="AT218" s="82">
        <v>3.3</v>
      </c>
      <c r="AU218" s="82">
        <v>4.2</v>
      </c>
      <c r="AV218" s="82">
        <v>2.2999999999999998</v>
      </c>
      <c r="AW218" s="82">
        <v>3.6</v>
      </c>
      <c r="AX218" s="82">
        <v>1.9</v>
      </c>
      <c r="AY218" s="82">
        <v>3.3</v>
      </c>
      <c r="AZ218" s="82">
        <v>1.7</v>
      </c>
      <c r="BA218" s="82">
        <v>2.8</v>
      </c>
      <c r="BB218" s="82">
        <v>1.5</v>
      </c>
      <c r="BC218" s="82">
        <v>1.5</v>
      </c>
      <c r="BD218" s="82">
        <v>1.2</v>
      </c>
      <c r="BE218" s="82">
        <v>2.2000000000000002</v>
      </c>
      <c r="BF218" s="82">
        <v>1</v>
      </c>
      <c r="BG218" s="82">
        <v>1.7</v>
      </c>
      <c r="BH218" s="82">
        <v>0.8</v>
      </c>
      <c r="BI218" s="82">
        <v>1.3</v>
      </c>
      <c r="BJ218" s="82">
        <v>0.6</v>
      </c>
      <c r="BK218" s="82">
        <v>1</v>
      </c>
      <c r="BL218" s="82">
        <v>0.5</v>
      </c>
      <c r="BM218" s="82">
        <v>0.8</v>
      </c>
      <c r="BN218" s="82">
        <v>0.3</v>
      </c>
      <c r="BO218" s="82">
        <v>0.9</v>
      </c>
      <c r="BP218" s="82">
        <v>0.2</v>
      </c>
      <c r="BQ218" s="82">
        <v>0.9</v>
      </c>
      <c r="BR218" s="82">
        <v>0.2</v>
      </c>
      <c r="BS218" s="82">
        <v>0.7</v>
      </c>
      <c r="BT218" s="82">
        <v>75592</v>
      </c>
      <c r="BU218" s="82">
        <v>58917</v>
      </c>
      <c r="BV218" s="82">
        <v>33530</v>
      </c>
      <c r="BW218" s="82">
        <v>195493</v>
      </c>
      <c r="BX218" s="82">
        <v>11.9</v>
      </c>
      <c r="BY218" s="82">
        <v>8.9</v>
      </c>
      <c r="BZ218" s="82">
        <v>16.399999999999999</v>
      </c>
      <c r="CA218" s="82">
        <v>23.9</v>
      </c>
      <c r="CB218" s="82">
        <v>19.8</v>
      </c>
      <c r="CC218" s="82">
        <v>7.6</v>
      </c>
      <c r="CD218" s="82">
        <v>5.3</v>
      </c>
      <c r="CE218" s="82">
        <v>3.8</v>
      </c>
      <c r="CF218" s="82">
        <v>1.8</v>
      </c>
      <c r="CG218" s="82">
        <v>0.3</v>
      </c>
      <c r="CH218" s="82">
        <v>0.1</v>
      </c>
      <c r="CI218" s="82">
        <v>0.1</v>
      </c>
      <c r="CJ218" s="82">
        <f t="shared" si="20"/>
        <v>363532</v>
      </c>
      <c r="CK218" s="82">
        <f t="shared" si="21"/>
        <v>653840.52924950432</v>
      </c>
      <c r="CL218" s="95">
        <f ca="1">$CK218*SUM(OFFSET($AJ218,0,(COUNTA($CL$1:CL$1)-1)*4,1,4))/100</f>
        <v>156921.72701988104</v>
      </c>
      <c r="CM218" s="95">
        <f ca="1">$CK218*SUM(OFFSET($AJ218,0,(COUNTA($CL$1:CM$1)-1)*4,1,4))/100</f>
        <v>158883.24860762953</v>
      </c>
      <c r="CN218" s="95">
        <f ca="1">$CK218*SUM(OFFSET($AJ218,0,(COUNTA($CL$1:CN$1)-1)*4,1,4))/100</f>
        <v>117037.45473566126</v>
      </c>
      <c r="CO218" s="95">
        <f ca="1">$CK218*SUM(OFFSET($AJ218,0,(COUNTA($CL$1:CO$1)-1)*4,1,4))/100</f>
        <v>72576.298746694985</v>
      </c>
      <c r="CP218" s="95">
        <f ca="1">$CK218*SUM(OFFSET($AJ218,0,(COUNTA($CL$1:CP$1)-1)*4,1,4))/100</f>
        <v>49038.039693712824</v>
      </c>
      <c r="CQ218" s="95">
        <f ca="1">$CK218*SUM(OFFSET($AJ218,0,(COUNTA($CL$1:CQ$1)-1)*4,1,4))/100</f>
        <v>39884.272284219769</v>
      </c>
      <c r="CR218" s="95">
        <f ca="1">$CK218*SUM(OFFSET($AJ218,0,(COUNTA($CL$1:CR$1)-1)*4,1,4))/100</f>
        <v>24192.099582231658</v>
      </c>
      <c r="CS218" s="95">
        <f ca="1">$CK218*SUM(OFFSET($AJ218,0,(COUNTA($CL$1:CS$1)-1)*4,1,4))/100</f>
        <v>16346.013231237608</v>
      </c>
      <c r="CT218" s="95">
        <f ca="1">$CK218*SUM(OFFSET($AJ218,0,(COUNTA($CL$1:CT$1)-1)*4,1,4))/100</f>
        <v>13076.810584990086</v>
      </c>
      <c r="CU218" s="96">
        <f t="shared" si="22"/>
        <v>5834.5471698113206</v>
      </c>
      <c r="CV218" s="96">
        <f t="shared" si="23"/>
        <v>112.06362897065213</v>
      </c>
    </row>
    <row r="219" spans="1:100">
      <c r="A219" s="82" t="str">
        <f ca="1">IF(ISERROR(OFFSET(Map!$E$2,MATCH(D219,Map!$B$3:$B$239,0),0)),OFFSET(Map!$E$2,MATCH(D219,Map!$C$3:$C$239,0),0),OFFSET(Map!$E$2,MATCH(D219,Map!$B$3:$B$239,0),0))</f>
        <v>Vhembe</v>
      </c>
      <c r="B219" s="82">
        <v>218</v>
      </c>
      <c r="C219" s="82" t="s">
        <v>58</v>
      </c>
      <c r="D219" s="82" t="s">
        <v>633</v>
      </c>
      <c r="E219" s="82" t="s">
        <v>634</v>
      </c>
      <c r="F219" s="82">
        <v>516031</v>
      </c>
      <c r="G219" s="82">
        <v>34.799999999999997</v>
      </c>
      <c r="H219" s="82">
        <v>58.1</v>
      </c>
      <c r="I219" s="82">
        <f t="shared" si="18"/>
        <v>299814</v>
      </c>
      <c r="J219" s="82">
        <v>7.1</v>
      </c>
      <c r="K219" s="82">
        <v>72</v>
      </c>
      <c r="L219" s="82">
        <v>84.8</v>
      </c>
      <c r="M219" s="82">
        <v>0.43</v>
      </c>
      <c r="N219" s="82">
        <v>62</v>
      </c>
      <c r="O219" s="82">
        <v>36.700000000000003</v>
      </c>
      <c r="P219" s="82">
        <f t="shared" si="19"/>
        <v>189782</v>
      </c>
      <c r="Q219" s="82">
        <v>49.6</v>
      </c>
      <c r="R219" s="82">
        <v>18.899999999999999</v>
      </c>
      <c r="S219" s="82">
        <v>9.1</v>
      </c>
      <c r="T219" s="82">
        <v>21.8</v>
      </c>
      <c r="U219" s="82">
        <v>134889</v>
      </c>
      <c r="V219" s="82">
        <v>50625</v>
      </c>
      <c r="W219" s="82">
        <v>3.7</v>
      </c>
      <c r="X219" s="82">
        <v>52.1</v>
      </c>
      <c r="Y219" s="82">
        <v>91.9</v>
      </c>
      <c r="Z219" s="82">
        <v>62.2</v>
      </c>
      <c r="AA219" s="82">
        <v>12.1</v>
      </c>
      <c r="AB219" s="82">
        <v>9.5</v>
      </c>
      <c r="AC219" s="82">
        <v>15.7</v>
      </c>
      <c r="AD219" s="82">
        <v>89.4</v>
      </c>
      <c r="AE219" s="82">
        <v>97.3</v>
      </c>
      <c r="AF219" s="82">
        <v>0.2</v>
      </c>
      <c r="AG219" s="82">
        <v>0.4</v>
      </c>
      <c r="AH219" s="82">
        <v>2</v>
      </c>
      <c r="AI219" s="82">
        <v>0.1</v>
      </c>
      <c r="AJ219" s="82">
        <v>6.3</v>
      </c>
      <c r="AK219" s="82">
        <v>6.2</v>
      </c>
      <c r="AL219" s="82">
        <v>5.6</v>
      </c>
      <c r="AM219" s="82">
        <v>5.5</v>
      </c>
      <c r="AN219" s="82">
        <v>5.8</v>
      </c>
      <c r="AO219" s="82">
        <v>5.4</v>
      </c>
      <c r="AP219" s="82">
        <v>6.1</v>
      </c>
      <c r="AQ219" s="82">
        <v>5.8</v>
      </c>
      <c r="AR219" s="82">
        <v>4.7</v>
      </c>
      <c r="AS219" s="82">
        <v>4.7</v>
      </c>
      <c r="AT219" s="82">
        <v>3.3</v>
      </c>
      <c r="AU219" s="82">
        <v>4</v>
      </c>
      <c r="AV219" s="82">
        <v>2.6</v>
      </c>
      <c r="AW219" s="82">
        <v>3.5</v>
      </c>
      <c r="AX219" s="82">
        <v>2.2000000000000002</v>
      </c>
      <c r="AY219" s="82">
        <v>3.2</v>
      </c>
      <c r="AZ219" s="82">
        <v>1.9</v>
      </c>
      <c r="BA219" s="82">
        <v>2.8</v>
      </c>
      <c r="BB219" s="82">
        <v>1.7</v>
      </c>
      <c r="BC219" s="82">
        <v>1.7</v>
      </c>
      <c r="BD219" s="82">
        <v>1.4</v>
      </c>
      <c r="BE219" s="82">
        <v>2.2999999999999998</v>
      </c>
      <c r="BF219" s="82">
        <v>1.2</v>
      </c>
      <c r="BG219" s="82">
        <v>1.8</v>
      </c>
      <c r="BH219" s="82">
        <v>0.9</v>
      </c>
      <c r="BI219" s="82">
        <v>1.3</v>
      </c>
      <c r="BJ219" s="82">
        <v>0.6</v>
      </c>
      <c r="BK219" s="82">
        <v>1.2</v>
      </c>
      <c r="BL219" s="82">
        <v>0.6</v>
      </c>
      <c r="BM219" s="82">
        <v>1</v>
      </c>
      <c r="BN219" s="82">
        <v>0.3</v>
      </c>
      <c r="BO219" s="82">
        <v>1.1000000000000001</v>
      </c>
      <c r="BP219" s="82">
        <v>0.3</v>
      </c>
      <c r="BQ219" s="82">
        <v>0.9</v>
      </c>
      <c r="BR219" s="82">
        <v>0.2</v>
      </c>
      <c r="BS219" s="82">
        <v>0.8</v>
      </c>
      <c r="BT219" s="82">
        <v>78768</v>
      </c>
      <c r="BU219" s="82">
        <v>45705</v>
      </c>
      <c r="BV219" s="82">
        <v>24383</v>
      </c>
      <c r="BW219" s="82">
        <v>151186</v>
      </c>
      <c r="BX219" s="82">
        <v>12.4</v>
      </c>
      <c r="BY219" s="82">
        <v>7.1</v>
      </c>
      <c r="BZ219" s="82">
        <v>12.5</v>
      </c>
      <c r="CA219" s="82">
        <v>25.1</v>
      </c>
      <c r="CB219" s="82">
        <v>22.1</v>
      </c>
      <c r="CC219" s="82">
        <v>8.6999999999999993</v>
      </c>
      <c r="CD219" s="82">
        <v>5.3</v>
      </c>
      <c r="CE219" s="82">
        <v>4.0999999999999996</v>
      </c>
      <c r="CF219" s="82">
        <v>2.1</v>
      </c>
      <c r="CG219" s="82">
        <v>0.4</v>
      </c>
      <c r="CH219" s="82">
        <v>0.1</v>
      </c>
      <c r="CI219" s="82">
        <v>0.1</v>
      </c>
      <c r="CJ219" s="82">
        <f t="shared" si="20"/>
        <v>300042</v>
      </c>
      <c r="CK219" s="82">
        <f t="shared" si="21"/>
        <v>536348.35925815534</v>
      </c>
      <c r="CL219" s="95">
        <f ca="1">$CK219*SUM(OFFSET($AJ219,0,(COUNTA($CL$1:CL$1)-1)*4,1,4))/100</f>
        <v>126578.21278492468</v>
      </c>
      <c r="CM219" s="95">
        <f ca="1">$CK219*SUM(OFFSET($AJ219,0,(COUNTA($CL$1:CM$1)-1)*4,1,4))/100</f>
        <v>123896.47098863387</v>
      </c>
      <c r="CN219" s="95">
        <f ca="1">$CK219*SUM(OFFSET($AJ219,0,(COUNTA($CL$1:CN$1)-1)*4,1,4))/100</f>
        <v>89570.175996111924</v>
      </c>
      <c r="CO219" s="95">
        <f ca="1">$CK219*SUM(OFFSET($AJ219,0,(COUNTA($CL$1:CO$1)-1)*4,1,4))/100</f>
        <v>61680.06131468786</v>
      </c>
      <c r="CP219" s="95">
        <f ca="1">$CK219*SUM(OFFSET($AJ219,0,(COUNTA($CL$1:CP$1)-1)*4,1,4))/100</f>
        <v>43444.21709991058</v>
      </c>
      <c r="CQ219" s="95">
        <f ca="1">$CK219*SUM(OFFSET($AJ219,0,(COUNTA($CL$1:CQ$1)-1)*4,1,4))/100</f>
        <v>35935.340070296406</v>
      </c>
      <c r="CR219" s="95">
        <f ca="1">$CK219*SUM(OFFSET($AJ219,0,(COUNTA($CL$1:CR$1)-1)*4,1,4))/100</f>
        <v>21453.934370326213</v>
      </c>
      <c r="CS219" s="95">
        <f ca="1">$CK219*SUM(OFFSET($AJ219,0,(COUNTA($CL$1:CS$1)-1)*4,1,4))/100</f>
        <v>16090.45077774466</v>
      </c>
      <c r="CT219" s="95">
        <f ca="1">$CK219*SUM(OFFSET($AJ219,0,(COUNTA($CL$1:CT$1)-1)*4,1,4))/100</f>
        <v>11799.663903679419</v>
      </c>
      <c r="CU219" s="96">
        <f t="shared" si="22"/>
        <v>8323.0806451612898</v>
      </c>
      <c r="CV219" s="96">
        <f t="shared" si="23"/>
        <v>64.441086434740612</v>
      </c>
    </row>
    <row r="220" spans="1:100">
      <c r="A220" s="82" t="str">
        <f ca="1">IF(ISERROR(OFFSET(Map!$E$2,MATCH(D220,Map!$B$3:$B$239,0),0)),OFFSET(Map!$E$2,MATCH(D220,Map!$C$3:$C$239,0),0),OFFSET(Map!$E$2,MATCH(D220,Map!$B$3:$B$239,0),0))</f>
        <v>Capricorn</v>
      </c>
      <c r="B220" s="82">
        <v>219</v>
      </c>
      <c r="C220" s="82" t="s">
        <v>58</v>
      </c>
      <c r="D220" s="82" t="s">
        <v>635</v>
      </c>
      <c r="E220" s="82" t="s">
        <v>636</v>
      </c>
      <c r="F220" s="82">
        <v>162629</v>
      </c>
      <c r="G220" s="82">
        <v>39</v>
      </c>
      <c r="H220" s="82">
        <v>53.7</v>
      </c>
      <c r="I220" s="82">
        <f t="shared" si="18"/>
        <v>87332</v>
      </c>
      <c r="J220" s="82">
        <v>7.3</v>
      </c>
      <c r="K220" s="82">
        <v>86.2</v>
      </c>
      <c r="L220" s="82">
        <v>83.8</v>
      </c>
      <c r="M220" s="82">
        <v>-0.54</v>
      </c>
      <c r="N220" s="82">
        <v>18</v>
      </c>
      <c r="O220" s="82">
        <v>39.200000000000003</v>
      </c>
      <c r="P220" s="82">
        <f t="shared" si="19"/>
        <v>53098</v>
      </c>
      <c r="Q220" s="82">
        <v>47.2</v>
      </c>
      <c r="R220" s="82">
        <v>28.3</v>
      </c>
      <c r="S220" s="82">
        <v>5.2</v>
      </c>
      <c r="T220" s="82">
        <v>15.3</v>
      </c>
      <c r="U220" s="82">
        <v>41192</v>
      </c>
      <c r="V220" s="82">
        <v>17483</v>
      </c>
      <c r="W220" s="82">
        <v>3.9</v>
      </c>
      <c r="X220" s="82">
        <v>56.3</v>
      </c>
      <c r="Y220" s="82">
        <v>92.8</v>
      </c>
      <c r="Z220" s="82">
        <v>58.8</v>
      </c>
      <c r="AA220" s="82">
        <v>6.1</v>
      </c>
      <c r="AB220" s="82">
        <v>20.7</v>
      </c>
      <c r="AC220" s="82">
        <v>7.7</v>
      </c>
      <c r="AD220" s="82">
        <v>88</v>
      </c>
      <c r="AE220" s="82">
        <v>99</v>
      </c>
      <c r="AF220" s="82">
        <v>0</v>
      </c>
      <c r="AG220" s="82">
        <v>0.1</v>
      </c>
      <c r="AH220" s="82">
        <v>0.6</v>
      </c>
      <c r="AI220" s="82">
        <v>0.2</v>
      </c>
      <c r="AJ220" s="82">
        <v>6.9</v>
      </c>
      <c r="AK220" s="82">
        <v>6.5</v>
      </c>
      <c r="AL220" s="82">
        <v>6.4</v>
      </c>
      <c r="AM220" s="82">
        <v>6.4</v>
      </c>
      <c r="AN220" s="82">
        <v>6.7</v>
      </c>
      <c r="AO220" s="82">
        <v>6.2</v>
      </c>
      <c r="AP220" s="82">
        <v>6.7</v>
      </c>
      <c r="AQ220" s="82">
        <v>6.6</v>
      </c>
      <c r="AR220" s="82">
        <v>4.5</v>
      </c>
      <c r="AS220" s="82">
        <v>4.8</v>
      </c>
      <c r="AT220" s="82">
        <v>2.5</v>
      </c>
      <c r="AU220" s="82">
        <v>3.4</v>
      </c>
      <c r="AV220" s="82">
        <v>1.9</v>
      </c>
      <c r="AW220" s="82">
        <v>2.8</v>
      </c>
      <c r="AX220" s="82">
        <v>1.6</v>
      </c>
      <c r="AY220" s="82">
        <v>2.7</v>
      </c>
      <c r="AZ220" s="82">
        <v>1.5</v>
      </c>
      <c r="BA220" s="82">
        <v>2.4</v>
      </c>
      <c r="BB220" s="82">
        <v>1.3</v>
      </c>
      <c r="BC220" s="82">
        <v>1.3</v>
      </c>
      <c r="BD220" s="82">
        <v>1.1000000000000001</v>
      </c>
      <c r="BE220" s="82">
        <v>1.9</v>
      </c>
      <c r="BF220" s="82">
        <v>1.1000000000000001</v>
      </c>
      <c r="BG220" s="82">
        <v>1.6</v>
      </c>
      <c r="BH220" s="82">
        <v>1.1000000000000001</v>
      </c>
      <c r="BI220" s="82">
        <v>1.7</v>
      </c>
      <c r="BJ220" s="82">
        <v>0.8</v>
      </c>
      <c r="BK220" s="82">
        <v>1.3</v>
      </c>
      <c r="BL220" s="82">
        <v>0.7</v>
      </c>
      <c r="BM220" s="82">
        <v>1.3</v>
      </c>
      <c r="BN220" s="82">
        <v>0.4</v>
      </c>
      <c r="BO220" s="82">
        <v>0.9</v>
      </c>
      <c r="BP220" s="82">
        <v>0.3</v>
      </c>
      <c r="BQ220" s="82">
        <v>0.7</v>
      </c>
      <c r="BR220" s="82">
        <v>0.3</v>
      </c>
      <c r="BS220" s="82">
        <v>0.6</v>
      </c>
      <c r="BT220" s="82">
        <v>15839</v>
      </c>
      <c r="BU220" s="82">
        <v>10231</v>
      </c>
      <c r="BV220" s="82">
        <v>5198</v>
      </c>
      <c r="BW220" s="82">
        <v>56089</v>
      </c>
      <c r="BX220" s="82">
        <v>15.8</v>
      </c>
      <c r="BY220" s="82">
        <v>6.6</v>
      </c>
      <c r="BZ220" s="82">
        <v>13.6</v>
      </c>
      <c r="CA220" s="82">
        <v>27</v>
      </c>
      <c r="CB220" s="82">
        <v>22.7</v>
      </c>
      <c r="CC220" s="82">
        <v>6.8</v>
      </c>
      <c r="CD220" s="82">
        <v>3.7</v>
      </c>
      <c r="CE220" s="82">
        <v>2.6</v>
      </c>
      <c r="CF220" s="82">
        <v>0.8</v>
      </c>
      <c r="CG220" s="82">
        <v>0.1</v>
      </c>
      <c r="CH220" s="82">
        <v>0.1</v>
      </c>
      <c r="CI220" s="82">
        <v>0.1</v>
      </c>
      <c r="CJ220" s="82">
        <f t="shared" si="20"/>
        <v>87357</v>
      </c>
      <c r="CK220" s="82">
        <f t="shared" si="21"/>
        <v>154893.81825923742</v>
      </c>
      <c r="CL220" s="95">
        <f ca="1">$CK220*SUM(OFFSET($AJ220,0,(COUNTA($CL$1:CL$1)-1)*4,1,4))/100</f>
        <v>40582.180383920211</v>
      </c>
      <c r="CM220" s="95">
        <f ca="1">$CK220*SUM(OFFSET($AJ220,0,(COUNTA($CL$1:CM$1)-1)*4,1,4))/100</f>
        <v>40582.180383920211</v>
      </c>
      <c r="CN220" s="95">
        <f ca="1">$CK220*SUM(OFFSET($AJ220,0,(COUNTA($CL$1:CN$1)-1)*4,1,4))/100</f>
        <v>23543.860375404089</v>
      </c>
      <c r="CO220" s="95">
        <f ca="1">$CK220*SUM(OFFSET($AJ220,0,(COUNTA($CL$1:CO$1)-1)*4,1,4))/100</f>
        <v>13940.443643331368</v>
      </c>
      <c r="CP220" s="95">
        <f ca="1">$CK220*SUM(OFFSET($AJ220,0,(COUNTA($CL$1:CP$1)-1)*4,1,4))/100</f>
        <v>10068.098186850433</v>
      </c>
      <c r="CQ220" s="95">
        <f ca="1">$CK220*SUM(OFFSET($AJ220,0,(COUNTA($CL$1:CQ$1)-1)*4,1,4))/100</f>
        <v>8828.9476407765324</v>
      </c>
      <c r="CR220" s="95">
        <f ca="1">$CK220*SUM(OFFSET($AJ220,0,(COUNTA($CL$1:CR$1)-1)*4,1,4))/100</f>
        <v>7589.7970947026333</v>
      </c>
      <c r="CS220" s="95">
        <f ca="1">$CK220*SUM(OFFSET($AJ220,0,(COUNTA($CL$1:CS$1)-1)*4,1,4))/100</f>
        <v>5111.4960025548344</v>
      </c>
      <c r="CT220" s="95">
        <f ca="1">$CK220*SUM(OFFSET($AJ220,0,(COUNTA($CL$1:CT$1)-1)*4,1,4))/100</f>
        <v>2942.9825469255111</v>
      </c>
      <c r="CU220" s="96">
        <f t="shared" si="22"/>
        <v>9034.9444444444453</v>
      </c>
      <c r="CV220" s="96">
        <f t="shared" si="23"/>
        <v>17.143859512548644</v>
      </c>
    </row>
    <row r="221" spans="1:100">
      <c r="A221" s="82" t="str">
        <f ca="1">IF(ISERROR(OFFSET(Map!$E$2,MATCH(D221,Map!$B$3:$B$239,0),0)),OFFSET(Map!$E$2,MATCH(D221,Map!$C$3:$C$239,0),0),OFFSET(Map!$E$2,MATCH(D221,Map!$B$3:$B$239,0),0))</f>
        <v>Capricorn</v>
      </c>
      <c r="B221" s="82">
        <v>220</v>
      </c>
      <c r="C221" s="82" t="s">
        <v>58</v>
      </c>
      <c r="D221" s="82" t="s">
        <v>637</v>
      </c>
      <c r="E221" s="82" t="s">
        <v>638</v>
      </c>
      <c r="F221" s="82">
        <v>131164</v>
      </c>
      <c r="G221" s="82">
        <v>37.4</v>
      </c>
      <c r="H221" s="82">
        <v>52.7</v>
      </c>
      <c r="I221" s="82">
        <f t="shared" si="18"/>
        <v>69123</v>
      </c>
      <c r="J221" s="82">
        <v>10</v>
      </c>
      <c r="K221" s="82">
        <v>89.9</v>
      </c>
      <c r="L221" s="82">
        <v>82.2</v>
      </c>
      <c r="M221" s="82">
        <v>-1.1299999999999999</v>
      </c>
      <c r="N221" s="82">
        <v>70</v>
      </c>
      <c r="O221" s="82">
        <v>50.4</v>
      </c>
      <c r="P221" s="82">
        <f t="shared" si="19"/>
        <v>34285</v>
      </c>
      <c r="Q221" s="82">
        <v>65</v>
      </c>
      <c r="R221" s="82">
        <v>15.5</v>
      </c>
      <c r="S221" s="82">
        <v>6.5</v>
      </c>
      <c r="T221" s="82">
        <v>21.4</v>
      </c>
      <c r="U221" s="82">
        <v>33918</v>
      </c>
      <c r="V221" s="82">
        <v>16279</v>
      </c>
      <c r="W221" s="82">
        <v>3.8</v>
      </c>
      <c r="X221" s="82">
        <v>56.2</v>
      </c>
      <c r="Y221" s="82">
        <v>96.5</v>
      </c>
      <c r="Z221" s="82">
        <v>42.8</v>
      </c>
      <c r="AA221" s="82">
        <v>1.7</v>
      </c>
      <c r="AB221" s="82">
        <v>0.7</v>
      </c>
      <c r="AC221" s="82">
        <v>7</v>
      </c>
      <c r="AD221" s="82">
        <v>94.6</v>
      </c>
      <c r="AE221" s="82">
        <v>99.6</v>
      </c>
      <c r="AF221" s="82">
        <v>0.1</v>
      </c>
      <c r="AG221" s="82">
        <v>0.1</v>
      </c>
      <c r="AH221" s="82">
        <v>0.1</v>
      </c>
      <c r="AI221" s="82">
        <v>0.2</v>
      </c>
      <c r="AJ221" s="82">
        <v>6.4</v>
      </c>
      <c r="AK221" s="82">
        <v>6.5</v>
      </c>
      <c r="AL221" s="82">
        <v>6.1</v>
      </c>
      <c r="AM221" s="82">
        <v>6</v>
      </c>
      <c r="AN221" s="82">
        <v>6.3</v>
      </c>
      <c r="AO221" s="82">
        <v>6</v>
      </c>
      <c r="AP221" s="82">
        <v>6.9</v>
      </c>
      <c r="AQ221" s="82">
        <v>6.3</v>
      </c>
      <c r="AR221" s="82">
        <v>3.9</v>
      </c>
      <c r="AS221" s="82">
        <v>4.2</v>
      </c>
      <c r="AT221" s="82">
        <v>2.2000000000000002</v>
      </c>
      <c r="AU221" s="82">
        <v>3.2</v>
      </c>
      <c r="AV221" s="82">
        <v>1.6</v>
      </c>
      <c r="AW221" s="82">
        <v>2.2999999999999998</v>
      </c>
      <c r="AX221" s="82">
        <v>1.5</v>
      </c>
      <c r="AY221" s="82">
        <v>2.2999999999999998</v>
      </c>
      <c r="AZ221" s="82">
        <v>1.4</v>
      </c>
      <c r="BA221" s="82">
        <v>2.2000000000000002</v>
      </c>
      <c r="BB221" s="82">
        <v>1.4</v>
      </c>
      <c r="BC221" s="82">
        <v>1.4</v>
      </c>
      <c r="BD221" s="82">
        <v>1.4</v>
      </c>
      <c r="BE221" s="82">
        <v>2.2000000000000002</v>
      </c>
      <c r="BF221" s="82">
        <v>1.3</v>
      </c>
      <c r="BG221" s="82">
        <v>2.1</v>
      </c>
      <c r="BH221" s="82">
        <v>1.4</v>
      </c>
      <c r="BI221" s="82">
        <v>2.1</v>
      </c>
      <c r="BJ221" s="82">
        <v>1</v>
      </c>
      <c r="BK221" s="82">
        <v>1.8</v>
      </c>
      <c r="BL221" s="82">
        <v>1</v>
      </c>
      <c r="BM221" s="82">
        <v>1.7</v>
      </c>
      <c r="BN221" s="82">
        <v>0.6</v>
      </c>
      <c r="BO221" s="82">
        <v>1.2</v>
      </c>
      <c r="BP221" s="82">
        <v>0.3</v>
      </c>
      <c r="BQ221" s="82">
        <v>1</v>
      </c>
      <c r="BR221" s="82">
        <v>0.3</v>
      </c>
      <c r="BS221" s="82">
        <v>1</v>
      </c>
      <c r="BT221" s="82">
        <v>11401</v>
      </c>
      <c r="BU221" s="82">
        <v>11581</v>
      </c>
      <c r="BV221" s="82">
        <v>3996</v>
      </c>
      <c r="BW221" s="82">
        <v>42083</v>
      </c>
      <c r="BX221" s="82">
        <v>13.2</v>
      </c>
      <c r="BY221" s="82">
        <v>5.6</v>
      </c>
      <c r="BZ221" s="82">
        <v>10.5</v>
      </c>
      <c r="CA221" s="82">
        <v>29.1</v>
      </c>
      <c r="CB221" s="82">
        <v>25.2</v>
      </c>
      <c r="CC221" s="82">
        <v>8.8000000000000007</v>
      </c>
      <c r="CD221" s="82">
        <v>4.2</v>
      </c>
      <c r="CE221" s="82">
        <v>2.2999999999999998</v>
      </c>
      <c r="CF221" s="82">
        <v>0.8</v>
      </c>
      <c r="CG221" s="82">
        <v>0.1</v>
      </c>
      <c r="CH221" s="82">
        <v>0</v>
      </c>
      <c r="CI221" s="82">
        <v>0.1</v>
      </c>
      <c r="CJ221" s="82">
        <f t="shared" si="20"/>
        <v>69061</v>
      </c>
      <c r="CK221" s="82">
        <f t="shared" si="21"/>
        <v>118411.93004661509</v>
      </c>
      <c r="CL221" s="95">
        <f ca="1">$CK221*SUM(OFFSET($AJ221,0,(COUNTA($CL$1:CL$1)-1)*4,1,4))/100</f>
        <v>29602.982511653776</v>
      </c>
      <c r="CM221" s="95">
        <f ca="1">$CK221*SUM(OFFSET($AJ221,0,(COUNTA($CL$1:CM$1)-1)*4,1,4))/100</f>
        <v>30195.042161886849</v>
      </c>
      <c r="CN221" s="95">
        <f ca="1">$CK221*SUM(OFFSET($AJ221,0,(COUNTA($CL$1:CN$1)-1)*4,1,4))/100</f>
        <v>15985.610556293037</v>
      </c>
      <c r="CO221" s="95">
        <f ca="1">$CK221*SUM(OFFSET($AJ221,0,(COUNTA($CL$1:CO$1)-1)*4,1,4))/100</f>
        <v>9117.7186135893626</v>
      </c>
      <c r="CP221" s="95">
        <f ca="1">$CK221*SUM(OFFSET($AJ221,0,(COUNTA($CL$1:CP$1)-1)*4,1,4))/100</f>
        <v>7578.3635229833653</v>
      </c>
      <c r="CQ221" s="95">
        <f ca="1">$CK221*SUM(OFFSET($AJ221,0,(COUNTA($CL$1:CQ$1)-1)*4,1,4))/100</f>
        <v>8288.8351032630562</v>
      </c>
      <c r="CR221" s="95">
        <f ca="1">$CK221*SUM(OFFSET($AJ221,0,(COUNTA($CL$1:CR$1)-1)*4,1,4))/100</f>
        <v>7459.9515929367508</v>
      </c>
      <c r="CS221" s="95">
        <f ca="1">$CK221*SUM(OFFSET($AJ221,0,(COUNTA($CL$1:CS$1)-1)*4,1,4))/100</f>
        <v>5328.536852097679</v>
      </c>
      <c r="CT221" s="95">
        <f ca="1">$CK221*SUM(OFFSET($AJ221,0,(COUNTA($CL$1:CT$1)-1)*4,1,4))/100</f>
        <v>3078.7101812119922</v>
      </c>
      <c r="CU221" s="96">
        <f t="shared" si="22"/>
        <v>1873.7714285714285</v>
      </c>
      <c r="CV221" s="96">
        <f t="shared" si="23"/>
        <v>63.194436760567356</v>
      </c>
    </row>
    <row r="222" spans="1:100">
      <c r="A222" s="82" t="str">
        <f ca="1">IF(ISERROR(OFFSET(Map!$E$2,MATCH(D222,Map!$B$3:$B$239,0),0)),OFFSET(Map!$E$2,MATCH(D222,Map!$C$3:$C$239,0),0),OFFSET(Map!$E$2,MATCH(D222,Map!$B$3:$B$239,0),0))</f>
        <v>Capricorn</v>
      </c>
      <c r="B222" s="82">
        <v>221</v>
      </c>
      <c r="C222" s="82" t="s">
        <v>58</v>
      </c>
      <c r="D222" s="82" t="s">
        <v>639</v>
      </c>
      <c r="E222" s="82" t="s">
        <v>640</v>
      </c>
      <c r="F222" s="82">
        <v>108321</v>
      </c>
      <c r="G222" s="82">
        <v>35.6</v>
      </c>
      <c r="H222" s="82">
        <v>56.9</v>
      </c>
      <c r="I222" s="82">
        <f t="shared" si="18"/>
        <v>61635</v>
      </c>
      <c r="J222" s="82">
        <v>7.6</v>
      </c>
      <c r="K222" s="82">
        <v>75.900000000000006</v>
      </c>
      <c r="L222" s="82">
        <v>85.4</v>
      </c>
      <c r="M222" s="82">
        <v>-0.1</v>
      </c>
      <c r="N222" s="82">
        <v>32</v>
      </c>
      <c r="O222" s="82">
        <v>42.7</v>
      </c>
      <c r="P222" s="82">
        <f t="shared" si="19"/>
        <v>35317</v>
      </c>
      <c r="Q222" s="82">
        <v>52.5</v>
      </c>
      <c r="R222" s="82">
        <v>20.2</v>
      </c>
      <c r="S222" s="82">
        <v>8.9</v>
      </c>
      <c r="T222" s="82">
        <v>18.5</v>
      </c>
      <c r="U222" s="82">
        <v>30043</v>
      </c>
      <c r="V222" s="82">
        <v>8003</v>
      </c>
      <c r="W222" s="82">
        <v>3.5</v>
      </c>
      <c r="X222" s="82">
        <v>53</v>
      </c>
      <c r="Y222" s="82">
        <v>95.8</v>
      </c>
      <c r="Z222" s="82">
        <v>65.3</v>
      </c>
      <c r="AA222" s="82">
        <v>13.2</v>
      </c>
      <c r="AB222" s="82">
        <v>5.6</v>
      </c>
      <c r="AC222" s="82">
        <v>9.4</v>
      </c>
      <c r="AD222" s="82">
        <v>95.7</v>
      </c>
      <c r="AE222" s="82">
        <v>98.4</v>
      </c>
      <c r="AF222" s="82">
        <v>0.1</v>
      </c>
      <c r="AG222" s="82">
        <v>0.1</v>
      </c>
      <c r="AH222" s="82">
        <v>1.1000000000000001</v>
      </c>
      <c r="AI222" s="82">
        <v>0.3</v>
      </c>
      <c r="AJ222" s="82">
        <v>6.5</v>
      </c>
      <c r="AK222" s="82">
        <v>6.6</v>
      </c>
      <c r="AL222" s="82">
        <v>5.6</v>
      </c>
      <c r="AM222" s="82">
        <v>5.5</v>
      </c>
      <c r="AN222" s="82">
        <v>5.9</v>
      </c>
      <c r="AO222" s="82">
        <v>5.5</v>
      </c>
      <c r="AP222" s="82">
        <v>6.5</v>
      </c>
      <c r="AQ222" s="82">
        <v>6.1</v>
      </c>
      <c r="AR222" s="82">
        <v>4.7</v>
      </c>
      <c r="AS222" s="82">
        <v>4.5</v>
      </c>
      <c r="AT222" s="82">
        <v>3.1</v>
      </c>
      <c r="AU222" s="82">
        <v>3.9</v>
      </c>
      <c r="AV222" s="82">
        <v>2.2999999999999998</v>
      </c>
      <c r="AW222" s="82">
        <v>2.9</v>
      </c>
      <c r="AX222" s="82">
        <v>2</v>
      </c>
      <c r="AY222" s="82">
        <v>2.9</v>
      </c>
      <c r="AZ222" s="82">
        <v>1.8</v>
      </c>
      <c r="BA222" s="82">
        <v>2.6</v>
      </c>
      <c r="BB222" s="82">
        <v>1.6</v>
      </c>
      <c r="BC222" s="82">
        <v>1.6</v>
      </c>
      <c r="BD222" s="82">
        <v>1.3</v>
      </c>
      <c r="BE222" s="82">
        <v>2.1</v>
      </c>
      <c r="BF222" s="82">
        <v>1.3</v>
      </c>
      <c r="BG222" s="82">
        <v>1.8</v>
      </c>
      <c r="BH222" s="82">
        <v>1.1000000000000001</v>
      </c>
      <c r="BI222" s="82">
        <v>1.7</v>
      </c>
      <c r="BJ222" s="82">
        <v>0.9</v>
      </c>
      <c r="BK222" s="82">
        <v>1.3</v>
      </c>
      <c r="BL222" s="82">
        <v>0.6</v>
      </c>
      <c r="BM222" s="82">
        <v>1.3</v>
      </c>
      <c r="BN222" s="82">
        <v>0.4</v>
      </c>
      <c r="BO222" s="82">
        <v>0.9</v>
      </c>
      <c r="BP222" s="82">
        <v>0.3</v>
      </c>
      <c r="BQ222" s="82">
        <v>0.9</v>
      </c>
      <c r="BR222" s="82">
        <v>0.2</v>
      </c>
      <c r="BS222" s="82">
        <v>0.7</v>
      </c>
      <c r="BT222" s="82">
        <v>15225</v>
      </c>
      <c r="BU222" s="82">
        <v>11344</v>
      </c>
      <c r="BV222" s="82">
        <v>2948</v>
      </c>
      <c r="BW222" s="82">
        <v>32080</v>
      </c>
      <c r="BX222" s="82">
        <v>14.6</v>
      </c>
      <c r="BY222" s="82">
        <v>5.7</v>
      </c>
      <c r="BZ222" s="82">
        <v>11.9</v>
      </c>
      <c r="CA222" s="82">
        <v>27.9</v>
      </c>
      <c r="CB222" s="82">
        <v>21.9</v>
      </c>
      <c r="CC222" s="82">
        <v>7.8</v>
      </c>
      <c r="CD222" s="82">
        <v>4.9000000000000004</v>
      </c>
      <c r="CE222" s="82">
        <v>3.3</v>
      </c>
      <c r="CF222" s="82">
        <v>1.4</v>
      </c>
      <c r="CG222" s="82">
        <v>0.3</v>
      </c>
      <c r="CH222" s="82">
        <v>0.2</v>
      </c>
      <c r="CI222" s="82">
        <v>0.1</v>
      </c>
      <c r="CJ222" s="82">
        <f t="shared" si="20"/>
        <v>61597</v>
      </c>
      <c r="CK222" s="82">
        <f t="shared" si="21"/>
        <v>107350.00147067082</v>
      </c>
      <c r="CL222" s="95">
        <f ca="1">$CK222*SUM(OFFSET($AJ222,0,(COUNTA($CL$1:CL$1)-1)*4,1,4))/100</f>
        <v>25978.700355902336</v>
      </c>
      <c r="CM222" s="95">
        <f ca="1">$CK222*SUM(OFFSET($AJ222,0,(COUNTA($CL$1:CM$1)-1)*4,1,4))/100</f>
        <v>25764.000352960997</v>
      </c>
      <c r="CN222" s="95">
        <f ca="1">$CK222*SUM(OFFSET($AJ222,0,(COUNTA($CL$1:CN$1)-1)*4,1,4))/100</f>
        <v>17390.700238248672</v>
      </c>
      <c r="CO222" s="95">
        <f ca="1">$CK222*SUM(OFFSET($AJ222,0,(COUNTA($CL$1:CO$1)-1)*4,1,4))/100</f>
        <v>10842.350148537753</v>
      </c>
      <c r="CP222" s="95">
        <f ca="1">$CK222*SUM(OFFSET($AJ222,0,(COUNTA($CL$1:CP$1)-1)*4,1,4))/100</f>
        <v>8158.6001117709811</v>
      </c>
      <c r="CQ222" s="95">
        <f ca="1">$CK222*SUM(OFFSET($AJ222,0,(COUNTA($CL$1:CQ$1)-1)*4,1,4))/100</f>
        <v>6977.750095593603</v>
      </c>
      <c r="CR222" s="95">
        <f ca="1">$CK222*SUM(OFFSET($AJ222,0,(COUNTA($CL$1:CR$1)-1)*4,1,4))/100</f>
        <v>5367.5000735335416</v>
      </c>
      <c r="CS222" s="95">
        <f ca="1">$CK222*SUM(OFFSET($AJ222,0,(COUNTA($CL$1:CS$1)-1)*4,1,4))/100</f>
        <v>3435.2000470614662</v>
      </c>
      <c r="CT222" s="95">
        <f ca="1">$CK222*SUM(OFFSET($AJ222,0,(COUNTA($CL$1:CT$1)-1)*4,1,4))/100</f>
        <v>2254.3500308840867</v>
      </c>
      <c r="CU222" s="96">
        <f t="shared" si="22"/>
        <v>3385.03125</v>
      </c>
      <c r="CV222" s="96">
        <f t="shared" si="23"/>
        <v>31.713149316027973</v>
      </c>
    </row>
    <row r="223" spans="1:100">
      <c r="A223" s="82" t="str">
        <f ca="1">IF(ISERROR(OFFSET(Map!$E$2,MATCH(D223,Map!$B$3:$B$239,0),0)),OFFSET(Map!$E$2,MATCH(D223,Map!$C$3:$C$239,0),0),OFFSET(Map!$E$2,MATCH(D223,Map!$B$3:$B$239,0),0))</f>
        <v>Capricorn</v>
      </c>
      <c r="B223" s="82">
        <v>222</v>
      </c>
      <c r="C223" s="82" t="s">
        <v>58</v>
      </c>
      <c r="D223" s="82" t="s">
        <v>641</v>
      </c>
      <c r="E223" s="82" t="s">
        <v>642</v>
      </c>
      <c r="F223" s="82">
        <v>628999</v>
      </c>
      <c r="G223" s="82">
        <v>30.1</v>
      </c>
      <c r="H223" s="82">
        <v>64.8</v>
      </c>
      <c r="I223" s="82">
        <f t="shared" si="18"/>
        <v>407591</v>
      </c>
      <c r="J223" s="82">
        <v>5.0999999999999996</v>
      </c>
      <c r="K223" s="82">
        <v>54.3</v>
      </c>
      <c r="L223" s="82">
        <v>92.5</v>
      </c>
      <c r="M223" s="82">
        <v>2.13</v>
      </c>
      <c r="N223" s="82">
        <v>167</v>
      </c>
      <c r="O223" s="82">
        <v>32.4</v>
      </c>
      <c r="P223" s="82">
        <f t="shared" si="19"/>
        <v>275532</v>
      </c>
      <c r="Q223" s="82">
        <v>42</v>
      </c>
      <c r="R223" s="82">
        <v>6.7</v>
      </c>
      <c r="S223" s="82">
        <v>17.3</v>
      </c>
      <c r="T223" s="82">
        <v>29.5</v>
      </c>
      <c r="U223" s="82">
        <v>178001</v>
      </c>
      <c r="V223" s="82">
        <v>41867</v>
      </c>
      <c r="W223" s="82">
        <v>3.4</v>
      </c>
      <c r="X223" s="82">
        <v>44.8</v>
      </c>
      <c r="Y223" s="82">
        <v>89.4</v>
      </c>
      <c r="Z223" s="82">
        <v>56.4</v>
      </c>
      <c r="AA223" s="82">
        <v>41.1</v>
      </c>
      <c r="AB223" s="82">
        <v>44.4</v>
      </c>
      <c r="AC223" s="82">
        <v>33.700000000000003</v>
      </c>
      <c r="AD223" s="82">
        <v>83</v>
      </c>
      <c r="AE223" s="82">
        <v>92.9</v>
      </c>
      <c r="AF223" s="82">
        <v>0.9</v>
      </c>
      <c r="AG223" s="82">
        <v>0.7</v>
      </c>
      <c r="AH223" s="82">
        <v>5.2</v>
      </c>
      <c r="AI223" s="82">
        <v>0.2</v>
      </c>
      <c r="AJ223" s="82">
        <v>5.7</v>
      </c>
      <c r="AK223" s="82">
        <v>5.7</v>
      </c>
      <c r="AL223" s="82">
        <v>4.7</v>
      </c>
      <c r="AM223" s="82">
        <v>4.7</v>
      </c>
      <c r="AN223" s="82">
        <v>4.8</v>
      </c>
      <c r="AO223" s="82">
        <v>4.5999999999999996</v>
      </c>
      <c r="AP223" s="82">
        <v>5.3</v>
      </c>
      <c r="AQ223" s="82">
        <v>5.4</v>
      </c>
      <c r="AR223" s="82">
        <v>5.8</v>
      </c>
      <c r="AS223" s="82">
        <v>5.5</v>
      </c>
      <c r="AT223" s="82">
        <v>4.8</v>
      </c>
      <c r="AU223" s="82">
        <v>4.9000000000000004</v>
      </c>
      <c r="AV223" s="82">
        <v>3.7</v>
      </c>
      <c r="AW223" s="82">
        <v>3.8</v>
      </c>
      <c r="AX223" s="82">
        <v>2.9</v>
      </c>
      <c r="AY223" s="82">
        <v>3.4</v>
      </c>
      <c r="AZ223" s="82">
        <v>2.5</v>
      </c>
      <c r="BA223" s="82">
        <v>3</v>
      </c>
      <c r="BB223" s="82">
        <v>2.1</v>
      </c>
      <c r="BC223" s="82">
        <v>2.1</v>
      </c>
      <c r="BD223" s="82">
        <v>1.7</v>
      </c>
      <c r="BE223" s="82">
        <v>2</v>
      </c>
      <c r="BF223" s="82">
        <v>1.4</v>
      </c>
      <c r="BG223" s="82">
        <v>1.6</v>
      </c>
      <c r="BH223" s="82">
        <v>1</v>
      </c>
      <c r="BI223" s="82">
        <v>1.3</v>
      </c>
      <c r="BJ223" s="82">
        <v>0.7</v>
      </c>
      <c r="BK223" s="82">
        <v>1</v>
      </c>
      <c r="BL223" s="82">
        <v>0.5</v>
      </c>
      <c r="BM223" s="82">
        <v>0.8</v>
      </c>
      <c r="BN223" s="82">
        <v>0.3</v>
      </c>
      <c r="BO223" s="82">
        <v>0.6</v>
      </c>
      <c r="BP223" s="82">
        <v>0.2</v>
      </c>
      <c r="BQ223" s="82">
        <v>0.4</v>
      </c>
      <c r="BR223" s="82">
        <v>0.1</v>
      </c>
      <c r="BS223" s="82">
        <v>0.4</v>
      </c>
      <c r="BT223" s="82">
        <v>155691</v>
      </c>
      <c r="BU223" s="82">
        <v>74784</v>
      </c>
      <c r="BV223" s="82">
        <v>14798</v>
      </c>
      <c r="BW223" s="82">
        <v>162442</v>
      </c>
      <c r="BX223" s="82">
        <v>13.8</v>
      </c>
      <c r="BY223" s="82">
        <v>4.8</v>
      </c>
      <c r="BZ223" s="82">
        <v>8.5</v>
      </c>
      <c r="CA223" s="82">
        <v>19.3</v>
      </c>
      <c r="CB223" s="82">
        <v>19.7</v>
      </c>
      <c r="CC223" s="82">
        <v>11.7</v>
      </c>
      <c r="CD223" s="82">
        <v>8.1</v>
      </c>
      <c r="CE223" s="82">
        <v>7.2</v>
      </c>
      <c r="CF223" s="82">
        <v>4.5999999999999996</v>
      </c>
      <c r="CG223" s="82">
        <v>1.6</v>
      </c>
      <c r="CH223" s="82">
        <v>0.4</v>
      </c>
      <c r="CI223" s="82">
        <v>0.3</v>
      </c>
      <c r="CJ223" s="82">
        <f t="shared" si="20"/>
        <v>407715</v>
      </c>
      <c r="CK223" s="82">
        <f t="shared" si="21"/>
        <v>760378.69896757149</v>
      </c>
      <c r="CL223" s="95">
        <f ca="1">$CK223*SUM(OFFSET($AJ223,0,(COUNTA($CL$1:CL$1)-1)*4,1,4))/100</f>
        <v>158158.76938525485</v>
      </c>
      <c r="CM223" s="95">
        <f ca="1">$CK223*SUM(OFFSET($AJ223,0,(COUNTA($CL$1:CM$1)-1)*4,1,4))/100</f>
        <v>152836.11849248188</v>
      </c>
      <c r="CN223" s="95">
        <f ca="1">$CK223*SUM(OFFSET($AJ223,0,(COUNTA($CL$1:CN$1)-1)*4,1,4))/100</f>
        <v>159679.52678319003</v>
      </c>
      <c r="CO223" s="95">
        <f ca="1">$CK223*SUM(OFFSET($AJ223,0,(COUNTA($CL$1:CO$1)-1)*4,1,4))/100</f>
        <v>104932.26045752486</v>
      </c>
      <c r="CP223" s="95">
        <f ca="1">$CK223*SUM(OFFSET($AJ223,0,(COUNTA($CL$1:CP$1)-1)*4,1,4))/100</f>
        <v>73756.733799854439</v>
      </c>
      <c r="CQ223" s="95">
        <f ca="1">$CK223*SUM(OFFSET($AJ223,0,(COUNTA($CL$1:CQ$1)-1)*4,1,4))/100</f>
        <v>50945.372830827284</v>
      </c>
      <c r="CR223" s="95">
        <f ca="1">$CK223*SUM(OFFSET($AJ223,0,(COUNTA($CL$1:CR$1)-1)*4,1,4))/100</f>
        <v>30415.147958702859</v>
      </c>
      <c r="CS223" s="95">
        <f ca="1">$CK223*SUM(OFFSET($AJ223,0,(COUNTA($CL$1:CS$1)-1)*4,1,4))/100</f>
        <v>16728.331377286573</v>
      </c>
      <c r="CT223" s="95">
        <f ca="1">$CK223*SUM(OFFSET($AJ223,0,(COUNTA($CL$1:CT$1)-1)*4,1,4))/100</f>
        <v>8364.1656886432866</v>
      </c>
      <c r="CU223" s="96">
        <f t="shared" si="22"/>
        <v>3766.4610778443116</v>
      </c>
      <c r="CV223" s="96">
        <f t="shared" si="23"/>
        <v>201.88146996670017</v>
      </c>
    </row>
    <row r="224" spans="1:100">
      <c r="A224" s="82" t="str">
        <f ca="1">IF(ISERROR(OFFSET(Map!$E$2,MATCH(D224,Map!$B$3:$B$239,0),0)),OFFSET(Map!$E$2,MATCH(D224,Map!$C$3:$C$239,0),0),OFFSET(Map!$E$2,MATCH(D224,Map!$B$3:$B$239,0),0))</f>
        <v>Capricorn</v>
      </c>
      <c r="B224" s="82">
        <v>223</v>
      </c>
      <c r="C224" s="82" t="s">
        <v>58</v>
      </c>
      <c r="D224" s="82" t="s">
        <v>643</v>
      </c>
      <c r="E224" s="82" t="s">
        <v>644</v>
      </c>
      <c r="F224" s="82">
        <v>230350</v>
      </c>
      <c r="G224" s="82">
        <v>36</v>
      </c>
      <c r="H224" s="82">
        <v>56.2</v>
      </c>
      <c r="I224" s="82">
        <f t="shared" si="18"/>
        <v>129457</v>
      </c>
      <c r="J224" s="82">
        <v>7.8</v>
      </c>
      <c r="K224" s="82">
        <v>77.900000000000006</v>
      </c>
      <c r="L224" s="82">
        <v>83.5</v>
      </c>
      <c r="M224" s="82">
        <v>0.1</v>
      </c>
      <c r="N224" s="82">
        <v>67</v>
      </c>
      <c r="O224" s="82">
        <v>48.1</v>
      </c>
      <c r="P224" s="82">
        <f t="shared" si="19"/>
        <v>67188</v>
      </c>
      <c r="Q224" s="82">
        <v>62.4</v>
      </c>
      <c r="R224" s="82">
        <v>18.5</v>
      </c>
      <c r="S224" s="82">
        <v>11.1</v>
      </c>
      <c r="T224" s="82">
        <v>22.2</v>
      </c>
      <c r="U224" s="82">
        <v>59682</v>
      </c>
      <c r="V224" s="82">
        <v>20483</v>
      </c>
      <c r="W224" s="82">
        <v>3.8</v>
      </c>
      <c r="X224" s="82">
        <v>56</v>
      </c>
      <c r="Y224" s="82">
        <v>94.5</v>
      </c>
      <c r="Z224" s="82">
        <v>67.599999999999994</v>
      </c>
      <c r="AA224" s="82">
        <v>18.399999999999999</v>
      </c>
      <c r="AB224" s="82">
        <v>20.5</v>
      </c>
      <c r="AC224" s="82">
        <v>19.3</v>
      </c>
      <c r="AD224" s="82">
        <v>91.9</v>
      </c>
      <c r="AE224" s="82">
        <v>99.6</v>
      </c>
      <c r="AF224" s="82">
        <v>0.1</v>
      </c>
      <c r="AG224" s="82">
        <v>0.1</v>
      </c>
      <c r="AH224" s="82">
        <v>0.1</v>
      </c>
      <c r="AI224" s="82">
        <v>0.1</v>
      </c>
      <c r="AJ224" s="82">
        <v>6.7</v>
      </c>
      <c r="AK224" s="82">
        <v>6.6</v>
      </c>
      <c r="AL224" s="82">
        <v>5.9</v>
      </c>
      <c r="AM224" s="82">
        <v>5.8</v>
      </c>
      <c r="AN224" s="82">
        <v>5.6</v>
      </c>
      <c r="AO224" s="82">
        <v>5.4</v>
      </c>
      <c r="AP224" s="82">
        <v>6.2</v>
      </c>
      <c r="AQ224" s="82">
        <v>5.9</v>
      </c>
      <c r="AR224" s="82">
        <v>4.4000000000000004</v>
      </c>
      <c r="AS224" s="82">
        <v>4.5</v>
      </c>
      <c r="AT224" s="82">
        <v>3.1</v>
      </c>
      <c r="AU224" s="82">
        <v>3.7</v>
      </c>
      <c r="AV224" s="82">
        <v>2.2000000000000002</v>
      </c>
      <c r="AW224" s="82">
        <v>3</v>
      </c>
      <c r="AX224" s="82">
        <v>1.9</v>
      </c>
      <c r="AY224" s="82">
        <v>3</v>
      </c>
      <c r="AZ224" s="82">
        <v>1.8</v>
      </c>
      <c r="BA224" s="82">
        <v>2.7</v>
      </c>
      <c r="BB224" s="82">
        <v>1.6</v>
      </c>
      <c r="BC224" s="82">
        <v>1.6</v>
      </c>
      <c r="BD224" s="82">
        <v>1.4</v>
      </c>
      <c r="BE224" s="82">
        <v>2.4</v>
      </c>
      <c r="BF224" s="82">
        <v>1.3</v>
      </c>
      <c r="BG224" s="82">
        <v>2</v>
      </c>
      <c r="BH224" s="82">
        <v>1.1000000000000001</v>
      </c>
      <c r="BI224" s="82">
        <v>1.7</v>
      </c>
      <c r="BJ224" s="82">
        <v>0.8</v>
      </c>
      <c r="BK224" s="82">
        <v>1.5</v>
      </c>
      <c r="BL224" s="82">
        <v>0.8</v>
      </c>
      <c r="BM224" s="82">
        <v>1.2</v>
      </c>
      <c r="BN224" s="82">
        <v>0.4</v>
      </c>
      <c r="BO224" s="82">
        <v>0.9</v>
      </c>
      <c r="BP224" s="82">
        <v>0.3</v>
      </c>
      <c r="BQ224" s="82">
        <v>0.9</v>
      </c>
      <c r="BR224" s="82">
        <v>0.3</v>
      </c>
      <c r="BS224" s="82">
        <v>0.8</v>
      </c>
      <c r="BT224" s="82">
        <v>27513</v>
      </c>
      <c r="BU224" s="82">
        <v>25541</v>
      </c>
      <c r="BV224" s="82">
        <v>8857</v>
      </c>
      <c r="BW224" s="82">
        <v>67576</v>
      </c>
      <c r="BX224" s="82">
        <v>15.4</v>
      </c>
      <c r="BY224" s="82">
        <v>6</v>
      </c>
      <c r="BZ224" s="82">
        <v>11.9</v>
      </c>
      <c r="CA224" s="82">
        <v>24.7</v>
      </c>
      <c r="CB224" s="82">
        <v>21.1</v>
      </c>
      <c r="CC224" s="82">
        <v>7.7</v>
      </c>
      <c r="CD224" s="82">
        <v>5.9</v>
      </c>
      <c r="CE224" s="82">
        <v>4.5</v>
      </c>
      <c r="CF224" s="82">
        <v>2.2000000000000002</v>
      </c>
      <c r="CG224" s="82">
        <v>0.4</v>
      </c>
      <c r="CH224" s="82">
        <v>0.1</v>
      </c>
      <c r="CI224" s="82">
        <v>0.1</v>
      </c>
      <c r="CJ224" s="82">
        <f t="shared" si="20"/>
        <v>129487</v>
      </c>
      <c r="CK224" s="82">
        <f t="shared" si="21"/>
        <v>232431.46197845289</v>
      </c>
      <c r="CL224" s="95">
        <f ca="1">$CK224*SUM(OFFSET($AJ224,0,(COUNTA($CL$1:CL$1)-1)*4,1,4))/100</f>
        <v>58107.86549461323</v>
      </c>
      <c r="CM224" s="95">
        <f ca="1">$CK224*SUM(OFFSET($AJ224,0,(COUNTA($CL$1:CM$1)-1)*4,1,4))/100</f>
        <v>53691.667717022625</v>
      </c>
      <c r="CN224" s="95">
        <f ca="1">$CK224*SUM(OFFSET($AJ224,0,(COUNTA($CL$1:CN$1)-1)*4,1,4))/100</f>
        <v>36491.739530617102</v>
      </c>
      <c r="CO224" s="95">
        <f ca="1">$CK224*SUM(OFFSET($AJ224,0,(COUNTA($CL$1:CO$1)-1)*4,1,4))/100</f>
        <v>23475.577659823743</v>
      </c>
      <c r="CP224" s="95">
        <f ca="1">$CK224*SUM(OFFSET($AJ224,0,(COUNTA($CL$1:CP$1)-1)*4,1,4))/100</f>
        <v>17897.222572340874</v>
      </c>
      <c r="CQ224" s="95">
        <f ca="1">$CK224*SUM(OFFSET($AJ224,0,(COUNTA($CL$1:CQ$1)-1)*4,1,4))/100</f>
        <v>16502.633800470154</v>
      </c>
      <c r="CR224" s="95">
        <f ca="1">$CK224*SUM(OFFSET($AJ224,0,(COUNTA($CL$1:CR$1)-1)*4,1,4))/100</f>
        <v>11854.004560901096</v>
      </c>
      <c r="CS224" s="95">
        <f ca="1">$CK224*SUM(OFFSET($AJ224,0,(COUNTA($CL$1:CS$1)-1)*4,1,4))/100</f>
        <v>7670.2382452889451</v>
      </c>
      <c r="CT224" s="95">
        <f ca="1">$CK224*SUM(OFFSET($AJ224,0,(COUNTA($CL$1:CT$1)-1)*4,1,4))/100</f>
        <v>5345.9236255044161</v>
      </c>
      <c r="CU224" s="96">
        <f t="shared" si="22"/>
        <v>3438.0597014925374</v>
      </c>
      <c r="CV224" s="96">
        <f t="shared" si="23"/>
        <v>67.605417636450369</v>
      </c>
    </row>
    <row r="225" spans="1:100">
      <c r="A225" s="82" t="str">
        <f ca="1">IF(ISERROR(OFFSET(Map!$E$2,MATCH(D225,Map!$B$3:$B$239,0),0)),OFFSET(Map!$E$2,MATCH(D225,Map!$C$3:$C$239,0),0),OFFSET(Map!$E$2,MATCH(D225,Map!$B$3:$B$239,0),0))</f>
        <v>Waterberg</v>
      </c>
      <c r="B225" s="82">
        <v>224</v>
      </c>
      <c r="C225" s="82" t="s">
        <v>58</v>
      </c>
      <c r="D225" s="82" t="s">
        <v>645</v>
      </c>
      <c r="E225" s="82" t="s">
        <v>646</v>
      </c>
      <c r="F225" s="82">
        <v>85234</v>
      </c>
      <c r="G225" s="82">
        <v>21.1</v>
      </c>
      <c r="H225" s="82">
        <v>76.400000000000006</v>
      </c>
      <c r="I225" s="82">
        <f t="shared" si="18"/>
        <v>65119</v>
      </c>
      <c r="J225" s="82">
        <v>2.4</v>
      </c>
      <c r="K225" s="82">
        <v>30.8</v>
      </c>
      <c r="L225" s="82">
        <v>141.1</v>
      </c>
      <c r="M225" s="82">
        <v>2.63</v>
      </c>
      <c r="N225" s="82">
        <v>8</v>
      </c>
      <c r="O225" s="82">
        <v>20.6</v>
      </c>
      <c r="P225" s="82">
        <f t="shared" si="19"/>
        <v>51704</v>
      </c>
      <c r="Q225" s="82">
        <v>26.9</v>
      </c>
      <c r="R225" s="82">
        <v>8.8000000000000007</v>
      </c>
      <c r="S225" s="82">
        <v>8.1</v>
      </c>
      <c r="T225" s="82">
        <v>26.1</v>
      </c>
      <c r="U225" s="82">
        <v>25080</v>
      </c>
      <c r="V225" s="82">
        <v>2370</v>
      </c>
      <c r="W225" s="82">
        <v>2.8</v>
      </c>
      <c r="X225" s="82">
        <v>24.7</v>
      </c>
      <c r="Y225" s="82">
        <v>70.7</v>
      </c>
      <c r="Z225" s="82">
        <v>24.4</v>
      </c>
      <c r="AA225" s="82">
        <v>63.1</v>
      </c>
      <c r="AB225" s="82">
        <v>60.4</v>
      </c>
      <c r="AC225" s="82">
        <v>47.3</v>
      </c>
      <c r="AD225" s="82">
        <v>76.8</v>
      </c>
      <c r="AE225" s="82">
        <v>84.3</v>
      </c>
      <c r="AF225" s="82">
        <v>0.6</v>
      </c>
      <c r="AG225" s="82">
        <v>0.2</v>
      </c>
      <c r="AH225" s="82">
        <v>14.4</v>
      </c>
      <c r="AI225" s="82">
        <v>0.4</v>
      </c>
      <c r="AJ225" s="82">
        <v>4.7</v>
      </c>
      <c r="AK225" s="82">
        <v>4.8</v>
      </c>
      <c r="AL225" s="82">
        <v>3.2</v>
      </c>
      <c r="AM225" s="82">
        <v>3.1</v>
      </c>
      <c r="AN225" s="82">
        <v>2.7</v>
      </c>
      <c r="AO225" s="82">
        <v>2.7</v>
      </c>
      <c r="AP225" s="82">
        <v>3</v>
      </c>
      <c r="AQ225" s="82">
        <v>2.9</v>
      </c>
      <c r="AR225" s="82">
        <v>6.4</v>
      </c>
      <c r="AS225" s="82">
        <v>4.5</v>
      </c>
      <c r="AT225" s="82">
        <v>8.6</v>
      </c>
      <c r="AU225" s="82">
        <v>5.2</v>
      </c>
      <c r="AV225" s="82">
        <v>7.4</v>
      </c>
      <c r="AW225" s="82">
        <v>4.2</v>
      </c>
      <c r="AX225" s="82">
        <v>5.9</v>
      </c>
      <c r="AY225" s="82">
        <v>3.5</v>
      </c>
      <c r="AZ225" s="82">
        <v>4.3</v>
      </c>
      <c r="BA225" s="82">
        <v>3</v>
      </c>
      <c r="BB225" s="82">
        <v>4.3</v>
      </c>
      <c r="BC225" s="82">
        <v>4.3</v>
      </c>
      <c r="BD225" s="82">
        <v>3.6</v>
      </c>
      <c r="BE225" s="82">
        <v>1.9</v>
      </c>
      <c r="BF225" s="82">
        <v>2.2999999999999998</v>
      </c>
      <c r="BG225" s="82">
        <v>1.2</v>
      </c>
      <c r="BH225" s="82">
        <v>1</v>
      </c>
      <c r="BI225" s="82">
        <v>0.7</v>
      </c>
      <c r="BJ225" s="82">
        <v>0.5</v>
      </c>
      <c r="BK225" s="82">
        <v>0.5</v>
      </c>
      <c r="BL225" s="82">
        <v>0.3</v>
      </c>
      <c r="BM225" s="82">
        <v>0.3</v>
      </c>
      <c r="BN225" s="82">
        <v>0.2</v>
      </c>
      <c r="BO225" s="82">
        <v>0.2</v>
      </c>
      <c r="BP225" s="82">
        <v>0.1</v>
      </c>
      <c r="BQ225" s="82">
        <v>0.1</v>
      </c>
      <c r="BR225" s="82">
        <v>0.1</v>
      </c>
      <c r="BS225" s="82">
        <v>0.1</v>
      </c>
      <c r="BT225" s="82">
        <v>32918</v>
      </c>
      <c r="BU225" s="82">
        <v>8562</v>
      </c>
      <c r="BV225" s="82">
        <v>1236</v>
      </c>
      <c r="BW225" s="82">
        <v>22438</v>
      </c>
      <c r="BX225" s="82">
        <v>14</v>
      </c>
      <c r="BY225" s="82">
        <v>2.7</v>
      </c>
      <c r="BZ225" s="82">
        <v>4.0999999999999996</v>
      </c>
      <c r="CA225" s="82">
        <v>12.6</v>
      </c>
      <c r="CB225" s="82">
        <v>16.100000000000001</v>
      </c>
      <c r="CC225" s="82">
        <v>20</v>
      </c>
      <c r="CD225" s="82">
        <v>14</v>
      </c>
      <c r="CE225" s="82">
        <v>9.9</v>
      </c>
      <c r="CF225" s="82">
        <v>4.5999999999999996</v>
      </c>
      <c r="CG225" s="82">
        <v>1.2</v>
      </c>
      <c r="CH225" s="82">
        <v>0.4</v>
      </c>
      <c r="CI225" s="82">
        <v>0.2</v>
      </c>
      <c r="CJ225" s="82">
        <f t="shared" si="20"/>
        <v>65154</v>
      </c>
      <c r="CK225" s="82">
        <f t="shared" si="21"/>
        <v>107666.80617430019</v>
      </c>
      <c r="CL225" s="95">
        <f ca="1">$CK225*SUM(OFFSET($AJ225,0,(COUNTA($CL$1:CL$1)-1)*4,1,4))/100</f>
        <v>17011.355375539428</v>
      </c>
      <c r="CM225" s="95">
        <f ca="1">$CK225*SUM(OFFSET($AJ225,0,(COUNTA($CL$1:CM$1)-1)*4,1,4))/100</f>
        <v>12166.349097695922</v>
      </c>
      <c r="CN225" s="95">
        <f ca="1">$CK225*SUM(OFFSET($AJ225,0,(COUNTA($CL$1:CN$1)-1)*4,1,4))/100</f>
        <v>26593.701125052146</v>
      </c>
      <c r="CO225" s="95">
        <f ca="1">$CK225*SUM(OFFSET($AJ225,0,(COUNTA($CL$1:CO$1)-1)*4,1,4))/100</f>
        <v>22610.029296603039</v>
      </c>
      <c r="CP225" s="95">
        <f ca="1">$CK225*SUM(OFFSET($AJ225,0,(COUNTA($CL$1:CP$1)-1)*4,1,4))/100</f>
        <v>17119.022181713728</v>
      </c>
      <c r="CQ225" s="95">
        <f ca="1">$CK225*SUM(OFFSET($AJ225,0,(COUNTA($CL$1:CQ$1)-1)*4,1,4))/100</f>
        <v>9690.0125556870171</v>
      </c>
      <c r="CR225" s="95">
        <f ca="1">$CK225*SUM(OFFSET($AJ225,0,(COUNTA($CL$1:CR$1)-1)*4,1,4))/100</f>
        <v>2907.0037667061051</v>
      </c>
      <c r="CS225" s="95">
        <f ca="1">$CK225*SUM(OFFSET($AJ225,0,(COUNTA($CL$1:CS$1)-1)*4,1,4))/100</f>
        <v>1076.668061743002</v>
      </c>
      <c r="CT225" s="95">
        <f ca="1">$CK225*SUM(OFFSET($AJ225,0,(COUNTA($CL$1:CT$1)-1)*4,1,4))/100</f>
        <v>430.66722469720082</v>
      </c>
      <c r="CU225" s="96">
        <f t="shared" si="22"/>
        <v>10654.25</v>
      </c>
      <c r="CV225" s="96">
        <f t="shared" si="23"/>
        <v>10.105526543332491</v>
      </c>
    </row>
    <row r="226" spans="1:100">
      <c r="A226" s="82" t="str">
        <f ca="1">IF(ISERROR(OFFSET(Map!$E$2,MATCH(D226,Map!$B$3:$B$239,0),0)),OFFSET(Map!$E$2,MATCH(D226,Map!$C$3:$C$239,0),0),OFFSET(Map!$E$2,MATCH(D226,Map!$B$3:$B$239,0),0))</f>
        <v>Waterberg</v>
      </c>
      <c r="B226" s="82">
        <v>225</v>
      </c>
      <c r="C226" s="82" t="s">
        <v>58</v>
      </c>
      <c r="D226" s="82" t="s">
        <v>647</v>
      </c>
      <c r="E226" s="82" t="s">
        <v>648</v>
      </c>
      <c r="F226" s="82">
        <v>115767</v>
      </c>
      <c r="G226" s="82">
        <v>26.2</v>
      </c>
      <c r="H226" s="82">
        <v>69.7</v>
      </c>
      <c r="I226" s="82">
        <f t="shared" si="18"/>
        <v>80690</v>
      </c>
      <c r="J226" s="82">
        <v>4.0999999999999996</v>
      </c>
      <c r="K226" s="82">
        <v>43.5</v>
      </c>
      <c r="L226" s="82">
        <v>118.6</v>
      </c>
      <c r="M226" s="82">
        <v>3.06</v>
      </c>
      <c r="N226" s="82">
        <v>8</v>
      </c>
      <c r="O226" s="82">
        <v>22.2</v>
      </c>
      <c r="P226" s="82">
        <f t="shared" si="19"/>
        <v>62777</v>
      </c>
      <c r="Q226" s="82">
        <v>26.9</v>
      </c>
      <c r="R226" s="82">
        <v>9.9</v>
      </c>
      <c r="S226" s="82">
        <v>11.6</v>
      </c>
      <c r="T226" s="82">
        <v>23.5</v>
      </c>
      <c r="U226" s="82">
        <v>29880</v>
      </c>
      <c r="V226" s="82">
        <v>6757</v>
      </c>
      <c r="W226" s="82">
        <v>3.3</v>
      </c>
      <c r="X226" s="82">
        <v>39.1</v>
      </c>
      <c r="Y226" s="82">
        <v>82.3</v>
      </c>
      <c r="Z226" s="82">
        <v>40.700000000000003</v>
      </c>
      <c r="AA226" s="82">
        <v>39.5</v>
      </c>
      <c r="AB226" s="82">
        <v>41</v>
      </c>
      <c r="AC226" s="82">
        <v>31.4</v>
      </c>
      <c r="AD226" s="82">
        <v>85</v>
      </c>
      <c r="AE226" s="82">
        <v>90.7</v>
      </c>
      <c r="AF226" s="82">
        <v>0.9</v>
      </c>
      <c r="AG226" s="82">
        <v>0.3</v>
      </c>
      <c r="AH226" s="82">
        <v>7.9</v>
      </c>
      <c r="AI226" s="82">
        <v>0.3</v>
      </c>
      <c r="AJ226" s="82">
        <v>5.2</v>
      </c>
      <c r="AK226" s="82">
        <v>5.0999999999999996</v>
      </c>
      <c r="AL226" s="82">
        <v>4.0999999999999996</v>
      </c>
      <c r="AM226" s="82">
        <v>4.0999999999999996</v>
      </c>
      <c r="AN226" s="82">
        <v>4</v>
      </c>
      <c r="AO226" s="82">
        <v>3.8</v>
      </c>
      <c r="AP226" s="82">
        <v>4.5</v>
      </c>
      <c r="AQ226" s="82">
        <v>4.2</v>
      </c>
      <c r="AR226" s="82">
        <v>7.4</v>
      </c>
      <c r="AS226" s="82">
        <v>5.5</v>
      </c>
      <c r="AT226" s="82">
        <v>7.7</v>
      </c>
      <c r="AU226" s="82">
        <v>4.9000000000000004</v>
      </c>
      <c r="AV226" s="82">
        <v>5.5</v>
      </c>
      <c r="AW226" s="82">
        <v>3.6</v>
      </c>
      <c r="AX226" s="82">
        <v>3.9</v>
      </c>
      <c r="AY226" s="82">
        <v>3</v>
      </c>
      <c r="AZ226" s="82">
        <v>2.9</v>
      </c>
      <c r="BA226" s="82">
        <v>2.4</v>
      </c>
      <c r="BB226" s="82">
        <v>2.6</v>
      </c>
      <c r="BC226" s="82">
        <v>2.6</v>
      </c>
      <c r="BD226" s="82">
        <v>2.2000000000000002</v>
      </c>
      <c r="BE226" s="82">
        <v>1.8</v>
      </c>
      <c r="BF226" s="82">
        <v>1.6</v>
      </c>
      <c r="BG226" s="82">
        <v>1.4</v>
      </c>
      <c r="BH226" s="82">
        <v>1.1000000000000001</v>
      </c>
      <c r="BI226" s="82">
        <v>1.1000000000000001</v>
      </c>
      <c r="BJ226" s="82">
        <v>0.5</v>
      </c>
      <c r="BK226" s="82">
        <v>0.8</v>
      </c>
      <c r="BL226" s="82">
        <v>0.5</v>
      </c>
      <c r="BM226" s="82">
        <v>0.6</v>
      </c>
      <c r="BN226" s="82">
        <v>0.3</v>
      </c>
      <c r="BO226" s="82">
        <v>0.5</v>
      </c>
      <c r="BP226" s="82">
        <v>0.2</v>
      </c>
      <c r="BQ226" s="82">
        <v>0.3</v>
      </c>
      <c r="BR226" s="82">
        <v>0.2</v>
      </c>
      <c r="BS226" s="82">
        <v>0.3</v>
      </c>
      <c r="BT226" s="82">
        <v>35327</v>
      </c>
      <c r="BU226" s="82">
        <v>10100</v>
      </c>
      <c r="BV226" s="82">
        <v>1565</v>
      </c>
      <c r="BW226" s="82">
        <v>33699</v>
      </c>
      <c r="BX226" s="82">
        <v>12.5</v>
      </c>
      <c r="BY226" s="82">
        <v>3.2</v>
      </c>
      <c r="BZ226" s="82">
        <v>6.3</v>
      </c>
      <c r="CA226" s="82">
        <v>16.3</v>
      </c>
      <c r="CB226" s="82">
        <v>20.2</v>
      </c>
      <c r="CC226" s="82">
        <v>15.4</v>
      </c>
      <c r="CD226" s="82">
        <v>11.2</v>
      </c>
      <c r="CE226" s="82">
        <v>7.9</v>
      </c>
      <c r="CF226" s="82">
        <v>4.7</v>
      </c>
      <c r="CG226" s="82">
        <v>1.5</v>
      </c>
      <c r="CH226" s="82">
        <v>0.4</v>
      </c>
      <c r="CI226" s="82">
        <v>0.2</v>
      </c>
      <c r="CJ226" s="82">
        <f t="shared" si="20"/>
        <v>80691</v>
      </c>
      <c r="CK226" s="82">
        <f t="shared" si="21"/>
        <v>151843.43584084525</v>
      </c>
      <c r="CL226" s="95">
        <f ca="1">$CK226*SUM(OFFSET($AJ226,0,(COUNTA($CL$1:CL$1)-1)*4,1,4))/100</f>
        <v>28091.035630556373</v>
      </c>
      <c r="CM226" s="95">
        <f ca="1">$CK226*SUM(OFFSET($AJ226,0,(COUNTA($CL$1:CM$1)-1)*4,1,4))/100</f>
        <v>25054.166913739467</v>
      </c>
      <c r="CN226" s="95">
        <f ca="1">$CK226*SUM(OFFSET($AJ226,0,(COUNTA($CL$1:CN$1)-1)*4,1,4))/100</f>
        <v>38720.076139415542</v>
      </c>
      <c r="CO226" s="95">
        <f ca="1">$CK226*SUM(OFFSET($AJ226,0,(COUNTA($CL$1:CO$1)-1)*4,1,4))/100</f>
        <v>24294.949734535239</v>
      </c>
      <c r="CP226" s="95">
        <f ca="1">$CK226*SUM(OFFSET($AJ226,0,(COUNTA($CL$1:CP$1)-1)*4,1,4))/100</f>
        <v>15943.560763288753</v>
      </c>
      <c r="CQ226" s="95">
        <f ca="1">$CK226*SUM(OFFSET($AJ226,0,(COUNTA($CL$1:CQ$1)-1)*4,1,4))/100</f>
        <v>10629.040508859167</v>
      </c>
      <c r="CR226" s="95">
        <f ca="1">$CK226*SUM(OFFSET($AJ226,0,(COUNTA($CL$1:CR$1)-1)*4,1,4))/100</f>
        <v>5314.5202544295835</v>
      </c>
      <c r="CS226" s="95">
        <f ca="1">$CK226*SUM(OFFSET($AJ226,0,(COUNTA($CL$1:CS$1)-1)*4,1,4))/100</f>
        <v>2885.0252809760595</v>
      </c>
      <c r="CT226" s="95">
        <f ca="1">$CK226*SUM(OFFSET($AJ226,0,(COUNTA($CL$1:CT$1)-1)*4,1,4))/100</f>
        <v>1518.4343584084525</v>
      </c>
      <c r="CU226" s="96">
        <f t="shared" si="22"/>
        <v>14470.875</v>
      </c>
      <c r="CV226" s="96">
        <f t="shared" si="23"/>
        <v>10.493037624942877</v>
      </c>
    </row>
    <row r="227" spans="1:100">
      <c r="A227" s="82" t="str">
        <f ca="1">IF(ISERROR(OFFSET(Map!$E$2,MATCH(D227,Map!$B$3:$B$239,0),0)),OFFSET(Map!$E$2,MATCH(D227,Map!$C$3:$C$239,0),0),OFFSET(Map!$E$2,MATCH(D227,Map!$B$3:$B$239,0),0))</f>
        <v>Waterberg</v>
      </c>
      <c r="B227" s="82">
        <v>226</v>
      </c>
      <c r="C227" s="82" t="s">
        <v>58</v>
      </c>
      <c r="D227" s="82" t="s">
        <v>649</v>
      </c>
      <c r="E227" s="82" t="s">
        <v>650</v>
      </c>
      <c r="F227" s="82">
        <v>35640</v>
      </c>
      <c r="G227" s="82">
        <v>25.7</v>
      </c>
      <c r="H227" s="82">
        <v>67.599999999999994</v>
      </c>
      <c r="I227" s="82">
        <f t="shared" si="18"/>
        <v>24093</v>
      </c>
      <c r="J227" s="82">
        <v>6.7</v>
      </c>
      <c r="K227" s="82">
        <v>47.9</v>
      </c>
      <c r="L227" s="82">
        <v>105.9</v>
      </c>
      <c r="M227" s="82">
        <v>0.31</v>
      </c>
      <c r="N227" s="82">
        <v>6</v>
      </c>
      <c r="O227" s="82">
        <v>23.5</v>
      </c>
      <c r="P227" s="82">
        <f t="shared" si="19"/>
        <v>18431</v>
      </c>
      <c r="Q227" s="82">
        <v>29.2</v>
      </c>
      <c r="R227" s="82">
        <v>12</v>
      </c>
      <c r="S227" s="82">
        <v>7.3</v>
      </c>
      <c r="T227" s="82">
        <v>23.1</v>
      </c>
      <c r="U227" s="82">
        <v>9918</v>
      </c>
      <c r="V227" s="82">
        <v>1597</v>
      </c>
      <c r="W227" s="82">
        <v>3.1</v>
      </c>
      <c r="X227" s="82">
        <v>37.200000000000003</v>
      </c>
      <c r="Y227" s="82">
        <v>89.3</v>
      </c>
      <c r="Z227" s="82">
        <v>44.7</v>
      </c>
      <c r="AA227" s="82">
        <v>61.4</v>
      </c>
      <c r="AB227" s="82">
        <v>64.099999999999994</v>
      </c>
      <c r="AC227" s="82">
        <v>41.6</v>
      </c>
      <c r="AD227" s="82">
        <v>85.3</v>
      </c>
      <c r="AE227" s="82">
        <v>85.6</v>
      </c>
      <c r="AF227" s="82">
        <v>0.4</v>
      </c>
      <c r="AG227" s="82">
        <v>0.2</v>
      </c>
      <c r="AH227" s="82">
        <v>13.2</v>
      </c>
      <c r="AI227" s="82">
        <v>0.6</v>
      </c>
      <c r="AJ227" s="82">
        <v>5.6</v>
      </c>
      <c r="AK227" s="82">
        <v>5.5</v>
      </c>
      <c r="AL227" s="82">
        <v>3.5</v>
      </c>
      <c r="AM227" s="82">
        <v>3.8</v>
      </c>
      <c r="AN227" s="82">
        <v>3.6</v>
      </c>
      <c r="AO227" s="82">
        <v>3.6</v>
      </c>
      <c r="AP227" s="82">
        <v>3.8</v>
      </c>
      <c r="AQ227" s="82">
        <v>3.5</v>
      </c>
      <c r="AR227" s="82">
        <v>6.3</v>
      </c>
      <c r="AS227" s="82">
        <v>4.9000000000000004</v>
      </c>
      <c r="AT227" s="82">
        <v>6.4</v>
      </c>
      <c r="AU227" s="82">
        <v>5.0999999999999996</v>
      </c>
      <c r="AV227" s="82">
        <v>4.7</v>
      </c>
      <c r="AW227" s="82">
        <v>3.8</v>
      </c>
      <c r="AX227" s="82">
        <v>3.7</v>
      </c>
      <c r="AY227" s="82">
        <v>3.6</v>
      </c>
      <c r="AZ227" s="82">
        <v>3</v>
      </c>
      <c r="BA227" s="82">
        <v>3.2</v>
      </c>
      <c r="BB227" s="82">
        <v>2.5</v>
      </c>
      <c r="BC227" s="82">
        <v>2.5</v>
      </c>
      <c r="BD227" s="82">
        <v>2.2000000000000002</v>
      </c>
      <c r="BE227" s="82">
        <v>1.9</v>
      </c>
      <c r="BF227" s="82">
        <v>1.6</v>
      </c>
      <c r="BG227" s="82">
        <v>1.7</v>
      </c>
      <c r="BH227" s="82">
        <v>1.5</v>
      </c>
      <c r="BI227" s="82">
        <v>1.5</v>
      </c>
      <c r="BJ227" s="82">
        <v>1.1000000000000001</v>
      </c>
      <c r="BK227" s="82">
        <v>1.2</v>
      </c>
      <c r="BL227" s="82">
        <v>0.9</v>
      </c>
      <c r="BM227" s="82">
        <v>1</v>
      </c>
      <c r="BN227" s="82">
        <v>0.5</v>
      </c>
      <c r="BO227" s="82">
        <v>0.7</v>
      </c>
      <c r="BP227" s="82">
        <v>0.4</v>
      </c>
      <c r="BQ227" s="82">
        <v>0.4</v>
      </c>
      <c r="BR227" s="82">
        <v>0.2</v>
      </c>
      <c r="BS227" s="82">
        <v>0.4</v>
      </c>
      <c r="BT227" s="82">
        <v>12086</v>
      </c>
      <c r="BU227" s="82">
        <v>3705</v>
      </c>
      <c r="BV227" s="82">
        <v>914</v>
      </c>
      <c r="BW227" s="82">
        <v>7390</v>
      </c>
      <c r="BX227" s="82">
        <v>11.5</v>
      </c>
      <c r="BY227" s="82">
        <v>3.2</v>
      </c>
      <c r="BZ227" s="82">
        <v>6.7</v>
      </c>
      <c r="CA227" s="82">
        <v>24.4</v>
      </c>
      <c r="CB227" s="82">
        <v>24.9</v>
      </c>
      <c r="CC227" s="82">
        <v>14.2</v>
      </c>
      <c r="CD227" s="82">
        <v>7.5</v>
      </c>
      <c r="CE227" s="82">
        <v>4.5</v>
      </c>
      <c r="CF227" s="82">
        <v>2.1</v>
      </c>
      <c r="CG227" s="82">
        <v>0.6</v>
      </c>
      <c r="CH227" s="82">
        <v>0.2</v>
      </c>
      <c r="CI227" s="82">
        <v>0.2</v>
      </c>
      <c r="CJ227" s="82">
        <f t="shared" si="20"/>
        <v>24095</v>
      </c>
      <c r="CK227" s="82">
        <f t="shared" si="21"/>
        <v>36646.775617512525</v>
      </c>
      <c r="CL227" s="95">
        <f ca="1">$CK227*SUM(OFFSET($AJ227,0,(COUNTA($CL$1:CL$1)-1)*4,1,4))/100</f>
        <v>6743.0067136223042</v>
      </c>
      <c r="CM227" s="95">
        <f ca="1">$CK227*SUM(OFFSET($AJ227,0,(COUNTA($CL$1:CM$1)-1)*4,1,4))/100</f>
        <v>5313.7824645393157</v>
      </c>
      <c r="CN227" s="95">
        <f ca="1">$CK227*SUM(OFFSET($AJ227,0,(COUNTA($CL$1:CN$1)-1)*4,1,4))/100</f>
        <v>8318.8180651753446</v>
      </c>
      <c r="CO227" s="95">
        <f ca="1">$CK227*SUM(OFFSET($AJ227,0,(COUNTA($CL$1:CO$1)-1)*4,1,4))/100</f>
        <v>5790.1905475669782</v>
      </c>
      <c r="CP227" s="95">
        <f ca="1">$CK227*SUM(OFFSET($AJ227,0,(COUNTA($CL$1:CP$1)-1)*4,1,4))/100</f>
        <v>4104.4388691614031</v>
      </c>
      <c r="CQ227" s="95">
        <f ca="1">$CK227*SUM(OFFSET($AJ227,0,(COUNTA($CL$1:CQ$1)-1)*4,1,4))/100</f>
        <v>2711.8613956959266</v>
      </c>
      <c r="CR227" s="95">
        <f ca="1">$CK227*SUM(OFFSET($AJ227,0,(COUNTA($CL$1:CR$1)-1)*4,1,4))/100</f>
        <v>1942.2791077281636</v>
      </c>
      <c r="CS227" s="95">
        <f ca="1">$CK227*SUM(OFFSET($AJ227,0,(COUNTA($CL$1:CS$1)-1)*4,1,4))/100</f>
        <v>1136.0500441428883</v>
      </c>
      <c r="CT227" s="95">
        <f ca="1">$CK227*SUM(OFFSET($AJ227,0,(COUNTA($CL$1:CT$1)-1)*4,1,4))/100</f>
        <v>513.05485864517539</v>
      </c>
      <c r="CU227" s="96">
        <f t="shared" si="22"/>
        <v>5940</v>
      </c>
      <c r="CV227" s="96">
        <f t="shared" si="23"/>
        <v>6.1694908446990784</v>
      </c>
    </row>
    <row r="228" spans="1:100">
      <c r="A228" s="82" t="str">
        <f ca="1">IF(ISERROR(OFFSET(Map!$E$2,MATCH(D228,Map!$B$3:$B$239,0),0)),OFFSET(Map!$E$2,MATCH(D228,Map!$C$3:$C$239,0),0),OFFSET(Map!$E$2,MATCH(D228,Map!$B$3:$B$239,0),0))</f>
        <v>Waterberg</v>
      </c>
      <c r="B228" s="82">
        <v>227</v>
      </c>
      <c r="C228" s="82" t="s">
        <v>58</v>
      </c>
      <c r="D228" s="82" t="s">
        <v>651</v>
      </c>
      <c r="E228" s="82" t="s">
        <v>652</v>
      </c>
      <c r="F228" s="82">
        <v>68513</v>
      </c>
      <c r="G228" s="82">
        <v>30.8</v>
      </c>
      <c r="H228" s="82">
        <v>63.8</v>
      </c>
      <c r="I228" s="82">
        <f t="shared" si="18"/>
        <v>43711</v>
      </c>
      <c r="J228" s="82">
        <v>5.4</v>
      </c>
      <c r="K228" s="82">
        <v>56.8</v>
      </c>
      <c r="L228" s="82">
        <v>102.5</v>
      </c>
      <c r="M228" s="82">
        <v>-7.0000000000000007E-2</v>
      </c>
      <c r="N228" s="82">
        <v>15</v>
      </c>
      <c r="O228" s="82">
        <v>22.2</v>
      </c>
      <c r="P228" s="82">
        <f t="shared" si="19"/>
        <v>34007</v>
      </c>
      <c r="Q228" s="82">
        <v>28.9</v>
      </c>
      <c r="R228" s="82">
        <v>10.6</v>
      </c>
      <c r="S228" s="82">
        <v>8.6999999999999993</v>
      </c>
      <c r="T228" s="82">
        <v>22</v>
      </c>
      <c r="U228" s="82">
        <v>17525</v>
      </c>
      <c r="V228" s="82">
        <v>2792</v>
      </c>
      <c r="W228" s="82">
        <v>3.6</v>
      </c>
      <c r="X228" s="82">
        <v>39.5</v>
      </c>
      <c r="Y228" s="82">
        <v>87.5</v>
      </c>
      <c r="Z228" s="82">
        <v>54.9</v>
      </c>
      <c r="AA228" s="82">
        <v>66.099999999999994</v>
      </c>
      <c r="AB228" s="82">
        <v>73.3</v>
      </c>
      <c r="AC228" s="82">
        <v>35.700000000000003</v>
      </c>
      <c r="AD228" s="82">
        <v>83.3</v>
      </c>
      <c r="AE228" s="82">
        <v>88.1</v>
      </c>
      <c r="AF228" s="82">
        <v>0.4</v>
      </c>
      <c r="AG228" s="82">
        <v>0.4</v>
      </c>
      <c r="AH228" s="82">
        <v>10.8</v>
      </c>
      <c r="AI228" s="82">
        <v>0.3</v>
      </c>
      <c r="AJ228" s="82">
        <v>5.9</v>
      </c>
      <c r="AK228" s="82">
        <v>5.9</v>
      </c>
      <c r="AL228" s="82">
        <v>5.0999999999999996</v>
      </c>
      <c r="AM228" s="82">
        <v>4.8</v>
      </c>
      <c r="AN228" s="82">
        <v>4.5999999999999996</v>
      </c>
      <c r="AO228" s="82">
        <v>4.5</v>
      </c>
      <c r="AP228" s="82">
        <v>4.8</v>
      </c>
      <c r="AQ228" s="82">
        <v>4.3</v>
      </c>
      <c r="AR228" s="82">
        <v>5.4</v>
      </c>
      <c r="AS228" s="82">
        <v>4.9000000000000004</v>
      </c>
      <c r="AT228" s="82">
        <v>5.3</v>
      </c>
      <c r="AU228" s="82">
        <v>4.5999999999999996</v>
      </c>
      <c r="AV228" s="82">
        <v>4.2</v>
      </c>
      <c r="AW228" s="82">
        <v>3.7</v>
      </c>
      <c r="AX228" s="82">
        <v>3.6</v>
      </c>
      <c r="AY228" s="82">
        <v>3.5</v>
      </c>
      <c r="AZ228" s="82">
        <v>2.7</v>
      </c>
      <c r="BA228" s="82">
        <v>2.8</v>
      </c>
      <c r="BB228" s="82">
        <v>2.2999999999999998</v>
      </c>
      <c r="BC228" s="82">
        <v>2.2999999999999998</v>
      </c>
      <c r="BD228" s="82">
        <v>1.8</v>
      </c>
      <c r="BE228" s="82">
        <v>1.9</v>
      </c>
      <c r="BF228" s="82">
        <v>1.5</v>
      </c>
      <c r="BG228" s="82">
        <v>1.6</v>
      </c>
      <c r="BH228" s="82">
        <v>1</v>
      </c>
      <c r="BI228" s="82">
        <v>1.2</v>
      </c>
      <c r="BJ228" s="82">
        <v>0.9</v>
      </c>
      <c r="BK228" s="82">
        <v>1</v>
      </c>
      <c r="BL228" s="82">
        <v>0.7</v>
      </c>
      <c r="BM228" s="82">
        <v>0.9</v>
      </c>
      <c r="BN228" s="82">
        <v>0.4</v>
      </c>
      <c r="BO228" s="82">
        <v>0.5</v>
      </c>
      <c r="BP228" s="82">
        <v>0.2</v>
      </c>
      <c r="BQ228" s="82">
        <v>0.4</v>
      </c>
      <c r="BR228" s="82">
        <v>0.2</v>
      </c>
      <c r="BS228" s="82">
        <v>0.3</v>
      </c>
      <c r="BT228" s="82">
        <v>19719</v>
      </c>
      <c r="BU228" s="82">
        <v>5634</v>
      </c>
      <c r="BV228" s="82">
        <v>1416</v>
      </c>
      <c r="BW228" s="82">
        <v>16912</v>
      </c>
      <c r="BX228" s="82">
        <v>10.4</v>
      </c>
      <c r="BY228" s="82">
        <v>3.2</v>
      </c>
      <c r="BZ228" s="82">
        <v>7.3</v>
      </c>
      <c r="CA228" s="82">
        <v>18.8</v>
      </c>
      <c r="CB228" s="82">
        <v>23.7</v>
      </c>
      <c r="CC228" s="82">
        <v>16</v>
      </c>
      <c r="CD228" s="82">
        <v>10.4</v>
      </c>
      <c r="CE228" s="82">
        <v>6.6</v>
      </c>
      <c r="CF228" s="82">
        <v>2.6</v>
      </c>
      <c r="CG228" s="82">
        <v>0.7</v>
      </c>
      <c r="CH228" s="82">
        <v>0.2</v>
      </c>
      <c r="CI228" s="82">
        <v>0.2</v>
      </c>
      <c r="CJ228" s="82">
        <f t="shared" si="20"/>
        <v>43681</v>
      </c>
      <c r="CK228" s="82">
        <f t="shared" si="21"/>
        <v>68082.574697394681</v>
      </c>
      <c r="CL228" s="95">
        <f ca="1">$CK228*SUM(OFFSET($AJ228,0,(COUNTA($CL$1:CL$1)-1)*4,1,4))/100</f>
        <v>14773.918709334645</v>
      </c>
      <c r="CM228" s="95">
        <f ca="1">$CK228*SUM(OFFSET($AJ228,0,(COUNTA($CL$1:CM$1)-1)*4,1,4))/100</f>
        <v>12391.028594925832</v>
      </c>
      <c r="CN228" s="95">
        <f ca="1">$CK228*SUM(OFFSET($AJ228,0,(COUNTA($CL$1:CN$1)-1)*4,1,4))/100</f>
        <v>13752.680088873727</v>
      </c>
      <c r="CO228" s="95">
        <f ca="1">$CK228*SUM(OFFSET($AJ228,0,(COUNTA($CL$1:CO$1)-1)*4,1,4))/100</f>
        <v>10212.386204609204</v>
      </c>
      <c r="CP228" s="95">
        <f ca="1">$CK228*SUM(OFFSET($AJ228,0,(COUNTA($CL$1:CP$1)-1)*4,1,4))/100</f>
        <v>6876.3400444368626</v>
      </c>
      <c r="CQ228" s="95">
        <f ca="1">$CK228*SUM(OFFSET($AJ228,0,(COUNTA($CL$1:CQ$1)-1)*4,1,4))/100</f>
        <v>4629.6150794228388</v>
      </c>
      <c r="CR228" s="95">
        <f ca="1">$CK228*SUM(OFFSET($AJ228,0,(COUNTA($CL$1:CR$1)-1)*4,1,4))/100</f>
        <v>2791.3855625931815</v>
      </c>
      <c r="CS228" s="95">
        <f ca="1">$CK228*SUM(OFFSET($AJ228,0,(COUNTA($CL$1:CS$1)-1)*4,1,4))/100</f>
        <v>1702.0643674348671</v>
      </c>
      <c r="CT228" s="95">
        <f ca="1">$CK228*SUM(OFFSET($AJ228,0,(COUNTA($CL$1:CT$1)-1)*4,1,4))/100</f>
        <v>748.90832167134158</v>
      </c>
      <c r="CU228" s="96">
        <f t="shared" si="22"/>
        <v>4567.5333333333338</v>
      </c>
      <c r="CV228" s="96">
        <f t="shared" si="23"/>
        <v>14.905764168273468</v>
      </c>
    </row>
    <row r="229" spans="1:100">
      <c r="A229" s="82" t="str">
        <f ca="1">IF(ISERROR(OFFSET(Map!$E$2,MATCH(D229,Map!$B$3:$B$239,0),0)),OFFSET(Map!$E$2,MATCH(D229,Map!$C$3:$C$239,0),0),OFFSET(Map!$E$2,MATCH(D229,Map!$B$3:$B$239,0),0))</f>
        <v>Waterberg</v>
      </c>
      <c r="B229" s="82">
        <v>228</v>
      </c>
      <c r="C229" s="82" t="s">
        <v>58</v>
      </c>
      <c r="D229" s="82" t="s">
        <v>653</v>
      </c>
      <c r="E229" s="82" t="s">
        <v>654</v>
      </c>
      <c r="F229" s="82">
        <v>66500</v>
      </c>
      <c r="G229" s="82">
        <v>28.1</v>
      </c>
      <c r="H229" s="82">
        <v>66</v>
      </c>
      <c r="I229" s="82">
        <f t="shared" si="18"/>
        <v>43890</v>
      </c>
      <c r="J229" s="82">
        <v>5.9</v>
      </c>
      <c r="K229" s="82">
        <v>51.6</v>
      </c>
      <c r="L229" s="82">
        <v>103.1</v>
      </c>
      <c r="M229" s="82">
        <v>2.44</v>
      </c>
      <c r="N229" s="82">
        <v>20</v>
      </c>
      <c r="O229" s="82">
        <v>22.5</v>
      </c>
      <c r="P229" s="82">
        <f t="shared" si="19"/>
        <v>34015</v>
      </c>
      <c r="Q229" s="82">
        <v>29.8</v>
      </c>
      <c r="R229" s="82">
        <v>9.6999999999999993</v>
      </c>
      <c r="S229" s="82">
        <v>9.5</v>
      </c>
      <c r="T229" s="82">
        <v>26.2</v>
      </c>
      <c r="U229" s="82">
        <v>18068</v>
      </c>
      <c r="V229" s="82">
        <v>2206</v>
      </c>
      <c r="W229" s="82">
        <v>3.4</v>
      </c>
      <c r="X229" s="82">
        <v>37.5</v>
      </c>
      <c r="Y229" s="82">
        <v>86.3</v>
      </c>
      <c r="Z229" s="82">
        <v>43.7</v>
      </c>
      <c r="AA229" s="82">
        <v>69.7</v>
      </c>
      <c r="AB229" s="82">
        <v>64.2</v>
      </c>
      <c r="AC229" s="82">
        <v>41.9</v>
      </c>
      <c r="AD229" s="82">
        <v>85</v>
      </c>
      <c r="AE229" s="82">
        <v>84.8</v>
      </c>
      <c r="AF229" s="82">
        <v>1.5</v>
      </c>
      <c r="AG229" s="82">
        <v>0.6</v>
      </c>
      <c r="AH229" s="82">
        <v>12.9</v>
      </c>
      <c r="AI229" s="82">
        <v>0.3</v>
      </c>
      <c r="AJ229" s="82">
        <v>5.3</v>
      </c>
      <c r="AK229" s="82">
        <v>5.2</v>
      </c>
      <c r="AL229" s="82">
        <v>4.5</v>
      </c>
      <c r="AM229" s="82">
        <v>4.5999999999999996</v>
      </c>
      <c r="AN229" s="82">
        <v>4.3</v>
      </c>
      <c r="AO229" s="82">
        <v>4.2</v>
      </c>
      <c r="AP229" s="82">
        <v>4.4000000000000004</v>
      </c>
      <c r="AQ229" s="82">
        <v>4.2</v>
      </c>
      <c r="AR229" s="82">
        <v>5.6</v>
      </c>
      <c r="AS229" s="82">
        <v>4.7</v>
      </c>
      <c r="AT229" s="82">
        <v>5.4</v>
      </c>
      <c r="AU229" s="82">
        <v>4.7</v>
      </c>
      <c r="AV229" s="82">
        <v>4.4000000000000004</v>
      </c>
      <c r="AW229" s="82">
        <v>3.6</v>
      </c>
      <c r="AX229" s="82">
        <v>3.5</v>
      </c>
      <c r="AY229" s="82">
        <v>3.4</v>
      </c>
      <c r="AZ229" s="82">
        <v>3</v>
      </c>
      <c r="BA229" s="82">
        <v>2.9</v>
      </c>
      <c r="BB229" s="82">
        <v>2.5</v>
      </c>
      <c r="BC229" s="82">
        <v>2.5</v>
      </c>
      <c r="BD229" s="82">
        <v>2.1</v>
      </c>
      <c r="BE229" s="82">
        <v>2.2999999999999998</v>
      </c>
      <c r="BF229" s="82">
        <v>1.7</v>
      </c>
      <c r="BG229" s="82">
        <v>1.9</v>
      </c>
      <c r="BH229" s="82">
        <v>1.5</v>
      </c>
      <c r="BI229" s="82">
        <v>1.5</v>
      </c>
      <c r="BJ229" s="82">
        <v>1.1000000000000001</v>
      </c>
      <c r="BK229" s="82">
        <v>1.1000000000000001</v>
      </c>
      <c r="BL229" s="82">
        <v>0.7</v>
      </c>
      <c r="BM229" s="82">
        <v>0.9</v>
      </c>
      <c r="BN229" s="82">
        <v>0.5</v>
      </c>
      <c r="BO229" s="82">
        <v>0.6</v>
      </c>
      <c r="BP229" s="82">
        <v>0.3</v>
      </c>
      <c r="BQ229" s="82">
        <v>0.4</v>
      </c>
      <c r="BR229" s="82">
        <v>0.2</v>
      </c>
      <c r="BS229" s="82">
        <v>0.3</v>
      </c>
      <c r="BT229" s="82">
        <v>20720</v>
      </c>
      <c r="BU229" s="82">
        <v>6002</v>
      </c>
      <c r="BV229" s="82">
        <v>1057</v>
      </c>
      <c r="BW229" s="82">
        <v>16099</v>
      </c>
      <c r="BX229" s="82">
        <v>12.8</v>
      </c>
      <c r="BY229" s="82">
        <v>3.1</v>
      </c>
      <c r="BZ229" s="82">
        <v>5.7</v>
      </c>
      <c r="CA229" s="82">
        <v>19.5</v>
      </c>
      <c r="CB229" s="82">
        <v>24.5</v>
      </c>
      <c r="CC229" s="82">
        <v>15.5</v>
      </c>
      <c r="CD229" s="82">
        <v>9.1999999999999993</v>
      </c>
      <c r="CE229" s="82">
        <v>6</v>
      </c>
      <c r="CF229" s="82">
        <v>2.5</v>
      </c>
      <c r="CG229" s="82">
        <v>0.7</v>
      </c>
      <c r="CH229" s="82">
        <v>0.2</v>
      </c>
      <c r="CI229" s="82">
        <v>0.2</v>
      </c>
      <c r="CJ229" s="82">
        <f t="shared" si="20"/>
        <v>43878</v>
      </c>
      <c r="CK229" s="82">
        <f t="shared" si="21"/>
        <v>82612.88207992354</v>
      </c>
      <c r="CL229" s="95">
        <f ca="1">$CK229*SUM(OFFSET($AJ229,0,(COUNTA($CL$1:CL$1)-1)*4,1,4))/100</f>
        <v>16192.124887665013</v>
      </c>
      <c r="CM229" s="95">
        <f ca="1">$CK229*SUM(OFFSET($AJ229,0,(COUNTA($CL$1:CM$1)-1)*4,1,4))/100</f>
        <v>14126.802835666926</v>
      </c>
      <c r="CN229" s="95">
        <f ca="1">$CK229*SUM(OFFSET($AJ229,0,(COUNTA($CL$1:CN$1)-1)*4,1,4))/100</f>
        <v>16853.027944304402</v>
      </c>
      <c r="CO229" s="95">
        <f ca="1">$CK229*SUM(OFFSET($AJ229,0,(COUNTA($CL$1:CO$1)-1)*4,1,4))/100</f>
        <v>12309.319429908606</v>
      </c>
      <c r="CP229" s="95">
        <f ca="1">$CK229*SUM(OFFSET($AJ229,0,(COUNTA($CL$1:CP$1)-1)*4,1,4))/100</f>
        <v>9004.8041467116655</v>
      </c>
      <c r="CQ229" s="95">
        <f ca="1">$CK229*SUM(OFFSET($AJ229,0,(COUNTA($CL$1:CQ$1)-1)*4,1,4))/100</f>
        <v>6609.0305663938834</v>
      </c>
      <c r="CR229" s="95">
        <f ca="1">$CK229*SUM(OFFSET($AJ229,0,(COUNTA($CL$1:CR$1)-1)*4,1,4))/100</f>
        <v>4295.8698681560236</v>
      </c>
      <c r="CS229" s="95">
        <f ca="1">$CK229*SUM(OFFSET($AJ229,0,(COUNTA($CL$1:CS$1)-1)*4,1,4))/100</f>
        <v>2230.5478161579358</v>
      </c>
      <c r="CT229" s="95">
        <f ca="1">$CK229*SUM(OFFSET($AJ229,0,(COUNTA($CL$1:CT$1)-1)*4,1,4))/100</f>
        <v>991.35458495908244</v>
      </c>
      <c r="CU229" s="96">
        <f t="shared" si="22"/>
        <v>3325</v>
      </c>
      <c r="CV229" s="96">
        <f t="shared" si="23"/>
        <v>24.845979572909336</v>
      </c>
    </row>
    <row r="230" spans="1:100">
      <c r="A230" s="82" t="str">
        <f ca="1">IF(ISERROR(OFFSET(Map!$E$2,MATCH(D230,Map!$B$3:$B$239,0),0)),OFFSET(Map!$E$2,MATCH(D230,Map!$C$3:$C$239,0),0),OFFSET(Map!$E$2,MATCH(D230,Map!$B$3:$B$239,0),0))</f>
        <v>Waterberg</v>
      </c>
      <c r="B230" s="82">
        <v>229</v>
      </c>
      <c r="C230" s="82" t="s">
        <v>58</v>
      </c>
      <c r="D230" s="82" t="s">
        <v>655</v>
      </c>
      <c r="E230" s="82" t="s">
        <v>656</v>
      </c>
      <c r="F230" s="82">
        <v>307682</v>
      </c>
      <c r="G230" s="82">
        <v>34.299999999999997</v>
      </c>
      <c r="H230" s="82">
        <v>58.3</v>
      </c>
      <c r="I230" s="82">
        <f t="shared" si="18"/>
        <v>179379</v>
      </c>
      <c r="J230" s="82">
        <v>7.4</v>
      </c>
      <c r="K230" s="82">
        <v>71.5</v>
      </c>
      <c r="L230" s="82">
        <v>87.6</v>
      </c>
      <c r="M230" s="82">
        <v>0.31</v>
      </c>
      <c r="N230" s="82">
        <v>50</v>
      </c>
      <c r="O230" s="82">
        <v>40.200000000000003</v>
      </c>
      <c r="P230" s="82">
        <f t="shared" si="19"/>
        <v>107268</v>
      </c>
      <c r="Q230" s="82">
        <v>51.7</v>
      </c>
      <c r="R230" s="82">
        <v>15.9</v>
      </c>
      <c r="S230" s="82">
        <v>8.5</v>
      </c>
      <c r="T230" s="82">
        <v>21.7</v>
      </c>
      <c r="U230" s="82">
        <v>79395</v>
      </c>
      <c r="V230" s="82">
        <v>26089</v>
      </c>
      <c r="W230" s="82">
        <v>3.8</v>
      </c>
      <c r="X230" s="82">
        <v>52.3</v>
      </c>
      <c r="Y230" s="82">
        <v>93.6</v>
      </c>
      <c r="Z230" s="82">
        <v>57.3</v>
      </c>
      <c r="AA230" s="82">
        <v>25.8</v>
      </c>
      <c r="AB230" s="82">
        <v>26.8</v>
      </c>
      <c r="AC230" s="82">
        <v>20.2</v>
      </c>
      <c r="AD230" s="82">
        <v>91.8</v>
      </c>
      <c r="AE230" s="82">
        <v>96.1</v>
      </c>
      <c r="AF230" s="82">
        <v>0.1</v>
      </c>
      <c r="AG230" s="82">
        <v>0.5</v>
      </c>
      <c r="AH230" s="82">
        <v>3</v>
      </c>
      <c r="AI230" s="82">
        <v>0.2</v>
      </c>
      <c r="AJ230" s="82">
        <v>6.3</v>
      </c>
      <c r="AK230" s="82">
        <v>6.4</v>
      </c>
      <c r="AL230" s="82">
        <v>5.5</v>
      </c>
      <c r="AM230" s="82">
        <v>5.4</v>
      </c>
      <c r="AN230" s="82">
        <v>5.4</v>
      </c>
      <c r="AO230" s="82">
        <v>5.2</v>
      </c>
      <c r="AP230" s="82">
        <v>6.1</v>
      </c>
      <c r="AQ230" s="82">
        <v>5.7</v>
      </c>
      <c r="AR230" s="82">
        <v>4.7</v>
      </c>
      <c r="AS230" s="82">
        <v>4.8</v>
      </c>
      <c r="AT230" s="82">
        <v>3.5</v>
      </c>
      <c r="AU230" s="82">
        <v>4</v>
      </c>
      <c r="AV230" s="82">
        <v>2.7</v>
      </c>
      <c r="AW230" s="82">
        <v>3.1</v>
      </c>
      <c r="AX230" s="82">
        <v>2.2999999999999998</v>
      </c>
      <c r="AY230" s="82">
        <v>3</v>
      </c>
      <c r="AZ230" s="82">
        <v>1.9</v>
      </c>
      <c r="BA230" s="82">
        <v>2.5</v>
      </c>
      <c r="BB230" s="82">
        <v>1.8</v>
      </c>
      <c r="BC230" s="82">
        <v>1.8</v>
      </c>
      <c r="BD230" s="82">
        <v>1.5</v>
      </c>
      <c r="BE230" s="82">
        <v>2.1</v>
      </c>
      <c r="BF230" s="82">
        <v>1.3</v>
      </c>
      <c r="BG230" s="82">
        <v>1.9</v>
      </c>
      <c r="BH230" s="82">
        <v>1.1000000000000001</v>
      </c>
      <c r="BI230" s="82">
        <v>1.6</v>
      </c>
      <c r="BJ230" s="82">
        <v>0.8</v>
      </c>
      <c r="BK230" s="82">
        <v>1.4</v>
      </c>
      <c r="BL230" s="82">
        <v>0.8</v>
      </c>
      <c r="BM230" s="82">
        <v>1.4</v>
      </c>
      <c r="BN230" s="82">
        <v>0.4</v>
      </c>
      <c r="BO230" s="82">
        <v>0.9</v>
      </c>
      <c r="BP230" s="82">
        <v>0.3</v>
      </c>
      <c r="BQ230" s="82">
        <v>0.7</v>
      </c>
      <c r="BR230" s="82">
        <v>0.2</v>
      </c>
      <c r="BS230" s="82">
        <v>0.6</v>
      </c>
      <c r="BT230" s="82">
        <v>47038</v>
      </c>
      <c r="BU230" s="82">
        <v>31609</v>
      </c>
      <c r="BV230" s="82">
        <v>10072</v>
      </c>
      <c r="BW230" s="82">
        <v>90644</v>
      </c>
      <c r="BX230" s="82">
        <v>15.4</v>
      </c>
      <c r="BY230" s="82">
        <v>5.2</v>
      </c>
      <c r="BZ230" s="82">
        <v>10.6</v>
      </c>
      <c r="CA230" s="82">
        <v>23.1</v>
      </c>
      <c r="CB230" s="82">
        <v>22.1</v>
      </c>
      <c r="CC230" s="82">
        <v>10.199999999999999</v>
      </c>
      <c r="CD230" s="82">
        <v>6.4</v>
      </c>
      <c r="CE230" s="82">
        <v>4.4000000000000004</v>
      </c>
      <c r="CF230" s="82">
        <v>1.9</v>
      </c>
      <c r="CG230" s="82">
        <v>0.4</v>
      </c>
      <c r="CH230" s="82">
        <v>0.2</v>
      </c>
      <c r="CI230" s="82">
        <v>0.2</v>
      </c>
      <c r="CJ230" s="82">
        <f t="shared" si="20"/>
        <v>179363</v>
      </c>
      <c r="CK230" s="82">
        <f t="shared" si="21"/>
        <v>316373.54701311694</v>
      </c>
      <c r="CL230" s="95">
        <f ca="1">$CK230*SUM(OFFSET($AJ230,0,(COUNTA($CL$1:CL$1)-1)*4,1,4))/100</f>
        <v>74664.157095095594</v>
      </c>
      <c r="CM230" s="95">
        <f ca="1">$CK230*SUM(OFFSET($AJ230,0,(COUNTA($CL$1:CM$1)-1)*4,1,4))/100</f>
        <v>70867.67453093821</v>
      </c>
      <c r="CN230" s="95">
        <f ca="1">$CK230*SUM(OFFSET($AJ230,0,(COUNTA($CL$1:CN$1)-1)*4,1,4))/100</f>
        <v>53783.502992229878</v>
      </c>
      <c r="CO230" s="95">
        <f ca="1">$CK230*SUM(OFFSET($AJ230,0,(COUNTA($CL$1:CO$1)-1)*4,1,4))/100</f>
        <v>35117.463718455983</v>
      </c>
      <c r="CP230" s="95">
        <f ca="1">$CK230*SUM(OFFSET($AJ230,0,(COUNTA($CL$1:CP$1)-1)*4,1,4))/100</f>
        <v>25309.883761049354</v>
      </c>
      <c r="CQ230" s="95">
        <f ca="1">$CK230*SUM(OFFSET($AJ230,0,(COUNTA($CL$1:CQ$1)-1)*4,1,4))/100</f>
        <v>21513.401196891955</v>
      </c>
      <c r="CR230" s="95">
        <f ca="1">$CK230*SUM(OFFSET($AJ230,0,(COUNTA($CL$1:CR$1)-1)*4,1,4))/100</f>
        <v>15502.303803642732</v>
      </c>
      <c r="CS230" s="95">
        <f ca="1">$CK230*SUM(OFFSET($AJ230,0,(COUNTA($CL$1:CS$1)-1)*4,1,4))/100</f>
        <v>11073.074145459093</v>
      </c>
      <c r="CT230" s="95">
        <f ca="1">$CK230*SUM(OFFSET($AJ230,0,(COUNTA($CL$1:CT$1)-1)*4,1,4))/100</f>
        <v>5694.7238462361038</v>
      </c>
      <c r="CU230" s="96">
        <f t="shared" si="22"/>
        <v>6153.64</v>
      </c>
      <c r="CV230" s="96">
        <f t="shared" si="23"/>
        <v>51.412423705825645</v>
      </c>
    </row>
    <row r="231" spans="1:100">
      <c r="A231" s="82" t="str">
        <f ca="1">IF(ISERROR(OFFSET(Map!$E$2,MATCH(D231,Map!$B$3:$B$239,0),0)),OFFSET(Map!$E$2,MATCH(D231,Map!$C$3:$C$239,0),0),OFFSET(Map!$E$2,MATCH(D231,Map!$B$3:$B$239,0),0))</f>
        <v>Sekhukhune</v>
      </c>
      <c r="B231" s="82">
        <v>230</v>
      </c>
      <c r="C231" s="82" t="s">
        <v>58</v>
      </c>
      <c r="D231" s="82" t="s">
        <v>657</v>
      </c>
      <c r="E231" s="82" t="s">
        <v>658</v>
      </c>
      <c r="F231" s="82">
        <v>123648</v>
      </c>
      <c r="G231" s="82">
        <v>35.5</v>
      </c>
      <c r="H231" s="82">
        <v>57.6</v>
      </c>
      <c r="I231" s="82">
        <f t="shared" si="18"/>
        <v>71221</v>
      </c>
      <c r="J231" s="82">
        <v>6.9</v>
      </c>
      <c r="K231" s="82">
        <v>73.7</v>
      </c>
      <c r="L231" s="82">
        <v>88.9</v>
      </c>
      <c r="M231" s="82">
        <v>0.19</v>
      </c>
      <c r="N231" s="82">
        <v>61</v>
      </c>
      <c r="O231" s="82">
        <v>41.4</v>
      </c>
      <c r="P231" s="82">
        <f t="shared" si="19"/>
        <v>41736</v>
      </c>
      <c r="Q231" s="82">
        <v>48.8</v>
      </c>
      <c r="R231" s="82">
        <v>22.7</v>
      </c>
      <c r="S231" s="82">
        <v>5.0999999999999996</v>
      </c>
      <c r="T231" s="82">
        <v>18.8</v>
      </c>
      <c r="U231" s="82">
        <v>32284</v>
      </c>
      <c r="V231" s="82">
        <v>9442</v>
      </c>
      <c r="W231" s="82">
        <v>3.8</v>
      </c>
      <c r="X231" s="82">
        <v>51.3</v>
      </c>
      <c r="Y231" s="82">
        <v>93.2</v>
      </c>
      <c r="Z231" s="82">
        <v>43.9</v>
      </c>
      <c r="AA231" s="82">
        <v>9.1</v>
      </c>
      <c r="AB231" s="82">
        <v>10.6</v>
      </c>
      <c r="AC231" s="82">
        <v>12.3</v>
      </c>
      <c r="AD231" s="82">
        <v>89.6</v>
      </c>
      <c r="AE231" s="82">
        <v>97.8</v>
      </c>
      <c r="AF231" s="82">
        <v>0.1</v>
      </c>
      <c r="AG231" s="82">
        <v>0.2</v>
      </c>
      <c r="AH231" s="82">
        <v>1.6</v>
      </c>
      <c r="AI231" s="82">
        <v>0.3</v>
      </c>
      <c r="AJ231" s="82">
        <v>6.8</v>
      </c>
      <c r="AK231" s="82">
        <v>6.6</v>
      </c>
      <c r="AL231" s="82">
        <v>5.9</v>
      </c>
      <c r="AM231" s="82">
        <v>5.6</v>
      </c>
      <c r="AN231" s="82">
        <v>5.5</v>
      </c>
      <c r="AO231" s="82">
        <v>5.0999999999999996</v>
      </c>
      <c r="AP231" s="82">
        <v>5.9</v>
      </c>
      <c r="AQ231" s="82">
        <v>5.5</v>
      </c>
      <c r="AR231" s="82">
        <v>4.9000000000000004</v>
      </c>
      <c r="AS231" s="82">
        <v>4.8</v>
      </c>
      <c r="AT231" s="82">
        <v>3.6</v>
      </c>
      <c r="AU231" s="82">
        <v>4.2</v>
      </c>
      <c r="AV231" s="82">
        <v>2.6</v>
      </c>
      <c r="AW231" s="82">
        <v>3.2</v>
      </c>
      <c r="AX231" s="82">
        <v>2.2000000000000002</v>
      </c>
      <c r="AY231" s="82">
        <v>3</v>
      </c>
      <c r="AZ231" s="82">
        <v>1.9</v>
      </c>
      <c r="BA231" s="82">
        <v>2.6</v>
      </c>
      <c r="BB231" s="82">
        <v>1.7</v>
      </c>
      <c r="BC231" s="82">
        <v>1.7</v>
      </c>
      <c r="BD231" s="82">
        <v>1.4</v>
      </c>
      <c r="BE231" s="82">
        <v>2.1</v>
      </c>
      <c r="BF231" s="82">
        <v>1.3</v>
      </c>
      <c r="BG231" s="82">
        <v>1.7</v>
      </c>
      <c r="BH231" s="82">
        <v>1.1000000000000001</v>
      </c>
      <c r="BI231" s="82">
        <v>1.5</v>
      </c>
      <c r="BJ231" s="82">
        <v>0.7</v>
      </c>
      <c r="BK231" s="82">
        <v>1.4</v>
      </c>
      <c r="BL231" s="82">
        <v>0.7</v>
      </c>
      <c r="BM231" s="82">
        <v>1.1000000000000001</v>
      </c>
      <c r="BN231" s="82">
        <v>0.3</v>
      </c>
      <c r="BO231" s="82">
        <v>0.8</v>
      </c>
      <c r="BP231" s="82">
        <v>0.3</v>
      </c>
      <c r="BQ231" s="82">
        <v>0.7</v>
      </c>
      <c r="BR231" s="82">
        <v>0.3</v>
      </c>
      <c r="BS231" s="82">
        <v>0.6</v>
      </c>
      <c r="BT231" s="82">
        <v>18350</v>
      </c>
      <c r="BU231" s="82">
        <v>12944</v>
      </c>
      <c r="BV231" s="82">
        <v>5299</v>
      </c>
      <c r="BW231" s="82">
        <v>34577</v>
      </c>
      <c r="BX231" s="82">
        <v>15.5</v>
      </c>
      <c r="BY231" s="82">
        <v>5.6</v>
      </c>
      <c r="BZ231" s="82">
        <v>11.8</v>
      </c>
      <c r="CA231" s="82">
        <v>28.6</v>
      </c>
      <c r="CB231" s="82">
        <v>22.3</v>
      </c>
      <c r="CC231" s="82">
        <v>7.9</v>
      </c>
      <c r="CD231" s="82">
        <v>4.0999999999999996</v>
      </c>
      <c r="CE231" s="82">
        <v>2.8</v>
      </c>
      <c r="CF231" s="82">
        <v>1</v>
      </c>
      <c r="CG231" s="82">
        <v>0.2</v>
      </c>
      <c r="CH231" s="82">
        <v>0.2</v>
      </c>
      <c r="CI231" s="82">
        <v>0.1</v>
      </c>
      <c r="CJ231" s="82">
        <f t="shared" si="20"/>
        <v>71170</v>
      </c>
      <c r="CK231" s="82">
        <f t="shared" si="21"/>
        <v>125778.52153803891</v>
      </c>
      <c r="CL231" s="95">
        <f ca="1">$CK231*SUM(OFFSET($AJ231,0,(COUNTA($CL$1:CL$1)-1)*4,1,4))/100</f>
        <v>31318.851862971689</v>
      </c>
      <c r="CM231" s="95">
        <f ca="1">$CK231*SUM(OFFSET($AJ231,0,(COUNTA($CL$1:CM$1)-1)*4,1,4))/100</f>
        <v>27671.27473836856</v>
      </c>
      <c r="CN231" s="95">
        <f ca="1">$CK231*SUM(OFFSET($AJ231,0,(COUNTA($CL$1:CN$1)-1)*4,1,4))/100</f>
        <v>22011.241269156813</v>
      </c>
      <c r="CO231" s="95">
        <f ca="1">$CK231*SUM(OFFSET($AJ231,0,(COUNTA($CL$1:CO$1)-1)*4,1,4))/100</f>
        <v>13835.63736918428</v>
      </c>
      <c r="CP231" s="95">
        <f ca="1">$CK231*SUM(OFFSET($AJ231,0,(COUNTA($CL$1:CP$1)-1)*4,1,4))/100</f>
        <v>9936.5032015050747</v>
      </c>
      <c r="CQ231" s="95">
        <f ca="1">$CK231*SUM(OFFSET($AJ231,0,(COUNTA($CL$1:CQ$1)-1)*4,1,4))/100</f>
        <v>8175.6038999725297</v>
      </c>
      <c r="CR231" s="95">
        <f ca="1">$CK231*SUM(OFFSET($AJ231,0,(COUNTA($CL$1:CR$1)-1)*4,1,4))/100</f>
        <v>5911.5905122878276</v>
      </c>
      <c r="CS231" s="95">
        <f ca="1">$CK231*SUM(OFFSET($AJ231,0,(COUNTA($CL$1:CS$1)-1)*4,1,4))/100</f>
        <v>3647.5771246031286</v>
      </c>
      <c r="CT231" s="95">
        <f ca="1">$CK231*SUM(OFFSET($AJ231,0,(COUNTA($CL$1:CT$1)-1)*4,1,4))/100</f>
        <v>2389.7919092227394</v>
      </c>
      <c r="CU231" s="96">
        <f t="shared" si="22"/>
        <v>2027.016393442623</v>
      </c>
      <c r="CV231" s="96">
        <f t="shared" si="23"/>
        <v>62.05106280587129</v>
      </c>
    </row>
    <row r="232" spans="1:100">
      <c r="A232" s="82" t="str">
        <f ca="1">IF(ISERROR(OFFSET(Map!$E$2,MATCH(D232,Map!$B$3:$B$239,0),0)),OFFSET(Map!$E$2,MATCH(D232,Map!$C$3:$C$239,0),0),OFFSET(Map!$E$2,MATCH(D232,Map!$B$3:$B$239,0),0))</f>
        <v>Sekhukhune</v>
      </c>
      <c r="B232" s="82">
        <v>231</v>
      </c>
      <c r="C232" s="82" t="s">
        <v>58</v>
      </c>
      <c r="D232" s="82" t="s">
        <v>659</v>
      </c>
      <c r="E232" s="82" t="s">
        <v>660</v>
      </c>
      <c r="F232" s="82">
        <v>249363</v>
      </c>
      <c r="G232" s="82">
        <v>36.1</v>
      </c>
      <c r="H232" s="82">
        <v>56.8</v>
      </c>
      <c r="I232" s="82">
        <f t="shared" si="18"/>
        <v>141638</v>
      </c>
      <c r="J232" s="82">
        <v>7</v>
      </c>
      <c r="K232" s="82">
        <v>76</v>
      </c>
      <c r="L232" s="82">
        <v>86.3</v>
      </c>
      <c r="M232" s="82">
        <v>1.18</v>
      </c>
      <c r="N232" s="82">
        <v>67</v>
      </c>
      <c r="O232" s="82">
        <v>42.9</v>
      </c>
      <c r="P232" s="82">
        <f t="shared" si="19"/>
        <v>80875</v>
      </c>
      <c r="Q232" s="82">
        <v>52.7</v>
      </c>
      <c r="R232" s="82">
        <v>24.1</v>
      </c>
      <c r="S232" s="82">
        <v>6.2</v>
      </c>
      <c r="T232" s="82">
        <v>20.100000000000001</v>
      </c>
      <c r="U232" s="82">
        <v>60251</v>
      </c>
      <c r="V232" s="82">
        <v>18494</v>
      </c>
      <c r="W232" s="82">
        <v>4</v>
      </c>
      <c r="X232" s="82">
        <v>53.2</v>
      </c>
      <c r="Y232" s="82">
        <v>90.5</v>
      </c>
      <c r="Z232" s="82">
        <v>58.1</v>
      </c>
      <c r="AA232" s="82">
        <v>10.1</v>
      </c>
      <c r="AB232" s="82">
        <v>10.199999999999999</v>
      </c>
      <c r="AC232" s="82">
        <v>12.2</v>
      </c>
      <c r="AD232" s="82">
        <v>91.1</v>
      </c>
      <c r="AE232" s="82">
        <v>97.9</v>
      </c>
      <c r="AF232" s="82">
        <v>0.1</v>
      </c>
      <c r="AG232" s="82">
        <v>0.2</v>
      </c>
      <c r="AH232" s="82">
        <v>1.6</v>
      </c>
      <c r="AI232" s="82">
        <v>0.2</v>
      </c>
      <c r="AJ232" s="82">
        <v>6.7</v>
      </c>
      <c r="AK232" s="82">
        <v>6.6</v>
      </c>
      <c r="AL232" s="82">
        <v>5.8</v>
      </c>
      <c r="AM232" s="82">
        <v>5.9</v>
      </c>
      <c r="AN232" s="82">
        <v>5.7</v>
      </c>
      <c r="AO232" s="82">
        <v>5.4</v>
      </c>
      <c r="AP232" s="82">
        <v>6</v>
      </c>
      <c r="AQ232" s="82">
        <v>5.9</v>
      </c>
      <c r="AR232" s="82">
        <v>4.9000000000000004</v>
      </c>
      <c r="AS232" s="82">
        <v>4.9000000000000004</v>
      </c>
      <c r="AT232" s="82">
        <v>3.3</v>
      </c>
      <c r="AU232" s="82">
        <v>4</v>
      </c>
      <c r="AV232" s="82">
        <v>2.5</v>
      </c>
      <c r="AW232" s="82">
        <v>3.1</v>
      </c>
      <c r="AX232" s="82">
        <v>2.1</v>
      </c>
      <c r="AY232" s="82">
        <v>2.8</v>
      </c>
      <c r="AZ232" s="82">
        <v>1.7</v>
      </c>
      <c r="BA232" s="82">
        <v>2.4</v>
      </c>
      <c r="BB232" s="82">
        <v>1.6</v>
      </c>
      <c r="BC232" s="82">
        <v>1.6</v>
      </c>
      <c r="BD232" s="82">
        <v>1.4</v>
      </c>
      <c r="BE232" s="82">
        <v>2</v>
      </c>
      <c r="BF232" s="82">
        <v>1.2</v>
      </c>
      <c r="BG232" s="82">
        <v>1.8</v>
      </c>
      <c r="BH232" s="82">
        <v>1</v>
      </c>
      <c r="BI232" s="82">
        <v>1.7</v>
      </c>
      <c r="BJ232" s="82">
        <v>0.8</v>
      </c>
      <c r="BK232" s="82">
        <v>1.5</v>
      </c>
      <c r="BL232" s="82">
        <v>0.7</v>
      </c>
      <c r="BM232" s="82">
        <v>1.1000000000000001</v>
      </c>
      <c r="BN232" s="82">
        <v>0.3</v>
      </c>
      <c r="BO232" s="82">
        <v>0.7</v>
      </c>
      <c r="BP232" s="82">
        <v>0.2</v>
      </c>
      <c r="BQ232" s="82">
        <v>0.7</v>
      </c>
      <c r="BR232" s="82">
        <v>0.2</v>
      </c>
      <c r="BS232" s="82">
        <v>0.6</v>
      </c>
      <c r="BT232" s="82">
        <v>32203</v>
      </c>
      <c r="BU232" s="82">
        <v>24175</v>
      </c>
      <c r="BV232" s="82">
        <v>11177</v>
      </c>
      <c r="BW232" s="82">
        <v>74140</v>
      </c>
      <c r="BX232" s="82">
        <v>14</v>
      </c>
      <c r="BY232" s="82">
        <v>6.3</v>
      </c>
      <c r="BZ232" s="82">
        <v>11.3</v>
      </c>
      <c r="CA232" s="82">
        <v>25.3</v>
      </c>
      <c r="CB232" s="82">
        <v>23</v>
      </c>
      <c r="CC232" s="82">
        <v>9.6</v>
      </c>
      <c r="CD232" s="82">
        <v>5.2</v>
      </c>
      <c r="CE232" s="82">
        <v>3.4</v>
      </c>
      <c r="CF232" s="82">
        <v>1.5</v>
      </c>
      <c r="CG232" s="82">
        <v>0.3</v>
      </c>
      <c r="CH232" s="82">
        <v>0.1</v>
      </c>
      <c r="CI232" s="82">
        <v>0.1</v>
      </c>
      <c r="CJ232" s="82">
        <f t="shared" si="20"/>
        <v>141695</v>
      </c>
      <c r="CK232" s="82">
        <f t="shared" si="21"/>
        <v>277130.34970876435</v>
      </c>
      <c r="CL232" s="95">
        <f ca="1">$CK232*SUM(OFFSET($AJ232,0,(COUNTA($CL$1:CL$1)-1)*4,1,4))/100</f>
        <v>69282.587427191087</v>
      </c>
      <c r="CM232" s="95">
        <f ca="1">$CK232*SUM(OFFSET($AJ232,0,(COUNTA($CL$1:CM$1)-1)*4,1,4))/100</f>
        <v>63739.980433015808</v>
      </c>
      <c r="CN232" s="95">
        <f ca="1">$CK232*SUM(OFFSET($AJ232,0,(COUNTA($CL$1:CN$1)-1)*4,1,4))/100</f>
        <v>47389.289800198712</v>
      </c>
      <c r="CO232" s="95">
        <f ca="1">$CK232*SUM(OFFSET($AJ232,0,(COUNTA($CL$1:CO$1)-1)*4,1,4))/100</f>
        <v>29098.686719420253</v>
      </c>
      <c r="CP232" s="95">
        <f ca="1">$CK232*SUM(OFFSET($AJ232,0,(COUNTA($CL$1:CP$1)-1)*4,1,4))/100</f>
        <v>20230.515528739794</v>
      </c>
      <c r="CQ232" s="95">
        <f ca="1">$CK232*SUM(OFFSET($AJ232,0,(COUNTA($CL$1:CQ$1)-1)*4,1,4))/100</f>
        <v>17736.342381360919</v>
      </c>
      <c r="CR232" s="95">
        <f ca="1">$CK232*SUM(OFFSET($AJ232,0,(COUNTA($CL$1:CR$1)-1)*4,1,4))/100</f>
        <v>13856.517485438217</v>
      </c>
      <c r="CS232" s="95">
        <f ca="1">$CK232*SUM(OFFSET($AJ232,0,(COUNTA($CL$1:CS$1)-1)*4,1,4))/100</f>
        <v>7759.6497918454006</v>
      </c>
      <c r="CT232" s="95">
        <f ca="1">$CK232*SUM(OFFSET($AJ232,0,(COUNTA($CL$1:CT$1)-1)*4,1,4))/100</f>
        <v>4711.2159450489935</v>
      </c>
      <c r="CU232" s="96">
        <f t="shared" si="22"/>
        <v>3721.8358208955224</v>
      </c>
      <c r="CV232" s="96">
        <f t="shared" si="23"/>
        <v>74.460659482309765</v>
      </c>
    </row>
    <row r="233" spans="1:100">
      <c r="A233" s="82" t="str">
        <f ca="1">IF(ISERROR(OFFSET(Map!$E$2,MATCH(D233,Map!$B$3:$B$239,0),0)),OFFSET(Map!$E$2,MATCH(D233,Map!$C$3:$C$239,0),0),OFFSET(Map!$E$2,MATCH(D233,Map!$B$3:$B$239,0),0))</f>
        <v>Sekhukhune</v>
      </c>
      <c r="B233" s="82">
        <v>232</v>
      </c>
      <c r="C233" s="82" t="s">
        <v>58</v>
      </c>
      <c r="D233" s="82" t="s">
        <v>661</v>
      </c>
      <c r="E233" s="82" t="s">
        <v>662</v>
      </c>
      <c r="F233" s="82">
        <v>274358</v>
      </c>
      <c r="G233" s="82">
        <v>38.1</v>
      </c>
      <c r="H233" s="82">
        <v>53.9</v>
      </c>
      <c r="I233" s="82">
        <f t="shared" si="18"/>
        <v>147879</v>
      </c>
      <c r="J233" s="82">
        <v>8</v>
      </c>
      <c r="K233" s="82">
        <v>85.4</v>
      </c>
      <c r="L233" s="82">
        <v>79.2</v>
      </c>
      <c r="M233" s="82">
        <v>0.46</v>
      </c>
      <c r="N233" s="82">
        <v>131</v>
      </c>
      <c r="O233" s="82">
        <v>62.7</v>
      </c>
      <c r="P233" s="82">
        <f t="shared" si="19"/>
        <v>55159</v>
      </c>
      <c r="Q233" s="82">
        <v>74</v>
      </c>
      <c r="R233" s="82">
        <v>23.4</v>
      </c>
      <c r="S233" s="82">
        <v>5.7</v>
      </c>
      <c r="T233" s="82">
        <v>20.5</v>
      </c>
      <c r="U233" s="82">
        <v>65217</v>
      </c>
      <c r="V233" s="82">
        <v>24803</v>
      </c>
      <c r="W233" s="82">
        <v>4.2</v>
      </c>
      <c r="X233" s="82">
        <v>60.1</v>
      </c>
      <c r="Y233" s="82">
        <v>90.1</v>
      </c>
      <c r="Z233" s="82">
        <v>71.400000000000006</v>
      </c>
      <c r="AA233" s="82">
        <v>3</v>
      </c>
      <c r="AB233" s="82">
        <v>2</v>
      </c>
      <c r="AC233" s="82">
        <v>6</v>
      </c>
      <c r="AD233" s="82">
        <v>90.4</v>
      </c>
      <c r="AE233" s="82">
        <v>99.7</v>
      </c>
      <c r="AF233" s="82">
        <v>0</v>
      </c>
      <c r="AG233" s="82">
        <v>0.1</v>
      </c>
      <c r="AH233" s="82">
        <v>0.1</v>
      </c>
      <c r="AI233" s="82">
        <v>0.1</v>
      </c>
      <c r="AJ233" s="82">
        <v>7.1</v>
      </c>
      <c r="AK233" s="82">
        <v>6.9</v>
      </c>
      <c r="AL233" s="82">
        <v>6.2</v>
      </c>
      <c r="AM233" s="82">
        <v>6.2</v>
      </c>
      <c r="AN233" s="82">
        <v>6</v>
      </c>
      <c r="AO233" s="82">
        <v>5.7</v>
      </c>
      <c r="AP233" s="82">
        <v>6.1</v>
      </c>
      <c r="AQ233" s="82">
        <v>6</v>
      </c>
      <c r="AR233" s="82">
        <v>4.0999999999999996</v>
      </c>
      <c r="AS233" s="82">
        <v>4.5</v>
      </c>
      <c r="AT233" s="82">
        <v>2.6</v>
      </c>
      <c r="AU233" s="82">
        <v>3.9</v>
      </c>
      <c r="AV233" s="82">
        <v>1.9</v>
      </c>
      <c r="AW233" s="82">
        <v>3.2</v>
      </c>
      <c r="AX233" s="82">
        <v>1.6</v>
      </c>
      <c r="AY233" s="82">
        <v>2.9</v>
      </c>
      <c r="AZ233" s="82">
        <v>1.5</v>
      </c>
      <c r="BA233" s="82">
        <v>2.6</v>
      </c>
      <c r="BB233" s="82">
        <v>1.3</v>
      </c>
      <c r="BC233" s="82">
        <v>1.3</v>
      </c>
      <c r="BD233" s="82">
        <v>1.2</v>
      </c>
      <c r="BE233" s="82">
        <v>2.1</v>
      </c>
      <c r="BF233" s="82">
        <v>1.1000000000000001</v>
      </c>
      <c r="BG233" s="82">
        <v>1.9</v>
      </c>
      <c r="BH233" s="82">
        <v>1</v>
      </c>
      <c r="BI233" s="82">
        <v>1.8</v>
      </c>
      <c r="BJ233" s="82">
        <v>0.7</v>
      </c>
      <c r="BK233" s="82">
        <v>1.8</v>
      </c>
      <c r="BL233" s="82">
        <v>0.8</v>
      </c>
      <c r="BM233" s="82">
        <v>1.3</v>
      </c>
      <c r="BN233" s="82">
        <v>0.4</v>
      </c>
      <c r="BO233" s="82">
        <v>0.9</v>
      </c>
      <c r="BP233" s="82">
        <v>0.3</v>
      </c>
      <c r="BQ233" s="82">
        <v>0.8</v>
      </c>
      <c r="BR233" s="82">
        <v>0.2</v>
      </c>
      <c r="BS233" s="82">
        <v>0.7</v>
      </c>
      <c r="BT233" s="82">
        <v>19534</v>
      </c>
      <c r="BU233" s="82">
        <v>32780</v>
      </c>
      <c r="BV233" s="82">
        <v>13657</v>
      </c>
      <c r="BW233" s="82">
        <v>81993</v>
      </c>
      <c r="BX233" s="82">
        <v>13.1</v>
      </c>
      <c r="BY233" s="82">
        <v>7.3</v>
      </c>
      <c r="BZ233" s="82">
        <v>14.5</v>
      </c>
      <c r="CA233" s="82">
        <v>25.5</v>
      </c>
      <c r="CB233" s="82">
        <v>23.7</v>
      </c>
      <c r="CC233" s="82">
        <v>7.2</v>
      </c>
      <c r="CD233" s="82">
        <v>4.4000000000000004</v>
      </c>
      <c r="CE233" s="82">
        <v>2.9</v>
      </c>
      <c r="CF233" s="82">
        <v>1</v>
      </c>
      <c r="CG233" s="82">
        <v>0.2</v>
      </c>
      <c r="CH233" s="82">
        <v>0.1</v>
      </c>
      <c r="CI233" s="82">
        <v>0.1</v>
      </c>
      <c r="CJ233" s="82">
        <f t="shared" si="20"/>
        <v>147964</v>
      </c>
      <c r="CK233" s="82">
        <f t="shared" si="21"/>
        <v>285927.67491212836</v>
      </c>
      <c r="CL233" s="95">
        <f ca="1">$CK233*SUM(OFFSET($AJ233,0,(COUNTA($CL$1:CL$1)-1)*4,1,4))/100</f>
        <v>75484.906176801887</v>
      </c>
      <c r="CM233" s="95">
        <f ca="1">$CK233*SUM(OFFSET($AJ233,0,(COUNTA($CL$1:CM$1)-1)*4,1,4))/100</f>
        <v>68050.78662908655</v>
      </c>
      <c r="CN233" s="95">
        <f ca="1">$CK233*SUM(OFFSET($AJ233,0,(COUNTA($CL$1:CN$1)-1)*4,1,4))/100</f>
        <v>43175.078911731383</v>
      </c>
      <c r="CO233" s="95">
        <f ca="1">$CK233*SUM(OFFSET($AJ233,0,(COUNTA($CL$1:CO$1)-1)*4,1,4))/100</f>
        <v>27449.056791564322</v>
      </c>
      <c r="CP233" s="95">
        <f ca="1">$CK233*SUM(OFFSET($AJ233,0,(COUNTA($CL$1:CP$1)-1)*4,1,4))/100</f>
        <v>19157.154219112599</v>
      </c>
      <c r="CQ233" s="95">
        <f ca="1">$CK233*SUM(OFFSET($AJ233,0,(COUNTA($CL$1:CQ$1)-1)*4,1,4))/100</f>
        <v>18013.44351946409</v>
      </c>
      <c r="CR233" s="95">
        <f ca="1">$CK233*SUM(OFFSET($AJ233,0,(COUNTA($CL$1:CR$1)-1)*4,1,4))/100</f>
        <v>15154.166770342803</v>
      </c>
      <c r="CS233" s="95">
        <f ca="1">$CK233*SUM(OFFSET($AJ233,0,(COUNTA($CL$1:CS$1)-1)*4,1,4))/100</f>
        <v>9721.540947012365</v>
      </c>
      <c r="CT233" s="95">
        <f ca="1">$CK233*SUM(OFFSET($AJ233,0,(COUNTA($CL$1:CT$1)-1)*4,1,4))/100</f>
        <v>5718.553498242567</v>
      </c>
      <c r="CU233" s="96">
        <f t="shared" si="22"/>
        <v>2094.3358778625952</v>
      </c>
      <c r="CV233" s="96">
        <f t="shared" si="23"/>
        <v>136.52426906993352</v>
      </c>
    </row>
    <row r="234" spans="1:100">
      <c r="A234" s="82" t="str">
        <f ca="1">IF(ISERROR(OFFSET(Map!$E$2,MATCH(D234,Map!$B$3:$B$239,0),0)),OFFSET(Map!$E$2,MATCH(D234,Map!$C$3:$C$239,0),0),OFFSET(Map!$E$2,MATCH(D234,Map!$B$3:$B$239,0),0))</f>
        <v>Sekhukhune</v>
      </c>
      <c r="B234" s="82">
        <v>233</v>
      </c>
      <c r="C234" s="82" t="s">
        <v>58</v>
      </c>
      <c r="D234" s="82" t="s">
        <v>663</v>
      </c>
      <c r="E234" s="82" t="s">
        <v>664</v>
      </c>
      <c r="F234" s="82">
        <v>93795</v>
      </c>
      <c r="G234" s="82">
        <v>35.4</v>
      </c>
      <c r="H234" s="82">
        <v>56.5</v>
      </c>
      <c r="I234" s="82">
        <f t="shared" si="18"/>
        <v>52994</v>
      </c>
      <c r="J234" s="82">
        <v>8.1</v>
      </c>
      <c r="K234" s="82">
        <v>77.099999999999994</v>
      </c>
      <c r="L234" s="82">
        <v>82</v>
      </c>
      <c r="M234" s="82">
        <v>0.13</v>
      </c>
      <c r="N234" s="82">
        <v>85</v>
      </c>
      <c r="O234" s="82">
        <v>58.9</v>
      </c>
      <c r="P234" s="82">
        <f t="shared" si="19"/>
        <v>21781</v>
      </c>
      <c r="Q234" s="82">
        <v>70.5</v>
      </c>
      <c r="R234" s="82">
        <v>24.3</v>
      </c>
      <c r="S234" s="82">
        <v>6.6</v>
      </c>
      <c r="T234" s="82">
        <v>22</v>
      </c>
      <c r="U234" s="82">
        <v>22851</v>
      </c>
      <c r="V234" s="82">
        <v>7960</v>
      </c>
      <c r="W234" s="82">
        <v>4.0999999999999996</v>
      </c>
      <c r="X234" s="82">
        <v>55.9</v>
      </c>
      <c r="Y234" s="82">
        <v>94.2</v>
      </c>
      <c r="Z234" s="82">
        <v>56.8</v>
      </c>
      <c r="AA234" s="82">
        <v>1.9</v>
      </c>
      <c r="AB234" s="82">
        <v>17.8</v>
      </c>
      <c r="AC234" s="82">
        <v>5.5</v>
      </c>
      <c r="AD234" s="82">
        <v>91.5</v>
      </c>
      <c r="AE234" s="82">
        <v>99.4</v>
      </c>
      <c r="AF234" s="82">
        <v>0</v>
      </c>
      <c r="AG234" s="82">
        <v>0.1</v>
      </c>
      <c r="AH234" s="82">
        <v>0.4</v>
      </c>
      <c r="AI234" s="82">
        <v>0.1</v>
      </c>
      <c r="AJ234" s="82">
        <v>6.5</v>
      </c>
      <c r="AK234" s="82">
        <v>6.6</v>
      </c>
      <c r="AL234" s="82">
        <v>5.8</v>
      </c>
      <c r="AM234" s="82">
        <v>5.8</v>
      </c>
      <c r="AN234" s="82">
        <v>5.5</v>
      </c>
      <c r="AO234" s="82">
        <v>5.3</v>
      </c>
      <c r="AP234" s="82">
        <v>5.8</v>
      </c>
      <c r="AQ234" s="82">
        <v>5.8</v>
      </c>
      <c r="AR234" s="82">
        <v>4.3</v>
      </c>
      <c r="AS234" s="82">
        <v>4.5999999999999996</v>
      </c>
      <c r="AT234" s="82">
        <v>3.3</v>
      </c>
      <c r="AU234" s="82">
        <v>4.2</v>
      </c>
      <c r="AV234" s="82">
        <v>2.5</v>
      </c>
      <c r="AW234" s="82">
        <v>3.2</v>
      </c>
      <c r="AX234" s="82">
        <v>2</v>
      </c>
      <c r="AY234" s="82">
        <v>2.9</v>
      </c>
      <c r="AZ234" s="82">
        <v>1.7</v>
      </c>
      <c r="BA234" s="82">
        <v>2.6</v>
      </c>
      <c r="BB234" s="82">
        <v>1.6</v>
      </c>
      <c r="BC234" s="82">
        <v>1.6</v>
      </c>
      <c r="BD234" s="82">
        <v>1.4</v>
      </c>
      <c r="BE234" s="82">
        <v>2.1</v>
      </c>
      <c r="BF234" s="82">
        <v>1.3</v>
      </c>
      <c r="BG234" s="82">
        <v>1.9</v>
      </c>
      <c r="BH234" s="82">
        <v>1</v>
      </c>
      <c r="BI234" s="82">
        <v>1.6</v>
      </c>
      <c r="BJ234" s="82">
        <v>0.7</v>
      </c>
      <c r="BK234" s="82">
        <v>1.8</v>
      </c>
      <c r="BL234" s="82">
        <v>0.8</v>
      </c>
      <c r="BM234" s="82">
        <v>1.3</v>
      </c>
      <c r="BN234" s="82">
        <v>0.4</v>
      </c>
      <c r="BO234" s="82">
        <v>1</v>
      </c>
      <c r="BP234" s="82">
        <v>0.3</v>
      </c>
      <c r="BQ234" s="82">
        <v>0.8</v>
      </c>
      <c r="BR234" s="82">
        <v>0.2</v>
      </c>
      <c r="BS234" s="82">
        <v>0.8</v>
      </c>
      <c r="BT234" s="82">
        <v>9184</v>
      </c>
      <c r="BU234" s="82">
        <v>13154</v>
      </c>
      <c r="BV234" s="82">
        <v>3273</v>
      </c>
      <c r="BW234" s="82">
        <v>27361</v>
      </c>
      <c r="BX234" s="82">
        <v>15</v>
      </c>
      <c r="BY234" s="82">
        <v>5.7</v>
      </c>
      <c r="BZ234" s="82">
        <v>10.9</v>
      </c>
      <c r="CA234" s="82">
        <v>23</v>
      </c>
      <c r="CB234" s="82">
        <v>21</v>
      </c>
      <c r="CC234" s="82">
        <v>11.1</v>
      </c>
      <c r="CD234" s="82">
        <v>7.5</v>
      </c>
      <c r="CE234" s="82">
        <v>4</v>
      </c>
      <c r="CF234" s="82">
        <v>1.4</v>
      </c>
      <c r="CG234" s="82">
        <v>0.2</v>
      </c>
      <c r="CH234" s="82">
        <v>0.1</v>
      </c>
      <c r="CI234" s="82">
        <v>0.1</v>
      </c>
      <c r="CJ234" s="82">
        <f t="shared" si="20"/>
        <v>52972</v>
      </c>
      <c r="CK234" s="82">
        <f t="shared" si="21"/>
        <v>94898.125331277479</v>
      </c>
      <c r="CL234" s="95">
        <f ca="1">$CK234*SUM(OFFSET($AJ234,0,(COUNTA($CL$1:CL$1)-1)*4,1,4))/100</f>
        <v>23439.836956825537</v>
      </c>
      <c r="CM234" s="95">
        <f ca="1">$CK234*SUM(OFFSET($AJ234,0,(COUNTA($CL$1:CM$1)-1)*4,1,4))/100</f>
        <v>21257.180074206157</v>
      </c>
      <c r="CN234" s="95">
        <f ca="1">$CK234*SUM(OFFSET($AJ234,0,(COUNTA($CL$1:CN$1)-1)*4,1,4))/100</f>
        <v>15563.292554329506</v>
      </c>
      <c r="CO234" s="95">
        <f ca="1">$CK234*SUM(OFFSET($AJ234,0,(COUNTA($CL$1:CO$1)-1)*4,1,4))/100</f>
        <v>10059.201285115412</v>
      </c>
      <c r="CP234" s="95">
        <f ca="1">$CK234*SUM(OFFSET($AJ234,0,(COUNTA($CL$1:CP$1)-1)*4,1,4))/100</f>
        <v>7117.3593998458109</v>
      </c>
      <c r="CQ234" s="95">
        <f ca="1">$CK234*SUM(OFFSET($AJ234,0,(COUNTA($CL$1:CQ$1)-1)*4,1,4))/100</f>
        <v>6358.1743971955902</v>
      </c>
      <c r="CR234" s="95">
        <f ca="1">$CK234*SUM(OFFSET($AJ234,0,(COUNTA($CL$1:CR$1)-1)*4,1,4))/100</f>
        <v>4839.8043918951516</v>
      </c>
      <c r="CS234" s="95">
        <f ca="1">$CK234*SUM(OFFSET($AJ234,0,(COUNTA($CL$1:CS$1)-1)*4,1,4))/100</f>
        <v>3321.4343865947117</v>
      </c>
      <c r="CT234" s="95">
        <f ca="1">$CK234*SUM(OFFSET($AJ234,0,(COUNTA($CL$1:CT$1)-1)*4,1,4))/100</f>
        <v>1992.8606319568271</v>
      </c>
      <c r="CU234" s="96">
        <f t="shared" si="22"/>
        <v>1103.4705882352941</v>
      </c>
      <c r="CV234" s="96">
        <f t="shared" si="23"/>
        <v>85.999687117208651</v>
      </c>
    </row>
    <row r="235" spans="1:100">
      <c r="A235" s="82" t="str">
        <f ca="1">IF(ISERROR(OFFSET(Map!$E$2,MATCH(D235,Map!$B$3:$B$239,0),0)),OFFSET(Map!$E$2,MATCH(D235,Map!$C$3:$C$239,0),0),OFFSET(Map!$E$2,MATCH(D235,Map!$B$3:$B$239,0),0))</f>
        <v>Sekhukhune</v>
      </c>
      <c r="B235" s="82">
        <v>234</v>
      </c>
      <c r="C235" s="82" t="s">
        <v>58</v>
      </c>
      <c r="D235" s="82" t="s">
        <v>665</v>
      </c>
      <c r="E235" s="82" t="s">
        <v>666</v>
      </c>
      <c r="F235" s="82">
        <v>335676</v>
      </c>
      <c r="G235" s="82">
        <v>34.5</v>
      </c>
      <c r="H235" s="82">
        <v>60.4</v>
      </c>
      <c r="I235" s="82">
        <f t="shared" si="18"/>
        <v>202748</v>
      </c>
      <c r="J235" s="82">
        <v>5.0999999999999996</v>
      </c>
      <c r="K235" s="82">
        <v>65.599999999999994</v>
      </c>
      <c r="L235" s="82">
        <v>91.5</v>
      </c>
      <c r="M235" s="82">
        <v>2.19</v>
      </c>
      <c r="N235" s="82">
        <v>73</v>
      </c>
      <c r="O235" s="82">
        <v>50.3</v>
      </c>
      <c r="P235" s="82">
        <f t="shared" si="19"/>
        <v>100766</v>
      </c>
      <c r="Q235" s="82">
        <v>59.6</v>
      </c>
      <c r="R235" s="82">
        <v>15.1</v>
      </c>
      <c r="S235" s="82">
        <v>6.6</v>
      </c>
      <c r="T235" s="82">
        <v>22.6</v>
      </c>
      <c r="U235" s="82">
        <v>83199</v>
      </c>
      <c r="V235" s="82">
        <v>25347</v>
      </c>
      <c r="W235" s="82">
        <v>3.9</v>
      </c>
      <c r="X235" s="82">
        <v>46.9</v>
      </c>
      <c r="Y235" s="82">
        <v>83.2</v>
      </c>
      <c r="Z235" s="82">
        <v>53.9</v>
      </c>
      <c r="AA235" s="82">
        <v>6.3</v>
      </c>
      <c r="AB235" s="82">
        <v>7.9</v>
      </c>
      <c r="AC235" s="82">
        <v>9.5</v>
      </c>
      <c r="AD235" s="82">
        <v>75.7</v>
      </c>
      <c r="AE235" s="82">
        <v>98.3</v>
      </c>
      <c r="AF235" s="82">
        <v>0.2</v>
      </c>
      <c r="AG235" s="82">
        <v>0.2</v>
      </c>
      <c r="AH235" s="82">
        <v>1.3</v>
      </c>
      <c r="AI235" s="82">
        <v>0.1</v>
      </c>
      <c r="AJ235" s="82">
        <v>6.6</v>
      </c>
      <c r="AK235" s="82">
        <v>6.6</v>
      </c>
      <c r="AL235" s="82">
        <v>5.6</v>
      </c>
      <c r="AM235" s="82">
        <v>5.5</v>
      </c>
      <c r="AN235" s="82">
        <v>5.3</v>
      </c>
      <c r="AO235" s="82">
        <v>5.0999999999999996</v>
      </c>
      <c r="AP235" s="82">
        <v>5.5</v>
      </c>
      <c r="AQ235" s="82">
        <v>5.4</v>
      </c>
      <c r="AR235" s="82">
        <v>5.3</v>
      </c>
      <c r="AS235" s="82">
        <v>5.4</v>
      </c>
      <c r="AT235" s="82">
        <v>4.5999999999999996</v>
      </c>
      <c r="AU235" s="82">
        <v>4.9000000000000004</v>
      </c>
      <c r="AV235" s="82">
        <v>3.5</v>
      </c>
      <c r="AW235" s="82">
        <v>3.8</v>
      </c>
      <c r="AX235" s="82">
        <v>2.7</v>
      </c>
      <c r="AY235" s="82">
        <v>3</v>
      </c>
      <c r="AZ235" s="82">
        <v>2.1</v>
      </c>
      <c r="BA235" s="82">
        <v>2.5</v>
      </c>
      <c r="BB235" s="82">
        <v>1.8</v>
      </c>
      <c r="BC235" s="82">
        <v>1.8</v>
      </c>
      <c r="BD235" s="82">
        <v>1.3</v>
      </c>
      <c r="BE235" s="82">
        <v>1.7</v>
      </c>
      <c r="BF235" s="82">
        <v>1.2</v>
      </c>
      <c r="BG235" s="82">
        <v>1.4</v>
      </c>
      <c r="BH235" s="82">
        <v>0.8</v>
      </c>
      <c r="BI235" s="82">
        <v>1.1000000000000001</v>
      </c>
      <c r="BJ235" s="82">
        <v>0.5</v>
      </c>
      <c r="BK235" s="82">
        <v>1.1000000000000001</v>
      </c>
      <c r="BL235" s="82">
        <v>0.5</v>
      </c>
      <c r="BM235" s="82">
        <v>0.8</v>
      </c>
      <c r="BN235" s="82">
        <v>0.2</v>
      </c>
      <c r="BO235" s="82">
        <v>0.6</v>
      </c>
      <c r="BP235" s="82">
        <v>0.2</v>
      </c>
      <c r="BQ235" s="82">
        <v>0.5</v>
      </c>
      <c r="BR235" s="82">
        <v>0.1</v>
      </c>
      <c r="BS235" s="82">
        <v>0.5</v>
      </c>
      <c r="BT235" s="82">
        <v>49522</v>
      </c>
      <c r="BU235" s="82">
        <v>50220</v>
      </c>
      <c r="BV235" s="82">
        <v>10605</v>
      </c>
      <c r="BW235" s="82">
        <v>92376</v>
      </c>
      <c r="BX235" s="82">
        <v>15.7</v>
      </c>
      <c r="BY235" s="82">
        <v>6.5</v>
      </c>
      <c r="BZ235" s="82">
        <v>11.9</v>
      </c>
      <c r="CA235" s="82">
        <v>18.600000000000001</v>
      </c>
      <c r="CB235" s="82">
        <v>17.7</v>
      </c>
      <c r="CC235" s="82">
        <v>13.8</v>
      </c>
      <c r="CD235" s="82">
        <v>8.8000000000000007</v>
      </c>
      <c r="CE235" s="82">
        <v>4.5</v>
      </c>
      <c r="CF235" s="82">
        <v>1.9</v>
      </c>
      <c r="CG235" s="82">
        <v>0.4</v>
      </c>
      <c r="CH235" s="82">
        <v>0.1</v>
      </c>
      <c r="CI235" s="82">
        <v>0.1</v>
      </c>
      <c r="CJ235" s="82">
        <f t="shared" si="20"/>
        <v>202723</v>
      </c>
      <c r="CK235" s="82">
        <f t="shared" si="21"/>
        <v>407939.61693806102</v>
      </c>
      <c r="CL235" s="95">
        <f ca="1">$CK235*SUM(OFFSET($AJ235,0,(COUNTA($CL$1:CL$1)-1)*4,1,4))/100</f>
        <v>99129.326915948826</v>
      </c>
      <c r="CM235" s="95">
        <f ca="1">$CK235*SUM(OFFSET($AJ235,0,(COUNTA($CL$1:CM$1)-1)*4,1,4))/100</f>
        <v>86891.138407806982</v>
      </c>
      <c r="CN235" s="95">
        <f ca="1">$CK235*SUM(OFFSET($AJ235,0,(COUNTA($CL$1:CN$1)-1)*4,1,4))/100</f>
        <v>82403.802621488314</v>
      </c>
      <c r="CO235" s="95">
        <f ca="1">$CK235*SUM(OFFSET($AJ235,0,(COUNTA($CL$1:CO$1)-1)*4,1,4))/100</f>
        <v>53032.15020194793</v>
      </c>
      <c r="CP235" s="95">
        <f ca="1">$CK235*SUM(OFFSET($AJ235,0,(COUNTA($CL$1:CP$1)-1)*4,1,4))/100</f>
        <v>33451.048588920996</v>
      </c>
      <c r="CQ235" s="95">
        <f ca="1">$CK235*SUM(OFFSET($AJ235,0,(COUNTA($CL$1:CQ$1)-1)*4,1,4))/100</f>
        <v>22844.618548531416</v>
      </c>
      <c r="CR235" s="95">
        <f ca="1">$CK235*SUM(OFFSET($AJ235,0,(COUNTA($CL$1:CR$1)-1)*4,1,4))/100</f>
        <v>14277.886592832137</v>
      </c>
      <c r="CS235" s="95">
        <f ca="1">$CK235*SUM(OFFSET($AJ235,0,(COUNTA($CL$1:CS$1)-1)*4,1,4))/100</f>
        <v>8566.7319556992807</v>
      </c>
      <c r="CT235" s="95">
        <f ca="1">$CK235*SUM(OFFSET($AJ235,0,(COUNTA($CL$1:CT$1)-1)*4,1,4))/100</f>
        <v>5303.2150201947925</v>
      </c>
      <c r="CU235" s="96">
        <f t="shared" si="22"/>
        <v>4598.3013698630139</v>
      </c>
      <c r="CV235" s="96">
        <f t="shared" si="23"/>
        <v>88.715285085851988</v>
      </c>
    </row>
  </sheetData>
  <autoFilter ref="B1:CJ235" xr:uid="{00000000-0009-0000-0000-00000A000000}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I239"/>
  <sheetViews>
    <sheetView workbookViewId="0">
      <selection activeCell="E40" sqref="E40"/>
    </sheetView>
  </sheetViews>
  <sheetFormatPr baseColWidth="10" defaultColWidth="8.6640625" defaultRowHeight="12"/>
  <cols>
    <col min="1" max="1" width="32.6640625" style="76" bestFit="1" customWidth="1"/>
    <col min="2" max="2" width="10.6640625" style="76" bestFit="1" customWidth="1"/>
    <col min="3" max="3" width="5.83203125" style="76" customWidth="1"/>
    <col min="4" max="4" width="10.6640625" style="76" bestFit="1" customWidth="1"/>
    <col min="5" max="5" width="19.6640625" style="76" bestFit="1" customWidth="1"/>
    <col min="6" max="6" width="13" style="76" bestFit="1" customWidth="1"/>
    <col min="7" max="7" width="6.5" style="41" bestFit="1" customWidth="1"/>
    <col min="8" max="8" width="8" style="41" bestFit="1" customWidth="1"/>
    <col min="9" max="9" width="8.83203125" style="41" bestFit="1" customWidth="1"/>
    <col min="10" max="15" width="8.6640625" style="76" customWidth="1"/>
    <col min="16" max="16384" width="8.6640625" style="76"/>
  </cols>
  <sheetData>
    <row r="1" spans="1:9">
      <c r="A1" s="37" t="s">
        <v>670</v>
      </c>
      <c r="B1" s="38" t="s">
        <v>671</v>
      </c>
      <c r="C1" s="38" t="s">
        <v>672</v>
      </c>
      <c r="D1" s="38" t="s">
        <v>77</v>
      </c>
      <c r="E1" s="38" t="s">
        <v>100</v>
      </c>
      <c r="F1" s="38" t="s">
        <v>673</v>
      </c>
      <c r="G1" s="39" t="s">
        <v>674</v>
      </c>
      <c r="H1" s="39" t="s">
        <v>675</v>
      </c>
      <c r="I1" s="40" t="s">
        <v>676</v>
      </c>
    </row>
    <row r="2" spans="1:9">
      <c r="G2" s="41" t="s">
        <v>677</v>
      </c>
      <c r="H2" s="41" t="s">
        <v>678</v>
      </c>
      <c r="I2" s="41" t="s">
        <v>679</v>
      </c>
    </row>
    <row r="3" spans="1:9">
      <c r="A3" s="76" t="s">
        <v>680</v>
      </c>
      <c r="B3" s="76" t="s">
        <v>482</v>
      </c>
      <c r="C3" s="76" t="s">
        <v>482</v>
      </c>
      <c r="D3" s="76" t="s">
        <v>113</v>
      </c>
      <c r="E3" s="76" t="s">
        <v>39</v>
      </c>
      <c r="F3" s="76" t="s">
        <v>681</v>
      </c>
      <c r="G3" s="41" t="s">
        <v>682</v>
      </c>
      <c r="H3" s="41" t="s">
        <v>683</v>
      </c>
      <c r="I3" s="41">
        <v>56.5</v>
      </c>
    </row>
    <row r="4" spans="1:9">
      <c r="A4" s="76" t="s">
        <v>684</v>
      </c>
      <c r="B4" s="76" t="s">
        <v>582</v>
      </c>
      <c r="C4" s="76" t="s">
        <v>582</v>
      </c>
      <c r="D4" s="76" t="s">
        <v>115</v>
      </c>
      <c r="E4" s="76" t="s">
        <v>14</v>
      </c>
      <c r="F4" s="76" t="s">
        <v>685</v>
      </c>
      <c r="G4" s="41" t="s">
        <v>686</v>
      </c>
      <c r="H4" s="41" t="s">
        <v>687</v>
      </c>
      <c r="I4" s="41">
        <v>33.700000000000003</v>
      </c>
    </row>
    <row r="5" spans="1:9">
      <c r="A5" s="76" t="s">
        <v>688</v>
      </c>
      <c r="B5" s="76" t="s">
        <v>689</v>
      </c>
      <c r="C5" s="76" t="s">
        <v>454</v>
      </c>
      <c r="D5" s="76" t="s">
        <v>113</v>
      </c>
      <c r="E5" s="76" t="s">
        <v>41</v>
      </c>
      <c r="F5" s="76" t="s">
        <v>690</v>
      </c>
      <c r="G5" s="41" t="s">
        <v>691</v>
      </c>
      <c r="H5" s="41" t="s">
        <v>692</v>
      </c>
      <c r="I5" s="41">
        <v>94.6</v>
      </c>
    </row>
    <row r="6" spans="1:9">
      <c r="A6" s="76" t="s">
        <v>693</v>
      </c>
      <c r="B6" s="76" t="s">
        <v>282</v>
      </c>
      <c r="C6" s="76" t="s">
        <v>282</v>
      </c>
      <c r="D6" s="76" t="s">
        <v>105</v>
      </c>
      <c r="E6" s="76" t="s">
        <v>35</v>
      </c>
      <c r="F6" s="76" t="s">
        <v>694</v>
      </c>
      <c r="G6" s="41" t="s">
        <v>695</v>
      </c>
      <c r="H6" s="41" t="s">
        <v>696</v>
      </c>
      <c r="I6" s="41">
        <v>22.6</v>
      </c>
    </row>
    <row r="7" spans="1:9">
      <c r="A7" s="76" t="s">
        <v>697</v>
      </c>
      <c r="B7" s="76" t="s">
        <v>623</v>
      </c>
      <c r="C7" s="76" t="s">
        <v>623</v>
      </c>
      <c r="D7" s="76" t="s">
        <v>114</v>
      </c>
      <c r="E7" s="76" t="s">
        <v>24</v>
      </c>
      <c r="F7" s="76" t="s">
        <v>698</v>
      </c>
      <c r="G7" s="41" t="s">
        <v>699</v>
      </c>
      <c r="H7" s="41" t="s">
        <v>700</v>
      </c>
      <c r="I7" s="41">
        <v>22.6</v>
      </c>
    </row>
    <row r="8" spans="1:9">
      <c r="A8" s="76" t="s">
        <v>701</v>
      </c>
      <c r="B8" s="76" t="s">
        <v>255</v>
      </c>
      <c r="C8" s="76" t="s">
        <v>255</v>
      </c>
      <c r="D8" s="76" t="s">
        <v>119</v>
      </c>
      <c r="E8" s="76" t="s">
        <v>53</v>
      </c>
      <c r="F8" s="76" t="s">
        <v>256</v>
      </c>
      <c r="G8" s="41" t="s">
        <v>702</v>
      </c>
      <c r="H8" s="41" t="s">
        <v>703</v>
      </c>
      <c r="I8" s="41">
        <v>2.2999999999999998</v>
      </c>
    </row>
    <row r="9" spans="1:9">
      <c r="A9" s="76" t="s">
        <v>704</v>
      </c>
      <c r="B9" s="76" t="s">
        <v>653</v>
      </c>
      <c r="C9" s="76" t="s">
        <v>653</v>
      </c>
      <c r="D9" s="76" t="s">
        <v>114</v>
      </c>
      <c r="E9" s="76" t="s">
        <v>23</v>
      </c>
      <c r="F9" s="76" t="s">
        <v>654</v>
      </c>
      <c r="G9" s="41" t="s">
        <v>705</v>
      </c>
      <c r="H9" s="41" t="s">
        <v>706</v>
      </c>
      <c r="I9" s="41">
        <v>22.4</v>
      </c>
    </row>
    <row r="10" spans="1:9">
      <c r="A10" s="76" t="s">
        <v>707</v>
      </c>
      <c r="B10" s="76" t="s">
        <v>213</v>
      </c>
      <c r="C10" s="76" t="s">
        <v>213</v>
      </c>
      <c r="D10" s="76" t="s">
        <v>119</v>
      </c>
      <c r="E10" s="76" t="s">
        <v>34</v>
      </c>
      <c r="F10" s="76" t="s">
        <v>708</v>
      </c>
      <c r="G10" s="41" t="s">
        <v>709</v>
      </c>
      <c r="H10" s="41" t="s">
        <v>710</v>
      </c>
      <c r="I10" s="41">
        <v>15.3</v>
      </c>
    </row>
    <row r="11" spans="1:9">
      <c r="A11" s="76" t="s">
        <v>711</v>
      </c>
      <c r="B11" s="76" t="s">
        <v>712</v>
      </c>
      <c r="C11" s="76" t="s">
        <v>492</v>
      </c>
      <c r="D11" s="76" t="s">
        <v>113</v>
      </c>
      <c r="E11" s="76" t="s">
        <v>40</v>
      </c>
      <c r="F11" s="76" t="s">
        <v>495</v>
      </c>
      <c r="G11" s="41" t="s">
        <v>713</v>
      </c>
      <c r="H11" s="41" t="s">
        <v>714</v>
      </c>
      <c r="I11" s="41">
        <v>33.6</v>
      </c>
    </row>
    <row r="12" spans="1:9">
      <c r="A12" s="76" t="s">
        <v>715</v>
      </c>
      <c r="B12" s="76" t="s">
        <v>247</v>
      </c>
      <c r="C12" s="76" t="s">
        <v>247</v>
      </c>
      <c r="D12" s="76" t="s">
        <v>119</v>
      </c>
      <c r="E12" s="76" t="s">
        <v>18</v>
      </c>
      <c r="F12" s="76" t="s">
        <v>716</v>
      </c>
      <c r="G12" s="41">
        <v>992</v>
      </c>
      <c r="H12" s="41" t="s">
        <v>717</v>
      </c>
      <c r="I12" s="41">
        <v>59.6</v>
      </c>
    </row>
    <row r="13" spans="1:9">
      <c r="A13" s="76" t="s">
        <v>718</v>
      </c>
      <c r="B13" s="76" t="s">
        <v>635</v>
      </c>
      <c r="C13" s="76" t="s">
        <v>635</v>
      </c>
      <c r="D13" s="76" t="s">
        <v>114</v>
      </c>
      <c r="E13" s="76" t="s">
        <v>15</v>
      </c>
      <c r="F13" s="76" t="s">
        <v>719</v>
      </c>
      <c r="G13" s="41" t="s">
        <v>720</v>
      </c>
      <c r="H13" s="41" t="s">
        <v>721</v>
      </c>
      <c r="I13" s="41">
        <v>18.100000000000001</v>
      </c>
    </row>
    <row r="14" spans="1:9">
      <c r="A14" s="76" t="s">
        <v>722</v>
      </c>
      <c r="B14" s="76" t="s">
        <v>260</v>
      </c>
      <c r="C14" s="76" t="s">
        <v>260</v>
      </c>
      <c r="D14" s="76" t="s">
        <v>105</v>
      </c>
      <c r="E14" s="76" t="s">
        <v>30</v>
      </c>
      <c r="F14" s="76" t="s">
        <v>723</v>
      </c>
      <c r="G14" s="41" t="s">
        <v>724</v>
      </c>
      <c r="H14" s="41" t="s">
        <v>725</v>
      </c>
      <c r="I14" s="41">
        <v>3.3</v>
      </c>
    </row>
    <row r="15" spans="1:9">
      <c r="A15" s="76" t="s">
        <v>726</v>
      </c>
      <c r="B15" s="76" t="s">
        <v>225</v>
      </c>
      <c r="C15" s="76" t="s">
        <v>225</v>
      </c>
      <c r="D15" s="76" t="s">
        <v>119</v>
      </c>
      <c r="E15" s="76" t="s">
        <v>20</v>
      </c>
      <c r="F15" s="76" t="s">
        <v>727</v>
      </c>
      <c r="G15" s="41" t="s">
        <v>728</v>
      </c>
      <c r="H15" s="41" t="s">
        <v>729</v>
      </c>
      <c r="I15" s="41">
        <v>46.1</v>
      </c>
    </row>
    <row r="16" spans="1:9">
      <c r="A16" s="76" t="s">
        <v>13</v>
      </c>
      <c r="B16" s="76" t="s">
        <v>257</v>
      </c>
      <c r="C16" s="76" t="s">
        <v>257</v>
      </c>
      <c r="D16" s="76" t="s">
        <v>105</v>
      </c>
      <c r="E16" s="76" t="s">
        <v>13</v>
      </c>
      <c r="F16" s="76" t="s">
        <v>730</v>
      </c>
      <c r="G16" s="41" t="s">
        <v>731</v>
      </c>
      <c r="H16" s="41" t="s">
        <v>732</v>
      </c>
      <c r="I16" s="41">
        <v>303.60000000000002</v>
      </c>
    </row>
    <row r="17" spans="1:9">
      <c r="A17" s="76" t="s">
        <v>733</v>
      </c>
      <c r="B17" s="76" t="s">
        <v>615</v>
      </c>
      <c r="C17" s="76" t="s">
        <v>615</v>
      </c>
      <c r="D17" s="76" t="s">
        <v>115</v>
      </c>
      <c r="E17" s="76" t="s">
        <v>9</v>
      </c>
      <c r="F17" s="76" t="s">
        <v>616</v>
      </c>
      <c r="G17" s="41" t="s">
        <v>734</v>
      </c>
      <c r="H17" s="41" t="s">
        <v>735</v>
      </c>
      <c r="I17" s="41">
        <v>53.3</v>
      </c>
    </row>
    <row r="18" spans="1:9">
      <c r="A18" s="76" t="s">
        <v>736</v>
      </c>
      <c r="B18" s="76" t="s">
        <v>233</v>
      </c>
      <c r="C18" s="76" t="s">
        <v>233</v>
      </c>
      <c r="D18" s="76" t="s">
        <v>119</v>
      </c>
      <c r="E18" s="76" t="s">
        <v>38</v>
      </c>
      <c r="F18" s="76" t="s">
        <v>737</v>
      </c>
      <c r="G18" s="41" t="s">
        <v>738</v>
      </c>
      <c r="H18" s="41" t="s">
        <v>739</v>
      </c>
      <c r="I18" s="41">
        <v>10.4</v>
      </c>
    </row>
    <row r="19" spans="1:9">
      <c r="A19" s="76" t="s">
        <v>740</v>
      </c>
      <c r="B19" s="76" t="s">
        <v>211</v>
      </c>
      <c r="C19" s="76" t="s">
        <v>211</v>
      </c>
      <c r="D19" s="76" t="s">
        <v>119</v>
      </c>
      <c r="E19" s="76" t="s">
        <v>34</v>
      </c>
      <c r="F19" s="76" t="s">
        <v>741</v>
      </c>
      <c r="G19" s="41" t="s">
        <v>742</v>
      </c>
      <c r="H19" s="41" t="s">
        <v>743</v>
      </c>
      <c r="I19" s="41">
        <v>6.6</v>
      </c>
    </row>
    <row r="20" spans="1:9">
      <c r="A20" s="76" t="s">
        <v>3</v>
      </c>
      <c r="B20" s="76" t="s">
        <v>208</v>
      </c>
      <c r="C20" s="76" t="s">
        <v>208</v>
      </c>
      <c r="D20" s="76" t="s">
        <v>119</v>
      </c>
      <c r="E20" s="76" t="s">
        <v>3</v>
      </c>
      <c r="F20" s="76" t="s">
        <v>744</v>
      </c>
      <c r="G20" s="41" t="s">
        <v>745</v>
      </c>
      <c r="H20" s="41" t="s">
        <v>746</v>
      </c>
      <c r="I20" s="41" t="s">
        <v>747</v>
      </c>
    </row>
    <row r="21" spans="1:9">
      <c r="A21" s="76" t="s">
        <v>2</v>
      </c>
      <c r="B21" s="76" t="s">
        <v>580</v>
      </c>
      <c r="C21" s="76" t="s">
        <v>580</v>
      </c>
      <c r="D21" s="76" t="s">
        <v>111</v>
      </c>
      <c r="E21" s="76" t="s">
        <v>2</v>
      </c>
      <c r="F21" s="76" t="s">
        <v>748</v>
      </c>
      <c r="G21" s="41" t="s">
        <v>749</v>
      </c>
      <c r="H21" s="41" t="s">
        <v>750</v>
      </c>
      <c r="I21" s="41" t="s">
        <v>751</v>
      </c>
    </row>
    <row r="22" spans="1:9">
      <c r="A22" s="76" t="s">
        <v>752</v>
      </c>
      <c r="B22" s="76" t="s">
        <v>561</v>
      </c>
      <c r="C22" s="76" t="s">
        <v>561</v>
      </c>
      <c r="D22" s="76" t="s">
        <v>116</v>
      </c>
      <c r="E22" s="76" t="s">
        <v>22</v>
      </c>
      <c r="F22" s="76" t="s">
        <v>753</v>
      </c>
      <c r="G22" s="41" t="s">
        <v>754</v>
      </c>
      <c r="H22" s="41" t="s">
        <v>755</v>
      </c>
      <c r="I22" s="41">
        <v>115.8</v>
      </c>
    </row>
    <row r="23" spans="1:9">
      <c r="A23" s="76" t="s">
        <v>4</v>
      </c>
      <c r="B23" s="76" t="s">
        <v>581</v>
      </c>
      <c r="C23" s="76" t="s">
        <v>581</v>
      </c>
      <c r="D23" s="76" t="s">
        <v>111</v>
      </c>
      <c r="E23" s="76" t="s">
        <v>4</v>
      </c>
      <c r="F23" s="76" t="s">
        <v>756</v>
      </c>
      <c r="G23" s="41" t="s">
        <v>757</v>
      </c>
      <c r="H23" s="41" t="s">
        <v>758</v>
      </c>
      <c r="I23" s="41">
        <v>520</v>
      </c>
    </row>
    <row r="24" spans="1:9">
      <c r="A24" s="76" t="s">
        <v>759</v>
      </c>
      <c r="B24" s="76" t="s">
        <v>760</v>
      </c>
      <c r="C24" s="76" t="s">
        <v>760</v>
      </c>
      <c r="D24" s="76" t="s">
        <v>114</v>
      </c>
      <c r="E24" s="76" t="s">
        <v>19</v>
      </c>
      <c r="F24" s="76" t="s">
        <v>761</v>
      </c>
      <c r="G24" s="41" t="s">
        <v>762</v>
      </c>
      <c r="H24" s="41" t="s">
        <v>763</v>
      </c>
      <c r="I24" s="41">
        <v>69.599999999999994</v>
      </c>
    </row>
    <row r="25" spans="1:9">
      <c r="A25" s="76" t="s">
        <v>764</v>
      </c>
      <c r="B25" s="76" t="s">
        <v>476</v>
      </c>
      <c r="C25" s="76" t="s">
        <v>476</v>
      </c>
      <c r="D25" s="76" t="s">
        <v>113</v>
      </c>
      <c r="E25" s="76" t="s">
        <v>42</v>
      </c>
      <c r="F25" s="76" t="s">
        <v>477</v>
      </c>
      <c r="G25" s="41" t="s">
        <v>765</v>
      </c>
      <c r="H25" s="41" t="s">
        <v>766</v>
      </c>
      <c r="I25" s="41">
        <v>61.7</v>
      </c>
    </row>
    <row r="26" spans="1:9">
      <c r="A26" s="76" t="s">
        <v>767</v>
      </c>
      <c r="B26" s="76" t="s">
        <v>768</v>
      </c>
      <c r="C26" s="76" t="s">
        <v>400</v>
      </c>
      <c r="D26" s="76" t="s">
        <v>117</v>
      </c>
      <c r="E26" s="76" t="s">
        <v>45</v>
      </c>
      <c r="F26" s="76" t="s">
        <v>769</v>
      </c>
      <c r="G26" s="41" t="s">
        <v>770</v>
      </c>
      <c r="H26" s="41" t="s">
        <v>771</v>
      </c>
      <c r="I26" s="41">
        <v>2.4</v>
      </c>
    </row>
    <row r="27" spans="1:9">
      <c r="A27" s="76" t="s">
        <v>767</v>
      </c>
      <c r="B27" s="76" t="s">
        <v>772</v>
      </c>
      <c r="C27" s="76" t="s">
        <v>404</v>
      </c>
      <c r="D27" s="76" t="s">
        <v>117</v>
      </c>
      <c r="E27" s="76" t="s">
        <v>45</v>
      </c>
      <c r="F27" s="76" t="s">
        <v>769</v>
      </c>
      <c r="G27" s="41" t="s">
        <v>770</v>
      </c>
      <c r="H27" s="41" t="s">
        <v>771</v>
      </c>
      <c r="I27" s="41">
        <v>2.4</v>
      </c>
    </row>
    <row r="28" spans="1:9">
      <c r="A28" s="76" t="s">
        <v>773</v>
      </c>
      <c r="B28" s="76" t="s">
        <v>353</v>
      </c>
      <c r="C28" s="76" t="s">
        <v>353</v>
      </c>
      <c r="D28" s="76" t="s">
        <v>107</v>
      </c>
      <c r="E28" s="76" t="s">
        <v>25</v>
      </c>
      <c r="F28" s="76" t="s">
        <v>774</v>
      </c>
      <c r="G28" s="41" t="s">
        <v>775</v>
      </c>
      <c r="H28" s="41" t="s">
        <v>776</v>
      </c>
      <c r="I28" s="41">
        <v>28.8</v>
      </c>
    </row>
    <row r="29" spans="1:9">
      <c r="A29" s="76" t="s">
        <v>777</v>
      </c>
      <c r="B29" s="76" t="s">
        <v>414</v>
      </c>
      <c r="C29" s="76" t="s">
        <v>414</v>
      </c>
      <c r="D29" s="76" t="s">
        <v>117</v>
      </c>
      <c r="E29" s="76" t="s">
        <v>36</v>
      </c>
      <c r="F29" s="76" t="s">
        <v>778</v>
      </c>
      <c r="G29" s="41" t="s">
        <v>779</v>
      </c>
      <c r="H29" s="41" t="s">
        <v>780</v>
      </c>
      <c r="I29" s="41">
        <v>6.6</v>
      </c>
    </row>
    <row r="30" spans="1:9">
      <c r="A30" s="76" t="s">
        <v>781</v>
      </c>
      <c r="B30" s="76" t="s">
        <v>592</v>
      </c>
      <c r="C30" s="76" t="s">
        <v>592</v>
      </c>
      <c r="D30" s="76" t="s">
        <v>115</v>
      </c>
      <c r="E30" s="76" t="s">
        <v>14</v>
      </c>
      <c r="F30" s="76" t="s">
        <v>782</v>
      </c>
      <c r="G30" s="41" t="s">
        <v>783</v>
      </c>
      <c r="H30" s="41" t="s">
        <v>784</v>
      </c>
      <c r="I30" s="41">
        <v>17.100000000000001</v>
      </c>
    </row>
    <row r="31" spans="1:9">
      <c r="A31" s="76" t="s">
        <v>785</v>
      </c>
      <c r="B31" s="76" t="s">
        <v>544</v>
      </c>
      <c r="C31" s="76" t="s">
        <v>544</v>
      </c>
      <c r="D31" s="76" t="s">
        <v>116</v>
      </c>
      <c r="E31" s="76" t="s">
        <v>26</v>
      </c>
      <c r="F31" s="76" t="s">
        <v>786</v>
      </c>
      <c r="G31" s="41" t="s">
        <v>787</v>
      </c>
      <c r="H31" s="41" t="s">
        <v>788</v>
      </c>
      <c r="I31" s="41">
        <v>28.5</v>
      </c>
    </row>
    <row r="32" spans="1:9">
      <c r="A32" s="76" t="s">
        <v>789</v>
      </c>
      <c r="B32" s="76" t="s">
        <v>270</v>
      </c>
      <c r="C32" s="76" t="s">
        <v>258</v>
      </c>
      <c r="D32" s="76" t="s">
        <v>105</v>
      </c>
      <c r="E32" s="76" t="s">
        <v>30</v>
      </c>
      <c r="F32" s="76" t="s">
        <v>790</v>
      </c>
      <c r="G32" s="41" t="s">
        <v>791</v>
      </c>
      <c r="H32" s="41" t="s">
        <v>792</v>
      </c>
      <c r="I32" s="41">
        <v>2.9</v>
      </c>
    </row>
    <row r="33" spans="1:9">
      <c r="A33" s="76" t="s">
        <v>789</v>
      </c>
      <c r="B33" s="76" t="s">
        <v>270</v>
      </c>
      <c r="C33" s="76" t="s">
        <v>262</v>
      </c>
      <c r="D33" s="76" t="s">
        <v>105</v>
      </c>
      <c r="E33" s="76" t="s">
        <v>30</v>
      </c>
      <c r="F33" s="76" t="s">
        <v>790</v>
      </c>
      <c r="G33" s="41" t="s">
        <v>791</v>
      </c>
      <c r="H33" s="41" t="s">
        <v>792</v>
      </c>
      <c r="I33" s="41">
        <v>2.9</v>
      </c>
    </row>
    <row r="34" spans="1:9">
      <c r="A34" s="76" t="s">
        <v>793</v>
      </c>
      <c r="B34" s="76" t="s">
        <v>605</v>
      </c>
      <c r="C34" s="76" t="s">
        <v>605</v>
      </c>
      <c r="D34" s="76" t="s">
        <v>115</v>
      </c>
      <c r="E34" s="76" t="s">
        <v>8</v>
      </c>
      <c r="F34" s="76" t="s">
        <v>794</v>
      </c>
      <c r="G34" s="41" t="s">
        <v>795</v>
      </c>
      <c r="H34" s="41" t="s">
        <v>796</v>
      </c>
      <c r="I34" s="41">
        <v>173.7</v>
      </c>
    </row>
    <row r="35" spans="1:9">
      <c r="A35" s="76" t="s">
        <v>797</v>
      </c>
      <c r="B35" s="76" t="s">
        <v>798</v>
      </c>
      <c r="C35" s="76" t="s">
        <v>518</v>
      </c>
      <c r="D35" s="76" t="s">
        <v>113</v>
      </c>
      <c r="E35" s="76" t="s">
        <v>46</v>
      </c>
      <c r="F35" s="76" t="s">
        <v>799</v>
      </c>
      <c r="G35" s="41" t="s">
        <v>754</v>
      </c>
      <c r="H35" s="41" t="s">
        <v>800</v>
      </c>
      <c r="I35" s="41">
        <v>32.9</v>
      </c>
    </row>
    <row r="36" spans="1:9">
      <c r="A36" s="76" t="s">
        <v>797</v>
      </c>
      <c r="B36" s="76" t="s">
        <v>798</v>
      </c>
      <c r="C36" s="76" t="s">
        <v>520</v>
      </c>
      <c r="D36" s="76" t="s">
        <v>113</v>
      </c>
      <c r="E36" s="76" t="s">
        <v>46</v>
      </c>
      <c r="F36" s="76" t="s">
        <v>799</v>
      </c>
      <c r="G36" s="41" t="s">
        <v>754</v>
      </c>
      <c r="H36" s="41" t="s">
        <v>800</v>
      </c>
      <c r="I36" s="41">
        <v>32.9</v>
      </c>
    </row>
    <row r="37" spans="1:9">
      <c r="A37" s="76" t="s">
        <v>801</v>
      </c>
      <c r="B37" s="76" t="s">
        <v>221</v>
      </c>
      <c r="C37" s="76" t="s">
        <v>221</v>
      </c>
      <c r="D37" s="76" t="s">
        <v>119</v>
      </c>
      <c r="E37" s="76" t="s">
        <v>20</v>
      </c>
      <c r="F37" s="76" t="s">
        <v>802</v>
      </c>
      <c r="G37" s="41" t="s">
        <v>803</v>
      </c>
      <c r="H37" s="41" t="s">
        <v>804</v>
      </c>
      <c r="I37" s="41">
        <v>182.2</v>
      </c>
    </row>
    <row r="38" spans="1:9">
      <c r="A38" s="76" t="s">
        <v>805</v>
      </c>
      <c r="B38" s="76" t="s">
        <v>478</v>
      </c>
      <c r="C38" s="76" t="s">
        <v>478</v>
      </c>
      <c r="D38" s="76" t="s">
        <v>113</v>
      </c>
      <c r="E38" s="76" t="s">
        <v>39</v>
      </c>
      <c r="F38" s="76" t="s">
        <v>806</v>
      </c>
      <c r="G38" s="41" t="s">
        <v>807</v>
      </c>
      <c r="H38" s="41" t="s">
        <v>808</v>
      </c>
      <c r="I38" s="41">
        <v>46.1</v>
      </c>
    </row>
    <row r="39" spans="1:9">
      <c r="A39" s="76" t="s">
        <v>5</v>
      </c>
      <c r="B39" s="76" t="s">
        <v>565</v>
      </c>
      <c r="C39" s="76" t="s">
        <v>565</v>
      </c>
      <c r="D39" s="76" t="s">
        <v>111</v>
      </c>
      <c r="E39" s="76" t="s">
        <v>5</v>
      </c>
      <c r="F39" s="76" t="s">
        <v>809</v>
      </c>
      <c r="G39" s="41" t="s">
        <v>810</v>
      </c>
      <c r="H39" s="41" t="s">
        <v>811</v>
      </c>
      <c r="I39" s="41" t="s">
        <v>812</v>
      </c>
    </row>
    <row r="40" spans="1:9">
      <c r="A40" s="76" t="s">
        <v>813</v>
      </c>
      <c r="B40" s="76" t="s">
        <v>659</v>
      </c>
      <c r="C40" s="76" t="s">
        <v>659</v>
      </c>
      <c r="D40" s="76" t="s">
        <v>114</v>
      </c>
      <c r="E40" s="76" t="s">
        <v>27</v>
      </c>
      <c r="F40" s="76" t="s">
        <v>814</v>
      </c>
      <c r="G40" s="41" t="s">
        <v>815</v>
      </c>
      <c r="H40" s="41" t="s">
        <v>816</v>
      </c>
      <c r="I40" s="41">
        <v>72.2</v>
      </c>
    </row>
    <row r="41" spans="1:9">
      <c r="A41" s="76" t="s">
        <v>817</v>
      </c>
      <c r="B41" s="76" t="s">
        <v>306</v>
      </c>
      <c r="C41" s="76" t="s">
        <v>306</v>
      </c>
      <c r="D41" s="76" t="s">
        <v>105</v>
      </c>
      <c r="E41" s="76" t="s">
        <v>49</v>
      </c>
      <c r="F41" s="76" t="s">
        <v>818</v>
      </c>
      <c r="G41" s="41" t="s">
        <v>819</v>
      </c>
      <c r="H41" s="41" t="s">
        <v>820</v>
      </c>
      <c r="I41" s="41">
        <v>28.9</v>
      </c>
    </row>
    <row r="42" spans="1:9">
      <c r="A42" s="76" t="s">
        <v>821</v>
      </c>
      <c r="B42" s="76" t="s">
        <v>474</v>
      </c>
      <c r="C42" s="76" t="s">
        <v>474</v>
      </c>
      <c r="D42" s="76" t="s">
        <v>113</v>
      </c>
      <c r="E42" s="76" t="s">
        <v>42</v>
      </c>
      <c r="F42" s="76" t="s">
        <v>822</v>
      </c>
      <c r="G42" s="41" t="s">
        <v>823</v>
      </c>
      <c r="H42" s="41" t="s">
        <v>824</v>
      </c>
      <c r="I42" s="41">
        <v>10.4</v>
      </c>
    </row>
    <row r="43" spans="1:9">
      <c r="A43" s="76" t="s">
        <v>825</v>
      </c>
      <c r="B43" s="76" t="s">
        <v>601</v>
      </c>
      <c r="C43" s="76" t="s">
        <v>601</v>
      </c>
      <c r="D43" s="76" t="s">
        <v>115</v>
      </c>
      <c r="E43" s="76" t="s">
        <v>8</v>
      </c>
      <c r="F43" s="76" t="s">
        <v>826</v>
      </c>
      <c r="G43" s="41" t="s">
        <v>827</v>
      </c>
      <c r="H43" s="41" t="s">
        <v>828</v>
      </c>
      <c r="I43" s="41">
        <v>10.199999999999999</v>
      </c>
    </row>
    <row r="44" spans="1:9">
      <c r="A44" s="76" t="s">
        <v>829</v>
      </c>
      <c r="B44" s="76" t="s">
        <v>300</v>
      </c>
      <c r="C44" s="76" t="s">
        <v>300</v>
      </c>
      <c r="D44" s="76" t="s">
        <v>105</v>
      </c>
      <c r="E44" s="76" t="s">
        <v>32</v>
      </c>
      <c r="F44" s="76" t="s">
        <v>830</v>
      </c>
      <c r="G44" s="41" t="s">
        <v>831</v>
      </c>
      <c r="H44" s="41" t="s">
        <v>832</v>
      </c>
      <c r="I44" s="41">
        <v>35.700000000000003</v>
      </c>
    </row>
    <row r="45" spans="1:9">
      <c r="A45" s="76" t="s">
        <v>829</v>
      </c>
      <c r="B45" s="76" t="s">
        <v>598</v>
      </c>
      <c r="C45" s="76" t="s">
        <v>598</v>
      </c>
      <c r="D45" s="76" t="s">
        <v>115</v>
      </c>
      <c r="E45" s="76" t="s">
        <v>8</v>
      </c>
      <c r="F45" s="76" t="s">
        <v>833</v>
      </c>
      <c r="G45" s="41" t="s">
        <v>834</v>
      </c>
      <c r="H45" s="41" t="s">
        <v>835</v>
      </c>
      <c r="I45" s="41">
        <v>170</v>
      </c>
    </row>
    <row r="46" spans="1:9">
      <c r="A46" s="76" t="s">
        <v>836</v>
      </c>
      <c r="B46" s="76" t="s">
        <v>566</v>
      </c>
      <c r="C46" s="76" t="s">
        <v>566</v>
      </c>
      <c r="D46" s="76" t="s">
        <v>111</v>
      </c>
      <c r="E46" s="76" t="s">
        <v>12</v>
      </c>
      <c r="F46" s="76" t="s">
        <v>837</v>
      </c>
      <c r="G46" s="41">
        <v>966</v>
      </c>
      <c r="H46" s="41" t="s">
        <v>838</v>
      </c>
      <c r="I46" s="41">
        <v>759.3</v>
      </c>
    </row>
    <row r="47" spans="1:9">
      <c r="A47" s="76" t="s">
        <v>839</v>
      </c>
      <c r="B47" s="76" t="s">
        <v>388</v>
      </c>
      <c r="C47" s="76" t="s">
        <v>388</v>
      </c>
      <c r="D47" s="76" t="s">
        <v>117</v>
      </c>
      <c r="E47" s="76" t="s">
        <v>51</v>
      </c>
      <c r="F47" s="76" t="s">
        <v>840</v>
      </c>
      <c r="G47" s="41" t="s">
        <v>841</v>
      </c>
      <c r="H47" s="41" t="s">
        <v>842</v>
      </c>
      <c r="I47" s="41">
        <v>3.4</v>
      </c>
    </row>
    <row r="48" spans="1:9">
      <c r="A48" s="76" t="s">
        <v>843</v>
      </c>
      <c r="B48" s="76" t="s">
        <v>464</v>
      </c>
      <c r="C48" s="76" t="s">
        <v>464</v>
      </c>
      <c r="D48" s="76" t="s">
        <v>113</v>
      </c>
      <c r="E48" s="76" t="s">
        <v>48</v>
      </c>
      <c r="F48" s="76" t="s">
        <v>844</v>
      </c>
      <c r="G48" s="41" t="s">
        <v>845</v>
      </c>
      <c r="H48" s="41" t="s">
        <v>846</v>
      </c>
      <c r="I48" s="41">
        <v>47.6</v>
      </c>
    </row>
    <row r="49" spans="1:9">
      <c r="A49" s="76" t="s">
        <v>847</v>
      </c>
      <c r="B49" s="76" t="s">
        <v>302</v>
      </c>
      <c r="C49" s="76" t="s">
        <v>302</v>
      </c>
      <c r="D49" s="76" t="s">
        <v>105</v>
      </c>
      <c r="E49" s="76" t="s">
        <v>32</v>
      </c>
      <c r="F49" s="76" t="s">
        <v>848</v>
      </c>
      <c r="G49" s="41" t="s">
        <v>849</v>
      </c>
      <c r="H49" s="41" t="s">
        <v>850</v>
      </c>
      <c r="I49" s="41">
        <v>65.2</v>
      </c>
    </row>
    <row r="50" spans="1:9">
      <c r="A50" s="76" t="s">
        <v>851</v>
      </c>
      <c r="B50" s="76" t="s">
        <v>852</v>
      </c>
      <c r="C50" s="76" t="s">
        <v>292</v>
      </c>
      <c r="D50" s="76" t="s">
        <v>105</v>
      </c>
      <c r="E50" s="76" t="s">
        <v>32</v>
      </c>
      <c r="F50" s="76" t="s">
        <v>853</v>
      </c>
      <c r="G50" s="41" t="s">
        <v>854</v>
      </c>
      <c r="H50" s="41" t="s">
        <v>855</v>
      </c>
      <c r="I50" s="41">
        <v>19.7</v>
      </c>
    </row>
    <row r="51" spans="1:9">
      <c r="A51" s="76" t="s">
        <v>851</v>
      </c>
      <c r="B51" s="76" t="s">
        <v>852</v>
      </c>
      <c r="C51" s="76" t="s">
        <v>294</v>
      </c>
      <c r="D51" s="76" t="s">
        <v>105</v>
      </c>
      <c r="E51" s="76" t="s">
        <v>32</v>
      </c>
      <c r="F51" s="76" t="s">
        <v>853</v>
      </c>
      <c r="G51" s="41" t="s">
        <v>854</v>
      </c>
      <c r="H51" s="41" t="s">
        <v>855</v>
      </c>
      <c r="I51" s="41">
        <v>19.7</v>
      </c>
    </row>
    <row r="52" spans="1:9">
      <c r="A52" s="76" t="s">
        <v>851</v>
      </c>
      <c r="B52" s="76" t="s">
        <v>852</v>
      </c>
      <c r="C52" s="76" t="s">
        <v>296</v>
      </c>
      <c r="D52" s="76" t="s">
        <v>105</v>
      </c>
      <c r="E52" s="76" t="s">
        <v>32</v>
      </c>
      <c r="F52" s="76" t="s">
        <v>853</v>
      </c>
      <c r="G52" s="41" t="s">
        <v>854</v>
      </c>
      <c r="H52" s="41" t="s">
        <v>855</v>
      </c>
      <c r="I52" s="41">
        <v>19.7</v>
      </c>
    </row>
    <row r="53" spans="1:9">
      <c r="A53" s="76" t="s">
        <v>856</v>
      </c>
      <c r="B53" s="76" t="s">
        <v>657</v>
      </c>
      <c r="C53" s="76" t="s">
        <v>657</v>
      </c>
      <c r="D53" s="76" t="s">
        <v>114</v>
      </c>
      <c r="E53" s="76" t="s">
        <v>27</v>
      </c>
      <c r="F53" s="76" t="s">
        <v>857</v>
      </c>
      <c r="G53" s="41" t="s">
        <v>858</v>
      </c>
      <c r="H53" s="41" t="s">
        <v>859</v>
      </c>
      <c r="I53" s="41">
        <v>63.2</v>
      </c>
    </row>
    <row r="54" spans="1:9">
      <c r="A54" s="76" t="s">
        <v>6</v>
      </c>
      <c r="B54" s="76" t="s">
        <v>426</v>
      </c>
      <c r="C54" s="76" t="s">
        <v>426</v>
      </c>
      <c r="D54" s="76" t="s">
        <v>113</v>
      </c>
      <c r="E54" s="76" t="s">
        <v>6</v>
      </c>
      <c r="F54" s="76" t="s">
        <v>860</v>
      </c>
      <c r="G54" s="41" t="s">
        <v>861</v>
      </c>
      <c r="H54" s="41" t="s">
        <v>862</v>
      </c>
      <c r="I54" s="41" t="s">
        <v>863</v>
      </c>
    </row>
    <row r="55" spans="1:9">
      <c r="A55" s="76" t="s">
        <v>864</v>
      </c>
      <c r="B55" s="76" t="s">
        <v>865</v>
      </c>
      <c r="C55" s="76" t="s">
        <v>663</v>
      </c>
      <c r="D55" s="76" t="s">
        <v>114</v>
      </c>
      <c r="E55" s="76" t="s">
        <v>27</v>
      </c>
      <c r="F55" s="76" t="s">
        <v>866</v>
      </c>
      <c r="G55" s="41" t="s">
        <v>867</v>
      </c>
      <c r="H55" s="41" t="s">
        <v>868</v>
      </c>
      <c r="I55" s="41">
        <v>86</v>
      </c>
    </row>
    <row r="56" spans="1:9">
      <c r="A56" s="76" t="s">
        <v>864</v>
      </c>
      <c r="B56" s="76" t="s">
        <v>865</v>
      </c>
      <c r="C56" s="76" t="s">
        <v>665</v>
      </c>
      <c r="D56" s="76" t="s">
        <v>114</v>
      </c>
      <c r="E56" s="76" t="s">
        <v>27</v>
      </c>
      <c r="F56" s="76" t="s">
        <v>866</v>
      </c>
      <c r="G56" s="41" t="s">
        <v>867</v>
      </c>
      <c r="H56" s="41" t="s">
        <v>868</v>
      </c>
      <c r="I56" s="41">
        <v>86</v>
      </c>
    </row>
    <row r="57" spans="1:9">
      <c r="A57" s="76" t="s">
        <v>869</v>
      </c>
      <c r="B57" s="76" t="s">
        <v>422</v>
      </c>
      <c r="C57" s="76" t="s">
        <v>422</v>
      </c>
      <c r="D57" s="76" t="s">
        <v>117</v>
      </c>
      <c r="E57" s="76" t="s">
        <v>47</v>
      </c>
      <c r="F57" s="76" t="s">
        <v>870</v>
      </c>
      <c r="G57" s="41" t="s">
        <v>871</v>
      </c>
      <c r="H57" s="41" t="s">
        <v>872</v>
      </c>
      <c r="I57" s="41">
        <v>23.2</v>
      </c>
    </row>
    <row r="58" spans="1:9">
      <c r="A58" s="76" t="s">
        <v>873</v>
      </c>
      <c r="B58" s="76" t="s">
        <v>424</v>
      </c>
      <c r="C58" s="76" t="s">
        <v>424</v>
      </c>
      <c r="D58" s="76" t="s">
        <v>117</v>
      </c>
      <c r="E58" s="76" t="s">
        <v>47</v>
      </c>
      <c r="F58" s="76" t="s">
        <v>874</v>
      </c>
      <c r="G58" s="41" t="s">
        <v>875</v>
      </c>
      <c r="H58" s="41" t="s">
        <v>876</v>
      </c>
      <c r="I58" s="41">
        <v>20.3</v>
      </c>
    </row>
    <row r="59" spans="1:9">
      <c r="A59" s="76" t="s">
        <v>877</v>
      </c>
      <c r="B59" s="76" t="s">
        <v>243</v>
      </c>
      <c r="C59" s="76" t="s">
        <v>243</v>
      </c>
      <c r="D59" s="76" t="s">
        <v>119</v>
      </c>
      <c r="E59" s="76" t="s">
        <v>18</v>
      </c>
      <c r="F59" s="76" t="s">
        <v>244</v>
      </c>
      <c r="G59" s="41" t="s">
        <v>878</v>
      </c>
      <c r="H59" s="41" t="s">
        <v>879</v>
      </c>
      <c r="I59" s="41">
        <v>40.1</v>
      </c>
    </row>
    <row r="60" spans="1:9">
      <c r="A60" s="76" t="s">
        <v>880</v>
      </c>
      <c r="B60" s="76" t="s">
        <v>594</v>
      </c>
      <c r="C60" s="76" t="s">
        <v>594</v>
      </c>
      <c r="D60" s="76" t="s">
        <v>115</v>
      </c>
      <c r="E60" s="76" t="s">
        <v>14</v>
      </c>
      <c r="F60" s="76" t="s">
        <v>881</v>
      </c>
      <c r="G60" s="41" t="s">
        <v>882</v>
      </c>
      <c r="H60" s="41" t="s">
        <v>883</v>
      </c>
      <c r="I60" s="41">
        <v>115.1</v>
      </c>
    </row>
    <row r="61" spans="1:9">
      <c r="A61" s="76" t="s">
        <v>884</v>
      </c>
      <c r="B61" s="76" t="s">
        <v>280</v>
      </c>
      <c r="C61" s="76" t="s">
        <v>280</v>
      </c>
      <c r="D61" s="76" t="s">
        <v>105</v>
      </c>
      <c r="E61" s="76" t="s">
        <v>35</v>
      </c>
      <c r="F61" s="76" t="s">
        <v>885</v>
      </c>
      <c r="G61" s="41" t="s">
        <v>886</v>
      </c>
      <c r="H61" s="41" t="s">
        <v>887</v>
      </c>
      <c r="I61" s="41">
        <v>18.600000000000001</v>
      </c>
    </row>
    <row r="62" spans="1:9">
      <c r="A62" s="76" t="s">
        <v>888</v>
      </c>
      <c r="B62" s="76" t="s">
        <v>617</v>
      </c>
      <c r="C62" s="76" t="s">
        <v>617</v>
      </c>
      <c r="D62" s="76" t="s">
        <v>114</v>
      </c>
      <c r="E62" s="76" t="s">
        <v>24</v>
      </c>
      <c r="F62" s="76" t="s">
        <v>889</v>
      </c>
      <c r="G62" s="41" t="s">
        <v>890</v>
      </c>
      <c r="H62" s="41" t="s">
        <v>891</v>
      </c>
      <c r="I62" s="41">
        <v>61.4</v>
      </c>
    </row>
    <row r="63" spans="1:9">
      <c r="A63" s="76" t="s">
        <v>892</v>
      </c>
      <c r="B63" s="76" t="s">
        <v>522</v>
      </c>
      <c r="C63" s="76" t="s">
        <v>522</v>
      </c>
      <c r="D63" s="76" t="s">
        <v>113</v>
      </c>
      <c r="E63" s="76" t="s">
        <v>46</v>
      </c>
      <c r="F63" s="76" t="s">
        <v>893</v>
      </c>
      <c r="G63" s="41" t="s">
        <v>894</v>
      </c>
      <c r="H63" s="41" t="s">
        <v>895</v>
      </c>
      <c r="I63" s="41">
        <v>28.6</v>
      </c>
    </row>
    <row r="64" spans="1:9">
      <c r="A64" s="76" t="s">
        <v>896</v>
      </c>
      <c r="B64" s="76" t="s">
        <v>619</v>
      </c>
      <c r="C64" s="76" t="s">
        <v>619</v>
      </c>
      <c r="D64" s="76" t="s">
        <v>114</v>
      </c>
      <c r="E64" s="76" t="s">
        <v>24</v>
      </c>
      <c r="F64" s="76" t="s">
        <v>897</v>
      </c>
      <c r="G64" s="41" t="s">
        <v>898</v>
      </c>
      <c r="H64" s="41" t="s">
        <v>899</v>
      </c>
      <c r="I64" s="41">
        <v>115.3</v>
      </c>
    </row>
    <row r="65" spans="1:9">
      <c r="A65" s="76" t="s">
        <v>900</v>
      </c>
      <c r="B65" s="76" t="s">
        <v>551</v>
      </c>
      <c r="C65" s="76" t="s">
        <v>551</v>
      </c>
      <c r="D65" s="76" t="s">
        <v>116</v>
      </c>
      <c r="E65" s="76" t="s">
        <v>43</v>
      </c>
      <c r="F65" s="76" t="s">
        <v>901</v>
      </c>
      <c r="G65" s="41" t="s">
        <v>902</v>
      </c>
      <c r="H65" s="41" t="s">
        <v>903</v>
      </c>
      <c r="I65" s="41">
        <v>29.8</v>
      </c>
    </row>
    <row r="66" spans="1:9">
      <c r="A66" s="76" t="s">
        <v>904</v>
      </c>
      <c r="B66" s="76" t="s">
        <v>621</v>
      </c>
      <c r="C66" s="76" t="s">
        <v>621</v>
      </c>
      <c r="D66" s="76" t="s">
        <v>114</v>
      </c>
      <c r="E66" s="76" t="s">
        <v>24</v>
      </c>
      <c r="F66" s="76" t="s">
        <v>905</v>
      </c>
      <c r="G66" s="41" t="s">
        <v>906</v>
      </c>
      <c r="H66" s="41" t="s">
        <v>907</v>
      </c>
      <c r="I66" s="41">
        <v>143.69999999999999</v>
      </c>
    </row>
    <row r="67" spans="1:9">
      <c r="A67" s="76" t="s">
        <v>908</v>
      </c>
      <c r="B67" s="76" t="s">
        <v>378</v>
      </c>
      <c r="C67" s="76" t="s">
        <v>378</v>
      </c>
      <c r="D67" s="76" t="s">
        <v>117</v>
      </c>
      <c r="E67" s="76" t="s">
        <v>52</v>
      </c>
      <c r="F67" s="76" t="s">
        <v>909</v>
      </c>
      <c r="G67" s="41" t="s">
        <v>910</v>
      </c>
      <c r="H67" s="41" t="s">
        <v>911</v>
      </c>
      <c r="I67" s="41">
        <v>0.6</v>
      </c>
    </row>
    <row r="68" spans="1:9">
      <c r="A68" s="76" t="s">
        <v>912</v>
      </c>
      <c r="B68" s="76" t="s">
        <v>239</v>
      </c>
      <c r="C68" s="76" t="s">
        <v>239</v>
      </c>
      <c r="D68" s="76" t="s">
        <v>119</v>
      </c>
      <c r="E68" s="76" t="s">
        <v>18</v>
      </c>
      <c r="F68" s="76" t="s">
        <v>913</v>
      </c>
      <c r="G68" s="41" t="s">
        <v>914</v>
      </c>
      <c r="H68" s="41" t="s">
        <v>915</v>
      </c>
      <c r="I68" s="41">
        <v>9.5</v>
      </c>
    </row>
    <row r="69" spans="1:9">
      <c r="A69" s="76" t="s">
        <v>916</v>
      </c>
      <c r="B69" s="76" t="s">
        <v>446</v>
      </c>
      <c r="C69" s="76" t="s">
        <v>446</v>
      </c>
      <c r="D69" s="76" t="s">
        <v>113</v>
      </c>
      <c r="E69" s="76" t="s">
        <v>11</v>
      </c>
      <c r="F69" s="76" t="s">
        <v>447</v>
      </c>
      <c r="G69" s="41" t="s">
        <v>845</v>
      </c>
      <c r="H69" s="41" t="s">
        <v>917</v>
      </c>
      <c r="I69" s="41">
        <v>18.3</v>
      </c>
    </row>
    <row r="70" spans="1:9">
      <c r="A70" s="76" t="s">
        <v>918</v>
      </c>
      <c r="B70" s="76" t="s">
        <v>314</v>
      </c>
      <c r="C70" s="76" t="s">
        <v>314</v>
      </c>
      <c r="D70" s="76" t="s">
        <v>105</v>
      </c>
      <c r="E70" s="76" t="s">
        <v>29</v>
      </c>
      <c r="F70" s="76" t="s">
        <v>919</v>
      </c>
      <c r="G70" s="41" t="s">
        <v>920</v>
      </c>
      <c r="H70" s="41" t="s">
        <v>921</v>
      </c>
      <c r="I70" s="41">
        <v>122.5</v>
      </c>
    </row>
    <row r="71" spans="1:9">
      <c r="A71" s="76" t="s">
        <v>922</v>
      </c>
      <c r="B71" s="76" t="s">
        <v>923</v>
      </c>
      <c r="C71" s="76" t="s">
        <v>458</v>
      </c>
      <c r="D71" s="76" t="s">
        <v>113</v>
      </c>
      <c r="E71" s="76" t="s">
        <v>41</v>
      </c>
      <c r="F71" s="76" t="s">
        <v>924</v>
      </c>
      <c r="G71" s="41" t="s">
        <v>925</v>
      </c>
      <c r="H71" s="41" t="s">
        <v>926</v>
      </c>
      <c r="I71" s="41">
        <v>63.3</v>
      </c>
    </row>
    <row r="72" spans="1:9">
      <c r="A72" s="76" t="s">
        <v>927</v>
      </c>
      <c r="B72" s="76" t="s">
        <v>298</v>
      </c>
      <c r="C72" s="76" t="s">
        <v>298</v>
      </c>
      <c r="D72" s="76" t="s">
        <v>105</v>
      </c>
      <c r="E72" s="76" t="s">
        <v>32</v>
      </c>
      <c r="F72" s="76" t="s">
        <v>928</v>
      </c>
      <c r="G72" s="41" t="s">
        <v>929</v>
      </c>
      <c r="H72" s="41" t="s">
        <v>930</v>
      </c>
      <c r="I72" s="41">
        <v>53</v>
      </c>
    </row>
    <row r="73" spans="1:9">
      <c r="A73" s="76" t="s">
        <v>931</v>
      </c>
      <c r="B73" s="76" t="s">
        <v>290</v>
      </c>
      <c r="C73" s="76" t="s">
        <v>290</v>
      </c>
      <c r="D73" s="76" t="s">
        <v>105</v>
      </c>
      <c r="E73" s="76" t="s">
        <v>32</v>
      </c>
      <c r="F73" s="76" t="s">
        <v>932</v>
      </c>
      <c r="G73" s="41" t="s">
        <v>933</v>
      </c>
      <c r="H73" s="41" t="s">
        <v>934</v>
      </c>
      <c r="I73" s="41">
        <v>6</v>
      </c>
    </row>
    <row r="74" spans="1:9">
      <c r="A74" s="76" t="s">
        <v>935</v>
      </c>
      <c r="B74" s="76" t="s">
        <v>936</v>
      </c>
      <c r="C74" s="76" t="s">
        <v>557</v>
      </c>
      <c r="D74" s="76" t="s">
        <v>116</v>
      </c>
      <c r="E74" s="76" t="s">
        <v>22</v>
      </c>
      <c r="F74" s="76" t="s">
        <v>937</v>
      </c>
      <c r="G74" s="41" t="s">
        <v>938</v>
      </c>
      <c r="H74" s="41" t="s">
        <v>939</v>
      </c>
      <c r="I74" s="41">
        <v>38.1</v>
      </c>
    </row>
    <row r="75" spans="1:9">
      <c r="A75" s="76" t="s">
        <v>935</v>
      </c>
      <c r="B75" s="76" t="s">
        <v>936</v>
      </c>
      <c r="C75" s="76" t="s">
        <v>559</v>
      </c>
      <c r="D75" s="76" t="s">
        <v>116</v>
      </c>
      <c r="E75" s="76" t="s">
        <v>22</v>
      </c>
      <c r="F75" s="76" t="s">
        <v>937</v>
      </c>
      <c r="G75" s="41" t="s">
        <v>938</v>
      </c>
      <c r="H75" s="41" t="s">
        <v>939</v>
      </c>
      <c r="I75" s="41">
        <v>38.1</v>
      </c>
    </row>
    <row r="76" spans="1:9">
      <c r="A76" s="76" t="s">
        <v>940</v>
      </c>
      <c r="B76" s="76" t="s">
        <v>420</v>
      </c>
      <c r="C76" s="76" t="s">
        <v>420</v>
      </c>
      <c r="D76" s="76" t="s">
        <v>117</v>
      </c>
      <c r="E76" s="76" t="s">
        <v>47</v>
      </c>
      <c r="F76" s="76" t="s">
        <v>941</v>
      </c>
      <c r="G76" s="41" t="s">
        <v>942</v>
      </c>
      <c r="H76" s="41" t="s">
        <v>943</v>
      </c>
      <c r="I76" s="41">
        <v>4.2</v>
      </c>
    </row>
    <row r="77" spans="1:9">
      <c r="A77" s="76" t="s">
        <v>944</v>
      </c>
      <c r="B77" s="76" t="s">
        <v>490</v>
      </c>
      <c r="C77" s="76" t="s">
        <v>490</v>
      </c>
      <c r="D77" s="76" t="s">
        <v>113</v>
      </c>
      <c r="E77" s="76" t="s">
        <v>40</v>
      </c>
      <c r="F77" s="76" t="s">
        <v>491</v>
      </c>
      <c r="G77" s="41" t="s">
        <v>945</v>
      </c>
      <c r="H77" s="41" t="s">
        <v>946</v>
      </c>
      <c r="I77" s="41">
        <v>57.6</v>
      </c>
    </row>
    <row r="78" spans="1:9">
      <c r="A78" s="76" t="s">
        <v>947</v>
      </c>
      <c r="B78" s="76" t="s">
        <v>555</v>
      </c>
      <c r="C78" s="76" t="s">
        <v>555</v>
      </c>
      <c r="D78" s="76" t="s">
        <v>116</v>
      </c>
      <c r="E78" s="76" t="s">
        <v>43</v>
      </c>
      <c r="F78" s="76" t="s">
        <v>948</v>
      </c>
      <c r="G78" s="41" t="s">
        <v>949</v>
      </c>
      <c r="H78" s="41" t="s">
        <v>950</v>
      </c>
      <c r="I78" s="41">
        <v>4.3</v>
      </c>
    </row>
    <row r="79" spans="1:9">
      <c r="A79" s="76" t="s">
        <v>951</v>
      </c>
      <c r="B79" s="76" t="s">
        <v>402</v>
      </c>
      <c r="C79" s="76" t="s">
        <v>402</v>
      </c>
      <c r="D79" s="76" t="s">
        <v>117</v>
      </c>
      <c r="E79" s="76" t="s">
        <v>45</v>
      </c>
      <c r="F79" s="76" t="s">
        <v>952</v>
      </c>
      <c r="G79" s="41" t="s">
        <v>953</v>
      </c>
      <c r="H79" s="41" t="s">
        <v>954</v>
      </c>
      <c r="I79" s="41">
        <v>2.6</v>
      </c>
    </row>
    <row r="80" spans="1:9">
      <c r="A80" s="76" t="s">
        <v>955</v>
      </c>
      <c r="B80" s="76" t="s">
        <v>376</v>
      </c>
      <c r="C80" s="76" t="s">
        <v>376</v>
      </c>
      <c r="D80" s="76" t="s">
        <v>117</v>
      </c>
      <c r="E80" s="76" t="s">
        <v>52</v>
      </c>
      <c r="F80" s="76" t="s">
        <v>956</v>
      </c>
      <c r="G80" s="41" t="s">
        <v>957</v>
      </c>
      <c r="H80" s="41" t="s">
        <v>958</v>
      </c>
      <c r="I80" s="41">
        <v>0.7</v>
      </c>
    </row>
    <row r="81" spans="1:9">
      <c r="A81" s="76" t="s">
        <v>959</v>
      </c>
      <c r="B81" s="76" t="s">
        <v>237</v>
      </c>
      <c r="C81" s="76" t="s">
        <v>237</v>
      </c>
      <c r="D81" s="76" t="s">
        <v>119</v>
      </c>
      <c r="E81" s="76" t="s">
        <v>18</v>
      </c>
      <c r="F81" s="76" t="s">
        <v>960</v>
      </c>
      <c r="G81" s="41" t="s">
        <v>961</v>
      </c>
      <c r="H81" s="41" t="s">
        <v>962</v>
      </c>
      <c r="I81" s="41">
        <v>5.0999999999999996</v>
      </c>
    </row>
    <row r="82" spans="1:9">
      <c r="A82" s="76" t="s">
        <v>963</v>
      </c>
      <c r="B82" s="76" t="s">
        <v>390</v>
      </c>
      <c r="C82" s="76" t="s">
        <v>390</v>
      </c>
      <c r="D82" s="76" t="s">
        <v>117</v>
      </c>
      <c r="E82" s="76" t="s">
        <v>51</v>
      </c>
      <c r="F82" s="76" t="s">
        <v>964</v>
      </c>
      <c r="G82" s="41" t="s">
        <v>965</v>
      </c>
      <c r="H82" s="41" t="s">
        <v>966</v>
      </c>
      <c r="I82" s="41">
        <v>0.7</v>
      </c>
    </row>
    <row r="83" spans="1:9">
      <c r="A83" s="76" t="s">
        <v>967</v>
      </c>
      <c r="B83" s="76" t="s">
        <v>380</v>
      </c>
      <c r="C83" s="76" t="s">
        <v>380</v>
      </c>
      <c r="D83" s="76" t="s">
        <v>117</v>
      </c>
      <c r="E83" s="76" t="s">
        <v>52</v>
      </c>
      <c r="F83" s="76" t="s">
        <v>968</v>
      </c>
      <c r="G83" s="41" t="s">
        <v>969</v>
      </c>
      <c r="H83" s="41" t="s">
        <v>970</v>
      </c>
      <c r="I83" s="41">
        <v>0.4</v>
      </c>
    </row>
    <row r="84" spans="1:9">
      <c r="A84" s="76" t="s">
        <v>971</v>
      </c>
      <c r="B84" s="76" t="s">
        <v>410</v>
      </c>
      <c r="C84" s="76" t="s">
        <v>410</v>
      </c>
      <c r="D84" s="76" t="s">
        <v>117</v>
      </c>
      <c r="E84" s="76" t="s">
        <v>45</v>
      </c>
      <c r="F84" s="76" t="s">
        <v>972</v>
      </c>
      <c r="G84" s="41" t="s">
        <v>973</v>
      </c>
      <c r="H84" s="41" t="s">
        <v>974</v>
      </c>
      <c r="I84" s="41">
        <v>8.3000000000000007</v>
      </c>
    </row>
    <row r="85" spans="1:9">
      <c r="A85" s="76" t="s">
        <v>975</v>
      </c>
      <c r="B85" s="76" t="s">
        <v>534</v>
      </c>
      <c r="C85" s="76" t="s">
        <v>534</v>
      </c>
      <c r="D85" s="76" t="s">
        <v>116</v>
      </c>
      <c r="E85" s="76" t="s">
        <v>10</v>
      </c>
      <c r="F85" s="76" t="s">
        <v>976</v>
      </c>
      <c r="G85" s="41" t="s">
        <v>977</v>
      </c>
      <c r="H85" s="41" t="s">
        <v>978</v>
      </c>
      <c r="I85" s="41">
        <v>15</v>
      </c>
    </row>
    <row r="86" spans="1:9">
      <c r="A86" s="76" t="s">
        <v>979</v>
      </c>
      <c r="B86" s="76" t="s">
        <v>382</v>
      </c>
      <c r="C86" s="76" t="s">
        <v>382</v>
      </c>
      <c r="D86" s="76" t="s">
        <v>117</v>
      </c>
      <c r="E86" s="76" t="s">
        <v>52</v>
      </c>
      <c r="F86" s="76" t="s">
        <v>980</v>
      </c>
      <c r="G86" s="41" t="s">
        <v>981</v>
      </c>
      <c r="H86" s="41" t="s">
        <v>982</v>
      </c>
      <c r="I86" s="41">
        <v>0.8</v>
      </c>
    </row>
    <row r="87" spans="1:9">
      <c r="A87" s="76" t="s">
        <v>983</v>
      </c>
      <c r="B87" s="76" t="s">
        <v>406</v>
      </c>
      <c r="C87" s="76" t="s">
        <v>406</v>
      </c>
      <c r="D87" s="76" t="s">
        <v>117</v>
      </c>
      <c r="E87" s="76" t="s">
        <v>45</v>
      </c>
      <c r="F87" s="76" t="s">
        <v>984</v>
      </c>
      <c r="G87" s="41" t="s">
        <v>985</v>
      </c>
      <c r="H87" s="41" t="s">
        <v>986</v>
      </c>
      <c r="I87" s="41">
        <v>1.5</v>
      </c>
    </row>
    <row r="88" spans="1:9">
      <c r="A88" s="76" t="s">
        <v>987</v>
      </c>
      <c r="B88" s="76" t="s">
        <v>322</v>
      </c>
      <c r="C88" s="76" t="s">
        <v>322</v>
      </c>
      <c r="D88" s="76" t="s">
        <v>105</v>
      </c>
      <c r="E88" s="76" t="s">
        <v>29</v>
      </c>
      <c r="F88" s="76" t="s">
        <v>988</v>
      </c>
      <c r="G88" s="41" t="s">
        <v>989</v>
      </c>
      <c r="H88" s="41" t="s">
        <v>990</v>
      </c>
      <c r="I88" s="41">
        <v>161.80000000000001</v>
      </c>
    </row>
    <row r="89" spans="1:9">
      <c r="A89" s="76" t="s">
        <v>991</v>
      </c>
      <c r="B89" s="76" t="s">
        <v>249</v>
      </c>
      <c r="C89" s="76" t="s">
        <v>249</v>
      </c>
      <c r="D89" s="76" t="s">
        <v>119</v>
      </c>
      <c r="E89" s="76" t="s">
        <v>18</v>
      </c>
      <c r="F89" s="76" t="s">
        <v>250</v>
      </c>
      <c r="G89" s="41" t="s">
        <v>992</v>
      </c>
      <c r="H89" s="41" t="s">
        <v>993</v>
      </c>
      <c r="I89" s="41">
        <v>66.599999999999994</v>
      </c>
    </row>
    <row r="90" spans="1:9">
      <c r="A90" s="76" t="s">
        <v>994</v>
      </c>
      <c r="B90" s="76" t="s">
        <v>335</v>
      </c>
      <c r="C90" s="76" t="s">
        <v>335</v>
      </c>
      <c r="D90" s="76" t="s">
        <v>107</v>
      </c>
      <c r="E90" s="76" t="s">
        <v>50</v>
      </c>
      <c r="F90" s="76" t="s">
        <v>995</v>
      </c>
      <c r="G90" s="41" t="s">
        <v>996</v>
      </c>
      <c r="H90" s="41" t="s">
        <v>997</v>
      </c>
      <c r="I90" s="41">
        <v>3.2</v>
      </c>
    </row>
    <row r="91" spans="1:9">
      <c r="A91" s="76" t="s">
        <v>998</v>
      </c>
      <c r="B91" s="76" t="s">
        <v>274</v>
      </c>
      <c r="C91" s="76" t="s">
        <v>274</v>
      </c>
      <c r="D91" s="76" t="s">
        <v>105</v>
      </c>
      <c r="E91" s="76" t="s">
        <v>30</v>
      </c>
      <c r="F91" s="76" t="s">
        <v>999</v>
      </c>
      <c r="G91" s="41" t="s">
        <v>1000</v>
      </c>
      <c r="H91" s="41" t="s">
        <v>1001</v>
      </c>
      <c r="I91" s="41">
        <v>12</v>
      </c>
    </row>
    <row r="92" spans="1:9">
      <c r="A92" s="76" t="s">
        <v>1002</v>
      </c>
      <c r="B92" s="76" t="s">
        <v>272</v>
      </c>
      <c r="C92" s="76" t="s">
        <v>272</v>
      </c>
      <c r="D92" s="76" t="s">
        <v>105</v>
      </c>
      <c r="E92" s="76" t="s">
        <v>30</v>
      </c>
      <c r="F92" s="76" t="s">
        <v>1003</v>
      </c>
      <c r="G92" s="41" t="s">
        <v>1004</v>
      </c>
      <c r="H92" s="41" t="s">
        <v>1005</v>
      </c>
      <c r="I92" s="41">
        <v>42.3</v>
      </c>
    </row>
    <row r="93" spans="1:9">
      <c r="A93" s="76" t="s">
        <v>1006</v>
      </c>
      <c r="B93" s="76" t="s">
        <v>512</v>
      </c>
      <c r="C93" s="76" t="s">
        <v>512</v>
      </c>
      <c r="D93" s="76" t="s">
        <v>113</v>
      </c>
      <c r="E93" s="76" t="s">
        <v>33</v>
      </c>
      <c r="F93" s="76" t="s">
        <v>513</v>
      </c>
      <c r="G93" s="41">
        <v>735</v>
      </c>
      <c r="H93" s="41" t="s">
        <v>1007</v>
      </c>
      <c r="I93" s="41">
        <v>376.5</v>
      </c>
    </row>
    <row r="94" spans="1:9">
      <c r="A94" s="76" t="s">
        <v>1008</v>
      </c>
      <c r="B94" s="76" t="s">
        <v>251</v>
      </c>
      <c r="C94" s="76" t="s">
        <v>251</v>
      </c>
      <c r="D94" s="76" t="s">
        <v>119</v>
      </c>
      <c r="E94" s="76" t="s">
        <v>53</v>
      </c>
      <c r="F94" s="76" t="s">
        <v>252</v>
      </c>
      <c r="G94" s="41" t="s">
        <v>1009</v>
      </c>
      <c r="H94" s="41" t="s">
        <v>1010</v>
      </c>
      <c r="I94" s="41">
        <v>1</v>
      </c>
    </row>
    <row r="95" spans="1:9">
      <c r="A95" s="76" t="s">
        <v>1011</v>
      </c>
      <c r="B95" s="76" t="s">
        <v>227</v>
      </c>
      <c r="C95" s="76" t="s">
        <v>227</v>
      </c>
      <c r="D95" s="76" t="s">
        <v>119</v>
      </c>
      <c r="E95" s="76" t="s">
        <v>20</v>
      </c>
      <c r="F95" s="76" t="s">
        <v>1012</v>
      </c>
      <c r="G95" s="41" t="s">
        <v>1013</v>
      </c>
      <c r="H95" s="41" t="s">
        <v>1014</v>
      </c>
      <c r="I95" s="41">
        <v>23.3</v>
      </c>
    </row>
    <row r="96" spans="1:9">
      <c r="A96" s="76" t="s">
        <v>1015</v>
      </c>
      <c r="B96" s="76" t="s">
        <v>590</v>
      </c>
      <c r="C96" s="76" t="s">
        <v>590</v>
      </c>
      <c r="D96" s="76" t="s">
        <v>115</v>
      </c>
      <c r="E96" s="76" t="s">
        <v>14</v>
      </c>
      <c r="F96" s="76" t="s">
        <v>1016</v>
      </c>
      <c r="G96" s="41" t="s">
        <v>1017</v>
      </c>
      <c r="H96" s="41" t="s">
        <v>1018</v>
      </c>
      <c r="I96" s="41">
        <v>27.1</v>
      </c>
    </row>
    <row r="97" spans="1:9">
      <c r="A97" s="76" t="s">
        <v>1019</v>
      </c>
      <c r="B97" s="76" t="s">
        <v>553</v>
      </c>
      <c r="C97" s="76" t="s">
        <v>553</v>
      </c>
      <c r="D97" s="76" t="s">
        <v>116</v>
      </c>
      <c r="E97" s="76" t="s">
        <v>43</v>
      </c>
      <c r="F97" s="76" t="s">
        <v>1020</v>
      </c>
      <c r="G97" s="41" t="s">
        <v>1021</v>
      </c>
      <c r="H97" s="41" t="s">
        <v>1022</v>
      </c>
      <c r="I97" s="41">
        <v>15.3</v>
      </c>
    </row>
    <row r="98" spans="1:9">
      <c r="A98" s="76" t="s">
        <v>1023</v>
      </c>
      <c r="B98" s="76" t="s">
        <v>643</v>
      </c>
      <c r="C98" s="76" t="s">
        <v>643</v>
      </c>
      <c r="D98" s="76" t="s">
        <v>114</v>
      </c>
      <c r="E98" s="76" t="s">
        <v>15</v>
      </c>
      <c r="F98" s="76" t="s">
        <v>1024</v>
      </c>
      <c r="G98" s="41" t="s">
        <v>831</v>
      </c>
      <c r="H98" s="41" t="s">
        <v>1025</v>
      </c>
      <c r="I98" s="41">
        <v>67.599999999999994</v>
      </c>
    </row>
    <row r="99" spans="1:9">
      <c r="A99" s="76" t="s">
        <v>1026</v>
      </c>
      <c r="B99" s="76" t="s">
        <v>647</v>
      </c>
      <c r="C99" s="76" t="s">
        <v>647</v>
      </c>
      <c r="D99" s="76" t="s">
        <v>114</v>
      </c>
      <c r="E99" s="76" t="s">
        <v>23</v>
      </c>
      <c r="F99" s="76" t="s">
        <v>648</v>
      </c>
      <c r="G99" s="41" t="s">
        <v>1027</v>
      </c>
      <c r="H99" s="41" t="s">
        <v>1028</v>
      </c>
      <c r="I99" s="41">
        <v>10.199999999999999</v>
      </c>
    </row>
    <row r="100" spans="1:9">
      <c r="A100" s="76" t="s">
        <v>1029</v>
      </c>
      <c r="B100" s="76" t="s">
        <v>570</v>
      </c>
      <c r="C100" s="76" t="s">
        <v>570</v>
      </c>
      <c r="D100" s="76" t="s">
        <v>111</v>
      </c>
      <c r="E100" s="76" t="s">
        <v>12</v>
      </c>
      <c r="F100" s="76" t="s">
        <v>1030</v>
      </c>
      <c r="G100" s="41" t="s">
        <v>1031</v>
      </c>
      <c r="H100" s="41" t="s">
        <v>1032</v>
      </c>
      <c r="I100" s="41">
        <v>75.8</v>
      </c>
    </row>
    <row r="101" spans="1:9">
      <c r="A101" s="76" t="s">
        <v>1033</v>
      </c>
      <c r="B101" s="76" t="s">
        <v>333</v>
      </c>
      <c r="C101" s="76" t="s">
        <v>333</v>
      </c>
      <c r="D101" s="76" t="s">
        <v>107</v>
      </c>
      <c r="E101" s="76" t="s">
        <v>50</v>
      </c>
      <c r="F101" s="76" t="s">
        <v>1034</v>
      </c>
      <c r="G101" s="41" t="s">
        <v>1035</v>
      </c>
      <c r="H101" s="41" t="s">
        <v>1036</v>
      </c>
      <c r="I101" s="41">
        <v>4.0999999999999996</v>
      </c>
    </row>
    <row r="102" spans="1:9">
      <c r="A102" s="76" t="s">
        <v>1037</v>
      </c>
      <c r="B102" s="76" t="s">
        <v>530</v>
      </c>
      <c r="C102" s="76" t="s">
        <v>530</v>
      </c>
      <c r="D102" s="76" t="s">
        <v>116</v>
      </c>
      <c r="E102" s="76" t="s">
        <v>10</v>
      </c>
      <c r="F102" s="76" t="s">
        <v>1038</v>
      </c>
      <c r="G102" s="41" t="s">
        <v>1039</v>
      </c>
      <c r="H102" s="41" t="s">
        <v>1040</v>
      </c>
      <c r="I102" s="41">
        <v>144.1</v>
      </c>
    </row>
    <row r="103" spans="1:9">
      <c r="A103" s="76" t="s">
        <v>1041</v>
      </c>
      <c r="B103" s="76" t="s">
        <v>369</v>
      </c>
      <c r="C103" s="76" t="s">
        <v>369</v>
      </c>
      <c r="D103" s="76" t="s">
        <v>107</v>
      </c>
      <c r="E103" s="76" t="s">
        <v>37</v>
      </c>
      <c r="F103" s="76" t="s">
        <v>1042</v>
      </c>
      <c r="G103" s="41" t="s">
        <v>1043</v>
      </c>
      <c r="H103" s="41" t="s">
        <v>1044</v>
      </c>
      <c r="I103" s="41">
        <v>14.5</v>
      </c>
    </row>
    <row r="104" spans="1:9">
      <c r="A104" s="76" t="s">
        <v>1045</v>
      </c>
      <c r="B104" s="76" t="s">
        <v>416</v>
      </c>
      <c r="C104" s="76" t="s">
        <v>416</v>
      </c>
      <c r="D104" s="76" t="s">
        <v>117</v>
      </c>
      <c r="E104" s="76" t="s">
        <v>36</v>
      </c>
      <c r="F104" s="76" t="s">
        <v>1046</v>
      </c>
      <c r="G104" s="41" t="s">
        <v>1047</v>
      </c>
      <c r="H104" s="41" t="s">
        <v>1048</v>
      </c>
      <c r="I104" s="41">
        <v>15.6</v>
      </c>
    </row>
    <row r="105" spans="1:9">
      <c r="A105" s="76" t="s">
        <v>1049</v>
      </c>
      <c r="B105" s="76" t="s">
        <v>542</v>
      </c>
      <c r="C105" s="76" t="s">
        <v>542</v>
      </c>
      <c r="D105" s="76" t="s">
        <v>116</v>
      </c>
      <c r="E105" s="76" t="s">
        <v>26</v>
      </c>
      <c r="F105" s="76" t="s">
        <v>1050</v>
      </c>
      <c r="G105" s="41" t="s">
        <v>1051</v>
      </c>
      <c r="H105" s="41" t="s">
        <v>1052</v>
      </c>
      <c r="I105" s="41">
        <v>86.2</v>
      </c>
    </row>
    <row r="106" spans="1:9">
      <c r="A106" s="76" t="s">
        <v>1053</v>
      </c>
      <c r="B106" s="76" t="s">
        <v>264</v>
      </c>
      <c r="C106" s="76" t="s">
        <v>264</v>
      </c>
      <c r="D106" s="76" t="s">
        <v>105</v>
      </c>
      <c r="E106" s="76" t="s">
        <v>30</v>
      </c>
      <c r="F106" s="76" t="s">
        <v>1054</v>
      </c>
      <c r="G106" s="41" t="s">
        <v>1055</v>
      </c>
      <c r="H106" s="41" t="s">
        <v>1056</v>
      </c>
      <c r="I106" s="41">
        <v>18.8</v>
      </c>
    </row>
    <row r="107" spans="1:9">
      <c r="A107" s="76" t="s">
        <v>1057</v>
      </c>
      <c r="B107" s="76" t="s">
        <v>633</v>
      </c>
      <c r="C107" s="76" t="s">
        <v>633</v>
      </c>
      <c r="D107" s="76" t="s">
        <v>114</v>
      </c>
      <c r="E107" s="76" t="s">
        <v>19</v>
      </c>
      <c r="F107" s="76" t="s">
        <v>1058</v>
      </c>
      <c r="G107" s="41" t="s">
        <v>1059</v>
      </c>
      <c r="H107" s="41" t="s">
        <v>1060</v>
      </c>
      <c r="I107" s="41">
        <v>54.8</v>
      </c>
    </row>
    <row r="108" spans="1:9">
      <c r="A108" s="76" t="s">
        <v>1061</v>
      </c>
      <c r="B108" s="76" t="s">
        <v>661</v>
      </c>
      <c r="C108" s="76" t="s">
        <v>661</v>
      </c>
      <c r="D108" s="76" t="s">
        <v>114</v>
      </c>
      <c r="E108" s="76" t="s">
        <v>27</v>
      </c>
      <c r="F108" s="76" t="s">
        <v>1062</v>
      </c>
      <c r="G108" s="41" t="s">
        <v>1063</v>
      </c>
      <c r="H108" s="41" t="s">
        <v>1064</v>
      </c>
      <c r="I108" s="41">
        <v>134.80000000000001</v>
      </c>
    </row>
    <row r="109" spans="1:9">
      <c r="A109" s="76" t="s">
        <v>1065</v>
      </c>
      <c r="B109" s="76" t="s">
        <v>357</v>
      </c>
      <c r="C109" s="76" t="s">
        <v>357</v>
      </c>
      <c r="D109" s="76" t="s">
        <v>107</v>
      </c>
      <c r="E109" s="76" t="s">
        <v>25</v>
      </c>
      <c r="F109" s="76" t="s">
        <v>1066</v>
      </c>
      <c r="G109" s="41" t="s">
        <v>1067</v>
      </c>
      <c r="H109" s="41" t="s">
        <v>1068</v>
      </c>
      <c r="I109" s="41">
        <v>81.5</v>
      </c>
    </row>
    <row r="110" spans="1:9">
      <c r="A110" s="76" t="s">
        <v>1069</v>
      </c>
      <c r="B110" s="76" t="s">
        <v>549</v>
      </c>
      <c r="C110" s="76" t="s">
        <v>549</v>
      </c>
      <c r="D110" s="76" t="s">
        <v>116</v>
      </c>
      <c r="E110" s="76" t="s">
        <v>43</v>
      </c>
      <c r="F110" s="76" t="s">
        <v>1070</v>
      </c>
      <c r="G110" s="41" t="s">
        <v>1071</v>
      </c>
      <c r="H110" s="41" t="s">
        <v>1072</v>
      </c>
      <c r="I110" s="41">
        <v>17.7</v>
      </c>
    </row>
    <row r="111" spans="1:9">
      <c r="A111" s="76" t="s">
        <v>1073</v>
      </c>
      <c r="B111" s="76" t="s">
        <v>510</v>
      </c>
      <c r="C111" s="76" t="s">
        <v>510</v>
      </c>
      <c r="D111" s="76" t="s">
        <v>113</v>
      </c>
      <c r="E111" s="76" t="s">
        <v>33</v>
      </c>
      <c r="F111" s="76" t="s">
        <v>511</v>
      </c>
      <c r="G111" s="41">
        <v>545</v>
      </c>
      <c r="H111" s="41" t="s">
        <v>1074</v>
      </c>
      <c r="I111" s="41">
        <v>271</v>
      </c>
    </row>
    <row r="112" spans="1:9">
      <c r="A112" s="76" t="s">
        <v>16</v>
      </c>
      <c r="B112" s="76" t="s">
        <v>371</v>
      </c>
      <c r="C112" s="76" t="s">
        <v>339</v>
      </c>
      <c r="D112" s="76" t="s">
        <v>107</v>
      </c>
      <c r="E112" s="76" t="s">
        <v>16</v>
      </c>
      <c r="F112" s="76" t="s">
        <v>1075</v>
      </c>
      <c r="G112" s="41" t="s">
        <v>1076</v>
      </c>
      <c r="H112" s="41" t="s">
        <v>1077</v>
      </c>
      <c r="I112" s="41">
        <v>79.7</v>
      </c>
    </row>
    <row r="113" spans="1:9">
      <c r="A113" s="76" t="s">
        <v>1078</v>
      </c>
      <c r="B113" s="76" t="s">
        <v>361</v>
      </c>
      <c r="C113" s="76" t="s">
        <v>361</v>
      </c>
      <c r="D113" s="76" t="s">
        <v>107</v>
      </c>
      <c r="E113" s="76" t="s">
        <v>25</v>
      </c>
      <c r="F113" s="76" t="s">
        <v>1079</v>
      </c>
      <c r="G113" s="41" t="s">
        <v>1080</v>
      </c>
      <c r="H113" s="41" t="s">
        <v>1081</v>
      </c>
      <c r="I113" s="41">
        <v>12.5</v>
      </c>
    </row>
    <row r="114" spans="1:9">
      <c r="A114" s="76" t="s">
        <v>1082</v>
      </c>
      <c r="B114" s="76" t="s">
        <v>516</v>
      </c>
      <c r="C114" s="76" t="s">
        <v>516</v>
      </c>
      <c r="D114" s="76" t="s">
        <v>113</v>
      </c>
      <c r="E114" s="76" t="s">
        <v>33</v>
      </c>
      <c r="F114" s="76" t="s">
        <v>517</v>
      </c>
      <c r="G114" s="41">
        <v>896</v>
      </c>
      <c r="H114" s="41" t="s">
        <v>1083</v>
      </c>
      <c r="I114" s="41">
        <v>100.4</v>
      </c>
    </row>
    <row r="115" spans="1:9">
      <c r="A115" s="76" t="s">
        <v>1084</v>
      </c>
      <c r="B115" s="76" t="s">
        <v>563</v>
      </c>
      <c r="C115" s="76" t="s">
        <v>563</v>
      </c>
      <c r="D115" s="76" t="s">
        <v>116</v>
      </c>
      <c r="E115" s="76" t="s">
        <v>22</v>
      </c>
      <c r="F115" s="76" t="s">
        <v>1085</v>
      </c>
      <c r="G115" s="41" t="s">
        <v>1086</v>
      </c>
      <c r="H115" s="41" t="s">
        <v>1087</v>
      </c>
      <c r="I115" s="41">
        <v>17.600000000000001</v>
      </c>
    </row>
    <row r="116" spans="1:9">
      <c r="A116" s="76" t="s">
        <v>1088</v>
      </c>
      <c r="B116" s="76" t="s">
        <v>625</v>
      </c>
      <c r="C116" s="76" t="s">
        <v>625</v>
      </c>
      <c r="D116" s="76" t="s">
        <v>114</v>
      </c>
      <c r="E116" s="76" t="s">
        <v>24</v>
      </c>
      <c r="F116" s="76" t="s">
        <v>1089</v>
      </c>
      <c r="G116" s="41" t="s">
        <v>1090</v>
      </c>
      <c r="H116" s="41" t="s">
        <v>1091</v>
      </c>
      <c r="I116" s="41">
        <v>28.1</v>
      </c>
    </row>
    <row r="117" spans="1:9">
      <c r="A117" s="76" t="s">
        <v>1092</v>
      </c>
      <c r="B117" s="76" t="s">
        <v>341</v>
      </c>
      <c r="C117" s="76" t="s">
        <v>341</v>
      </c>
      <c r="D117" s="76" t="s">
        <v>107</v>
      </c>
      <c r="E117" s="76" t="s">
        <v>28</v>
      </c>
      <c r="F117" s="76" t="s">
        <v>1093</v>
      </c>
      <c r="G117" s="41" t="s">
        <v>1094</v>
      </c>
      <c r="H117" s="41" t="s">
        <v>1095</v>
      </c>
      <c r="I117" s="41">
        <v>9.5</v>
      </c>
    </row>
    <row r="118" spans="1:9">
      <c r="A118" s="76" t="s">
        <v>1096</v>
      </c>
      <c r="B118" s="76" t="s">
        <v>324</v>
      </c>
      <c r="C118" s="76" t="s">
        <v>324</v>
      </c>
      <c r="D118" s="76" t="s">
        <v>105</v>
      </c>
      <c r="E118" s="76" t="s">
        <v>44</v>
      </c>
      <c r="F118" s="76" t="s">
        <v>325</v>
      </c>
      <c r="G118" s="41" t="s">
        <v>1097</v>
      </c>
      <c r="H118" s="41" t="s">
        <v>1098</v>
      </c>
      <c r="I118" s="41">
        <v>50.4</v>
      </c>
    </row>
    <row r="119" spans="1:9">
      <c r="A119" s="76" t="s">
        <v>1099</v>
      </c>
      <c r="B119" s="76" t="s">
        <v>347</v>
      </c>
      <c r="C119" s="76" t="s">
        <v>347</v>
      </c>
      <c r="D119" s="76" t="s">
        <v>107</v>
      </c>
      <c r="E119" s="76" t="s">
        <v>28</v>
      </c>
      <c r="F119" s="76" t="s">
        <v>1100</v>
      </c>
      <c r="G119" s="41" t="s">
        <v>1101</v>
      </c>
      <c r="H119" s="41" t="s">
        <v>1102</v>
      </c>
      <c r="I119" s="41">
        <v>75.400000000000006</v>
      </c>
    </row>
    <row r="120" spans="1:9">
      <c r="A120" s="76" t="s">
        <v>1103</v>
      </c>
      <c r="B120" s="76" t="s">
        <v>209</v>
      </c>
      <c r="C120" s="76" t="s">
        <v>209</v>
      </c>
      <c r="D120" s="76" t="s">
        <v>119</v>
      </c>
      <c r="E120" s="76" t="s">
        <v>34</v>
      </c>
      <c r="F120" s="76" t="s">
        <v>1104</v>
      </c>
      <c r="G120" s="41" t="s">
        <v>1105</v>
      </c>
      <c r="H120" s="41" t="s">
        <v>1106</v>
      </c>
      <c r="I120" s="41">
        <v>5.5</v>
      </c>
    </row>
    <row r="121" spans="1:9">
      <c r="A121" s="76" t="s">
        <v>1107</v>
      </c>
      <c r="B121" s="76" t="s">
        <v>276</v>
      </c>
      <c r="C121" s="76" t="s">
        <v>276</v>
      </c>
      <c r="D121" s="76" t="s">
        <v>105</v>
      </c>
      <c r="E121" s="76" t="s">
        <v>35</v>
      </c>
      <c r="F121" s="76" t="s">
        <v>1108</v>
      </c>
      <c r="G121" s="41" t="s">
        <v>1109</v>
      </c>
      <c r="H121" s="41" t="s">
        <v>1110</v>
      </c>
      <c r="I121" s="41">
        <v>84</v>
      </c>
    </row>
    <row r="122" spans="1:9">
      <c r="A122" s="76" t="s">
        <v>1111</v>
      </c>
      <c r="B122" s="76" t="s">
        <v>328</v>
      </c>
      <c r="C122" s="76" t="s">
        <v>328</v>
      </c>
      <c r="D122" s="76" t="s">
        <v>105</v>
      </c>
      <c r="E122" s="76" t="s">
        <v>44</v>
      </c>
      <c r="F122" s="76" t="s">
        <v>1112</v>
      </c>
      <c r="G122" s="41" t="s">
        <v>1113</v>
      </c>
      <c r="H122" s="41" t="s">
        <v>1114</v>
      </c>
      <c r="I122" s="41">
        <v>132.5</v>
      </c>
    </row>
    <row r="123" spans="1:9">
      <c r="A123" s="76" t="s">
        <v>1115</v>
      </c>
      <c r="B123" s="76" t="s">
        <v>1116</v>
      </c>
      <c r="C123" s="76" t="s">
        <v>609</v>
      </c>
      <c r="D123" s="76" t="s">
        <v>115</v>
      </c>
      <c r="E123" s="76" t="s">
        <v>9</v>
      </c>
      <c r="F123" s="76" t="s">
        <v>1117</v>
      </c>
      <c r="G123" s="41" t="s">
        <v>1118</v>
      </c>
      <c r="H123" s="41" t="s">
        <v>1119</v>
      </c>
      <c r="I123" s="41">
        <v>97.4</v>
      </c>
    </row>
    <row r="124" spans="1:9">
      <c r="A124" s="76" t="s">
        <v>1115</v>
      </c>
      <c r="B124" s="76" t="s">
        <v>1116</v>
      </c>
      <c r="C124" s="76" t="s">
        <v>611</v>
      </c>
      <c r="D124" s="76" t="s">
        <v>115</v>
      </c>
      <c r="E124" s="76" t="s">
        <v>9</v>
      </c>
      <c r="F124" s="76" t="s">
        <v>1117</v>
      </c>
      <c r="G124" s="41" t="s">
        <v>1118</v>
      </c>
      <c r="H124" s="41" t="s">
        <v>1119</v>
      </c>
      <c r="I124" s="41">
        <v>97.4</v>
      </c>
    </row>
    <row r="125" spans="1:9">
      <c r="A125" s="76" t="s">
        <v>1120</v>
      </c>
      <c r="B125" s="76" t="s">
        <v>578</v>
      </c>
      <c r="C125" s="76" t="s">
        <v>578</v>
      </c>
      <c r="D125" s="76" t="s">
        <v>111</v>
      </c>
      <c r="E125" s="76" t="s">
        <v>17</v>
      </c>
      <c r="F125" s="76" t="s">
        <v>1121</v>
      </c>
      <c r="G125" s="41" t="s">
        <v>1122</v>
      </c>
      <c r="H125" s="41" t="s">
        <v>1123</v>
      </c>
      <c r="I125" s="41">
        <v>115.8</v>
      </c>
    </row>
    <row r="126" spans="1:9">
      <c r="A126" s="76" t="s">
        <v>1124</v>
      </c>
      <c r="B126" s="76" t="s">
        <v>367</v>
      </c>
      <c r="C126" s="76" t="s">
        <v>367</v>
      </c>
      <c r="D126" s="76" t="s">
        <v>107</v>
      </c>
      <c r="E126" s="76" t="s">
        <v>37</v>
      </c>
      <c r="F126" s="76" t="s">
        <v>1125</v>
      </c>
      <c r="G126" s="41" t="s">
        <v>1126</v>
      </c>
      <c r="H126" s="41" t="s">
        <v>1127</v>
      </c>
      <c r="I126" s="41">
        <v>95.3</v>
      </c>
    </row>
    <row r="127" spans="1:9">
      <c r="A127" s="76" t="s">
        <v>1128</v>
      </c>
      <c r="B127" s="76" t="s">
        <v>320</v>
      </c>
      <c r="C127" s="76" t="s">
        <v>320</v>
      </c>
      <c r="D127" s="76" t="s">
        <v>105</v>
      </c>
      <c r="E127" s="76" t="s">
        <v>29</v>
      </c>
      <c r="F127" s="76" t="s">
        <v>1129</v>
      </c>
      <c r="G127" s="41" t="s">
        <v>1130</v>
      </c>
      <c r="H127" s="41" t="s">
        <v>1131</v>
      </c>
      <c r="I127" s="41">
        <v>65.7</v>
      </c>
    </row>
    <row r="128" spans="1:9">
      <c r="A128" s="76" t="s">
        <v>1132</v>
      </c>
      <c r="B128" s="76" t="s">
        <v>568</v>
      </c>
      <c r="C128" s="76" t="s">
        <v>568</v>
      </c>
      <c r="D128" s="76" t="s">
        <v>111</v>
      </c>
      <c r="E128" s="76" t="s">
        <v>12</v>
      </c>
      <c r="F128" s="76" t="s">
        <v>1133</v>
      </c>
      <c r="G128" s="41" t="s">
        <v>1134</v>
      </c>
      <c r="H128" s="41" t="s">
        <v>1135</v>
      </c>
      <c r="I128" s="41">
        <v>64.8</v>
      </c>
    </row>
    <row r="129" spans="1:9">
      <c r="A129" s="76" t="s">
        <v>1136</v>
      </c>
      <c r="B129" s="76" t="s">
        <v>450</v>
      </c>
      <c r="C129" s="76" t="s">
        <v>450</v>
      </c>
      <c r="D129" s="76" t="s">
        <v>113</v>
      </c>
      <c r="E129" s="76" t="s">
        <v>11</v>
      </c>
      <c r="F129" s="76" t="s">
        <v>1137</v>
      </c>
      <c r="G129" s="41">
        <v>868</v>
      </c>
      <c r="H129" s="41" t="s">
        <v>1138</v>
      </c>
      <c r="I129" s="41">
        <v>65.7</v>
      </c>
    </row>
    <row r="130" spans="1:9">
      <c r="A130" s="76" t="s">
        <v>1139</v>
      </c>
      <c r="B130" s="76" t="s">
        <v>586</v>
      </c>
      <c r="C130" s="76" t="s">
        <v>586</v>
      </c>
      <c r="D130" s="76" t="s">
        <v>115</v>
      </c>
      <c r="E130" s="76" t="s">
        <v>14</v>
      </c>
      <c r="F130" s="76" t="s">
        <v>1140</v>
      </c>
      <c r="G130" s="41" t="s">
        <v>1141</v>
      </c>
      <c r="H130" s="41" t="s">
        <v>1142</v>
      </c>
      <c r="I130" s="41">
        <v>38.700000000000003</v>
      </c>
    </row>
    <row r="131" spans="1:9">
      <c r="A131" s="76" t="s">
        <v>1143</v>
      </c>
      <c r="B131" s="76" t="s">
        <v>278</v>
      </c>
      <c r="C131" s="76" t="s">
        <v>278</v>
      </c>
      <c r="D131" s="76" t="s">
        <v>105</v>
      </c>
      <c r="E131" s="76" t="s">
        <v>35</v>
      </c>
      <c r="F131" s="76" t="s">
        <v>1144</v>
      </c>
      <c r="G131" s="41" t="s">
        <v>1145</v>
      </c>
      <c r="H131" s="41" t="s">
        <v>1146</v>
      </c>
      <c r="I131" s="41">
        <v>78.7</v>
      </c>
    </row>
    <row r="132" spans="1:9">
      <c r="A132" s="76" t="s">
        <v>1147</v>
      </c>
      <c r="B132" s="76" t="s">
        <v>1148</v>
      </c>
      <c r="C132" s="76" t="s">
        <v>649</v>
      </c>
      <c r="D132" s="76" t="s">
        <v>114</v>
      </c>
      <c r="E132" s="76" t="s">
        <v>23</v>
      </c>
      <c r="F132" s="76" t="s">
        <v>652</v>
      </c>
      <c r="G132" s="41" t="s">
        <v>1149</v>
      </c>
      <c r="H132" s="41" t="s">
        <v>1150</v>
      </c>
      <c r="I132" s="41">
        <v>10.4</v>
      </c>
    </row>
    <row r="133" spans="1:9">
      <c r="A133" s="76" t="s">
        <v>1151</v>
      </c>
      <c r="B133" s="76" t="s">
        <v>655</v>
      </c>
      <c r="C133" s="76" t="s">
        <v>655</v>
      </c>
      <c r="D133" s="76" t="s">
        <v>114</v>
      </c>
      <c r="E133" s="76" t="s">
        <v>23</v>
      </c>
      <c r="F133" s="76" t="s">
        <v>1152</v>
      </c>
      <c r="G133" s="41" t="s">
        <v>1153</v>
      </c>
      <c r="H133" s="41" t="s">
        <v>1154</v>
      </c>
      <c r="I133" s="41">
        <v>52.8</v>
      </c>
    </row>
    <row r="134" spans="1:9">
      <c r="A134" s="76" t="s">
        <v>1155</v>
      </c>
      <c r="B134" s="76" t="s">
        <v>572</v>
      </c>
      <c r="C134" s="76" t="s">
        <v>572</v>
      </c>
      <c r="D134" s="76" t="s">
        <v>111</v>
      </c>
      <c r="E134" s="76" t="s">
        <v>17</v>
      </c>
      <c r="F134" s="76" t="s">
        <v>1156</v>
      </c>
      <c r="G134" s="41" t="s">
        <v>1157</v>
      </c>
      <c r="H134" s="41" t="s">
        <v>1158</v>
      </c>
      <c r="I134" s="41">
        <v>286</v>
      </c>
    </row>
    <row r="135" spans="1:9">
      <c r="A135" s="76" t="s">
        <v>1159</v>
      </c>
      <c r="B135" s="76" t="s">
        <v>337</v>
      </c>
      <c r="C135" s="76" t="s">
        <v>337</v>
      </c>
      <c r="D135" s="76" t="s">
        <v>107</v>
      </c>
      <c r="E135" s="76" t="s">
        <v>50</v>
      </c>
      <c r="F135" s="76" t="s">
        <v>1160</v>
      </c>
      <c r="G135" s="41" t="s">
        <v>1161</v>
      </c>
      <c r="H135" s="41" t="s">
        <v>1162</v>
      </c>
      <c r="I135" s="41">
        <v>4.0999999999999996</v>
      </c>
    </row>
    <row r="136" spans="1:9">
      <c r="A136" s="76" t="s">
        <v>1163</v>
      </c>
      <c r="B136" s="76" t="s">
        <v>639</v>
      </c>
      <c r="C136" s="76" t="s">
        <v>639</v>
      </c>
      <c r="D136" s="76" t="s">
        <v>114</v>
      </c>
      <c r="E136" s="76" t="s">
        <v>15</v>
      </c>
      <c r="F136" s="76" t="s">
        <v>1164</v>
      </c>
      <c r="G136" s="41" t="s">
        <v>1165</v>
      </c>
      <c r="H136" s="41" t="s">
        <v>1166</v>
      </c>
      <c r="I136" s="41">
        <v>34.5</v>
      </c>
    </row>
    <row r="137" spans="1:9">
      <c r="A137" s="76" t="s">
        <v>1167</v>
      </c>
      <c r="B137" s="76" t="s">
        <v>363</v>
      </c>
      <c r="C137" s="76" t="s">
        <v>363</v>
      </c>
      <c r="D137" s="76" t="s">
        <v>107</v>
      </c>
      <c r="E137" s="76" t="s">
        <v>37</v>
      </c>
      <c r="F137" s="76" t="s">
        <v>1168</v>
      </c>
      <c r="G137" s="41" t="s">
        <v>1169</v>
      </c>
      <c r="H137" s="41" t="s">
        <v>1170</v>
      </c>
      <c r="I137" s="41">
        <v>19.5</v>
      </c>
    </row>
    <row r="138" spans="1:9">
      <c r="A138" s="76" t="s">
        <v>1171</v>
      </c>
      <c r="B138" s="76" t="s">
        <v>528</v>
      </c>
      <c r="C138" s="76" t="s">
        <v>528</v>
      </c>
      <c r="D138" s="76" t="s">
        <v>116</v>
      </c>
      <c r="E138" s="76" t="s">
        <v>10</v>
      </c>
      <c r="F138" s="76" t="s">
        <v>1172</v>
      </c>
      <c r="G138" s="41" t="s">
        <v>1173</v>
      </c>
      <c r="H138" s="41" t="s">
        <v>1174</v>
      </c>
      <c r="I138" s="41">
        <v>127.7</v>
      </c>
    </row>
    <row r="139" spans="1:9">
      <c r="A139" s="76" t="s">
        <v>1175</v>
      </c>
      <c r="B139" s="76" t="s">
        <v>536</v>
      </c>
      <c r="C139" s="76" t="s">
        <v>536</v>
      </c>
      <c r="D139" s="76" t="s">
        <v>116</v>
      </c>
      <c r="E139" s="76" t="s">
        <v>10</v>
      </c>
      <c r="F139" s="76" t="s">
        <v>1176</v>
      </c>
      <c r="G139" s="41" t="s">
        <v>1177</v>
      </c>
      <c r="H139" s="41" t="s">
        <v>1178</v>
      </c>
      <c r="I139" s="41">
        <v>42.5</v>
      </c>
    </row>
    <row r="140" spans="1:9">
      <c r="A140" s="76" t="s">
        <v>1179</v>
      </c>
      <c r="B140" s="76" t="s">
        <v>241</v>
      </c>
      <c r="C140" s="76" t="s">
        <v>241</v>
      </c>
      <c r="D140" s="76" t="s">
        <v>119</v>
      </c>
      <c r="E140" s="76" t="s">
        <v>18</v>
      </c>
      <c r="F140" s="76" t="s">
        <v>242</v>
      </c>
      <c r="G140" s="41" t="s">
        <v>1180</v>
      </c>
      <c r="H140" s="41" t="s">
        <v>1181</v>
      </c>
      <c r="I140" s="41">
        <v>47</v>
      </c>
    </row>
    <row r="141" spans="1:9">
      <c r="A141" s="76" t="s">
        <v>1182</v>
      </c>
      <c r="B141" s="76" t="s">
        <v>444</v>
      </c>
      <c r="C141" s="76" t="s">
        <v>444</v>
      </c>
      <c r="D141" s="76" t="s">
        <v>113</v>
      </c>
      <c r="E141" s="76" t="s">
        <v>11</v>
      </c>
      <c r="F141" s="76" t="s">
        <v>1183</v>
      </c>
      <c r="G141" s="41" t="s">
        <v>1184</v>
      </c>
      <c r="H141" s="41" t="s">
        <v>1185</v>
      </c>
      <c r="I141" s="41">
        <v>21.3</v>
      </c>
    </row>
    <row r="142" spans="1:9">
      <c r="A142" s="76" t="s">
        <v>1186</v>
      </c>
      <c r="B142" s="76" t="s">
        <v>468</v>
      </c>
      <c r="C142" s="76" t="s">
        <v>468</v>
      </c>
      <c r="D142" s="76" t="s">
        <v>113</v>
      </c>
      <c r="E142" s="76" t="s">
        <v>48</v>
      </c>
      <c r="F142" s="76" t="s">
        <v>1187</v>
      </c>
      <c r="G142" s="41" t="s">
        <v>1188</v>
      </c>
      <c r="H142" s="41" t="s">
        <v>1189</v>
      </c>
      <c r="I142" s="41">
        <v>77.7</v>
      </c>
    </row>
    <row r="143" spans="1:9">
      <c r="A143" s="76" t="s">
        <v>1190</v>
      </c>
      <c r="B143" s="76" t="s">
        <v>584</v>
      </c>
      <c r="C143" s="76" t="s">
        <v>584</v>
      </c>
      <c r="D143" s="76" t="s">
        <v>115</v>
      </c>
      <c r="E143" s="76" t="s">
        <v>14</v>
      </c>
      <c r="F143" s="76" t="s">
        <v>1191</v>
      </c>
      <c r="G143" s="41" t="s">
        <v>1192</v>
      </c>
      <c r="H143" s="41" t="s">
        <v>1193</v>
      </c>
      <c r="I143" s="41">
        <v>27.4</v>
      </c>
    </row>
    <row r="144" spans="1:9">
      <c r="A144" s="76" t="s">
        <v>1194</v>
      </c>
      <c r="B144" s="76" t="s">
        <v>448</v>
      </c>
      <c r="C144" s="76" t="s">
        <v>448</v>
      </c>
      <c r="D144" s="76" t="s">
        <v>113</v>
      </c>
      <c r="E144" s="76" t="s">
        <v>11</v>
      </c>
      <c r="F144" s="76" t="s">
        <v>1195</v>
      </c>
      <c r="G144" s="41">
        <v>751</v>
      </c>
      <c r="H144" s="41" t="s">
        <v>1196</v>
      </c>
      <c r="I144" s="41">
        <v>904.1</v>
      </c>
    </row>
    <row r="145" spans="1:9">
      <c r="A145" s="76" t="s">
        <v>1197</v>
      </c>
      <c r="B145" s="76" t="s">
        <v>506</v>
      </c>
      <c r="C145" s="76" t="s">
        <v>506</v>
      </c>
      <c r="D145" s="76" t="s">
        <v>113</v>
      </c>
      <c r="E145" s="76" t="s">
        <v>21</v>
      </c>
      <c r="F145" s="76" t="s">
        <v>1198</v>
      </c>
      <c r="G145" s="41" t="s">
        <v>1199</v>
      </c>
      <c r="H145" s="41" t="s">
        <v>1200</v>
      </c>
      <c r="I145" s="41">
        <v>48.1</v>
      </c>
    </row>
    <row r="146" spans="1:9">
      <c r="A146" s="76" t="s">
        <v>1201</v>
      </c>
      <c r="B146" s="76" t="s">
        <v>496</v>
      </c>
      <c r="C146" s="76" t="s">
        <v>496</v>
      </c>
      <c r="D146" s="76" t="s">
        <v>113</v>
      </c>
      <c r="E146" s="76" t="s">
        <v>40</v>
      </c>
      <c r="F146" s="76" t="s">
        <v>497</v>
      </c>
      <c r="G146" s="41" t="s">
        <v>1202</v>
      </c>
      <c r="H146" s="41" t="s">
        <v>1203</v>
      </c>
      <c r="I146" s="41">
        <v>102.6</v>
      </c>
    </row>
    <row r="147" spans="1:9">
      <c r="A147" s="76" t="s">
        <v>1204</v>
      </c>
      <c r="B147" s="76" t="s">
        <v>627</v>
      </c>
      <c r="C147" s="76" t="s">
        <v>627</v>
      </c>
      <c r="D147" s="76" t="s">
        <v>114</v>
      </c>
      <c r="E147" s="76" t="s">
        <v>19</v>
      </c>
      <c r="F147" s="76" t="s">
        <v>628</v>
      </c>
      <c r="G147" s="41" t="s">
        <v>1205</v>
      </c>
      <c r="H147" s="41" t="s">
        <v>1206</v>
      </c>
      <c r="I147" s="41">
        <v>12.8</v>
      </c>
    </row>
    <row r="148" spans="1:9">
      <c r="A148" s="76" t="s">
        <v>1207</v>
      </c>
      <c r="B148" s="76" t="s">
        <v>349</v>
      </c>
      <c r="C148" s="76" t="s">
        <v>349</v>
      </c>
      <c r="D148" s="76" t="s">
        <v>107</v>
      </c>
      <c r="E148" s="76" t="s">
        <v>28</v>
      </c>
      <c r="F148" s="76" t="s">
        <v>1208</v>
      </c>
      <c r="G148" s="41" t="s">
        <v>1209</v>
      </c>
      <c r="H148" s="41" t="s">
        <v>1210</v>
      </c>
      <c r="I148" s="41">
        <v>19</v>
      </c>
    </row>
    <row r="149" spans="1:9">
      <c r="A149" s="76" t="s">
        <v>1211</v>
      </c>
      <c r="B149" s="76" t="s">
        <v>548</v>
      </c>
      <c r="C149" s="76" t="s">
        <v>548</v>
      </c>
      <c r="D149" s="76" t="s">
        <v>116</v>
      </c>
      <c r="E149" s="76" t="s">
        <v>43</v>
      </c>
      <c r="F149" s="76" t="s">
        <v>1212</v>
      </c>
      <c r="G149" s="41" t="s">
        <v>1213</v>
      </c>
      <c r="H149" s="41" t="s">
        <v>1214</v>
      </c>
      <c r="I149" s="41">
        <v>9.8000000000000007</v>
      </c>
    </row>
    <row r="150" spans="1:9">
      <c r="A150" s="76" t="s">
        <v>1215</v>
      </c>
      <c r="B150" s="76" t="s">
        <v>374</v>
      </c>
      <c r="C150" s="76" t="s">
        <v>374</v>
      </c>
      <c r="D150" s="76" t="s">
        <v>117</v>
      </c>
      <c r="E150" s="76" t="s">
        <v>52</v>
      </c>
      <c r="F150" s="76" t="s">
        <v>1216</v>
      </c>
      <c r="G150" s="41" t="s">
        <v>1217</v>
      </c>
      <c r="H150" s="41" t="s">
        <v>1218</v>
      </c>
      <c r="I150" s="41">
        <v>2.6</v>
      </c>
    </row>
    <row r="151" spans="1:9">
      <c r="A151" s="76" t="s">
        <v>1219</v>
      </c>
      <c r="B151" s="76" t="s">
        <v>266</v>
      </c>
      <c r="C151" s="76" t="s">
        <v>266</v>
      </c>
      <c r="D151" s="76" t="s">
        <v>105</v>
      </c>
      <c r="E151" s="76" t="s">
        <v>30</v>
      </c>
      <c r="F151" s="76" t="s">
        <v>1220</v>
      </c>
      <c r="G151" s="41" t="s">
        <v>1221</v>
      </c>
      <c r="H151" s="41" t="s">
        <v>1222</v>
      </c>
      <c r="I151" s="41">
        <v>34.299999999999997</v>
      </c>
    </row>
    <row r="152" spans="1:9">
      <c r="A152" s="76" t="s">
        <v>1223</v>
      </c>
      <c r="B152" s="76" t="s">
        <v>514</v>
      </c>
      <c r="C152" s="76" t="s">
        <v>514</v>
      </c>
      <c r="D152" s="76" t="s">
        <v>113</v>
      </c>
      <c r="E152" s="76" t="s">
        <v>33</v>
      </c>
      <c r="F152" s="76" t="s">
        <v>515</v>
      </c>
      <c r="G152" s="41" t="s">
        <v>1224</v>
      </c>
      <c r="H152" s="41" t="s">
        <v>1225</v>
      </c>
      <c r="I152" s="41">
        <v>131</v>
      </c>
    </row>
    <row r="153" spans="1:9">
      <c r="A153" s="76" t="s">
        <v>7</v>
      </c>
      <c r="B153" s="76" t="s">
        <v>332</v>
      </c>
      <c r="C153" s="76" t="s">
        <v>332</v>
      </c>
      <c r="D153" s="76" t="s">
        <v>105</v>
      </c>
      <c r="E153" s="76" t="s">
        <v>7</v>
      </c>
      <c r="F153" s="76" t="s">
        <v>1226</v>
      </c>
      <c r="G153" s="41" t="s">
        <v>1227</v>
      </c>
      <c r="H153" s="41" t="s">
        <v>1228</v>
      </c>
      <c r="I153" s="41">
        <v>645.4</v>
      </c>
    </row>
    <row r="154" spans="1:9">
      <c r="A154" s="76" t="s">
        <v>1229</v>
      </c>
      <c r="B154" s="76" t="s">
        <v>472</v>
      </c>
      <c r="C154" s="76" t="s">
        <v>472</v>
      </c>
      <c r="D154" s="76" t="s">
        <v>113</v>
      </c>
      <c r="E154" s="76" t="s">
        <v>42</v>
      </c>
      <c r="F154" s="76" t="s">
        <v>473</v>
      </c>
      <c r="G154" s="41" t="s">
        <v>1230</v>
      </c>
      <c r="H154" s="41" t="s">
        <v>1231</v>
      </c>
      <c r="I154" s="41">
        <v>209.7</v>
      </c>
    </row>
    <row r="155" spans="1:9">
      <c r="A155" s="76" t="s">
        <v>1232</v>
      </c>
      <c r="B155" s="76" t="s">
        <v>284</v>
      </c>
      <c r="C155" s="76" t="s">
        <v>284</v>
      </c>
      <c r="D155" s="76" t="s">
        <v>105</v>
      </c>
      <c r="E155" s="76" t="s">
        <v>35</v>
      </c>
      <c r="F155" s="76" t="s">
        <v>1233</v>
      </c>
      <c r="G155" s="41" t="s">
        <v>1234</v>
      </c>
      <c r="H155" s="41" t="s">
        <v>1235</v>
      </c>
      <c r="I155" s="41">
        <v>30.1</v>
      </c>
    </row>
    <row r="156" spans="1:9">
      <c r="A156" s="76" t="s">
        <v>1236</v>
      </c>
      <c r="B156" s="76" t="s">
        <v>365</v>
      </c>
      <c r="C156" s="76" t="s">
        <v>365</v>
      </c>
      <c r="D156" s="76" t="s">
        <v>107</v>
      </c>
      <c r="E156" s="76" t="s">
        <v>37</v>
      </c>
      <c r="F156" s="76" t="s">
        <v>1237</v>
      </c>
      <c r="G156" s="41" t="s">
        <v>1238</v>
      </c>
      <c r="H156" s="41" t="s">
        <v>1239</v>
      </c>
      <c r="I156" s="41">
        <v>16.899999999999999</v>
      </c>
    </row>
    <row r="157" spans="1:9">
      <c r="A157" s="76" t="s">
        <v>1240</v>
      </c>
      <c r="B157" s="76" t="s">
        <v>508</v>
      </c>
      <c r="C157" s="76" t="s">
        <v>508</v>
      </c>
      <c r="D157" s="76" t="s">
        <v>113</v>
      </c>
      <c r="E157" s="76" t="s">
        <v>21</v>
      </c>
      <c r="F157" s="76" t="s">
        <v>509</v>
      </c>
      <c r="G157" s="41" t="s">
        <v>1241</v>
      </c>
      <c r="H157" s="41" t="s">
        <v>1242</v>
      </c>
      <c r="I157" s="41">
        <v>62.5</v>
      </c>
    </row>
    <row r="158" spans="1:9">
      <c r="A158" s="76" t="s">
        <v>1243</v>
      </c>
      <c r="B158" s="76" t="s">
        <v>355</v>
      </c>
      <c r="C158" s="76" t="s">
        <v>355</v>
      </c>
      <c r="D158" s="76" t="s">
        <v>107</v>
      </c>
      <c r="E158" s="76" t="s">
        <v>25</v>
      </c>
      <c r="F158" s="76" t="s">
        <v>1244</v>
      </c>
      <c r="G158" s="41" t="s">
        <v>1245</v>
      </c>
      <c r="H158" s="41" t="s">
        <v>1246</v>
      </c>
      <c r="I158" s="41">
        <v>11.6</v>
      </c>
    </row>
    <row r="159" spans="1:9">
      <c r="A159" s="76" t="s">
        <v>1247</v>
      </c>
      <c r="B159" s="76" t="s">
        <v>613</v>
      </c>
      <c r="C159" s="76" t="s">
        <v>613</v>
      </c>
      <c r="D159" s="76" t="s">
        <v>115</v>
      </c>
      <c r="E159" s="76" t="s">
        <v>9</v>
      </c>
      <c r="F159" s="76" t="s">
        <v>1248</v>
      </c>
      <c r="G159" s="41" t="s">
        <v>1249</v>
      </c>
      <c r="H159" s="41" t="s">
        <v>1250</v>
      </c>
      <c r="I159" s="41">
        <v>85.8</v>
      </c>
    </row>
    <row r="160" spans="1:9">
      <c r="A160" s="76" t="s">
        <v>1251</v>
      </c>
      <c r="B160" s="76" t="s">
        <v>484</v>
      </c>
      <c r="C160" s="76" t="s">
        <v>484</v>
      </c>
      <c r="D160" s="76" t="s">
        <v>113</v>
      </c>
      <c r="E160" s="76" t="s">
        <v>39</v>
      </c>
      <c r="F160" s="76" t="s">
        <v>485</v>
      </c>
      <c r="G160" s="41" t="s">
        <v>1252</v>
      </c>
      <c r="H160" s="41" t="s">
        <v>1253</v>
      </c>
      <c r="I160" s="41">
        <v>97.1</v>
      </c>
    </row>
    <row r="161" spans="1:9">
      <c r="A161" s="76" t="s">
        <v>1254</v>
      </c>
      <c r="B161" s="76" t="s">
        <v>466</v>
      </c>
      <c r="C161" s="76" t="s">
        <v>466</v>
      </c>
      <c r="D161" s="76" t="s">
        <v>113</v>
      </c>
      <c r="E161" s="76" t="s">
        <v>48</v>
      </c>
      <c r="F161" s="76" t="s">
        <v>467</v>
      </c>
      <c r="G161" s="41" t="s">
        <v>1255</v>
      </c>
      <c r="H161" s="41" t="s">
        <v>1256</v>
      </c>
      <c r="I161" s="41">
        <v>87.3</v>
      </c>
    </row>
    <row r="162" spans="1:9">
      <c r="A162" s="76" t="s">
        <v>1257</v>
      </c>
      <c r="B162" s="76" t="s">
        <v>330</v>
      </c>
      <c r="C162" s="76" t="s">
        <v>330</v>
      </c>
      <c r="D162" s="76" t="s">
        <v>105</v>
      </c>
      <c r="E162" s="76" t="s">
        <v>44</v>
      </c>
      <c r="F162" s="76" t="s">
        <v>331</v>
      </c>
      <c r="G162" s="41" t="s">
        <v>1258</v>
      </c>
      <c r="H162" s="41" t="s">
        <v>1259</v>
      </c>
      <c r="I162" s="41">
        <v>93.1</v>
      </c>
    </row>
    <row r="163" spans="1:9">
      <c r="A163" s="76" t="s">
        <v>1260</v>
      </c>
      <c r="B163" s="76" t="s">
        <v>318</v>
      </c>
      <c r="C163" s="76" t="s">
        <v>318</v>
      </c>
      <c r="D163" s="76" t="s">
        <v>105</v>
      </c>
      <c r="E163" s="76" t="s">
        <v>29</v>
      </c>
      <c r="F163" s="76" t="s">
        <v>1261</v>
      </c>
      <c r="G163" s="41" t="s">
        <v>1262</v>
      </c>
      <c r="H163" s="41" t="s">
        <v>1263</v>
      </c>
      <c r="I163" s="41">
        <v>125.2</v>
      </c>
    </row>
    <row r="164" spans="1:9">
      <c r="A164" s="76" t="s">
        <v>1264</v>
      </c>
      <c r="B164" s="76" t="s">
        <v>460</v>
      </c>
      <c r="C164" s="76" t="s">
        <v>460</v>
      </c>
      <c r="D164" s="76" t="s">
        <v>113</v>
      </c>
      <c r="E164" s="76" t="s">
        <v>41</v>
      </c>
      <c r="F164" s="76" t="s">
        <v>1265</v>
      </c>
      <c r="G164" s="41" t="s">
        <v>1043</v>
      </c>
      <c r="H164" s="41" t="s">
        <v>1266</v>
      </c>
      <c r="I164" s="41">
        <v>34</v>
      </c>
    </row>
    <row r="165" spans="1:9">
      <c r="A165" s="76" t="s">
        <v>1267</v>
      </c>
      <c r="B165" s="76" t="s">
        <v>245</v>
      </c>
      <c r="C165" s="76" t="s">
        <v>245</v>
      </c>
      <c r="D165" s="76" t="s">
        <v>119</v>
      </c>
      <c r="E165" s="76" t="s">
        <v>18</v>
      </c>
      <c r="F165" s="76" t="s">
        <v>246</v>
      </c>
      <c r="G165" s="41" t="s">
        <v>1268</v>
      </c>
      <c r="H165" s="41" t="s">
        <v>1269</v>
      </c>
      <c r="I165" s="41">
        <v>27.5</v>
      </c>
    </row>
    <row r="166" spans="1:9">
      <c r="A166" s="76" t="s">
        <v>1270</v>
      </c>
      <c r="B166" s="76" t="s">
        <v>231</v>
      </c>
      <c r="C166" s="76" t="s">
        <v>231</v>
      </c>
      <c r="D166" s="76" t="s">
        <v>119</v>
      </c>
      <c r="E166" s="76" t="s">
        <v>38</v>
      </c>
      <c r="F166" s="76" t="s">
        <v>1271</v>
      </c>
      <c r="G166" s="41" t="s">
        <v>1272</v>
      </c>
      <c r="H166" s="41" t="s">
        <v>1273</v>
      </c>
      <c r="I166" s="41">
        <v>55.8</v>
      </c>
    </row>
    <row r="167" spans="1:9">
      <c r="A167" s="76" t="s">
        <v>1274</v>
      </c>
      <c r="B167" s="76" t="s">
        <v>418</v>
      </c>
      <c r="C167" s="76" t="s">
        <v>418</v>
      </c>
      <c r="D167" s="76" t="s">
        <v>117</v>
      </c>
      <c r="E167" s="76" t="s">
        <v>36</v>
      </c>
      <c r="F167" s="76" t="s">
        <v>1275</v>
      </c>
      <c r="G167" s="41">
        <v>828</v>
      </c>
      <c r="H167" s="41" t="s">
        <v>1276</v>
      </c>
      <c r="I167" s="41">
        <v>72.7</v>
      </c>
    </row>
    <row r="168" spans="1:9">
      <c r="A168" s="76" t="s">
        <v>1277</v>
      </c>
      <c r="B168" s="76" t="s">
        <v>359</v>
      </c>
      <c r="C168" s="76" t="s">
        <v>359</v>
      </c>
      <c r="D168" s="76" t="s">
        <v>107</v>
      </c>
      <c r="E168" s="76" t="s">
        <v>25</v>
      </c>
      <c r="F168" s="76" t="s">
        <v>1278</v>
      </c>
      <c r="G168" s="41" t="s">
        <v>1279</v>
      </c>
      <c r="H168" s="41" t="s">
        <v>1280</v>
      </c>
      <c r="I168" s="41">
        <v>6.1</v>
      </c>
    </row>
    <row r="169" spans="1:9">
      <c r="A169" s="76" t="s">
        <v>1281</v>
      </c>
      <c r="B169" s="76" t="s">
        <v>588</v>
      </c>
      <c r="C169" s="76" t="s">
        <v>588</v>
      </c>
      <c r="D169" s="76" t="s">
        <v>115</v>
      </c>
      <c r="E169" s="76" t="s">
        <v>14</v>
      </c>
      <c r="F169" s="76" t="s">
        <v>1282</v>
      </c>
      <c r="G169" s="41" t="s">
        <v>1283</v>
      </c>
      <c r="H169" s="41" t="s">
        <v>1284</v>
      </c>
      <c r="I169" s="41">
        <v>16.3</v>
      </c>
    </row>
    <row r="170" spans="1:9">
      <c r="A170" s="76" t="s">
        <v>1285</v>
      </c>
      <c r="B170" s="76" t="s">
        <v>641</v>
      </c>
      <c r="C170" s="76" t="s">
        <v>637</v>
      </c>
      <c r="D170" s="76" t="s">
        <v>114</v>
      </c>
      <c r="E170" s="76" t="s">
        <v>15</v>
      </c>
      <c r="F170" s="76" t="s">
        <v>642</v>
      </c>
      <c r="G170" s="41" t="s">
        <v>1286</v>
      </c>
      <c r="H170" s="41" t="s">
        <v>1287</v>
      </c>
      <c r="I170" s="41">
        <v>157.69999999999999</v>
      </c>
    </row>
    <row r="171" spans="1:9">
      <c r="A171" s="76" t="s">
        <v>1288</v>
      </c>
      <c r="B171" s="76" t="s">
        <v>316</v>
      </c>
      <c r="C171" s="76" t="s">
        <v>316</v>
      </c>
      <c r="D171" s="76" t="s">
        <v>105</v>
      </c>
      <c r="E171" s="76" t="s">
        <v>29</v>
      </c>
      <c r="F171" s="76" t="s">
        <v>317</v>
      </c>
      <c r="G171" s="41" t="s">
        <v>1289</v>
      </c>
      <c r="H171" s="41" t="s">
        <v>1290</v>
      </c>
      <c r="I171" s="41">
        <v>129.19999999999999</v>
      </c>
    </row>
    <row r="172" spans="1:9">
      <c r="A172" s="76" t="s">
        <v>1291</v>
      </c>
      <c r="B172" s="76" t="s">
        <v>253</v>
      </c>
      <c r="C172" s="76" t="s">
        <v>253</v>
      </c>
      <c r="D172" s="76" t="s">
        <v>119</v>
      </c>
      <c r="E172" s="76" t="s">
        <v>53</v>
      </c>
      <c r="F172" s="76" t="s">
        <v>254</v>
      </c>
      <c r="G172" s="41" t="s">
        <v>1292</v>
      </c>
      <c r="H172" s="41" t="s">
        <v>1293</v>
      </c>
      <c r="I172" s="41">
        <v>1.8</v>
      </c>
    </row>
    <row r="173" spans="1:9">
      <c r="A173" s="76" t="s">
        <v>1294</v>
      </c>
      <c r="B173" s="76" t="s">
        <v>546</v>
      </c>
      <c r="C173" s="76" t="s">
        <v>546</v>
      </c>
      <c r="D173" s="76" t="s">
        <v>116</v>
      </c>
      <c r="E173" s="76" t="s">
        <v>26</v>
      </c>
      <c r="F173" s="76" t="s">
        <v>1295</v>
      </c>
      <c r="G173" s="41" t="s">
        <v>1296</v>
      </c>
      <c r="H173" s="41" t="s">
        <v>1297</v>
      </c>
      <c r="I173" s="41">
        <v>21.5</v>
      </c>
    </row>
    <row r="174" spans="1:9">
      <c r="A174" s="76" t="s">
        <v>1298</v>
      </c>
      <c r="B174" s="76" t="s">
        <v>1299</v>
      </c>
      <c r="C174" s="76" t="s">
        <v>574</v>
      </c>
      <c r="D174" s="76" t="s">
        <v>111</v>
      </c>
      <c r="E174" s="76" t="s">
        <v>17</v>
      </c>
      <c r="F174" s="76" t="s">
        <v>575</v>
      </c>
      <c r="G174" s="41" t="s">
        <v>1300</v>
      </c>
      <c r="H174" s="41" t="s">
        <v>1301</v>
      </c>
      <c r="I174" s="41">
        <v>238.5</v>
      </c>
    </row>
    <row r="175" spans="1:9">
      <c r="A175" s="76" t="s">
        <v>1298</v>
      </c>
      <c r="B175" s="76" t="s">
        <v>1299</v>
      </c>
      <c r="C175" s="76" t="s">
        <v>576</v>
      </c>
      <c r="D175" s="76" t="s">
        <v>111</v>
      </c>
      <c r="E175" s="76" t="s">
        <v>17</v>
      </c>
      <c r="F175" s="76" t="s">
        <v>575</v>
      </c>
      <c r="G175" s="41" t="s">
        <v>1300</v>
      </c>
      <c r="H175" s="41" t="s">
        <v>1301</v>
      </c>
      <c r="I175" s="41">
        <v>238.5</v>
      </c>
    </row>
    <row r="176" spans="1:9">
      <c r="A176" s="76" t="s">
        <v>1302</v>
      </c>
      <c r="B176" s="76" t="s">
        <v>538</v>
      </c>
      <c r="C176" s="76" t="s">
        <v>538</v>
      </c>
      <c r="D176" s="76" t="s">
        <v>116</v>
      </c>
      <c r="E176" s="76" t="s">
        <v>26</v>
      </c>
      <c r="F176" s="76" t="s">
        <v>1303</v>
      </c>
      <c r="G176" s="41" t="s">
        <v>1304</v>
      </c>
      <c r="H176" s="41" t="s">
        <v>1305</v>
      </c>
      <c r="I176" s="41">
        <v>21.7</v>
      </c>
    </row>
    <row r="177" spans="1:9">
      <c r="A177" s="76" t="s">
        <v>1306</v>
      </c>
      <c r="B177" s="76" t="s">
        <v>438</v>
      </c>
      <c r="C177" s="76" t="s">
        <v>436</v>
      </c>
      <c r="D177" s="76" t="s">
        <v>113</v>
      </c>
      <c r="E177" s="76" t="s">
        <v>31</v>
      </c>
      <c r="F177" s="76" t="s">
        <v>1307</v>
      </c>
      <c r="G177" s="41" t="s">
        <v>1308</v>
      </c>
      <c r="H177" s="41" t="s">
        <v>1309</v>
      </c>
      <c r="I177" s="41">
        <v>234.4</v>
      </c>
    </row>
    <row r="178" spans="1:9">
      <c r="A178" s="76" t="s">
        <v>1310</v>
      </c>
      <c r="B178" s="76" t="s">
        <v>1311</v>
      </c>
      <c r="C178" s="76" t="s">
        <v>286</v>
      </c>
      <c r="D178" s="76" t="s">
        <v>105</v>
      </c>
      <c r="E178" s="76" t="s">
        <v>35</v>
      </c>
      <c r="F178" s="76" t="s">
        <v>1312</v>
      </c>
      <c r="G178" s="41" t="s">
        <v>1313</v>
      </c>
      <c r="H178" s="41" t="s">
        <v>1314</v>
      </c>
      <c r="I178" s="41">
        <v>25.1</v>
      </c>
    </row>
    <row r="179" spans="1:9">
      <c r="A179" s="76" t="s">
        <v>1310</v>
      </c>
      <c r="B179" s="76" t="s">
        <v>1311</v>
      </c>
      <c r="C179" s="76" t="s">
        <v>288</v>
      </c>
      <c r="D179" s="76" t="s">
        <v>105</v>
      </c>
      <c r="E179" s="76" t="s">
        <v>35</v>
      </c>
      <c r="F179" s="76" t="s">
        <v>1312</v>
      </c>
      <c r="G179" s="41" t="s">
        <v>1313</v>
      </c>
      <c r="H179" s="41" t="s">
        <v>1314</v>
      </c>
      <c r="I179" s="41">
        <v>25.1</v>
      </c>
    </row>
    <row r="180" spans="1:9">
      <c r="A180" s="76" t="s">
        <v>1315</v>
      </c>
      <c r="B180" s="76" t="s">
        <v>392</v>
      </c>
      <c r="C180" s="76" t="s">
        <v>392</v>
      </c>
      <c r="D180" s="76" t="s">
        <v>117</v>
      </c>
      <c r="E180" s="76" t="s">
        <v>51</v>
      </c>
      <c r="F180" s="76" t="s">
        <v>1316</v>
      </c>
      <c r="G180" s="41" t="s">
        <v>1317</v>
      </c>
      <c r="H180" s="41" t="s">
        <v>1318</v>
      </c>
      <c r="I180" s="41">
        <v>2.1</v>
      </c>
    </row>
    <row r="181" spans="1:9">
      <c r="A181" s="76" t="s">
        <v>1319</v>
      </c>
      <c r="B181" s="76" t="s">
        <v>452</v>
      </c>
      <c r="C181" s="76" t="s">
        <v>452</v>
      </c>
      <c r="D181" s="76" t="s">
        <v>113</v>
      </c>
      <c r="E181" s="76" t="s">
        <v>11</v>
      </c>
      <c r="F181" s="76" t="s">
        <v>453</v>
      </c>
      <c r="G181" s="41" t="s">
        <v>1320</v>
      </c>
      <c r="H181" s="41" t="s">
        <v>1321</v>
      </c>
      <c r="I181" s="41">
        <v>57.9</v>
      </c>
    </row>
    <row r="182" spans="1:9">
      <c r="A182" s="76" t="s">
        <v>1322</v>
      </c>
      <c r="B182" s="76" t="s">
        <v>372</v>
      </c>
      <c r="C182" s="76" t="s">
        <v>372</v>
      </c>
      <c r="D182" s="76" t="s">
        <v>117</v>
      </c>
      <c r="E182" s="76" t="s">
        <v>52</v>
      </c>
      <c r="F182" s="76" t="s">
        <v>1323</v>
      </c>
      <c r="G182" s="41" t="s">
        <v>1324</v>
      </c>
      <c r="H182" s="41" t="s">
        <v>1325</v>
      </c>
      <c r="I182" s="41">
        <v>1.3</v>
      </c>
    </row>
    <row r="183" spans="1:9">
      <c r="A183" s="76" t="s">
        <v>1326</v>
      </c>
      <c r="B183" s="76" t="s">
        <v>532</v>
      </c>
      <c r="C183" s="76" t="s">
        <v>532</v>
      </c>
      <c r="D183" s="76" t="s">
        <v>116</v>
      </c>
      <c r="E183" s="76" t="s">
        <v>10</v>
      </c>
      <c r="F183" s="76" t="s">
        <v>533</v>
      </c>
      <c r="G183" s="41" t="s">
        <v>1327</v>
      </c>
      <c r="H183" s="41" t="s">
        <v>1328</v>
      </c>
      <c r="I183" s="41">
        <v>183.4</v>
      </c>
    </row>
    <row r="184" spans="1:9">
      <c r="A184" s="76" t="s">
        <v>1329</v>
      </c>
      <c r="B184" s="76" t="s">
        <v>304</v>
      </c>
      <c r="C184" s="76" t="s">
        <v>304</v>
      </c>
      <c r="D184" s="76" t="s">
        <v>105</v>
      </c>
      <c r="E184" s="76" t="s">
        <v>32</v>
      </c>
      <c r="F184" s="76" t="s">
        <v>1330</v>
      </c>
      <c r="G184" s="41" t="s">
        <v>1331</v>
      </c>
      <c r="H184" s="41" t="s">
        <v>1332</v>
      </c>
      <c r="I184" s="41">
        <v>27.5</v>
      </c>
    </row>
    <row r="185" spans="1:9">
      <c r="A185" s="76" t="s">
        <v>1333</v>
      </c>
      <c r="B185" s="76" t="s">
        <v>215</v>
      </c>
      <c r="C185" s="76" t="s">
        <v>215</v>
      </c>
      <c r="D185" s="76" t="s">
        <v>119</v>
      </c>
      <c r="E185" s="76" t="s">
        <v>34</v>
      </c>
      <c r="F185" s="76" t="s">
        <v>1334</v>
      </c>
      <c r="G185" s="41" t="s">
        <v>1335</v>
      </c>
      <c r="H185" s="41" t="s">
        <v>1336</v>
      </c>
      <c r="I185" s="41">
        <v>55.2</v>
      </c>
    </row>
    <row r="186" spans="1:9">
      <c r="A186" s="76" t="s">
        <v>1337</v>
      </c>
      <c r="B186" s="76" t="s">
        <v>308</v>
      </c>
      <c r="C186" s="76" t="s">
        <v>308</v>
      </c>
      <c r="D186" s="76" t="s">
        <v>105</v>
      </c>
      <c r="E186" s="76" t="s">
        <v>49</v>
      </c>
      <c r="F186" s="76" t="s">
        <v>1338</v>
      </c>
      <c r="G186" s="41" t="s">
        <v>1339</v>
      </c>
      <c r="H186" s="41" t="s">
        <v>1340</v>
      </c>
      <c r="I186" s="41">
        <v>19.2</v>
      </c>
    </row>
    <row r="187" spans="1:9">
      <c r="A187" s="76" t="s">
        <v>1341</v>
      </c>
      <c r="B187" s="76" t="s">
        <v>351</v>
      </c>
      <c r="C187" s="76" t="s">
        <v>351</v>
      </c>
      <c r="D187" s="76" t="s">
        <v>107</v>
      </c>
      <c r="E187" s="76" t="s">
        <v>25</v>
      </c>
      <c r="F187" s="76" t="s">
        <v>1342</v>
      </c>
      <c r="G187" s="41" t="s">
        <v>1343</v>
      </c>
      <c r="H187" s="41" t="s">
        <v>1344</v>
      </c>
      <c r="I187" s="41">
        <v>21.6</v>
      </c>
    </row>
    <row r="188" spans="1:9">
      <c r="A188" s="76" t="s">
        <v>1345</v>
      </c>
      <c r="B188" s="76" t="s">
        <v>398</v>
      </c>
      <c r="C188" s="76" t="s">
        <v>398</v>
      </c>
      <c r="D188" s="76" t="s">
        <v>117</v>
      </c>
      <c r="E188" s="76" t="s">
        <v>51</v>
      </c>
      <c r="F188" s="76" t="s">
        <v>1346</v>
      </c>
      <c r="G188" s="41" t="s">
        <v>1347</v>
      </c>
      <c r="H188" s="41" t="s">
        <v>1348</v>
      </c>
      <c r="I188" s="41">
        <v>2.1</v>
      </c>
    </row>
    <row r="189" spans="1:9">
      <c r="A189" s="76" t="s">
        <v>1349</v>
      </c>
      <c r="B189" s="76" t="s">
        <v>396</v>
      </c>
      <c r="C189" s="76" t="s">
        <v>396</v>
      </c>
      <c r="D189" s="76" t="s">
        <v>117</v>
      </c>
      <c r="E189" s="76" t="s">
        <v>51</v>
      </c>
      <c r="F189" s="76" t="s">
        <v>1350</v>
      </c>
      <c r="G189" s="41" t="s">
        <v>1351</v>
      </c>
      <c r="H189" s="41" t="s">
        <v>1352</v>
      </c>
      <c r="I189" s="41">
        <v>1.6</v>
      </c>
    </row>
    <row r="190" spans="1:9">
      <c r="A190" s="76" t="s">
        <v>1353</v>
      </c>
      <c r="B190" s="76" t="s">
        <v>412</v>
      </c>
      <c r="C190" s="76" t="s">
        <v>412</v>
      </c>
      <c r="D190" s="76" t="s">
        <v>117</v>
      </c>
      <c r="E190" s="76" t="s">
        <v>36</v>
      </c>
      <c r="F190" s="76" t="s">
        <v>1354</v>
      </c>
      <c r="G190" s="41" t="s">
        <v>1355</v>
      </c>
      <c r="H190" s="41" t="s">
        <v>1356</v>
      </c>
      <c r="I190" s="41">
        <v>81.099999999999994</v>
      </c>
    </row>
    <row r="191" spans="1:9">
      <c r="A191" s="76" t="s">
        <v>1357</v>
      </c>
      <c r="B191" s="76" t="s">
        <v>223</v>
      </c>
      <c r="C191" s="76" t="s">
        <v>223</v>
      </c>
      <c r="D191" s="76" t="s">
        <v>119</v>
      </c>
      <c r="E191" s="76" t="s">
        <v>20</v>
      </c>
      <c r="F191" s="76" t="s">
        <v>224</v>
      </c>
      <c r="G191" s="41">
        <v>831</v>
      </c>
      <c r="H191" s="41" t="s">
        <v>1358</v>
      </c>
      <c r="I191" s="41">
        <v>208.4</v>
      </c>
    </row>
    <row r="192" spans="1:9">
      <c r="A192" s="76" t="s">
        <v>1359</v>
      </c>
      <c r="B192" s="76" t="s">
        <v>599</v>
      </c>
      <c r="C192" s="76" t="s">
        <v>599</v>
      </c>
      <c r="D192" s="76" t="s">
        <v>115</v>
      </c>
      <c r="E192" s="76" t="s">
        <v>8</v>
      </c>
      <c r="F192" s="76" t="s">
        <v>1360</v>
      </c>
      <c r="G192" s="41" t="s">
        <v>1361</v>
      </c>
      <c r="H192" s="41" t="s">
        <v>1362</v>
      </c>
      <c r="I192" s="41">
        <v>70.099999999999994</v>
      </c>
    </row>
    <row r="193" spans="1:9">
      <c r="A193" s="76" t="s">
        <v>1363</v>
      </c>
      <c r="B193" s="76" t="s">
        <v>268</v>
      </c>
      <c r="C193" s="76" t="s">
        <v>268</v>
      </c>
      <c r="D193" s="76" t="s">
        <v>105</v>
      </c>
      <c r="E193" s="76" t="s">
        <v>30</v>
      </c>
      <c r="F193" s="76" t="s">
        <v>1364</v>
      </c>
      <c r="G193" s="41" t="s">
        <v>1365</v>
      </c>
      <c r="H193" s="41" t="s">
        <v>1366</v>
      </c>
      <c r="I193" s="41">
        <v>10</v>
      </c>
    </row>
    <row r="194" spans="1:9">
      <c r="A194" s="76" t="s">
        <v>1367</v>
      </c>
      <c r="B194" s="76" t="s">
        <v>217</v>
      </c>
      <c r="C194" s="76" t="s">
        <v>217</v>
      </c>
      <c r="D194" s="76" t="s">
        <v>119</v>
      </c>
      <c r="E194" s="76" t="s">
        <v>34</v>
      </c>
      <c r="F194" s="76" t="s">
        <v>1368</v>
      </c>
      <c r="G194" s="41" t="s">
        <v>1369</v>
      </c>
      <c r="H194" s="41" t="s">
        <v>1370</v>
      </c>
      <c r="I194" s="41">
        <v>36.1</v>
      </c>
    </row>
    <row r="195" spans="1:9">
      <c r="A195" s="76" t="s">
        <v>1371</v>
      </c>
      <c r="B195" s="76" t="s">
        <v>235</v>
      </c>
      <c r="C195" s="76" t="s">
        <v>235</v>
      </c>
      <c r="D195" s="76" t="s">
        <v>119</v>
      </c>
      <c r="E195" s="76" t="s">
        <v>38</v>
      </c>
      <c r="F195" s="76" t="s">
        <v>236</v>
      </c>
      <c r="G195" s="41" t="s">
        <v>1372</v>
      </c>
      <c r="H195" s="41" t="s">
        <v>1373</v>
      </c>
      <c r="I195" s="41">
        <v>10.5</v>
      </c>
    </row>
    <row r="196" spans="1:9">
      <c r="A196" s="76" t="s">
        <v>1374</v>
      </c>
      <c r="B196" s="76" t="s">
        <v>607</v>
      </c>
      <c r="C196" s="76" t="s">
        <v>607</v>
      </c>
      <c r="D196" s="76" t="s">
        <v>115</v>
      </c>
      <c r="E196" s="76" t="s">
        <v>9</v>
      </c>
      <c r="F196" s="76" t="s">
        <v>1375</v>
      </c>
      <c r="G196" s="41" t="s">
        <v>1376</v>
      </c>
      <c r="H196" s="41" t="s">
        <v>1377</v>
      </c>
      <c r="I196" s="41">
        <v>17.8</v>
      </c>
    </row>
    <row r="197" spans="1:9">
      <c r="A197" s="76" t="s">
        <v>1378</v>
      </c>
      <c r="B197" s="76" t="s">
        <v>645</v>
      </c>
      <c r="C197" s="76" t="s">
        <v>645</v>
      </c>
      <c r="D197" s="76" t="s">
        <v>114</v>
      </c>
      <c r="E197" s="76" t="s">
        <v>23</v>
      </c>
      <c r="F197" s="76" t="s">
        <v>646</v>
      </c>
      <c r="G197" s="41" t="s">
        <v>1379</v>
      </c>
      <c r="H197" s="41" t="s">
        <v>1380</v>
      </c>
      <c r="I197" s="41">
        <v>8.6</v>
      </c>
    </row>
    <row r="198" spans="1:9">
      <c r="A198" s="76" t="s">
        <v>1381</v>
      </c>
      <c r="B198" s="76" t="s">
        <v>229</v>
      </c>
      <c r="C198" s="76" t="s">
        <v>229</v>
      </c>
      <c r="D198" s="76" t="s">
        <v>119</v>
      </c>
      <c r="E198" s="76" t="s">
        <v>38</v>
      </c>
      <c r="F198" s="76" t="s">
        <v>1382</v>
      </c>
      <c r="G198" s="41" t="s">
        <v>1383</v>
      </c>
      <c r="H198" s="41" t="s">
        <v>1384</v>
      </c>
      <c r="I198" s="41">
        <v>36</v>
      </c>
    </row>
    <row r="199" spans="1:9">
      <c r="A199" s="76" t="s">
        <v>1385</v>
      </c>
      <c r="B199" s="76" t="s">
        <v>394</v>
      </c>
      <c r="C199" s="76" t="s">
        <v>394</v>
      </c>
      <c r="D199" s="76" t="s">
        <v>117</v>
      </c>
      <c r="E199" s="76" t="s">
        <v>51</v>
      </c>
      <c r="F199" s="76" t="s">
        <v>1386</v>
      </c>
      <c r="G199" s="41" t="s">
        <v>1387</v>
      </c>
      <c r="H199" s="41" t="s">
        <v>1388</v>
      </c>
      <c r="I199" s="41">
        <v>2</v>
      </c>
    </row>
    <row r="200" spans="1:9">
      <c r="A200" s="76" t="s">
        <v>1389</v>
      </c>
      <c r="B200" s="76" t="s">
        <v>603</v>
      </c>
      <c r="C200" s="76" t="s">
        <v>603</v>
      </c>
      <c r="D200" s="76" t="s">
        <v>115</v>
      </c>
      <c r="E200" s="76" t="s">
        <v>8</v>
      </c>
      <c r="F200" s="76" t="s">
        <v>1390</v>
      </c>
      <c r="G200" s="41" t="s">
        <v>1391</v>
      </c>
      <c r="H200" s="41" t="s">
        <v>1392</v>
      </c>
      <c r="I200" s="41">
        <v>139.80000000000001</v>
      </c>
    </row>
    <row r="201" spans="1:9">
      <c r="A201" s="76" t="s">
        <v>1393</v>
      </c>
      <c r="B201" s="76" t="s">
        <v>631</v>
      </c>
      <c r="C201" s="76" t="s">
        <v>631</v>
      </c>
      <c r="D201" s="76" t="s">
        <v>114</v>
      </c>
      <c r="E201" s="76" t="s">
        <v>19</v>
      </c>
      <c r="F201" s="76" t="s">
        <v>1394</v>
      </c>
      <c r="G201" s="41" t="s">
        <v>1395</v>
      </c>
      <c r="H201" s="41" t="s">
        <v>1396</v>
      </c>
      <c r="I201" s="41">
        <v>188.2</v>
      </c>
    </row>
    <row r="202" spans="1:9">
      <c r="A202" s="76" t="s">
        <v>1393</v>
      </c>
      <c r="B202" s="76" t="s">
        <v>629</v>
      </c>
      <c r="C202" s="76" t="s">
        <v>631</v>
      </c>
      <c r="D202" s="76" t="s">
        <v>114</v>
      </c>
      <c r="E202" s="76" t="s">
        <v>19</v>
      </c>
      <c r="F202" s="76" t="s">
        <v>1394</v>
      </c>
      <c r="G202" s="41" t="s">
        <v>1395</v>
      </c>
      <c r="H202" s="41" t="s">
        <v>1396</v>
      </c>
      <c r="I202" s="41">
        <v>188.2</v>
      </c>
    </row>
    <row r="203" spans="1:9">
      <c r="A203" s="76" t="s">
        <v>1397</v>
      </c>
      <c r="B203" s="76" t="s">
        <v>343</v>
      </c>
      <c r="C203" s="76" t="s">
        <v>343</v>
      </c>
      <c r="D203" s="76" t="s">
        <v>107</v>
      </c>
      <c r="E203" s="76" t="s">
        <v>28</v>
      </c>
      <c r="F203" s="76" t="s">
        <v>1398</v>
      </c>
      <c r="G203" s="41" t="s">
        <v>1399</v>
      </c>
      <c r="H203" s="41" t="s">
        <v>1400</v>
      </c>
      <c r="I203" s="41">
        <v>3.1</v>
      </c>
    </row>
    <row r="204" spans="1:9">
      <c r="A204" s="76" t="s">
        <v>1401</v>
      </c>
      <c r="B204" s="76" t="s">
        <v>408</v>
      </c>
      <c r="C204" s="76" t="s">
        <v>408</v>
      </c>
      <c r="D204" s="76" t="s">
        <v>117</v>
      </c>
      <c r="E204" s="76" t="s">
        <v>45</v>
      </c>
      <c r="F204" s="76" t="s">
        <v>1402</v>
      </c>
      <c r="G204" s="41" t="s">
        <v>1403</v>
      </c>
      <c r="H204" s="41" t="s">
        <v>1404</v>
      </c>
      <c r="I204" s="41">
        <v>2.2000000000000002</v>
      </c>
    </row>
    <row r="205" spans="1:9">
      <c r="A205" s="76" t="s">
        <v>1405</v>
      </c>
      <c r="B205" s="76" t="s">
        <v>540</v>
      </c>
      <c r="C205" s="76" t="s">
        <v>540</v>
      </c>
      <c r="D205" s="76" t="s">
        <v>116</v>
      </c>
      <c r="E205" s="76" t="s">
        <v>26</v>
      </c>
      <c r="F205" s="76" t="s">
        <v>1406</v>
      </c>
      <c r="G205" s="41" t="s">
        <v>1407</v>
      </c>
      <c r="H205" s="41" t="s">
        <v>1408</v>
      </c>
      <c r="I205" s="41">
        <v>22</v>
      </c>
    </row>
    <row r="206" spans="1:9">
      <c r="A206" s="76" t="s">
        <v>1409</v>
      </c>
      <c r="B206" s="76" t="s">
        <v>345</v>
      </c>
      <c r="C206" s="76" t="s">
        <v>345</v>
      </c>
      <c r="D206" s="76" t="s">
        <v>107</v>
      </c>
      <c r="E206" s="76" t="s">
        <v>28</v>
      </c>
      <c r="F206" s="76" t="s">
        <v>1410</v>
      </c>
      <c r="G206" s="41" t="s">
        <v>1411</v>
      </c>
      <c r="H206" s="41" t="s">
        <v>1412</v>
      </c>
      <c r="I206" s="41">
        <v>7.3</v>
      </c>
    </row>
    <row r="207" spans="1:9">
      <c r="A207" s="76" t="s">
        <v>1413</v>
      </c>
      <c r="B207" s="76" t="s">
        <v>524</v>
      </c>
      <c r="C207" s="76" t="s">
        <v>524</v>
      </c>
      <c r="D207" s="76" t="s">
        <v>113</v>
      </c>
      <c r="E207" s="76" t="s">
        <v>46</v>
      </c>
      <c r="F207" s="76" t="s">
        <v>1414</v>
      </c>
      <c r="G207" s="41" t="s">
        <v>1415</v>
      </c>
      <c r="H207" s="41" t="s">
        <v>1416</v>
      </c>
      <c r="I207" s="41">
        <v>70.900000000000006</v>
      </c>
    </row>
    <row r="208" spans="1:9">
      <c r="A208" s="76" t="s">
        <v>1417</v>
      </c>
      <c r="B208" s="76" t="s">
        <v>384</v>
      </c>
      <c r="C208" s="76" t="s">
        <v>384</v>
      </c>
      <c r="D208" s="76" t="s">
        <v>117</v>
      </c>
      <c r="E208" s="76" t="s">
        <v>51</v>
      </c>
      <c r="F208" s="76" t="s">
        <v>1418</v>
      </c>
      <c r="G208" s="41" t="s">
        <v>1419</v>
      </c>
      <c r="H208" s="41" t="s">
        <v>1420</v>
      </c>
      <c r="I208" s="41">
        <v>1</v>
      </c>
    </row>
    <row r="209" spans="1:9">
      <c r="A209" s="76" t="s">
        <v>1421</v>
      </c>
      <c r="B209" s="76" t="s">
        <v>486</v>
      </c>
      <c r="C209" s="76" t="s">
        <v>486</v>
      </c>
      <c r="D209" s="76" t="s">
        <v>113</v>
      </c>
      <c r="E209" s="76" t="s">
        <v>39</v>
      </c>
      <c r="F209" s="76" t="s">
        <v>487</v>
      </c>
      <c r="G209" s="41" t="s">
        <v>1422</v>
      </c>
      <c r="H209" s="41" t="s">
        <v>1423</v>
      </c>
      <c r="I209" s="41">
        <v>63.3</v>
      </c>
    </row>
    <row r="210" spans="1:9">
      <c r="A210" s="76" t="s">
        <v>1424</v>
      </c>
      <c r="B210" s="76" t="s">
        <v>430</v>
      </c>
      <c r="C210" s="76" t="s">
        <v>430</v>
      </c>
      <c r="D210" s="76" t="s">
        <v>113</v>
      </c>
      <c r="E210" s="76" t="s">
        <v>31</v>
      </c>
      <c r="F210" s="76" t="s">
        <v>1425</v>
      </c>
      <c r="G210" s="41">
        <v>994</v>
      </c>
      <c r="H210" s="41" t="s">
        <v>1426</v>
      </c>
      <c r="I210" s="41">
        <v>145.5</v>
      </c>
    </row>
    <row r="211" spans="1:9">
      <c r="A211" s="76" t="s">
        <v>1427</v>
      </c>
      <c r="B211" s="76" t="s">
        <v>498</v>
      </c>
      <c r="C211" s="76" t="s">
        <v>498</v>
      </c>
      <c r="D211" s="76" t="s">
        <v>113</v>
      </c>
      <c r="E211" s="76" t="s">
        <v>21</v>
      </c>
      <c r="F211" s="76" t="s">
        <v>1428</v>
      </c>
      <c r="G211" s="41" t="s">
        <v>1429</v>
      </c>
      <c r="H211" s="41" t="s">
        <v>1430</v>
      </c>
      <c r="I211" s="41">
        <v>111.1</v>
      </c>
    </row>
    <row r="212" spans="1:9">
      <c r="A212" s="76" t="s">
        <v>1431</v>
      </c>
      <c r="B212" s="76" t="s">
        <v>488</v>
      </c>
      <c r="C212" s="76" t="s">
        <v>488</v>
      </c>
      <c r="D212" s="76" t="s">
        <v>113</v>
      </c>
      <c r="E212" s="76" t="s">
        <v>40</v>
      </c>
      <c r="F212" s="76" t="s">
        <v>1432</v>
      </c>
      <c r="G212" s="41" t="s">
        <v>1433</v>
      </c>
      <c r="H212" s="41" t="s">
        <v>1434</v>
      </c>
      <c r="I212" s="41">
        <v>34.6</v>
      </c>
    </row>
    <row r="213" spans="1:9">
      <c r="A213" s="76" t="s">
        <v>1435</v>
      </c>
      <c r="B213" s="76" t="s">
        <v>500</v>
      </c>
      <c r="C213" s="76" t="s">
        <v>500</v>
      </c>
      <c r="D213" s="76" t="s">
        <v>113</v>
      </c>
      <c r="E213" s="76" t="s">
        <v>21</v>
      </c>
      <c r="F213" s="76" t="s">
        <v>1436</v>
      </c>
      <c r="G213" s="41" t="s">
        <v>1437</v>
      </c>
      <c r="H213" s="41" t="s">
        <v>1438</v>
      </c>
      <c r="I213" s="41">
        <v>332.8</v>
      </c>
    </row>
    <row r="214" spans="1:9">
      <c r="A214" s="76" t="s">
        <v>1439</v>
      </c>
      <c r="B214" s="76" t="s">
        <v>504</v>
      </c>
      <c r="C214" s="76" t="s">
        <v>504</v>
      </c>
      <c r="D214" s="76" t="s">
        <v>113</v>
      </c>
      <c r="E214" s="76" t="s">
        <v>21</v>
      </c>
      <c r="F214" s="76" t="s">
        <v>1440</v>
      </c>
      <c r="G214" s="41" t="s">
        <v>1441</v>
      </c>
      <c r="H214" s="41" t="s">
        <v>1442</v>
      </c>
      <c r="I214" s="41">
        <v>100.8</v>
      </c>
    </row>
    <row r="215" spans="1:9">
      <c r="A215" s="76" t="s">
        <v>1443</v>
      </c>
      <c r="B215" s="76" t="s">
        <v>442</v>
      </c>
      <c r="C215" s="76" t="s">
        <v>442</v>
      </c>
      <c r="D215" s="76" t="s">
        <v>113</v>
      </c>
      <c r="E215" s="76" t="s">
        <v>11</v>
      </c>
      <c r="F215" s="76" t="s">
        <v>1444</v>
      </c>
      <c r="G215" s="41" t="s">
        <v>1445</v>
      </c>
      <c r="H215" s="41" t="s">
        <v>1446</v>
      </c>
      <c r="I215" s="41">
        <v>72.3</v>
      </c>
    </row>
    <row r="216" spans="1:9">
      <c r="A216" s="76" t="s">
        <v>1447</v>
      </c>
      <c r="B216" s="76" t="s">
        <v>440</v>
      </c>
      <c r="C216" s="76" t="s">
        <v>440</v>
      </c>
      <c r="D216" s="76" t="s">
        <v>113</v>
      </c>
      <c r="E216" s="76" t="s">
        <v>11</v>
      </c>
      <c r="F216" s="76" t="s">
        <v>1448</v>
      </c>
      <c r="G216" s="41" t="s">
        <v>1449</v>
      </c>
      <c r="H216" s="41" t="s">
        <v>1450</v>
      </c>
      <c r="I216" s="41">
        <v>59.8</v>
      </c>
    </row>
    <row r="217" spans="1:9">
      <c r="A217" s="76" t="s">
        <v>1451</v>
      </c>
      <c r="B217" s="76" t="s">
        <v>386</v>
      </c>
      <c r="C217" s="76" t="s">
        <v>386</v>
      </c>
      <c r="D217" s="76" t="s">
        <v>117</v>
      </c>
      <c r="E217" s="76" t="s">
        <v>51</v>
      </c>
      <c r="F217" s="76" t="s">
        <v>1452</v>
      </c>
      <c r="G217" s="41" t="s">
        <v>1453</v>
      </c>
      <c r="H217" s="41" t="s">
        <v>1454</v>
      </c>
      <c r="I217" s="41">
        <v>4.5</v>
      </c>
    </row>
    <row r="218" spans="1:9">
      <c r="A218" s="76" t="s">
        <v>1455</v>
      </c>
      <c r="B218" s="76" t="s">
        <v>434</v>
      </c>
      <c r="C218" s="76" t="s">
        <v>434</v>
      </c>
      <c r="D218" s="76" t="s">
        <v>113</v>
      </c>
      <c r="E218" s="76" t="s">
        <v>31</v>
      </c>
      <c r="F218" s="76" t="s">
        <v>1456</v>
      </c>
      <c r="G218" s="41" t="s">
        <v>1457</v>
      </c>
      <c r="H218" s="41" t="s">
        <v>1458</v>
      </c>
      <c r="I218" s="41">
        <v>99.7</v>
      </c>
    </row>
    <row r="219" spans="1:9">
      <c r="A219" s="76" t="s">
        <v>1459</v>
      </c>
      <c r="B219" s="76" t="s">
        <v>470</v>
      </c>
      <c r="C219" s="76" t="s">
        <v>470</v>
      </c>
      <c r="D219" s="76" t="s">
        <v>113</v>
      </c>
      <c r="E219" s="76" t="s">
        <v>48</v>
      </c>
      <c r="F219" s="76" t="s">
        <v>1460</v>
      </c>
      <c r="G219" s="41" t="s">
        <v>1461</v>
      </c>
      <c r="H219" s="41" t="s">
        <v>1462</v>
      </c>
      <c r="I219" s="41">
        <v>45.3</v>
      </c>
    </row>
    <row r="220" spans="1:9">
      <c r="A220" s="76" t="s">
        <v>1463</v>
      </c>
      <c r="B220" s="76" t="s">
        <v>526</v>
      </c>
      <c r="C220" s="76" t="s">
        <v>526</v>
      </c>
      <c r="D220" s="76" t="s">
        <v>113</v>
      </c>
      <c r="E220" s="76" t="s">
        <v>46</v>
      </c>
      <c r="F220" s="76" t="s">
        <v>527</v>
      </c>
      <c r="G220" s="41" t="s">
        <v>1464</v>
      </c>
      <c r="H220" s="41" t="s">
        <v>1465</v>
      </c>
      <c r="I220" s="41">
        <v>81</v>
      </c>
    </row>
    <row r="221" spans="1:9">
      <c r="A221" s="76" t="s">
        <v>1466</v>
      </c>
      <c r="B221" s="76" t="s">
        <v>326</v>
      </c>
      <c r="C221" s="76" t="s">
        <v>326</v>
      </c>
      <c r="D221" s="76" t="s">
        <v>105</v>
      </c>
      <c r="E221" s="76" t="s">
        <v>44</v>
      </c>
      <c r="F221" s="76" t="s">
        <v>1467</v>
      </c>
      <c r="G221" s="41" t="s">
        <v>1468</v>
      </c>
      <c r="H221" s="41" t="s">
        <v>1469</v>
      </c>
      <c r="I221" s="41">
        <v>77.400000000000006</v>
      </c>
    </row>
    <row r="222" spans="1:9">
      <c r="A222" s="76" t="s">
        <v>1470</v>
      </c>
      <c r="B222" s="76" t="s">
        <v>432</v>
      </c>
      <c r="C222" s="76" t="s">
        <v>432</v>
      </c>
      <c r="D222" s="76" t="s">
        <v>113</v>
      </c>
      <c r="E222" s="76" t="s">
        <v>31</v>
      </c>
      <c r="F222" s="76" t="s">
        <v>1471</v>
      </c>
      <c r="G222" s="41" t="s">
        <v>1472</v>
      </c>
      <c r="H222" s="41" t="s">
        <v>1473</v>
      </c>
      <c r="I222" s="41">
        <v>124.2</v>
      </c>
    </row>
    <row r="223" spans="1:9">
      <c r="A223" s="76" t="s">
        <v>1474</v>
      </c>
      <c r="B223" s="76" t="s">
        <v>480</v>
      </c>
      <c r="C223" s="76" t="s">
        <v>480</v>
      </c>
      <c r="D223" s="76" t="s">
        <v>113</v>
      </c>
      <c r="E223" s="76" t="s">
        <v>39</v>
      </c>
      <c r="F223" s="76" t="s">
        <v>1475</v>
      </c>
      <c r="G223" s="41" t="s">
        <v>1476</v>
      </c>
      <c r="H223" s="41" t="s">
        <v>1477</v>
      </c>
      <c r="I223" s="41">
        <v>45.4</v>
      </c>
    </row>
    <row r="224" spans="1:9">
      <c r="A224" s="76" t="s">
        <v>1478</v>
      </c>
      <c r="B224" s="76" t="s">
        <v>596</v>
      </c>
      <c r="C224" s="76" t="s">
        <v>596</v>
      </c>
      <c r="D224" s="76" t="s">
        <v>115</v>
      </c>
      <c r="E224" s="76" t="s">
        <v>8</v>
      </c>
      <c r="F224" s="76" t="s">
        <v>1479</v>
      </c>
      <c r="G224" s="41" t="s">
        <v>1480</v>
      </c>
      <c r="H224" s="41" t="s">
        <v>1481</v>
      </c>
      <c r="I224" s="41">
        <v>53.7</v>
      </c>
    </row>
    <row r="225" spans="1:9">
      <c r="A225" s="76" t="s">
        <v>1482</v>
      </c>
      <c r="B225" s="76" t="s">
        <v>1483</v>
      </c>
      <c r="C225" s="76" t="s">
        <v>310</v>
      </c>
      <c r="D225" s="76" t="s">
        <v>105</v>
      </c>
      <c r="E225" s="76" t="s">
        <v>49</v>
      </c>
      <c r="F225" s="76" t="s">
        <v>1484</v>
      </c>
      <c r="G225" s="41" t="s">
        <v>1485</v>
      </c>
      <c r="H225" s="41" t="s">
        <v>1486</v>
      </c>
      <c r="I225" s="41">
        <v>6.6</v>
      </c>
    </row>
    <row r="226" spans="1:9">
      <c r="A226" s="76" t="s">
        <v>1482</v>
      </c>
      <c r="B226" s="76" t="s">
        <v>1483</v>
      </c>
      <c r="C226" s="76" t="s">
        <v>312</v>
      </c>
      <c r="D226" s="76" t="s">
        <v>105</v>
      </c>
      <c r="E226" s="76" t="s">
        <v>49</v>
      </c>
      <c r="F226" s="76" t="s">
        <v>1484</v>
      </c>
      <c r="G226" s="41" t="s">
        <v>1485</v>
      </c>
      <c r="H226" s="41" t="s">
        <v>1486</v>
      </c>
      <c r="I226" s="41">
        <v>6.6</v>
      </c>
    </row>
    <row r="227" spans="1:9">
      <c r="A227" s="76" t="s">
        <v>1487</v>
      </c>
      <c r="B227" s="76" t="s">
        <v>219</v>
      </c>
      <c r="C227" s="76" t="s">
        <v>219</v>
      </c>
      <c r="D227" s="76" t="s">
        <v>119</v>
      </c>
      <c r="E227" s="76" t="s">
        <v>20</v>
      </c>
      <c r="F227" s="76" t="s">
        <v>1488</v>
      </c>
      <c r="G227" s="41" t="s">
        <v>1489</v>
      </c>
      <c r="H227" s="41" t="s">
        <v>1490</v>
      </c>
      <c r="I227" s="41">
        <v>12.1</v>
      </c>
    </row>
    <row r="228" spans="1:9">
      <c r="A228" s="76" t="s">
        <v>1491</v>
      </c>
      <c r="B228" s="76" t="s">
        <v>649</v>
      </c>
      <c r="C228" s="76" t="s">
        <v>649</v>
      </c>
      <c r="D228" s="76" t="s">
        <v>114</v>
      </c>
      <c r="E228" s="76" t="s">
        <v>23</v>
      </c>
    </row>
    <row r="229" spans="1:9">
      <c r="A229" s="76" t="s">
        <v>1492</v>
      </c>
      <c r="B229" s="76" t="s">
        <v>651</v>
      </c>
      <c r="C229" s="76" t="s">
        <v>651</v>
      </c>
      <c r="D229" s="76" t="s">
        <v>114</v>
      </c>
      <c r="E229" s="76" t="s">
        <v>23</v>
      </c>
    </row>
    <row r="230" spans="1:9">
      <c r="A230" s="76" t="s">
        <v>271</v>
      </c>
      <c r="B230" s="76" t="s">
        <v>270</v>
      </c>
      <c r="C230" s="76" t="s">
        <v>270</v>
      </c>
      <c r="D230" s="76" t="s">
        <v>105</v>
      </c>
      <c r="E230" s="76" t="s">
        <v>30</v>
      </c>
      <c r="F230" s="76" t="s">
        <v>790</v>
      </c>
    </row>
    <row r="231" spans="1:9">
      <c r="A231" s="76" t="s">
        <v>106</v>
      </c>
      <c r="B231" s="76" t="s">
        <v>371</v>
      </c>
      <c r="C231" s="76" t="s">
        <v>371</v>
      </c>
      <c r="D231" s="76" t="s">
        <v>107</v>
      </c>
      <c r="E231" s="76" t="s">
        <v>16</v>
      </c>
      <c r="F231" s="76" t="s">
        <v>1075</v>
      </c>
    </row>
    <row r="232" spans="1:9">
      <c r="A232" s="76" t="s">
        <v>429</v>
      </c>
      <c r="B232" s="76" t="s">
        <v>426</v>
      </c>
      <c r="C232" s="76" t="s">
        <v>428</v>
      </c>
      <c r="D232" s="76" t="s">
        <v>113</v>
      </c>
      <c r="E232" s="76" t="s">
        <v>6</v>
      </c>
      <c r="F232" s="76" t="s">
        <v>860</v>
      </c>
    </row>
    <row r="233" spans="1:9">
      <c r="A233" s="76" t="s">
        <v>439</v>
      </c>
      <c r="B233" s="76" t="s">
        <v>438</v>
      </c>
      <c r="C233" s="76" t="s">
        <v>438</v>
      </c>
      <c r="D233" s="76" t="s">
        <v>113</v>
      </c>
      <c r="E233" s="76" t="s">
        <v>31</v>
      </c>
      <c r="F233" s="76" t="s">
        <v>1307</v>
      </c>
    </row>
    <row r="234" spans="1:9">
      <c r="A234" s="76" t="s">
        <v>457</v>
      </c>
      <c r="B234" s="76" t="s">
        <v>689</v>
      </c>
      <c r="C234" s="76" t="s">
        <v>456</v>
      </c>
      <c r="D234" s="76" t="s">
        <v>113</v>
      </c>
      <c r="E234" s="76" t="s">
        <v>41</v>
      </c>
      <c r="F234" s="76" t="s">
        <v>690</v>
      </c>
    </row>
    <row r="235" spans="1:9">
      <c r="A235" s="76" t="s">
        <v>463</v>
      </c>
      <c r="B235" s="76" t="s">
        <v>923</v>
      </c>
      <c r="C235" s="76" t="s">
        <v>462</v>
      </c>
      <c r="D235" s="76" t="s">
        <v>113</v>
      </c>
      <c r="E235" s="76" t="s">
        <v>41</v>
      </c>
      <c r="F235" s="76" t="s">
        <v>924</v>
      </c>
    </row>
    <row r="236" spans="1:9">
      <c r="A236" s="76" t="s">
        <v>495</v>
      </c>
      <c r="B236" s="76" t="s">
        <v>712</v>
      </c>
      <c r="C236" s="76" t="s">
        <v>494</v>
      </c>
      <c r="D236" s="76" t="s">
        <v>113</v>
      </c>
      <c r="E236" s="76" t="s">
        <v>40</v>
      </c>
      <c r="F236" s="76" t="s">
        <v>495</v>
      </c>
    </row>
    <row r="237" spans="1:9">
      <c r="A237" s="76" t="s">
        <v>503</v>
      </c>
      <c r="B237" s="76" t="s">
        <v>504</v>
      </c>
      <c r="C237" s="76" t="s">
        <v>502</v>
      </c>
      <c r="D237" s="76" t="s">
        <v>113</v>
      </c>
      <c r="E237" s="76" t="s">
        <v>21</v>
      </c>
      <c r="F237" s="76" t="s">
        <v>21</v>
      </c>
    </row>
    <row r="238" spans="1:9">
      <c r="A238" s="76" t="s">
        <v>630</v>
      </c>
      <c r="B238" s="76" t="s">
        <v>629</v>
      </c>
      <c r="C238" s="76" t="s">
        <v>629</v>
      </c>
      <c r="D238" s="76" t="s">
        <v>114</v>
      </c>
      <c r="E238" s="76" t="s">
        <v>19</v>
      </c>
      <c r="F238" s="76" t="s">
        <v>1394</v>
      </c>
    </row>
    <row r="239" spans="1:9">
      <c r="A239" s="76" t="s">
        <v>642</v>
      </c>
      <c r="B239" s="76" t="s">
        <v>641</v>
      </c>
      <c r="C239" s="76" t="s">
        <v>641</v>
      </c>
      <c r="D239" s="76" t="s">
        <v>114</v>
      </c>
      <c r="E239" s="76" t="s">
        <v>15</v>
      </c>
      <c r="F239" s="76" t="s">
        <v>642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8ECFE-0378-48C0-8FE1-FE36E8E0769F}">
  <sheetPr codeName="Sheet50"/>
  <dimension ref="A1:DJ173"/>
  <sheetViews>
    <sheetView workbookViewId="0">
      <pane xSplit="1" ySplit="6" topLeftCell="BT143" activePane="bottomRight" state="frozen"/>
      <selection pane="topRight" activeCell="B1" sqref="B1"/>
      <selection pane="bottomLeft" activeCell="A7" sqref="A7"/>
      <selection pane="bottomRight" activeCell="BM152" sqref="BM152"/>
    </sheetView>
  </sheetViews>
  <sheetFormatPr baseColWidth="10" defaultColWidth="8.6640625" defaultRowHeight="12"/>
  <cols>
    <col min="1" max="1" width="8.83203125" style="128" bestFit="1" customWidth="1"/>
    <col min="2" max="11" width="10.6640625" style="129" customWidth="1"/>
    <col min="12" max="21" width="10.6640625" style="80" customWidth="1"/>
    <col min="22" max="31" width="10.6640625" style="130" customWidth="1"/>
    <col min="32" max="41" width="10.6640625" style="131" customWidth="1"/>
    <col min="42" max="51" width="10.6640625" style="57" customWidth="1"/>
    <col min="52" max="61" width="10.6640625" style="56" customWidth="1"/>
    <col min="62" max="71" width="10.6640625" style="155" customWidth="1"/>
    <col min="72" max="81" width="10.6640625" style="156" customWidth="1"/>
    <col min="82" max="91" width="10.6640625" style="175" customWidth="1"/>
    <col min="92" max="101" width="10.6640625" style="184" customWidth="1"/>
    <col min="102" max="111" width="10.6640625" style="189" customWidth="1"/>
    <col min="112" max="16384" width="8.6640625" style="55"/>
  </cols>
  <sheetData>
    <row r="1" spans="1:111" s="127" customFormat="1" ht="30">
      <c r="A1" s="120"/>
      <c r="B1" s="121" t="str">
        <f>B4 &amp; "_" &amp; B3</f>
        <v>Eastern Cape_Confirmed cases</v>
      </c>
      <c r="C1" s="121" t="str">
        <f t="shared" ref="C1:AX1" si="0">C4 &amp; "_" &amp; C3</f>
        <v>Free State_Confirmed cases</v>
      </c>
      <c r="D1" s="121" t="str">
        <f t="shared" si="0"/>
        <v>Gauteng_Confirmed cases</v>
      </c>
      <c r="E1" s="121" t="str">
        <f t="shared" si="0"/>
        <v>KwaZulu-Natal_Confirmed cases</v>
      </c>
      <c r="F1" s="121" t="str">
        <f t="shared" si="0"/>
        <v>Limpopo_Confirmed cases</v>
      </c>
      <c r="G1" s="121" t="str">
        <f t="shared" si="0"/>
        <v>Mpumalanga_Confirmed cases</v>
      </c>
      <c r="H1" s="121" t="str">
        <f t="shared" si="0"/>
        <v>North West_Confirmed cases</v>
      </c>
      <c r="I1" s="121" t="str">
        <f t="shared" si="0"/>
        <v>Northern Cape_Confirmed cases</v>
      </c>
      <c r="J1" s="121" t="str">
        <f t="shared" si="0"/>
        <v>Western Cape_Confirmed cases</v>
      </c>
      <c r="K1" s="121" t="str">
        <f>K4 &amp; "_" &amp; K3</f>
        <v>South Africa_Confirmed cases</v>
      </c>
      <c r="L1" s="122" t="str">
        <f t="shared" si="0"/>
        <v>Eastern Cape_Deaths</v>
      </c>
      <c r="M1" s="122" t="str">
        <f t="shared" si="0"/>
        <v>Free State_Deaths</v>
      </c>
      <c r="N1" s="122" t="str">
        <f t="shared" si="0"/>
        <v>Gauteng_Deaths</v>
      </c>
      <c r="O1" s="122" t="str">
        <f t="shared" si="0"/>
        <v>KwaZulu-Natal_Deaths</v>
      </c>
      <c r="P1" s="122" t="str">
        <f t="shared" si="0"/>
        <v>Limpopo_Deaths</v>
      </c>
      <c r="Q1" s="122" t="str">
        <f t="shared" si="0"/>
        <v>Mpumalanga_Deaths</v>
      </c>
      <c r="R1" s="122" t="str">
        <f t="shared" si="0"/>
        <v>North West_Deaths</v>
      </c>
      <c r="S1" s="122" t="str">
        <f t="shared" si="0"/>
        <v>Northern Cape_Deaths</v>
      </c>
      <c r="T1" s="122" t="str">
        <f t="shared" si="0"/>
        <v>Western Cape_Deaths</v>
      </c>
      <c r="U1" s="122" t="str">
        <f>U4 &amp; "_" &amp; U3</f>
        <v>South Africa_Deaths</v>
      </c>
      <c r="V1" s="123" t="str">
        <f t="shared" si="0"/>
        <v>Eastern Cape_Recoveries</v>
      </c>
      <c r="W1" s="123" t="str">
        <f t="shared" si="0"/>
        <v>Free State_Recoveries</v>
      </c>
      <c r="X1" s="123" t="str">
        <f t="shared" si="0"/>
        <v>Gauteng_Recoveries</v>
      </c>
      <c r="Y1" s="123" t="str">
        <f t="shared" si="0"/>
        <v>KwaZulu-Natal_Recoveries</v>
      </c>
      <c r="Z1" s="123" t="str">
        <f t="shared" si="0"/>
        <v>Limpopo_Recoveries</v>
      </c>
      <c r="AA1" s="123" t="str">
        <f t="shared" si="0"/>
        <v>Mpumalanga_Recoveries</v>
      </c>
      <c r="AB1" s="123" t="str">
        <f t="shared" si="0"/>
        <v>North West_Recoveries</v>
      </c>
      <c r="AC1" s="123" t="str">
        <f t="shared" si="0"/>
        <v>Northern Cape_Recoveries</v>
      </c>
      <c r="AD1" s="123" t="str">
        <f t="shared" si="0"/>
        <v>Western Cape_Recoveries</v>
      </c>
      <c r="AE1" s="123" t="str">
        <f>AE4 &amp; "_" &amp; AE3</f>
        <v>South Africa_Recoveries</v>
      </c>
      <c r="AF1" s="124" t="str">
        <f t="shared" si="0"/>
        <v>Eastern Cape_Active cases</v>
      </c>
      <c r="AG1" s="124" t="str">
        <f t="shared" si="0"/>
        <v>Free State_Active cases</v>
      </c>
      <c r="AH1" s="124" t="str">
        <f t="shared" si="0"/>
        <v>Gauteng_Active cases</v>
      </c>
      <c r="AI1" s="124" t="str">
        <f t="shared" si="0"/>
        <v>KwaZulu-Natal_Active cases</v>
      </c>
      <c r="AJ1" s="124" t="str">
        <f t="shared" si="0"/>
        <v>Limpopo_Active cases</v>
      </c>
      <c r="AK1" s="124" t="str">
        <f t="shared" si="0"/>
        <v>Mpumalanga_Active cases</v>
      </c>
      <c r="AL1" s="124" t="str">
        <f t="shared" si="0"/>
        <v>North West_Active cases</v>
      </c>
      <c r="AM1" s="124" t="str">
        <f t="shared" si="0"/>
        <v>Northern Cape_Active cases</v>
      </c>
      <c r="AN1" s="124" t="str">
        <f t="shared" si="0"/>
        <v>Western Cape_Active cases</v>
      </c>
      <c r="AO1" s="124" t="str">
        <f>AO4 &amp; "_" &amp; AO3</f>
        <v>South Africa_Active cases</v>
      </c>
      <c r="AP1" s="125" t="str">
        <f t="shared" si="0"/>
        <v>Eastern Cape_New cases</v>
      </c>
      <c r="AQ1" s="125" t="str">
        <f t="shared" si="0"/>
        <v>Free State_New cases</v>
      </c>
      <c r="AR1" s="125" t="str">
        <f t="shared" si="0"/>
        <v>Gauteng_New cases</v>
      </c>
      <c r="AS1" s="125" t="str">
        <f t="shared" si="0"/>
        <v>KwaZulu-Natal_New cases</v>
      </c>
      <c r="AT1" s="125" t="str">
        <f t="shared" si="0"/>
        <v>Limpopo_New cases</v>
      </c>
      <c r="AU1" s="125" t="str">
        <f t="shared" si="0"/>
        <v>Mpumalanga_New cases</v>
      </c>
      <c r="AV1" s="125" t="str">
        <f t="shared" si="0"/>
        <v>North West_New cases</v>
      </c>
      <c r="AW1" s="125" t="str">
        <f t="shared" si="0"/>
        <v>Northern Cape_New cases</v>
      </c>
      <c r="AX1" s="125" t="str">
        <f t="shared" si="0"/>
        <v>Western Cape_New cases</v>
      </c>
      <c r="AY1" s="125" t="str">
        <f>AY4 &amp; "_" &amp; AY3</f>
        <v>South Africa_New cases</v>
      </c>
      <c r="AZ1" s="126" t="str">
        <f>AZ4 &amp; "_" &amp; AZ3</f>
        <v>Eastern Cape_Undetected</v>
      </c>
      <c r="BA1" s="126" t="str">
        <f t="shared" ref="BA1:BH1" si="1">BA4 &amp; "_" &amp; BA3</f>
        <v>Free State_Undetected</v>
      </c>
      <c r="BB1" s="126" t="str">
        <f t="shared" si="1"/>
        <v>Gauteng_Undetected</v>
      </c>
      <c r="BC1" s="126" t="str">
        <f t="shared" si="1"/>
        <v>KwaZulu-Natal_Undetected</v>
      </c>
      <c r="BD1" s="126" t="str">
        <f t="shared" si="1"/>
        <v>Limpopo_Undetected</v>
      </c>
      <c r="BE1" s="126" t="str">
        <f t="shared" si="1"/>
        <v>Mpumalanga_Undetected</v>
      </c>
      <c r="BF1" s="126" t="str">
        <f t="shared" si="1"/>
        <v>North West_Undetected</v>
      </c>
      <c r="BG1" s="126" t="str">
        <f t="shared" si="1"/>
        <v>Northern Cape_Undetected</v>
      </c>
      <c r="BH1" s="126" t="str">
        <f t="shared" si="1"/>
        <v>Western Cape_Undetected</v>
      </c>
      <c r="BI1" s="126" t="str">
        <f>BI4 &amp; "_" &amp; BI3</f>
        <v>South Africa_Undetected</v>
      </c>
      <c r="BJ1" s="153" t="str">
        <f>BJ4 &amp; "_" &amp; BJ3</f>
        <v>Eastern Cape_Undetected active</v>
      </c>
      <c r="BK1" s="153" t="str">
        <f t="shared" ref="BK1:BR1" si="2">BK4 &amp; "_" &amp; BK3</f>
        <v>Free State_Undetected active</v>
      </c>
      <c r="BL1" s="153" t="str">
        <f t="shared" si="2"/>
        <v>Gauteng_Undetected active</v>
      </c>
      <c r="BM1" s="153" t="str">
        <f t="shared" si="2"/>
        <v>KwaZulu-Natal_Undetected active</v>
      </c>
      <c r="BN1" s="153" t="str">
        <f t="shared" si="2"/>
        <v>Limpopo_Undetected active</v>
      </c>
      <c r="BO1" s="153" t="str">
        <f t="shared" si="2"/>
        <v>Mpumalanga_Undetected active</v>
      </c>
      <c r="BP1" s="153" t="str">
        <f t="shared" si="2"/>
        <v>North West_Undetected active</v>
      </c>
      <c r="BQ1" s="153" t="str">
        <f t="shared" si="2"/>
        <v>Northern Cape_Undetected active</v>
      </c>
      <c r="BR1" s="153" t="str">
        <f t="shared" si="2"/>
        <v>Western Cape_Undetected active</v>
      </c>
      <c r="BS1" s="153" t="str">
        <f>BS4 &amp; "_" &amp; BS3</f>
        <v>South Africa_Undetected active</v>
      </c>
      <c r="BT1" s="154" t="str">
        <f>BT4 &amp; "_" &amp; BT3</f>
        <v>Eastern Cape_CFR</v>
      </c>
      <c r="BU1" s="154" t="str">
        <f t="shared" ref="BU1:CB1" si="3">BU4 &amp; "_" &amp; BU3</f>
        <v>Free State_CFR</v>
      </c>
      <c r="BV1" s="154" t="str">
        <f t="shared" si="3"/>
        <v>Gauteng_CFR</v>
      </c>
      <c r="BW1" s="154" t="str">
        <f t="shared" si="3"/>
        <v>KwaZulu-Natal_CFR</v>
      </c>
      <c r="BX1" s="154" t="str">
        <f t="shared" si="3"/>
        <v>Limpopo_CFR</v>
      </c>
      <c r="BY1" s="154" t="str">
        <f t="shared" si="3"/>
        <v>Mpumalanga_CFR</v>
      </c>
      <c r="BZ1" s="154" t="str">
        <f t="shared" si="3"/>
        <v>North West_CFR</v>
      </c>
      <c r="CA1" s="154" t="str">
        <f t="shared" si="3"/>
        <v>Northern Cape_CFR</v>
      </c>
      <c r="CB1" s="154" t="str">
        <f t="shared" si="3"/>
        <v>Western Cape_CFR</v>
      </c>
      <c r="CC1" s="154" t="str">
        <f>CC4 &amp; "_" &amp; CC3</f>
        <v>South Africa_CFR</v>
      </c>
      <c r="CD1" s="174" t="str">
        <f>CD4 &amp; "_" &amp; CD3</f>
        <v>Eastern Cape_Running14daysNew</v>
      </c>
      <c r="CE1" s="174" t="str">
        <f t="shared" ref="CE1:CL1" si="4">CE4 &amp; "_" &amp; CE3</f>
        <v>Free State_Running14daysNew</v>
      </c>
      <c r="CF1" s="174" t="str">
        <f t="shared" si="4"/>
        <v>Gauteng_Running14daysNew</v>
      </c>
      <c r="CG1" s="174" t="str">
        <f t="shared" si="4"/>
        <v>KwaZulu-Natal_Running14daysNew</v>
      </c>
      <c r="CH1" s="174" t="str">
        <f t="shared" si="4"/>
        <v>Limpopo_Running14daysNew</v>
      </c>
      <c r="CI1" s="174" t="str">
        <f t="shared" si="4"/>
        <v>Mpumalanga_Running14daysNew</v>
      </c>
      <c r="CJ1" s="174" t="str">
        <f t="shared" si="4"/>
        <v>North West_Running14daysNew</v>
      </c>
      <c r="CK1" s="174" t="str">
        <f t="shared" si="4"/>
        <v>Northern Cape_Running14daysNew</v>
      </c>
      <c r="CL1" s="174" t="str">
        <f t="shared" si="4"/>
        <v>Western Cape_Running14daysNew</v>
      </c>
      <c r="CM1" s="174" t="str">
        <f>CM4 &amp; "_" &amp; CM3</f>
        <v>South Africa_Running14daysNew</v>
      </c>
      <c r="CN1" s="182" t="str">
        <f>CN4 &amp; "_" &amp; CN3</f>
        <v>Eastern Cape_Perc_infected_cumulative</v>
      </c>
      <c r="CO1" s="182" t="str">
        <f t="shared" ref="CO1:CV1" si="5">CO4 &amp; "_" &amp; CO3</f>
        <v>Free State_Perc_infected_cumulative</v>
      </c>
      <c r="CP1" s="182" t="str">
        <f t="shared" si="5"/>
        <v>Gauteng_Perc_infected_cumulative</v>
      </c>
      <c r="CQ1" s="182" t="str">
        <f t="shared" si="5"/>
        <v>KwaZulu-Natal_Perc_infected_cumulative</v>
      </c>
      <c r="CR1" s="182" t="str">
        <f t="shared" si="5"/>
        <v>Limpopo_Perc_infected_cumulative</v>
      </c>
      <c r="CS1" s="182" t="str">
        <f t="shared" si="5"/>
        <v>Mpumalanga_Perc_infected_cumulative</v>
      </c>
      <c r="CT1" s="182" t="str">
        <f t="shared" si="5"/>
        <v>North West_Perc_infected_cumulative</v>
      </c>
      <c r="CU1" s="182" t="str">
        <f t="shared" si="5"/>
        <v>Northern Cape_Perc_infected_cumulative</v>
      </c>
      <c r="CV1" s="182" t="str">
        <f t="shared" si="5"/>
        <v>Western Cape_Perc_infected_cumulative</v>
      </c>
      <c r="CW1" s="182" t="str">
        <f>CW4 &amp; "_" &amp; CW3</f>
        <v>South Africa_Perc_infected_cumulative</v>
      </c>
      <c r="CX1" s="188" t="str">
        <f>CX4 &amp; "_" &amp; CX3</f>
        <v>Eastern Cape_Perc_infected_active</v>
      </c>
      <c r="CY1" s="188" t="str">
        <f t="shared" ref="CY1:DF1" si="6">CY4 &amp; "_" &amp; CY3</f>
        <v>Free State_Perc_infected_active</v>
      </c>
      <c r="CZ1" s="188" t="str">
        <f t="shared" si="6"/>
        <v>Gauteng_Perc_infected_active</v>
      </c>
      <c r="DA1" s="188" t="str">
        <f t="shared" si="6"/>
        <v>KwaZulu-Natal_Perc_infected_active</v>
      </c>
      <c r="DB1" s="188" t="str">
        <f t="shared" si="6"/>
        <v>Limpopo_Perc_infected_active</v>
      </c>
      <c r="DC1" s="188" t="str">
        <f t="shared" si="6"/>
        <v>Mpumalanga_Perc_infected_active</v>
      </c>
      <c r="DD1" s="188" t="str">
        <f t="shared" si="6"/>
        <v>North West_Perc_infected_active</v>
      </c>
      <c r="DE1" s="188" t="str">
        <f t="shared" si="6"/>
        <v>Northern Cape_Perc_infected_active</v>
      </c>
      <c r="DF1" s="188" t="str">
        <f t="shared" si="6"/>
        <v>Western Cape_Perc_infected_active</v>
      </c>
      <c r="DG1" s="188" t="str">
        <f>DG4 &amp; "_" &amp; DG3</f>
        <v>South Africa_Perc_infected_active</v>
      </c>
    </row>
    <row r="2" spans="1:111">
      <c r="B2" s="129" t="s">
        <v>77</v>
      </c>
      <c r="C2" s="129" t="s">
        <v>77</v>
      </c>
      <c r="D2" s="129" t="s">
        <v>77</v>
      </c>
      <c r="E2" s="129" t="s">
        <v>77</v>
      </c>
      <c r="F2" s="129" t="s">
        <v>77</v>
      </c>
      <c r="G2" s="129" t="s">
        <v>77</v>
      </c>
      <c r="H2" s="129" t="s">
        <v>77</v>
      </c>
      <c r="I2" s="129" t="s">
        <v>77</v>
      </c>
      <c r="J2" s="129" t="s">
        <v>77</v>
      </c>
      <c r="K2" s="129" t="s">
        <v>2456</v>
      </c>
      <c r="L2" s="80" t="s">
        <v>77</v>
      </c>
      <c r="M2" s="80" t="s">
        <v>77</v>
      </c>
      <c r="N2" s="80" t="s">
        <v>77</v>
      </c>
      <c r="O2" s="80" t="s">
        <v>77</v>
      </c>
      <c r="P2" s="80" t="s">
        <v>77</v>
      </c>
      <c r="Q2" s="80" t="s">
        <v>77</v>
      </c>
      <c r="R2" s="80" t="s">
        <v>77</v>
      </c>
      <c r="S2" s="80" t="s">
        <v>77</v>
      </c>
      <c r="T2" s="80" t="s">
        <v>77</v>
      </c>
      <c r="U2" s="80" t="s">
        <v>2456</v>
      </c>
      <c r="V2" s="130" t="s">
        <v>77</v>
      </c>
      <c r="W2" s="130" t="s">
        <v>77</v>
      </c>
      <c r="X2" s="130" t="s">
        <v>77</v>
      </c>
      <c r="Y2" s="130" t="s">
        <v>77</v>
      </c>
      <c r="Z2" s="130" t="s">
        <v>77</v>
      </c>
      <c r="AA2" s="130" t="s">
        <v>77</v>
      </c>
      <c r="AB2" s="130" t="s">
        <v>77</v>
      </c>
      <c r="AC2" s="130" t="s">
        <v>77</v>
      </c>
      <c r="AD2" s="130" t="s">
        <v>77</v>
      </c>
      <c r="AE2" s="130" t="s">
        <v>2456</v>
      </c>
      <c r="AF2" s="131" t="s">
        <v>77</v>
      </c>
      <c r="AG2" s="131" t="s">
        <v>77</v>
      </c>
      <c r="AH2" s="131" t="s">
        <v>77</v>
      </c>
      <c r="AI2" s="131" t="s">
        <v>77</v>
      </c>
      <c r="AJ2" s="131" t="s">
        <v>77</v>
      </c>
      <c r="AK2" s="131" t="s">
        <v>77</v>
      </c>
      <c r="AL2" s="131" t="s">
        <v>77</v>
      </c>
      <c r="AM2" s="131" t="s">
        <v>77</v>
      </c>
      <c r="AN2" s="131" t="s">
        <v>77</v>
      </c>
      <c r="AO2" s="131" t="s">
        <v>2456</v>
      </c>
      <c r="AP2" s="57" t="s">
        <v>77</v>
      </c>
      <c r="AQ2" s="57" t="s">
        <v>77</v>
      </c>
      <c r="AR2" s="57" t="s">
        <v>77</v>
      </c>
      <c r="AS2" s="57" t="s">
        <v>77</v>
      </c>
      <c r="AT2" s="57" t="s">
        <v>77</v>
      </c>
      <c r="AU2" s="57" t="s">
        <v>77</v>
      </c>
      <c r="AV2" s="57" t="s">
        <v>77</v>
      </c>
      <c r="AW2" s="57" t="s">
        <v>77</v>
      </c>
      <c r="AX2" s="57" t="s">
        <v>77</v>
      </c>
      <c r="AY2" s="57" t="s">
        <v>2456</v>
      </c>
      <c r="AZ2" s="56" t="s">
        <v>77</v>
      </c>
      <c r="BA2" s="56" t="s">
        <v>77</v>
      </c>
      <c r="BB2" s="56" t="s">
        <v>77</v>
      </c>
      <c r="BC2" s="56" t="s">
        <v>77</v>
      </c>
      <c r="BD2" s="56" t="s">
        <v>77</v>
      </c>
      <c r="BE2" s="56" t="s">
        <v>77</v>
      </c>
      <c r="BF2" s="56" t="s">
        <v>77</v>
      </c>
      <c r="BG2" s="56" t="s">
        <v>77</v>
      </c>
      <c r="BH2" s="56" t="s">
        <v>77</v>
      </c>
      <c r="BI2" s="56" t="s">
        <v>2456</v>
      </c>
      <c r="BJ2" s="155" t="s">
        <v>77</v>
      </c>
      <c r="BK2" s="155" t="s">
        <v>77</v>
      </c>
      <c r="BL2" s="155" t="s">
        <v>77</v>
      </c>
      <c r="BM2" s="155" t="s">
        <v>77</v>
      </c>
      <c r="BN2" s="155" t="s">
        <v>77</v>
      </c>
      <c r="BO2" s="155" t="s">
        <v>77</v>
      </c>
      <c r="BP2" s="155" t="s">
        <v>77</v>
      </c>
      <c r="BQ2" s="155" t="s">
        <v>77</v>
      </c>
      <c r="BR2" s="155" t="s">
        <v>77</v>
      </c>
      <c r="BS2" s="155" t="s">
        <v>2456</v>
      </c>
      <c r="BT2" s="156" t="s">
        <v>77</v>
      </c>
      <c r="BU2" s="156" t="s">
        <v>77</v>
      </c>
      <c r="BV2" s="156" t="s">
        <v>77</v>
      </c>
      <c r="BW2" s="156" t="s">
        <v>77</v>
      </c>
      <c r="BX2" s="156" t="s">
        <v>77</v>
      </c>
      <c r="BY2" s="156" t="s">
        <v>77</v>
      </c>
      <c r="BZ2" s="156" t="s">
        <v>77</v>
      </c>
      <c r="CA2" s="156" t="s">
        <v>77</v>
      </c>
      <c r="CB2" s="156" t="s">
        <v>77</v>
      </c>
      <c r="CC2" s="156" t="s">
        <v>2456</v>
      </c>
      <c r="CD2" s="175" t="s">
        <v>77</v>
      </c>
      <c r="CE2" s="175" t="s">
        <v>77</v>
      </c>
      <c r="CF2" s="175" t="s">
        <v>77</v>
      </c>
      <c r="CG2" s="175" t="s">
        <v>77</v>
      </c>
      <c r="CH2" s="175" t="s">
        <v>77</v>
      </c>
      <c r="CI2" s="175" t="s">
        <v>77</v>
      </c>
      <c r="CJ2" s="175" t="s">
        <v>77</v>
      </c>
      <c r="CK2" s="175" t="s">
        <v>77</v>
      </c>
      <c r="CL2" s="175" t="s">
        <v>77</v>
      </c>
      <c r="CM2" s="175" t="s">
        <v>2456</v>
      </c>
      <c r="CN2" s="184" t="s">
        <v>77</v>
      </c>
      <c r="CO2" s="184" t="s">
        <v>77</v>
      </c>
      <c r="CP2" s="184" t="s">
        <v>77</v>
      </c>
      <c r="CQ2" s="184" t="s">
        <v>77</v>
      </c>
      <c r="CR2" s="184" t="s">
        <v>77</v>
      </c>
      <c r="CS2" s="184" t="s">
        <v>77</v>
      </c>
      <c r="CT2" s="184" t="s">
        <v>77</v>
      </c>
      <c r="CU2" s="184" t="s">
        <v>77</v>
      </c>
      <c r="CV2" s="184" t="s">
        <v>77</v>
      </c>
      <c r="CW2" s="184" t="s">
        <v>2456</v>
      </c>
      <c r="CX2" s="189" t="s">
        <v>77</v>
      </c>
      <c r="CY2" s="189" t="s">
        <v>77</v>
      </c>
      <c r="CZ2" s="189" t="s">
        <v>77</v>
      </c>
      <c r="DA2" s="189" t="s">
        <v>77</v>
      </c>
      <c r="DB2" s="189" t="s">
        <v>77</v>
      </c>
      <c r="DC2" s="189" t="s">
        <v>77</v>
      </c>
      <c r="DD2" s="189" t="s">
        <v>77</v>
      </c>
      <c r="DE2" s="189" t="s">
        <v>77</v>
      </c>
      <c r="DF2" s="189" t="s">
        <v>77</v>
      </c>
      <c r="DG2" s="189" t="s">
        <v>2456</v>
      </c>
    </row>
    <row r="3" spans="1:111">
      <c r="B3" s="129" t="s">
        <v>2450</v>
      </c>
      <c r="C3" s="129" t="s">
        <v>2450</v>
      </c>
      <c r="D3" s="129" t="s">
        <v>2450</v>
      </c>
      <c r="E3" s="129" t="s">
        <v>2450</v>
      </c>
      <c r="F3" s="129" t="s">
        <v>2450</v>
      </c>
      <c r="G3" s="129" t="s">
        <v>2450</v>
      </c>
      <c r="H3" s="129" t="s">
        <v>2450</v>
      </c>
      <c r="I3" s="129" t="s">
        <v>2450</v>
      </c>
      <c r="J3" s="129" t="s">
        <v>2450</v>
      </c>
      <c r="K3" s="129" t="str">
        <f>J3</f>
        <v>Confirmed cases</v>
      </c>
      <c r="L3" s="80" t="s">
        <v>102</v>
      </c>
      <c r="M3" s="80" t="s">
        <v>102</v>
      </c>
      <c r="N3" s="80" t="s">
        <v>102</v>
      </c>
      <c r="O3" s="80" t="s">
        <v>102</v>
      </c>
      <c r="P3" s="80" t="s">
        <v>102</v>
      </c>
      <c r="Q3" s="80" t="s">
        <v>102</v>
      </c>
      <c r="R3" s="80" t="s">
        <v>102</v>
      </c>
      <c r="S3" s="80" t="s">
        <v>102</v>
      </c>
      <c r="T3" s="80" t="s">
        <v>102</v>
      </c>
      <c r="U3" s="80" t="s">
        <v>102</v>
      </c>
      <c r="V3" s="130" t="s">
        <v>101</v>
      </c>
      <c r="W3" s="130" t="s">
        <v>101</v>
      </c>
      <c r="X3" s="130" t="s">
        <v>101</v>
      </c>
      <c r="Y3" s="130" t="s">
        <v>101</v>
      </c>
      <c r="Z3" s="130" t="s">
        <v>101</v>
      </c>
      <c r="AA3" s="130" t="s">
        <v>101</v>
      </c>
      <c r="AB3" s="130" t="s">
        <v>101</v>
      </c>
      <c r="AC3" s="130" t="s">
        <v>101</v>
      </c>
      <c r="AD3" s="130" t="s">
        <v>101</v>
      </c>
      <c r="AE3" s="130" t="s">
        <v>101</v>
      </c>
      <c r="AF3" s="131" t="s">
        <v>1506</v>
      </c>
      <c r="AG3" s="131" t="s">
        <v>1506</v>
      </c>
      <c r="AH3" s="131" t="s">
        <v>1506</v>
      </c>
      <c r="AI3" s="131" t="s">
        <v>1506</v>
      </c>
      <c r="AJ3" s="131" t="s">
        <v>1506</v>
      </c>
      <c r="AK3" s="131" t="s">
        <v>1506</v>
      </c>
      <c r="AL3" s="131" t="s">
        <v>1506</v>
      </c>
      <c r="AM3" s="131" t="s">
        <v>1506</v>
      </c>
      <c r="AN3" s="131" t="s">
        <v>1506</v>
      </c>
      <c r="AO3" s="131" t="s">
        <v>1506</v>
      </c>
      <c r="AP3" s="57" t="s">
        <v>2451</v>
      </c>
      <c r="AQ3" s="57" t="s">
        <v>2451</v>
      </c>
      <c r="AR3" s="57" t="s">
        <v>2451</v>
      </c>
      <c r="AS3" s="57" t="s">
        <v>2451</v>
      </c>
      <c r="AT3" s="57" t="s">
        <v>2451</v>
      </c>
      <c r="AU3" s="57" t="s">
        <v>2451</v>
      </c>
      <c r="AV3" s="57" t="s">
        <v>2451</v>
      </c>
      <c r="AW3" s="57" t="s">
        <v>2451</v>
      </c>
      <c r="AX3" s="57" t="s">
        <v>2451</v>
      </c>
      <c r="AY3" s="57" t="s">
        <v>2451</v>
      </c>
      <c r="AZ3" s="56" t="s">
        <v>1504</v>
      </c>
      <c r="BA3" s="56" t="s">
        <v>1504</v>
      </c>
      <c r="BB3" s="56" t="s">
        <v>1504</v>
      </c>
      <c r="BC3" s="56" t="s">
        <v>1504</v>
      </c>
      <c r="BD3" s="56" t="s">
        <v>1504</v>
      </c>
      <c r="BE3" s="56" t="s">
        <v>1504</v>
      </c>
      <c r="BF3" s="56" t="s">
        <v>1504</v>
      </c>
      <c r="BG3" s="56" t="s">
        <v>1504</v>
      </c>
      <c r="BH3" s="56" t="s">
        <v>1504</v>
      </c>
      <c r="BI3" s="56" t="s">
        <v>1504</v>
      </c>
      <c r="BJ3" s="155" t="s">
        <v>2453</v>
      </c>
      <c r="BK3" s="155" t="s">
        <v>2453</v>
      </c>
      <c r="BL3" s="155" t="s">
        <v>2453</v>
      </c>
      <c r="BM3" s="155" t="s">
        <v>2453</v>
      </c>
      <c r="BN3" s="155" t="s">
        <v>2453</v>
      </c>
      <c r="BO3" s="155" t="s">
        <v>2453</v>
      </c>
      <c r="BP3" s="155" t="s">
        <v>2453</v>
      </c>
      <c r="BQ3" s="155" t="s">
        <v>2453</v>
      </c>
      <c r="BR3" s="155" t="s">
        <v>2453</v>
      </c>
      <c r="BS3" s="155" t="s">
        <v>2453</v>
      </c>
      <c r="BT3" s="156" t="s">
        <v>2454</v>
      </c>
      <c r="BU3" s="156" t="s">
        <v>2454</v>
      </c>
      <c r="BV3" s="156" t="s">
        <v>2454</v>
      </c>
      <c r="BW3" s="156" t="s">
        <v>2454</v>
      </c>
      <c r="BX3" s="156" t="s">
        <v>2454</v>
      </c>
      <c r="BY3" s="156" t="s">
        <v>2454</v>
      </c>
      <c r="BZ3" s="156" t="s">
        <v>2454</v>
      </c>
      <c r="CA3" s="156" t="s">
        <v>2454</v>
      </c>
      <c r="CB3" s="156" t="s">
        <v>2454</v>
      </c>
      <c r="CC3" s="156" t="s">
        <v>2454</v>
      </c>
      <c r="CD3" s="175" t="s">
        <v>2455</v>
      </c>
      <c r="CE3" s="175" t="s">
        <v>2455</v>
      </c>
      <c r="CF3" s="175" t="s">
        <v>2455</v>
      </c>
      <c r="CG3" s="175" t="s">
        <v>2455</v>
      </c>
      <c r="CH3" s="175" t="s">
        <v>2455</v>
      </c>
      <c r="CI3" s="175" t="s">
        <v>2455</v>
      </c>
      <c r="CJ3" s="175" t="s">
        <v>2455</v>
      </c>
      <c r="CK3" s="175" t="s">
        <v>2455</v>
      </c>
      <c r="CL3" s="175" t="s">
        <v>2455</v>
      </c>
      <c r="CM3" s="175" t="s">
        <v>2455</v>
      </c>
      <c r="CN3" s="184" t="s">
        <v>2458</v>
      </c>
      <c r="CO3" s="184" t="s">
        <v>2458</v>
      </c>
      <c r="CP3" s="184" t="s">
        <v>2458</v>
      </c>
      <c r="CQ3" s="184" t="s">
        <v>2458</v>
      </c>
      <c r="CR3" s="184" t="s">
        <v>2458</v>
      </c>
      <c r="CS3" s="184" t="s">
        <v>2458</v>
      </c>
      <c r="CT3" s="184" t="s">
        <v>2458</v>
      </c>
      <c r="CU3" s="184" t="s">
        <v>2458</v>
      </c>
      <c r="CV3" s="184" t="s">
        <v>2458</v>
      </c>
      <c r="CW3" s="184" t="s">
        <v>2458</v>
      </c>
      <c r="CX3" s="189" t="s">
        <v>2459</v>
      </c>
      <c r="CY3" s="189" t="s">
        <v>2459</v>
      </c>
      <c r="CZ3" s="189" t="s">
        <v>2459</v>
      </c>
      <c r="DA3" s="189" t="s">
        <v>2459</v>
      </c>
      <c r="DB3" s="189" t="s">
        <v>2459</v>
      </c>
      <c r="DC3" s="189" t="s">
        <v>2459</v>
      </c>
      <c r="DD3" s="189" t="s">
        <v>2459</v>
      </c>
      <c r="DE3" s="189" t="s">
        <v>2459</v>
      </c>
      <c r="DF3" s="189" t="s">
        <v>2459</v>
      </c>
      <c r="DG3" s="189" t="s">
        <v>2459</v>
      </c>
    </row>
    <row r="4" spans="1:111" s="139" customFormat="1">
      <c r="A4" s="132" t="s">
        <v>1499</v>
      </c>
      <c r="B4" s="133" t="s">
        <v>105</v>
      </c>
      <c r="C4" s="133" t="s">
        <v>107</v>
      </c>
      <c r="D4" s="133" t="s">
        <v>111</v>
      </c>
      <c r="E4" s="133" t="s">
        <v>113</v>
      </c>
      <c r="F4" s="133" t="s">
        <v>114</v>
      </c>
      <c r="G4" s="133" t="s">
        <v>115</v>
      </c>
      <c r="H4" s="133" t="s">
        <v>116</v>
      </c>
      <c r="I4" s="133" t="s">
        <v>117</v>
      </c>
      <c r="J4" s="133" t="s">
        <v>119</v>
      </c>
      <c r="K4" s="133" t="s">
        <v>1498</v>
      </c>
      <c r="L4" s="134" t="s">
        <v>105</v>
      </c>
      <c r="M4" s="134" t="s">
        <v>107</v>
      </c>
      <c r="N4" s="134" t="s">
        <v>111</v>
      </c>
      <c r="O4" s="134" t="s">
        <v>113</v>
      </c>
      <c r="P4" s="134" t="s">
        <v>114</v>
      </c>
      <c r="Q4" s="134" t="s">
        <v>115</v>
      </c>
      <c r="R4" s="134" t="s">
        <v>116</v>
      </c>
      <c r="S4" s="134" t="s">
        <v>117</v>
      </c>
      <c r="T4" s="134" t="s">
        <v>119</v>
      </c>
      <c r="U4" s="134" t="s">
        <v>1498</v>
      </c>
      <c r="V4" s="135" t="s">
        <v>105</v>
      </c>
      <c r="W4" s="135" t="s">
        <v>107</v>
      </c>
      <c r="X4" s="135" t="s">
        <v>111</v>
      </c>
      <c r="Y4" s="135" t="s">
        <v>113</v>
      </c>
      <c r="Z4" s="135" t="s">
        <v>114</v>
      </c>
      <c r="AA4" s="135" t="s">
        <v>115</v>
      </c>
      <c r="AB4" s="135" t="s">
        <v>116</v>
      </c>
      <c r="AC4" s="135" t="s">
        <v>117</v>
      </c>
      <c r="AD4" s="135" t="s">
        <v>119</v>
      </c>
      <c r="AE4" s="135" t="s">
        <v>1498</v>
      </c>
      <c r="AF4" s="136" t="s">
        <v>105</v>
      </c>
      <c r="AG4" s="136" t="s">
        <v>107</v>
      </c>
      <c r="AH4" s="136" t="s">
        <v>111</v>
      </c>
      <c r="AI4" s="136" t="s">
        <v>113</v>
      </c>
      <c r="AJ4" s="136" t="s">
        <v>114</v>
      </c>
      <c r="AK4" s="136" t="s">
        <v>115</v>
      </c>
      <c r="AL4" s="136" t="s">
        <v>116</v>
      </c>
      <c r="AM4" s="136" t="s">
        <v>117</v>
      </c>
      <c r="AN4" s="136" t="s">
        <v>119</v>
      </c>
      <c r="AO4" s="136" t="s">
        <v>1498</v>
      </c>
      <c r="AP4" s="137" t="s">
        <v>105</v>
      </c>
      <c r="AQ4" s="137" t="s">
        <v>107</v>
      </c>
      <c r="AR4" s="137" t="s">
        <v>111</v>
      </c>
      <c r="AS4" s="137" t="s">
        <v>113</v>
      </c>
      <c r="AT4" s="137" t="s">
        <v>114</v>
      </c>
      <c r="AU4" s="137" t="s">
        <v>115</v>
      </c>
      <c r="AV4" s="137" t="s">
        <v>116</v>
      </c>
      <c r="AW4" s="137" t="s">
        <v>117</v>
      </c>
      <c r="AX4" s="137" t="s">
        <v>119</v>
      </c>
      <c r="AY4" s="137" t="s">
        <v>1498</v>
      </c>
      <c r="AZ4" s="138" t="s">
        <v>105</v>
      </c>
      <c r="BA4" s="138" t="s">
        <v>107</v>
      </c>
      <c r="BB4" s="138" t="s">
        <v>111</v>
      </c>
      <c r="BC4" s="138" t="s">
        <v>113</v>
      </c>
      <c r="BD4" s="138" t="s">
        <v>114</v>
      </c>
      <c r="BE4" s="138" t="s">
        <v>115</v>
      </c>
      <c r="BF4" s="138" t="s">
        <v>116</v>
      </c>
      <c r="BG4" s="138" t="s">
        <v>117</v>
      </c>
      <c r="BH4" s="138" t="s">
        <v>119</v>
      </c>
      <c r="BI4" s="138" t="s">
        <v>1498</v>
      </c>
      <c r="BJ4" s="157" t="s">
        <v>105</v>
      </c>
      <c r="BK4" s="157" t="s">
        <v>107</v>
      </c>
      <c r="BL4" s="157" t="s">
        <v>111</v>
      </c>
      <c r="BM4" s="157" t="s">
        <v>113</v>
      </c>
      <c r="BN4" s="157" t="s">
        <v>114</v>
      </c>
      <c r="BO4" s="157" t="s">
        <v>115</v>
      </c>
      <c r="BP4" s="157" t="s">
        <v>116</v>
      </c>
      <c r="BQ4" s="157" t="s">
        <v>117</v>
      </c>
      <c r="BR4" s="157" t="s">
        <v>119</v>
      </c>
      <c r="BS4" s="157" t="s">
        <v>1498</v>
      </c>
      <c r="BT4" s="158" t="s">
        <v>105</v>
      </c>
      <c r="BU4" s="158" t="s">
        <v>107</v>
      </c>
      <c r="BV4" s="158" t="s">
        <v>111</v>
      </c>
      <c r="BW4" s="158" t="s">
        <v>113</v>
      </c>
      <c r="BX4" s="158" t="s">
        <v>114</v>
      </c>
      <c r="BY4" s="158" t="s">
        <v>115</v>
      </c>
      <c r="BZ4" s="158" t="s">
        <v>116</v>
      </c>
      <c r="CA4" s="158" t="s">
        <v>117</v>
      </c>
      <c r="CB4" s="158" t="s">
        <v>119</v>
      </c>
      <c r="CC4" s="158" t="s">
        <v>1498</v>
      </c>
      <c r="CD4" s="176" t="s">
        <v>105</v>
      </c>
      <c r="CE4" s="176" t="s">
        <v>107</v>
      </c>
      <c r="CF4" s="176" t="s">
        <v>111</v>
      </c>
      <c r="CG4" s="176" t="s">
        <v>113</v>
      </c>
      <c r="CH4" s="176" t="s">
        <v>114</v>
      </c>
      <c r="CI4" s="176" t="s">
        <v>115</v>
      </c>
      <c r="CJ4" s="176" t="s">
        <v>116</v>
      </c>
      <c r="CK4" s="176" t="s">
        <v>117</v>
      </c>
      <c r="CL4" s="176" t="s">
        <v>119</v>
      </c>
      <c r="CM4" s="176" t="s">
        <v>1498</v>
      </c>
      <c r="CN4" s="185" t="s">
        <v>105</v>
      </c>
      <c r="CO4" s="185" t="s">
        <v>107</v>
      </c>
      <c r="CP4" s="185" t="s">
        <v>111</v>
      </c>
      <c r="CQ4" s="185" t="s">
        <v>113</v>
      </c>
      <c r="CR4" s="185" t="s">
        <v>114</v>
      </c>
      <c r="CS4" s="185" t="s">
        <v>115</v>
      </c>
      <c r="CT4" s="185" t="s">
        <v>116</v>
      </c>
      <c r="CU4" s="185" t="s">
        <v>117</v>
      </c>
      <c r="CV4" s="185" t="s">
        <v>119</v>
      </c>
      <c r="CW4" s="185" t="s">
        <v>1498</v>
      </c>
      <c r="CX4" s="190" t="s">
        <v>105</v>
      </c>
      <c r="CY4" s="190" t="s">
        <v>107</v>
      </c>
      <c r="CZ4" s="190" t="s">
        <v>111</v>
      </c>
      <c r="DA4" s="190" t="s">
        <v>113</v>
      </c>
      <c r="DB4" s="190" t="s">
        <v>114</v>
      </c>
      <c r="DC4" s="190" t="s">
        <v>115</v>
      </c>
      <c r="DD4" s="190" t="s">
        <v>116</v>
      </c>
      <c r="DE4" s="190" t="s">
        <v>117</v>
      </c>
      <c r="DF4" s="190" t="s">
        <v>119</v>
      </c>
      <c r="DG4" s="190" t="s">
        <v>1498</v>
      </c>
    </row>
    <row r="5" spans="1:111" s="147" customFormat="1">
      <c r="A5" s="140" t="s">
        <v>2452</v>
      </c>
      <c r="B5" s="141">
        <v>6870751.6833906518</v>
      </c>
      <c r="C5" s="141">
        <v>2808924.129347607</v>
      </c>
      <c r="D5" s="141">
        <v>15638791.17154902</v>
      </c>
      <c r="E5" s="141">
        <v>11000348.15198724</v>
      </c>
      <c r="F5" s="141">
        <v>5853825.0671569509</v>
      </c>
      <c r="G5" s="141">
        <v>4809186.3864003606</v>
      </c>
      <c r="H5" s="141">
        <v>4107627.66976004</v>
      </c>
      <c r="I5" s="141">
        <v>1322227.8490723779</v>
      </c>
      <c r="J5" s="141">
        <v>7304555.4042803012</v>
      </c>
      <c r="K5" s="141">
        <f>SUM(B5:J5)</f>
        <v>59716237.512944549</v>
      </c>
      <c r="L5" s="142">
        <v>6870751.6833906518</v>
      </c>
      <c r="M5" s="142">
        <v>2808924.129347607</v>
      </c>
      <c r="N5" s="142">
        <v>15638791.17154902</v>
      </c>
      <c r="O5" s="142">
        <v>11000348.15198724</v>
      </c>
      <c r="P5" s="142">
        <v>5853825.0671569509</v>
      </c>
      <c r="Q5" s="142">
        <v>4809186.3864003606</v>
      </c>
      <c r="R5" s="142">
        <v>4107627.66976004</v>
      </c>
      <c r="S5" s="142">
        <v>1322227.8490723779</v>
      </c>
      <c r="T5" s="142">
        <v>7304555.4042803012</v>
      </c>
      <c r="U5" s="142">
        <f>SUM(L5:T5)</f>
        <v>59716237.512944549</v>
      </c>
      <c r="V5" s="143">
        <v>6870751.6833906518</v>
      </c>
      <c r="W5" s="143">
        <v>2808924.129347607</v>
      </c>
      <c r="X5" s="143">
        <v>15638791.17154902</v>
      </c>
      <c r="Y5" s="143">
        <v>11000348.15198724</v>
      </c>
      <c r="Z5" s="143">
        <v>5853825.0671569509</v>
      </c>
      <c r="AA5" s="143">
        <v>4809186.3864003606</v>
      </c>
      <c r="AB5" s="143">
        <v>4107627.66976004</v>
      </c>
      <c r="AC5" s="143">
        <v>1322227.8490723779</v>
      </c>
      <c r="AD5" s="143">
        <v>7304555.4042803012</v>
      </c>
      <c r="AE5" s="143">
        <f>SUM(V5:AD5)</f>
        <v>59716237.512944549</v>
      </c>
      <c r="AF5" s="144">
        <v>6870751.6833906518</v>
      </c>
      <c r="AG5" s="144">
        <v>2808924.129347607</v>
      </c>
      <c r="AH5" s="144">
        <v>15638791.17154902</v>
      </c>
      <c r="AI5" s="144">
        <v>11000348.15198724</v>
      </c>
      <c r="AJ5" s="144">
        <v>5853825.0671569509</v>
      </c>
      <c r="AK5" s="144">
        <v>4809186.3864003606</v>
      </c>
      <c r="AL5" s="144">
        <v>4107627.66976004</v>
      </c>
      <c r="AM5" s="144">
        <v>1322227.8490723779</v>
      </c>
      <c r="AN5" s="144">
        <v>7304555.4042803012</v>
      </c>
      <c r="AO5" s="144">
        <f>SUM(AF5:AN5)</f>
        <v>59716237.512944549</v>
      </c>
      <c r="AP5" s="145">
        <v>6870751.6833906518</v>
      </c>
      <c r="AQ5" s="145">
        <v>2808924.129347607</v>
      </c>
      <c r="AR5" s="145">
        <v>15638791.17154902</v>
      </c>
      <c r="AS5" s="145">
        <v>11000348.15198724</v>
      </c>
      <c r="AT5" s="145">
        <v>5853825.0671569509</v>
      </c>
      <c r="AU5" s="145">
        <v>4809186.3864003606</v>
      </c>
      <c r="AV5" s="145">
        <v>4107627.66976004</v>
      </c>
      <c r="AW5" s="145">
        <v>1322227.8490723779</v>
      </c>
      <c r="AX5" s="145">
        <v>7304555.4042803012</v>
      </c>
      <c r="AY5" s="145">
        <f>SUM(AP5:AX5)</f>
        <v>59716237.512944549</v>
      </c>
      <c r="AZ5" s="146">
        <v>6870751.6833906518</v>
      </c>
      <c r="BA5" s="146">
        <v>2808924.129347607</v>
      </c>
      <c r="BB5" s="146">
        <v>15638791.17154902</v>
      </c>
      <c r="BC5" s="146">
        <v>11000348.15198724</v>
      </c>
      <c r="BD5" s="146">
        <v>5853825.0671569509</v>
      </c>
      <c r="BE5" s="146">
        <v>4809186.3864003606</v>
      </c>
      <c r="BF5" s="146">
        <v>4107627.66976004</v>
      </c>
      <c r="BG5" s="146">
        <v>1322227.8490723779</v>
      </c>
      <c r="BH5" s="146">
        <v>7304555.4042803012</v>
      </c>
      <c r="BI5" s="146">
        <f>SUM(AZ5:BH5)</f>
        <v>59716237.512944549</v>
      </c>
      <c r="BJ5" s="159">
        <v>6870751.6833906518</v>
      </c>
      <c r="BK5" s="159">
        <v>2808924.129347607</v>
      </c>
      <c r="BL5" s="159">
        <v>15638791.17154902</v>
      </c>
      <c r="BM5" s="159">
        <v>11000348.15198724</v>
      </c>
      <c r="BN5" s="159">
        <v>5853825.0671569509</v>
      </c>
      <c r="BO5" s="159">
        <v>4809186.3864003606</v>
      </c>
      <c r="BP5" s="159">
        <v>4107627.66976004</v>
      </c>
      <c r="BQ5" s="159">
        <v>1322227.8490723779</v>
      </c>
      <c r="BR5" s="159">
        <v>7304555.4042803012</v>
      </c>
      <c r="BS5" s="159">
        <f>SUM(BJ5:BR5)</f>
        <v>59716237.512944549</v>
      </c>
      <c r="BT5" s="160">
        <v>6870751.6833906518</v>
      </c>
      <c r="BU5" s="160">
        <v>2808924.129347607</v>
      </c>
      <c r="BV5" s="160">
        <v>15638791.17154902</v>
      </c>
      <c r="BW5" s="160">
        <v>11000348.15198724</v>
      </c>
      <c r="BX5" s="160">
        <v>5853825.0671569509</v>
      </c>
      <c r="BY5" s="160">
        <v>4809186.3864003606</v>
      </c>
      <c r="BZ5" s="160">
        <v>4107627.66976004</v>
      </c>
      <c r="CA5" s="160">
        <v>1322227.8490723779</v>
      </c>
      <c r="CB5" s="160">
        <v>7304555.4042803012</v>
      </c>
      <c r="CC5" s="160">
        <f>SUM(BT5:CB5)</f>
        <v>59716237.512944549</v>
      </c>
      <c r="CD5" s="177">
        <v>6870751.6833906518</v>
      </c>
      <c r="CE5" s="177">
        <v>2808924.129347607</v>
      </c>
      <c r="CF5" s="177">
        <v>15638791.17154902</v>
      </c>
      <c r="CG5" s="177">
        <v>11000348.15198724</v>
      </c>
      <c r="CH5" s="177">
        <v>5853825.0671569509</v>
      </c>
      <c r="CI5" s="177">
        <v>4809186.3864003606</v>
      </c>
      <c r="CJ5" s="177">
        <v>4107627.66976004</v>
      </c>
      <c r="CK5" s="177">
        <v>1322227.8490723779</v>
      </c>
      <c r="CL5" s="177">
        <v>7304555.4042803012</v>
      </c>
      <c r="CM5" s="177">
        <f>SUM(CD5:CL5)</f>
        <v>59716237.512944549</v>
      </c>
      <c r="CN5" s="186">
        <v>6870751.6833906518</v>
      </c>
      <c r="CO5" s="186">
        <v>2808924.129347607</v>
      </c>
      <c r="CP5" s="186">
        <v>15638791.17154902</v>
      </c>
      <c r="CQ5" s="186">
        <v>11000348.15198724</v>
      </c>
      <c r="CR5" s="186">
        <v>5853825.0671569509</v>
      </c>
      <c r="CS5" s="186">
        <v>4809186.3864003606</v>
      </c>
      <c r="CT5" s="186">
        <v>4107627.66976004</v>
      </c>
      <c r="CU5" s="186">
        <v>1322227.8490723779</v>
      </c>
      <c r="CV5" s="186">
        <v>7304555.4042803012</v>
      </c>
      <c r="CW5" s="186">
        <f>SUM(CN5:CV5)</f>
        <v>59716237.512944549</v>
      </c>
      <c r="CX5" s="191">
        <v>6870751.6833906518</v>
      </c>
      <c r="CY5" s="191">
        <v>2808924.129347607</v>
      </c>
      <c r="CZ5" s="191">
        <v>15638791.17154902</v>
      </c>
      <c r="DA5" s="191">
        <v>11000348.15198724</v>
      </c>
      <c r="DB5" s="191">
        <v>5853825.0671569509</v>
      </c>
      <c r="DC5" s="191">
        <v>4809186.3864003606</v>
      </c>
      <c r="DD5" s="191">
        <v>4107627.66976004</v>
      </c>
      <c r="DE5" s="191">
        <v>1322227.8490723779</v>
      </c>
      <c r="DF5" s="191">
        <v>7304555.4042803012</v>
      </c>
      <c r="DG5" s="191">
        <f>SUM(CX5:DF5)</f>
        <v>59716237.512944549</v>
      </c>
    </row>
    <row r="6" spans="1:111" s="139" customFormat="1">
      <c r="A6" s="148" t="s">
        <v>1505</v>
      </c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96">
        <f>MAX(L7:L2000)</f>
        <v>2670</v>
      </c>
      <c r="M6" s="196">
        <f t="shared" ref="M6" si="7">MAX(M7:M2000)</f>
        <v>542</v>
      </c>
      <c r="N6" s="196">
        <f t="shared" ref="N6" si="8">MAX(N7:N2000)</f>
        <v>3061</v>
      </c>
      <c r="O6" s="196">
        <f t="shared" ref="O6" si="9">MAX(O7:O2000)</f>
        <v>1788</v>
      </c>
      <c r="P6" s="196">
        <f t="shared" ref="P6" si="10">MAX(P7:P2000)</f>
        <v>159</v>
      </c>
      <c r="Q6" s="196">
        <f t="shared" ref="Q6" si="11">MAX(Q7:Q2000)</f>
        <v>214</v>
      </c>
      <c r="R6" s="196">
        <f t="shared" ref="R6" si="12">MAX(R7:R2000)</f>
        <v>214</v>
      </c>
      <c r="S6" s="196">
        <f t="shared" ref="S6" si="13">MAX(S7:S2000)</f>
        <v>100</v>
      </c>
      <c r="T6" s="196">
        <f t="shared" ref="T6" si="14">MAX(T7:T2000)</f>
        <v>3675</v>
      </c>
      <c r="U6" s="196">
        <f t="shared" ref="U6" si="15">MAX(U7:U2000)</f>
        <v>12423</v>
      </c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95">
        <f>MAX(AP7:AP2000)</f>
        <v>2433</v>
      </c>
      <c r="AQ6" s="195">
        <f t="shared" ref="AQ6:AY6" si="16">MAX(AQ7:AQ2000)</f>
        <v>1191</v>
      </c>
      <c r="AR6" s="195">
        <f t="shared" si="16"/>
        <v>6531</v>
      </c>
      <c r="AS6" s="195">
        <f t="shared" si="16"/>
        <v>3756</v>
      </c>
      <c r="AT6" s="195">
        <f t="shared" si="16"/>
        <v>438</v>
      </c>
      <c r="AU6" s="195">
        <f t="shared" si="16"/>
        <v>1419</v>
      </c>
      <c r="AV6" s="195">
        <f t="shared" si="16"/>
        <v>831</v>
      </c>
      <c r="AW6" s="195">
        <f t="shared" si="16"/>
        <v>339</v>
      </c>
      <c r="AX6" s="195">
        <f t="shared" si="16"/>
        <v>2349</v>
      </c>
      <c r="AY6" s="195">
        <f t="shared" si="16"/>
        <v>13944</v>
      </c>
      <c r="AZ6" s="149">
        <f ca="1">OFFSET(Census_SEIR_Province!$M$3,MATCH('National statistics'!AZ4,Census_SEIR_Province!$B$4:$B$12,0),0)</f>
        <v>3.9546944826666739E-3</v>
      </c>
      <c r="BA6" s="149">
        <f ca="1">OFFSET(Census_SEIR_Province!$M$3,MATCH('National statistics'!BA4,Census_SEIR_Province!$B$4:$B$12,0),0)</f>
        <v>2.6451130161263955E-3</v>
      </c>
      <c r="BB6" s="149">
        <f ca="1">OFFSET(Census_SEIR_Province!$M$3,MATCH('National statistics'!BB4,Census_SEIR_Province!$B$4:$B$12,0),0)</f>
        <v>2.9123624766428974E-3</v>
      </c>
      <c r="BC6" s="149">
        <f ca="1">OFFSET(Census_SEIR_Province!$M$3,MATCH('National statistics'!BC4,Census_SEIR_Province!$B$4:$B$12,0),0)</f>
        <v>3.0955882988247074E-3</v>
      </c>
      <c r="BD6" s="149">
        <f ca="1">OFFSET(Census_SEIR_Province!$M$3,MATCH('National statistics'!BD4,Census_SEIR_Province!$B$4:$B$12,0),0)</f>
        <v>2.8728790660041163E-3</v>
      </c>
      <c r="BE6" s="149">
        <f ca="1">OFFSET(Census_SEIR_Province!$M$3,MATCH('National statistics'!BE4,Census_SEIR_Province!$B$4:$B$12,0),0)</f>
        <v>2.3109410377982892E-3</v>
      </c>
      <c r="BF6" s="149">
        <f ca="1">OFFSET(Census_SEIR_Province!$M$3,MATCH('National statistics'!BF4,Census_SEIR_Province!$B$4:$B$12,0),0)</f>
        <v>2.6291946416309221E-3</v>
      </c>
      <c r="BG6" s="149">
        <f ca="1">OFFSET(Census_SEIR_Province!$M$3,MATCH('National statistics'!BG4,Census_SEIR_Province!$B$4:$B$12,0),0)</f>
        <v>2.671315966672539E-3</v>
      </c>
      <c r="BH6" s="149">
        <f ca="1">OFFSET(Census_SEIR_Province!$M$3,MATCH('National statistics'!BH4,Census_SEIR_Province!$B$4:$B$12,0),0)</f>
        <v>3.6353859580832088E-3</v>
      </c>
      <c r="BI6" s="149"/>
      <c r="BJ6" s="161">
        <f ca="1">OFFSET(Census_SEIR_Province!$M$3,MATCH('National statistics'!BJ4,Census_SEIR_Province!$B$4:$B$12,0),0)</f>
        <v>3.9546944826666739E-3</v>
      </c>
      <c r="BK6" s="161">
        <f ca="1">OFFSET(Census_SEIR_Province!$M$3,MATCH('National statistics'!BK4,Census_SEIR_Province!$B$4:$B$12,0),0)</f>
        <v>2.6451130161263955E-3</v>
      </c>
      <c r="BL6" s="161">
        <f ca="1">OFFSET(Census_SEIR_Province!$M$3,MATCH('National statistics'!BL4,Census_SEIR_Province!$B$4:$B$12,0),0)</f>
        <v>2.9123624766428974E-3</v>
      </c>
      <c r="BM6" s="161">
        <f ca="1">OFFSET(Census_SEIR_Province!$M$3,MATCH('National statistics'!BM4,Census_SEIR_Province!$B$4:$B$12,0),0)</f>
        <v>3.0955882988247074E-3</v>
      </c>
      <c r="BN6" s="161">
        <f ca="1">OFFSET(Census_SEIR_Province!$M$3,MATCH('National statistics'!BN4,Census_SEIR_Province!$B$4:$B$12,0),0)</f>
        <v>2.8728790660041163E-3</v>
      </c>
      <c r="BO6" s="161">
        <f ca="1">OFFSET(Census_SEIR_Province!$M$3,MATCH('National statistics'!BO4,Census_SEIR_Province!$B$4:$B$12,0),0)</f>
        <v>2.3109410377982892E-3</v>
      </c>
      <c r="BP6" s="161">
        <f ca="1">OFFSET(Census_SEIR_Province!$M$3,MATCH('National statistics'!BP4,Census_SEIR_Province!$B$4:$B$12,0),0)</f>
        <v>2.6291946416309221E-3</v>
      </c>
      <c r="BQ6" s="161">
        <f ca="1">OFFSET(Census_SEIR_Province!$M$3,MATCH('National statistics'!BQ4,Census_SEIR_Province!$B$4:$B$12,0),0)</f>
        <v>2.671315966672539E-3</v>
      </c>
      <c r="BR6" s="161">
        <f ca="1">OFFSET(Census_SEIR_Province!$M$3,MATCH('National statistics'!BR4,Census_SEIR_Province!$B$4:$B$12,0),0)</f>
        <v>3.6353859580832088E-3</v>
      </c>
      <c r="BS6" s="161">
        <f ca="1">SUMPRODUCT(BJ5:BR5,BJ6:BR6)/BS5</f>
        <v>3.0647915478863173E-3</v>
      </c>
      <c r="BT6" s="162">
        <f ca="1">OFFSET(Census_SEIR_Province!$M$3,MATCH('National statistics'!BT4,Census_SEIR_Province!$B$4:$B$12,0),0)</f>
        <v>3.9546944826666739E-3</v>
      </c>
      <c r="BU6" s="162">
        <f ca="1">OFFSET(Census_SEIR_Province!$M$3,MATCH('National statistics'!BU4,Census_SEIR_Province!$B$4:$B$12,0),0)</f>
        <v>2.6451130161263955E-3</v>
      </c>
      <c r="BV6" s="162">
        <f ca="1">OFFSET(Census_SEIR_Province!$M$3,MATCH('National statistics'!BV4,Census_SEIR_Province!$B$4:$B$12,0),0)</f>
        <v>2.9123624766428974E-3</v>
      </c>
      <c r="BW6" s="162">
        <f ca="1">OFFSET(Census_SEIR_Province!$M$3,MATCH('National statistics'!BW4,Census_SEIR_Province!$B$4:$B$12,0),0)</f>
        <v>3.0955882988247074E-3</v>
      </c>
      <c r="BX6" s="162">
        <f ca="1">OFFSET(Census_SEIR_Province!$M$3,MATCH('National statistics'!BX4,Census_SEIR_Province!$B$4:$B$12,0),0)</f>
        <v>2.8728790660041163E-3</v>
      </c>
      <c r="BY6" s="162">
        <f ca="1">OFFSET(Census_SEIR_Province!$M$3,MATCH('National statistics'!BY4,Census_SEIR_Province!$B$4:$B$12,0),0)</f>
        <v>2.3109410377982892E-3</v>
      </c>
      <c r="BZ6" s="162">
        <f ca="1">OFFSET(Census_SEIR_Province!$M$3,MATCH('National statistics'!BZ4,Census_SEIR_Province!$B$4:$B$12,0),0)</f>
        <v>2.6291946416309221E-3</v>
      </c>
      <c r="CA6" s="162">
        <f ca="1">OFFSET(Census_SEIR_Province!$M$3,MATCH('National statistics'!CA4,Census_SEIR_Province!$B$4:$B$12,0),0)</f>
        <v>2.671315966672539E-3</v>
      </c>
      <c r="CB6" s="162">
        <f ca="1">OFFSET(Census_SEIR_Province!$M$3,MATCH('National statistics'!CB4,Census_SEIR_Province!$B$4:$B$12,0),0)</f>
        <v>3.6353859580832088E-3</v>
      </c>
      <c r="CC6" s="162">
        <f ca="1">SUMPRODUCT(BT5:CB5,BT6:CB6)/CC5</f>
        <v>3.0647915478863173E-3</v>
      </c>
      <c r="CD6" s="178">
        <f ca="1">OFFSET(Census_SEIR_Province!$M$3,MATCH('National statistics'!CD4,Census_SEIR_Province!$B$4:$B$12,0),0)</f>
        <v>3.9546944826666739E-3</v>
      </c>
      <c r="CE6" s="178">
        <f ca="1">OFFSET(Census_SEIR_Province!$M$3,MATCH('National statistics'!CE4,Census_SEIR_Province!$B$4:$B$12,0),0)</f>
        <v>2.6451130161263955E-3</v>
      </c>
      <c r="CF6" s="178">
        <f ca="1">OFFSET(Census_SEIR_Province!$M$3,MATCH('National statistics'!CF4,Census_SEIR_Province!$B$4:$B$12,0),0)</f>
        <v>2.9123624766428974E-3</v>
      </c>
      <c r="CG6" s="178">
        <f ca="1">OFFSET(Census_SEIR_Province!$M$3,MATCH('National statistics'!CG4,Census_SEIR_Province!$B$4:$B$12,0),0)</f>
        <v>3.0955882988247074E-3</v>
      </c>
      <c r="CH6" s="178">
        <f ca="1">OFFSET(Census_SEIR_Province!$M$3,MATCH('National statistics'!CH4,Census_SEIR_Province!$B$4:$B$12,0),0)</f>
        <v>2.8728790660041163E-3</v>
      </c>
      <c r="CI6" s="178">
        <f ca="1">OFFSET(Census_SEIR_Province!$M$3,MATCH('National statistics'!CI4,Census_SEIR_Province!$B$4:$B$12,0),0)</f>
        <v>2.3109410377982892E-3</v>
      </c>
      <c r="CJ6" s="178">
        <f ca="1">OFFSET(Census_SEIR_Province!$M$3,MATCH('National statistics'!CJ4,Census_SEIR_Province!$B$4:$B$12,0),0)</f>
        <v>2.6291946416309221E-3</v>
      </c>
      <c r="CK6" s="178">
        <f ca="1">OFFSET(Census_SEIR_Province!$M$3,MATCH('National statistics'!CK4,Census_SEIR_Province!$B$4:$B$12,0),0)</f>
        <v>2.671315966672539E-3</v>
      </c>
      <c r="CL6" s="178">
        <f ca="1">OFFSET(Census_SEIR_Province!$M$3,MATCH('National statistics'!CL4,Census_SEIR_Province!$B$4:$B$12,0),0)</f>
        <v>3.6353859580832088E-3</v>
      </c>
      <c r="CM6" s="178">
        <f ca="1">SUMPRODUCT(CD5:CL5,CD6:CL6)/CM5</f>
        <v>3.0647915478863173E-3</v>
      </c>
      <c r="CN6" s="187">
        <f ca="1">OFFSET(Census_SEIR_Province!$M$3,MATCH('National statistics'!CN4,Census_SEIR_Province!$B$4:$B$12,0),0)</f>
        <v>3.9546944826666739E-3</v>
      </c>
      <c r="CO6" s="187">
        <f ca="1">OFFSET(Census_SEIR_Province!$M$3,MATCH('National statistics'!CO4,Census_SEIR_Province!$B$4:$B$12,0),0)</f>
        <v>2.6451130161263955E-3</v>
      </c>
      <c r="CP6" s="187">
        <f ca="1">OFFSET(Census_SEIR_Province!$M$3,MATCH('National statistics'!CP4,Census_SEIR_Province!$B$4:$B$12,0),0)</f>
        <v>2.9123624766428974E-3</v>
      </c>
      <c r="CQ6" s="187">
        <f ca="1">OFFSET(Census_SEIR_Province!$M$3,MATCH('National statistics'!CQ4,Census_SEIR_Province!$B$4:$B$12,0),0)</f>
        <v>3.0955882988247074E-3</v>
      </c>
      <c r="CR6" s="187">
        <f ca="1">OFFSET(Census_SEIR_Province!$M$3,MATCH('National statistics'!CR4,Census_SEIR_Province!$B$4:$B$12,0),0)</f>
        <v>2.8728790660041163E-3</v>
      </c>
      <c r="CS6" s="187">
        <f ca="1">OFFSET(Census_SEIR_Province!$M$3,MATCH('National statistics'!CS4,Census_SEIR_Province!$B$4:$B$12,0),0)</f>
        <v>2.3109410377982892E-3</v>
      </c>
      <c r="CT6" s="187">
        <f ca="1">OFFSET(Census_SEIR_Province!$M$3,MATCH('National statistics'!CT4,Census_SEIR_Province!$B$4:$B$12,0),0)</f>
        <v>2.6291946416309221E-3</v>
      </c>
      <c r="CU6" s="187">
        <f ca="1">OFFSET(Census_SEIR_Province!$M$3,MATCH('National statistics'!CU4,Census_SEIR_Province!$B$4:$B$12,0),0)</f>
        <v>2.671315966672539E-3</v>
      </c>
      <c r="CV6" s="187">
        <f ca="1">OFFSET(Census_SEIR_Province!$M$3,MATCH('National statistics'!CV4,Census_SEIR_Province!$B$4:$B$12,0),0)</f>
        <v>3.6353859580832088E-3</v>
      </c>
      <c r="CW6" s="187">
        <f ca="1">SUMPRODUCT(CN5:CV5,CN6:CV6)/CW5</f>
        <v>3.0647915478863173E-3</v>
      </c>
      <c r="CX6" s="192">
        <f ca="1">OFFSET(Census_SEIR_Province!$M$3,MATCH('National statistics'!CX4,Census_SEIR_Province!$B$4:$B$12,0),0)</f>
        <v>3.9546944826666739E-3</v>
      </c>
      <c r="CY6" s="192">
        <f ca="1">OFFSET(Census_SEIR_Province!$M$3,MATCH('National statistics'!CY4,Census_SEIR_Province!$B$4:$B$12,0),0)</f>
        <v>2.6451130161263955E-3</v>
      </c>
      <c r="CZ6" s="192">
        <f ca="1">OFFSET(Census_SEIR_Province!$M$3,MATCH('National statistics'!CZ4,Census_SEIR_Province!$B$4:$B$12,0),0)</f>
        <v>2.9123624766428974E-3</v>
      </c>
      <c r="DA6" s="192">
        <f ca="1">OFFSET(Census_SEIR_Province!$M$3,MATCH('National statistics'!DA4,Census_SEIR_Province!$B$4:$B$12,0),0)</f>
        <v>3.0955882988247074E-3</v>
      </c>
      <c r="DB6" s="192">
        <f ca="1">OFFSET(Census_SEIR_Province!$M$3,MATCH('National statistics'!DB4,Census_SEIR_Province!$B$4:$B$12,0),0)</f>
        <v>2.8728790660041163E-3</v>
      </c>
      <c r="DC6" s="192">
        <f ca="1">OFFSET(Census_SEIR_Province!$M$3,MATCH('National statistics'!DC4,Census_SEIR_Province!$B$4:$B$12,0),0)</f>
        <v>2.3109410377982892E-3</v>
      </c>
      <c r="DD6" s="192">
        <f ca="1">OFFSET(Census_SEIR_Province!$M$3,MATCH('National statistics'!DD4,Census_SEIR_Province!$B$4:$B$12,0),0)</f>
        <v>2.6291946416309221E-3</v>
      </c>
      <c r="DE6" s="192">
        <f ca="1">OFFSET(Census_SEIR_Province!$M$3,MATCH('National statistics'!DE4,Census_SEIR_Province!$B$4:$B$12,0),0)</f>
        <v>2.671315966672539E-3</v>
      </c>
      <c r="DF6" s="192">
        <f ca="1">OFFSET(Census_SEIR_Province!$M$3,MATCH('National statistics'!DF4,Census_SEIR_Province!$B$4:$B$12,0),0)</f>
        <v>3.6353859580832088E-3</v>
      </c>
      <c r="DG6" s="192">
        <f ca="1">SUMPRODUCT(CX5:DF5,CX6:DF6)/DG5</f>
        <v>3.0647915478863173E-3</v>
      </c>
    </row>
    <row r="7" spans="1:111" s="173" customFormat="1">
      <c r="A7" s="150">
        <f t="shared" ref="A7:A70" si="17">A8-1</f>
        <v>43896</v>
      </c>
      <c r="B7" s="165">
        <v>0</v>
      </c>
      <c r="C7" s="165">
        <v>0</v>
      </c>
      <c r="D7" s="165">
        <v>0</v>
      </c>
      <c r="E7" s="165">
        <v>1</v>
      </c>
      <c r="F7" s="165">
        <v>0</v>
      </c>
      <c r="G7" s="165">
        <v>0</v>
      </c>
      <c r="H7" s="165">
        <v>0</v>
      </c>
      <c r="I7" s="165">
        <v>0</v>
      </c>
      <c r="J7" s="165">
        <v>0</v>
      </c>
      <c r="K7" s="165">
        <f>SUM(B7:J7)</f>
        <v>1</v>
      </c>
      <c r="L7" s="166"/>
      <c r="M7" s="166"/>
      <c r="N7" s="166"/>
      <c r="O7" s="166"/>
      <c r="P7" s="166"/>
      <c r="Q7" s="166"/>
      <c r="R7" s="166"/>
      <c r="S7" s="166"/>
      <c r="T7" s="166"/>
      <c r="U7" s="166">
        <f>SUM(L7:T7)</f>
        <v>0</v>
      </c>
      <c r="V7" s="167"/>
      <c r="W7" s="167"/>
      <c r="X7" s="167"/>
      <c r="Y7" s="167"/>
      <c r="Z7" s="167"/>
      <c r="AA7" s="167"/>
      <c r="AB7" s="167"/>
      <c r="AC7" s="167"/>
      <c r="AD7" s="167"/>
      <c r="AE7" s="167">
        <f>SUM(V7:AD7)</f>
        <v>0</v>
      </c>
      <c r="AF7" s="168"/>
      <c r="AG7" s="168"/>
      <c r="AH7" s="168"/>
      <c r="AI7" s="168"/>
      <c r="AJ7" s="168"/>
      <c r="AK7" s="168"/>
      <c r="AL7" s="168"/>
      <c r="AM7" s="168"/>
      <c r="AN7" s="168"/>
      <c r="AO7" s="168">
        <f>SUM(AF7:AN7)</f>
        <v>0</v>
      </c>
      <c r="AP7" s="169"/>
      <c r="AQ7" s="169"/>
      <c r="AR7" s="169"/>
      <c r="AS7" s="169"/>
      <c r="AT7" s="169"/>
      <c r="AU7" s="169"/>
      <c r="AV7" s="169"/>
      <c r="AW7" s="169"/>
      <c r="AX7" s="169"/>
      <c r="AY7" s="169">
        <f>SUM(AP7:AX7)</f>
        <v>0</v>
      </c>
      <c r="AZ7" s="170"/>
      <c r="BA7" s="170"/>
      <c r="BB7" s="170"/>
      <c r="BC7" s="170"/>
      <c r="BD7" s="170"/>
      <c r="BE7" s="170"/>
      <c r="BF7" s="170"/>
      <c r="BG7" s="170"/>
      <c r="BH7" s="170"/>
      <c r="BI7" s="152">
        <f>SUM(AZ7:BH7)</f>
        <v>0</v>
      </c>
      <c r="BJ7" s="171"/>
      <c r="BK7" s="171"/>
      <c r="BL7" s="171"/>
      <c r="BM7" s="171"/>
      <c r="BN7" s="171"/>
      <c r="BO7" s="171"/>
      <c r="BP7" s="171"/>
      <c r="BQ7" s="171"/>
      <c r="BR7" s="171"/>
      <c r="BS7" s="163">
        <f>SUM(BJ7:BR7)</f>
        <v>0</v>
      </c>
      <c r="BT7" s="172"/>
      <c r="BU7" s="172"/>
      <c r="BV7" s="172"/>
      <c r="BW7" s="172"/>
      <c r="BX7" s="172"/>
      <c r="BY7" s="172"/>
      <c r="BZ7" s="172"/>
      <c r="CA7" s="172"/>
      <c r="CB7" s="172"/>
      <c r="CC7" s="172">
        <f>SUM(BT7:CB7)</f>
        <v>0</v>
      </c>
      <c r="CD7" s="179"/>
      <c r="CE7" s="179"/>
      <c r="CF7" s="179"/>
      <c r="CG7" s="179"/>
      <c r="CH7" s="179"/>
      <c r="CI7" s="179"/>
      <c r="CJ7" s="179"/>
      <c r="CK7" s="179"/>
      <c r="CL7" s="179"/>
      <c r="CM7" s="179"/>
      <c r="CN7" s="183">
        <f>B7/B$5</f>
        <v>0</v>
      </c>
      <c r="CO7" s="183">
        <f t="shared" ref="CO7:CW7" si="18">C7/C$5</f>
        <v>0</v>
      </c>
      <c r="CP7" s="183">
        <f t="shared" si="18"/>
        <v>0</v>
      </c>
      <c r="CQ7" s="183">
        <f t="shared" si="18"/>
        <v>9.0906213711004007E-8</v>
      </c>
      <c r="CR7" s="183">
        <f t="shared" si="18"/>
        <v>0</v>
      </c>
      <c r="CS7" s="183">
        <f t="shared" si="18"/>
        <v>0</v>
      </c>
      <c r="CT7" s="183">
        <f t="shared" si="18"/>
        <v>0</v>
      </c>
      <c r="CU7" s="183">
        <f t="shared" si="18"/>
        <v>0</v>
      </c>
      <c r="CV7" s="183">
        <f t="shared" si="18"/>
        <v>0</v>
      </c>
      <c r="CW7" s="183">
        <f t="shared" si="18"/>
        <v>1.674586413424376E-8</v>
      </c>
      <c r="CX7" s="193">
        <f>AF7/AF$5</f>
        <v>0</v>
      </c>
      <c r="CY7" s="193">
        <f t="shared" ref="CY7:DG7" si="19">AG7/AG$5</f>
        <v>0</v>
      </c>
      <c r="CZ7" s="193">
        <f t="shared" si="19"/>
        <v>0</v>
      </c>
      <c r="DA7" s="193">
        <f t="shared" si="19"/>
        <v>0</v>
      </c>
      <c r="DB7" s="193">
        <f t="shared" si="19"/>
        <v>0</v>
      </c>
      <c r="DC7" s="193">
        <f t="shared" si="19"/>
        <v>0</v>
      </c>
      <c r="DD7" s="193">
        <f t="shared" si="19"/>
        <v>0</v>
      </c>
      <c r="DE7" s="193">
        <f t="shared" si="19"/>
        <v>0</v>
      </c>
      <c r="DF7" s="193">
        <f t="shared" si="19"/>
        <v>0</v>
      </c>
      <c r="DG7" s="193">
        <f t="shared" si="19"/>
        <v>0</v>
      </c>
    </row>
    <row r="8" spans="1:111" s="173" customFormat="1">
      <c r="A8" s="150">
        <f t="shared" si="17"/>
        <v>43897</v>
      </c>
      <c r="B8" s="165">
        <v>0</v>
      </c>
      <c r="C8" s="165">
        <v>0</v>
      </c>
      <c r="D8" s="165">
        <v>1</v>
      </c>
      <c r="E8" s="165">
        <v>1</v>
      </c>
      <c r="F8" s="165">
        <v>0</v>
      </c>
      <c r="G8" s="165">
        <v>0</v>
      </c>
      <c r="H8" s="165">
        <v>0</v>
      </c>
      <c r="I8" s="165">
        <v>0</v>
      </c>
      <c r="J8" s="165">
        <v>0</v>
      </c>
      <c r="K8" s="165">
        <f t="shared" ref="K8:K71" si="20">SUM(B8:J8)</f>
        <v>2</v>
      </c>
      <c r="L8" s="166"/>
      <c r="M8" s="166"/>
      <c r="N8" s="166"/>
      <c r="O8" s="166"/>
      <c r="P8" s="166"/>
      <c r="Q8" s="166"/>
      <c r="R8" s="166"/>
      <c r="S8" s="166"/>
      <c r="T8" s="166"/>
      <c r="U8" s="166">
        <f t="shared" ref="U8:U71" si="21">SUM(L8:T8)</f>
        <v>0</v>
      </c>
      <c r="V8" s="167"/>
      <c r="W8" s="167"/>
      <c r="X8" s="167"/>
      <c r="Y8" s="167"/>
      <c r="Z8" s="167"/>
      <c r="AA8" s="167"/>
      <c r="AB8" s="167"/>
      <c r="AC8" s="167"/>
      <c r="AD8" s="167"/>
      <c r="AE8" s="167">
        <f t="shared" ref="AE8:AE71" si="22">SUM(V8:AD8)</f>
        <v>0</v>
      </c>
      <c r="AF8" s="168"/>
      <c r="AG8" s="168"/>
      <c r="AH8" s="168"/>
      <c r="AI8" s="168"/>
      <c r="AJ8" s="168"/>
      <c r="AK8" s="168"/>
      <c r="AL8" s="168"/>
      <c r="AM8" s="168"/>
      <c r="AN8" s="168"/>
      <c r="AO8" s="168">
        <f t="shared" ref="AO8:AO71" si="23">SUM(AF8:AN8)</f>
        <v>0</v>
      </c>
      <c r="AP8" s="57">
        <f>B8-B7</f>
        <v>0</v>
      </c>
      <c r="AQ8" s="57">
        <f t="shared" ref="AQ8:AX23" si="24">C8-C7</f>
        <v>0</v>
      </c>
      <c r="AR8" s="57">
        <f t="shared" si="24"/>
        <v>1</v>
      </c>
      <c r="AS8" s="57">
        <f t="shared" si="24"/>
        <v>0</v>
      </c>
      <c r="AT8" s="57">
        <f t="shared" si="24"/>
        <v>0</v>
      </c>
      <c r="AU8" s="57">
        <f t="shared" si="24"/>
        <v>0</v>
      </c>
      <c r="AV8" s="57">
        <f t="shared" si="24"/>
        <v>0</v>
      </c>
      <c r="AW8" s="57">
        <f t="shared" si="24"/>
        <v>0</v>
      </c>
      <c r="AX8" s="57">
        <f t="shared" si="24"/>
        <v>0</v>
      </c>
      <c r="AY8" s="57">
        <f>SUM(AP8:AX8)</f>
        <v>1</v>
      </c>
      <c r="AZ8" s="170"/>
      <c r="BA8" s="170"/>
      <c r="BB8" s="170"/>
      <c r="BC8" s="170"/>
      <c r="BD8" s="170"/>
      <c r="BE8" s="170"/>
      <c r="BF8" s="170"/>
      <c r="BG8" s="170"/>
      <c r="BH8" s="170"/>
      <c r="BI8" s="152">
        <f>SUM(AZ8:BH8)</f>
        <v>0</v>
      </c>
      <c r="BJ8" s="171"/>
      <c r="BK8" s="171"/>
      <c r="BL8" s="171"/>
      <c r="BM8" s="171"/>
      <c r="BN8" s="171"/>
      <c r="BO8" s="171"/>
      <c r="BP8" s="171"/>
      <c r="BQ8" s="171"/>
      <c r="BR8" s="171"/>
      <c r="BS8" s="163">
        <f>SUM(BJ8:BR8)</f>
        <v>0</v>
      </c>
      <c r="BT8" s="172"/>
      <c r="BU8" s="172"/>
      <c r="BV8" s="172"/>
      <c r="BW8" s="172"/>
      <c r="BX8" s="172"/>
      <c r="BY8" s="172"/>
      <c r="BZ8" s="172"/>
      <c r="CA8" s="172"/>
      <c r="CB8" s="172"/>
      <c r="CC8" s="164">
        <f t="shared" ref="CC8:CC71" si="25">U8/(K8)</f>
        <v>0</v>
      </c>
      <c r="CD8" s="179"/>
      <c r="CE8" s="179"/>
      <c r="CF8" s="179"/>
      <c r="CG8" s="179"/>
      <c r="CH8" s="179"/>
      <c r="CI8" s="179"/>
      <c r="CJ8" s="179"/>
      <c r="CK8" s="179"/>
      <c r="CL8" s="179"/>
      <c r="CM8" s="179"/>
      <c r="CN8" s="183">
        <f t="shared" ref="CN8:CN19" si="26">B8/B$5</f>
        <v>0</v>
      </c>
      <c r="CO8" s="183">
        <f t="shared" ref="CO8:CO19" si="27">C8/C$5</f>
        <v>0</v>
      </c>
      <c r="CP8" s="183">
        <f t="shared" ref="CP8:CP19" si="28">D8/D$5</f>
        <v>6.3943561176215268E-8</v>
      </c>
      <c r="CQ8" s="183">
        <f t="shared" ref="CQ8:CQ19" si="29">E8/E$5</f>
        <v>9.0906213711004007E-8</v>
      </c>
      <c r="CR8" s="183">
        <f t="shared" ref="CR8:CR19" si="30">F8/F$5</f>
        <v>0</v>
      </c>
      <c r="CS8" s="183">
        <f t="shared" ref="CS8:CS19" si="31">G8/G$5</f>
        <v>0</v>
      </c>
      <c r="CT8" s="183">
        <f t="shared" ref="CT8:CT19" si="32">H8/H$5</f>
        <v>0</v>
      </c>
      <c r="CU8" s="183">
        <f t="shared" ref="CU8:CU19" si="33">I8/I$5</f>
        <v>0</v>
      </c>
      <c r="CV8" s="183">
        <f t="shared" ref="CV8:CV19" si="34">J8/J$5</f>
        <v>0</v>
      </c>
      <c r="CW8" s="183">
        <f t="shared" ref="CW8:CW19" si="35">K8/K$5</f>
        <v>3.349172826848752E-8</v>
      </c>
      <c r="CX8" s="193">
        <f t="shared" ref="CX8:CX71" si="36">AF8/AF$5</f>
        <v>0</v>
      </c>
      <c r="CY8" s="193">
        <f t="shared" ref="CY8:CY71" si="37">AG8/AG$5</f>
        <v>0</v>
      </c>
      <c r="CZ8" s="193">
        <f t="shared" ref="CZ8:CZ71" si="38">AH8/AH$5</f>
        <v>0</v>
      </c>
      <c r="DA8" s="193">
        <f t="shared" ref="DA8:DA71" si="39">AI8/AI$5</f>
        <v>0</v>
      </c>
      <c r="DB8" s="193">
        <f t="shared" ref="DB8:DB71" si="40">AJ8/AJ$5</f>
        <v>0</v>
      </c>
      <c r="DC8" s="193">
        <f t="shared" ref="DC8:DC71" si="41">AK8/AK$5</f>
        <v>0</v>
      </c>
      <c r="DD8" s="193">
        <f t="shared" ref="DD8:DD71" si="42">AL8/AL$5</f>
        <v>0</v>
      </c>
      <c r="DE8" s="193">
        <f t="shared" ref="DE8:DE71" si="43">AM8/AM$5</f>
        <v>0</v>
      </c>
      <c r="DF8" s="193">
        <f t="shared" ref="DF8:DF71" si="44">AN8/AN$5</f>
        <v>0</v>
      </c>
      <c r="DG8" s="193">
        <f t="shared" ref="DG8:DG71" si="45">AO8/AO$5</f>
        <v>0</v>
      </c>
    </row>
    <row r="9" spans="1:111" s="173" customFormat="1">
      <c r="A9" s="150">
        <f t="shared" si="17"/>
        <v>43898</v>
      </c>
      <c r="B9" s="165">
        <v>0</v>
      </c>
      <c r="C9" s="165">
        <v>0</v>
      </c>
      <c r="D9" s="165">
        <v>1</v>
      </c>
      <c r="E9" s="165">
        <v>2</v>
      </c>
      <c r="F9" s="165">
        <v>0</v>
      </c>
      <c r="G9" s="165">
        <v>0</v>
      </c>
      <c r="H9" s="165">
        <v>0</v>
      </c>
      <c r="I9" s="165">
        <v>0</v>
      </c>
      <c r="J9" s="165">
        <v>0</v>
      </c>
      <c r="K9" s="165">
        <f t="shared" si="20"/>
        <v>3</v>
      </c>
      <c r="L9" s="166"/>
      <c r="M9" s="166"/>
      <c r="N9" s="166"/>
      <c r="O9" s="166"/>
      <c r="P9" s="166"/>
      <c r="Q9" s="166"/>
      <c r="R9" s="166"/>
      <c r="S9" s="166"/>
      <c r="T9" s="166"/>
      <c r="U9" s="166">
        <f t="shared" si="21"/>
        <v>0</v>
      </c>
      <c r="V9" s="167"/>
      <c r="W9" s="167"/>
      <c r="X9" s="167"/>
      <c r="Y9" s="167"/>
      <c r="Z9" s="167"/>
      <c r="AA9" s="167"/>
      <c r="AB9" s="167"/>
      <c r="AC9" s="167"/>
      <c r="AD9" s="167"/>
      <c r="AE9" s="167">
        <f t="shared" si="22"/>
        <v>0</v>
      </c>
      <c r="AF9" s="168"/>
      <c r="AG9" s="168"/>
      <c r="AH9" s="168"/>
      <c r="AI9" s="168"/>
      <c r="AJ9" s="168"/>
      <c r="AK9" s="168"/>
      <c r="AL9" s="168"/>
      <c r="AM9" s="168"/>
      <c r="AN9" s="168"/>
      <c r="AO9" s="168">
        <f t="shared" si="23"/>
        <v>0</v>
      </c>
      <c r="AP9" s="57">
        <f t="shared" ref="AP9:AX50" si="46">B9-B8</f>
        <v>0</v>
      </c>
      <c r="AQ9" s="57">
        <f t="shared" si="24"/>
        <v>0</v>
      </c>
      <c r="AR9" s="57">
        <f t="shared" si="24"/>
        <v>0</v>
      </c>
      <c r="AS9" s="57">
        <f t="shared" si="24"/>
        <v>1</v>
      </c>
      <c r="AT9" s="57">
        <f t="shared" si="24"/>
        <v>0</v>
      </c>
      <c r="AU9" s="57">
        <f t="shared" si="24"/>
        <v>0</v>
      </c>
      <c r="AV9" s="57">
        <f t="shared" si="24"/>
        <v>0</v>
      </c>
      <c r="AW9" s="57">
        <f t="shared" si="24"/>
        <v>0</v>
      </c>
      <c r="AX9" s="57">
        <f t="shared" si="24"/>
        <v>0</v>
      </c>
      <c r="AY9" s="57">
        <f t="shared" ref="AY9:AY71" si="47">SUM(AP9:AX9)</f>
        <v>1</v>
      </c>
      <c r="AZ9" s="170"/>
      <c r="BA9" s="170"/>
      <c r="BB9" s="170"/>
      <c r="BC9" s="170"/>
      <c r="BD9" s="170"/>
      <c r="BE9" s="170"/>
      <c r="BF9" s="170"/>
      <c r="BG9" s="170"/>
      <c r="BH9" s="170"/>
      <c r="BI9" s="152">
        <f t="shared" ref="BI9:BI72" si="48">SUM(AZ9:BH9)</f>
        <v>0</v>
      </c>
      <c r="BJ9" s="171"/>
      <c r="BK9" s="171"/>
      <c r="BL9" s="171"/>
      <c r="BM9" s="171"/>
      <c r="BN9" s="171"/>
      <c r="BO9" s="171"/>
      <c r="BP9" s="171"/>
      <c r="BQ9" s="171"/>
      <c r="BR9" s="171"/>
      <c r="BS9" s="163">
        <f t="shared" ref="BS9:BS72" si="49">SUM(BJ9:BR9)</f>
        <v>0</v>
      </c>
      <c r="BT9" s="172"/>
      <c r="BU9" s="172"/>
      <c r="BV9" s="172"/>
      <c r="BW9" s="172"/>
      <c r="BX9" s="172"/>
      <c r="BY9" s="172"/>
      <c r="BZ9" s="172"/>
      <c r="CA9" s="172"/>
      <c r="CB9" s="172"/>
      <c r="CC9" s="164">
        <f t="shared" si="25"/>
        <v>0</v>
      </c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83">
        <f t="shared" si="26"/>
        <v>0</v>
      </c>
      <c r="CO9" s="183">
        <f t="shared" si="27"/>
        <v>0</v>
      </c>
      <c r="CP9" s="183">
        <f t="shared" si="28"/>
        <v>6.3943561176215268E-8</v>
      </c>
      <c r="CQ9" s="183">
        <f t="shared" si="29"/>
        <v>1.8181242742200801E-7</v>
      </c>
      <c r="CR9" s="183">
        <f t="shared" si="30"/>
        <v>0</v>
      </c>
      <c r="CS9" s="183">
        <f t="shared" si="31"/>
        <v>0</v>
      </c>
      <c r="CT9" s="183">
        <f t="shared" si="32"/>
        <v>0</v>
      </c>
      <c r="CU9" s="183">
        <f t="shared" si="33"/>
        <v>0</v>
      </c>
      <c r="CV9" s="183">
        <f t="shared" si="34"/>
        <v>0</v>
      </c>
      <c r="CW9" s="183">
        <f t="shared" si="35"/>
        <v>5.0237592402731283E-8</v>
      </c>
      <c r="CX9" s="193">
        <f t="shared" si="36"/>
        <v>0</v>
      </c>
      <c r="CY9" s="193">
        <f t="shared" si="37"/>
        <v>0</v>
      </c>
      <c r="CZ9" s="193">
        <f t="shared" si="38"/>
        <v>0</v>
      </c>
      <c r="DA9" s="193">
        <f t="shared" si="39"/>
        <v>0</v>
      </c>
      <c r="DB9" s="193">
        <f t="shared" si="40"/>
        <v>0</v>
      </c>
      <c r="DC9" s="193">
        <f t="shared" si="41"/>
        <v>0</v>
      </c>
      <c r="DD9" s="193">
        <f t="shared" si="42"/>
        <v>0</v>
      </c>
      <c r="DE9" s="193">
        <f t="shared" si="43"/>
        <v>0</v>
      </c>
      <c r="DF9" s="193">
        <f t="shared" si="44"/>
        <v>0</v>
      </c>
      <c r="DG9" s="193">
        <f t="shared" si="45"/>
        <v>0</v>
      </c>
    </row>
    <row r="10" spans="1:111" s="173" customFormat="1">
      <c r="A10" s="150">
        <f t="shared" si="17"/>
        <v>43899</v>
      </c>
      <c r="B10" s="165">
        <v>0</v>
      </c>
      <c r="C10" s="165">
        <v>0</v>
      </c>
      <c r="D10" s="165">
        <v>1</v>
      </c>
      <c r="E10" s="165">
        <v>6</v>
      </c>
      <c r="F10" s="165">
        <v>0</v>
      </c>
      <c r="G10" s="165">
        <v>0</v>
      </c>
      <c r="H10" s="165">
        <v>0</v>
      </c>
      <c r="I10" s="165">
        <v>0</v>
      </c>
      <c r="J10" s="165">
        <v>0</v>
      </c>
      <c r="K10" s="165">
        <f t="shared" si="20"/>
        <v>7</v>
      </c>
      <c r="L10" s="166"/>
      <c r="M10" s="166"/>
      <c r="N10" s="166"/>
      <c r="O10" s="166"/>
      <c r="P10" s="166"/>
      <c r="Q10" s="166"/>
      <c r="R10" s="166"/>
      <c r="S10" s="166"/>
      <c r="T10" s="166"/>
      <c r="U10" s="166">
        <f t="shared" si="21"/>
        <v>0</v>
      </c>
      <c r="V10" s="167"/>
      <c r="W10" s="167"/>
      <c r="X10" s="167"/>
      <c r="Y10" s="167"/>
      <c r="Z10" s="167"/>
      <c r="AA10" s="167"/>
      <c r="AB10" s="167"/>
      <c r="AC10" s="167"/>
      <c r="AD10" s="167"/>
      <c r="AE10" s="167">
        <f t="shared" si="22"/>
        <v>0</v>
      </c>
      <c r="AF10" s="168"/>
      <c r="AG10" s="168"/>
      <c r="AH10" s="168"/>
      <c r="AI10" s="168"/>
      <c r="AJ10" s="168"/>
      <c r="AK10" s="168"/>
      <c r="AL10" s="168"/>
      <c r="AM10" s="168"/>
      <c r="AN10" s="168"/>
      <c r="AO10" s="168">
        <f t="shared" si="23"/>
        <v>0</v>
      </c>
      <c r="AP10" s="57">
        <f t="shared" si="46"/>
        <v>0</v>
      </c>
      <c r="AQ10" s="57">
        <f t="shared" si="24"/>
        <v>0</v>
      </c>
      <c r="AR10" s="57">
        <f t="shared" si="24"/>
        <v>0</v>
      </c>
      <c r="AS10" s="57">
        <f t="shared" si="24"/>
        <v>4</v>
      </c>
      <c r="AT10" s="57">
        <f t="shared" si="24"/>
        <v>0</v>
      </c>
      <c r="AU10" s="57">
        <f t="shared" si="24"/>
        <v>0</v>
      </c>
      <c r="AV10" s="57">
        <f t="shared" si="24"/>
        <v>0</v>
      </c>
      <c r="AW10" s="57">
        <f t="shared" si="24"/>
        <v>0</v>
      </c>
      <c r="AX10" s="57">
        <f t="shared" si="24"/>
        <v>0</v>
      </c>
      <c r="AY10" s="57">
        <f t="shared" si="47"/>
        <v>4</v>
      </c>
      <c r="AZ10" s="170"/>
      <c r="BA10" s="170"/>
      <c r="BB10" s="170"/>
      <c r="BC10" s="170"/>
      <c r="BD10" s="170"/>
      <c r="BE10" s="170"/>
      <c r="BF10" s="170"/>
      <c r="BG10" s="170"/>
      <c r="BH10" s="170"/>
      <c r="BI10" s="152">
        <f t="shared" si="48"/>
        <v>0</v>
      </c>
      <c r="BJ10" s="171"/>
      <c r="BK10" s="171"/>
      <c r="BL10" s="171"/>
      <c r="BM10" s="171"/>
      <c r="BN10" s="171"/>
      <c r="BO10" s="171"/>
      <c r="BP10" s="171"/>
      <c r="BQ10" s="171"/>
      <c r="BR10" s="171"/>
      <c r="BS10" s="163">
        <f t="shared" si="49"/>
        <v>0</v>
      </c>
      <c r="BT10" s="172"/>
      <c r="BU10" s="172"/>
      <c r="BV10" s="172"/>
      <c r="BW10" s="172"/>
      <c r="BX10" s="172"/>
      <c r="BY10" s="172"/>
      <c r="BZ10" s="172"/>
      <c r="CA10" s="172"/>
      <c r="CB10" s="172"/>
      <c r="CC10" s="164">
        <f t="shared" si="25"/>
        <v>0</v>
      </c>
      <c r="CD10" s="179"/>
      <c r="CE10" s="179"/>
      <c r="CF10" s="179"/>
      <c r="CG10" s="179"/>
      <c r="CH10" s="179"/>
      <c r="CI10" s="179"/>
      <c r="CJ10" s="179"/>
      <c r="CK10" s="179"/>
      <c r="CL10" s="179"/>
      <c r="CM10" s="179"/>
      <c r="CN10" s="183">
        <f t="shared" si="26"/>
        <v>0</v>
      </c>
      <c r="CO10" s="183">
        <f t="shared" si="27"/>
        <v>0</v>
      </c>
      <c r="CP10" s="183">
        <f t="shared" si="28"/>
        <v>6.3943561176215268E-8</v>
      </c>
      <c r="CQ10" s="183">
        <f t="shared" si="29"/>
        <v>5.4543728226602407E-7</v>
      </c>
      <c r="CR10" s="183">
        <f t="shared" si="30"/>
        <v>0</v>
      </c>
      <c r="CS10" s="183">
        <f t="shared" si="31"/>
        <v>0</v>
      </c>
      <c r="CT10" s="183">
        <f t="shared" si="32"/>
        <v>0</v>
      </c>
      <c r="CU10" s="183">
        <f t="shared" si="33"/>
        <v>0</v>
      </c>
      <c r="CV10" s="183">
        <f t="shared" si="34"/>
        <v>0</v>
      </c>
      <c r="CW10" s="183">
        <f t="shared" si="35"/>
        <v>1.1722104893970634E-7</v>
      </c>
      <c r="CX10" s="193">
        <f t="shared" si="36"/>
        <v>0</v>
      </c>
      <c r="CY10" s="193">
        <f t="shared" si="37"/>
        <v>0</v>
      </c>
      <c r="CZ10" s="193">
        <f t="shared" si="38"/>
        <v>0</v>
      </c>
      <c r="DA10" s="193">
        <f t="shared" si="39"/>
        <v>0</v>
      </c>
      <c r="DB10" s="193">
        <f t="shared" si="40"/>
        <v>0</v>
      </c>
      <c r="DC10" s="193">
        <f t="shared" si="41"/>
        <v>0</v>
      </c>
      <c r="DD10" s="193">
        <f t="shared" si="42"/>
        <v>0</v>
      </c>
      <c r="DE10" s="193">
        <f t="shared" si="43"/>
        <v>0</v>
      </c>
      <c r="DF10" s="193">
        <f t="shared" si="44"/>
        <v>0</v>
      </c>
      <c r="DG10" s="193">
        <f t="shared" si="45"/>
        <v>0</v>
      </c>
    </row>
    <row r="11" spans="1:111" s="173" customFormat="1">
      <c r="A11" s="150">
        <f t="shared" si="17"/>
        <v>43900</v>
      </c>
      <c r="B11" s="165">
        <v>0</v>
      </c>
      <c r="C11" s="165">
        <v>0</v>
      </c>
      <c r="D11" s="165">
        <v>1</v>
      </c>
      <c r="E11" s="165">
        <v>6</v>
      </c>
      <c r="F11" s="165">
        <v>0</v>
      </c>
      <c r="G11" s="165">
        <v>0</v>
      </c>
      <c r="H11" s="165">
        <v>0</v>
      </c>
      <c r="I11" s="165">
        <v>0</v>
      </c>
      <c r="J11" s="165">
        <v>1</v>
      </c>
      <c r="K11" s="165">
        <f t="shared" si="20"/>
        <v>8</v>
      </c>
      <c r="L11" s="166"/>
      <c r="M11" s="166"/>
      <c r="N11" s="166"/>
      <c r="O11" s="166"/>
      <c r="P11" s="166"/>
      <c r="Q11" s="166"/>
      <c r="R11" s="166"/>
      <c r="S11" s="166"/>
      <c r="T11" s="166"/>
      <c r="U11" s="166">
        <f t="shared" si="21"/>
        <v>0</v>
      </c>
      <c r="V11" s="167"/>
      <c r="W11" s="167"/>
      <c r="X11" s="167"/>
      <c r="Y11" s="167"/>
      <c r="Z11" s="167"/>
      <c r="AA11" s="167"/>
      <c r="AB11" s="167"/>
      <c r="AC11" s="167"/>
      <c r="AD11" s="167"/>
      <c r="AE11" s="167">
        <f t="shared" si="22"/>
        <v>0</v>
      </c>
      <c r="AF11" s="168"/>
      <c r="AG11" s="168"/>
      <c r="AH11" s="168"/>
      <c r="AI11" s="168"/>
      <c r="AJ11" s="168"/>
      <c r="AK11" s="168"/>
      <c r="AL11" s="168"/>
      <c r="AM11" s="168"/>
      <c r="AN11" s="168"/>
      <c r="AO11" s="168">
        <f t="shared" si="23"/>
        <v>0</v>
      </c>
      <c r="AP11" s="57">
        <f t="shared" si="46"/>
        <v>0</v>
      </c>
      <c r="AQ11" s="57">
        <f t="shared" si="24"/>
        <v>0</v>
      </c>
      <c r="AR11" s="57">
        <f t="shared" si="24"/>
        <v>0</v>
      </c>
      <c r="AS11" s="57">
        <f t="shared" si="24"/>
        <v>0</v>
      </c>
      <c r="AT11" s="57">
        <f t="shared" si="24"/>
        <v>0</v>
      </c>
      <c r="AU11" s="57">
        <f t="shared" si="24"/>
        <v>0</v>
      </c>
      <c r="AV11" s="57">
        <f t="shared" si="24"/>
        <v>0</v>
      </c>
      <c r="AW11" s="57">
        <f t="shared" si="24"/>
        <v>0</v>
      </c>
      <c r="AX11" s="57">
        <f t="shared" si="24"/>
        <v>1</v>
      </c>
      <c r="AY11" s="57">
        <f t="shared" si="47"/>
        <v>1</v>
      </c>
      <c r="AZ11" s="170"/>
      <c r="BA11" s="170"/>
      <c r="BB11" s="170"/>
      <c r="BC11" s="170"/>
      <c r="BD11" s="170"/>
      <c r="BE11" s="170"/>
      <c r="BF11" s="170"/>
      <c r="BG11" s="170"/>
      <c r="BH11" s="170"/>
      <c r="BI11" s="152">
        <f t="shared" si="48"/>
        <v>0</v>
      </c>
      <c r="BJ11" s="171"/>
      <c r="BK11" s="171"/>
      <c r="BL11" s="171"/>
      <c r="BM11" s="171"/>
      <c r="BN11" s="171"/>
      <c r="BO11" s="171"/>
      <c r="BP11" s="171"/>
      <c r="BQ11" s="171"/>
      <c r="BR11" s="171"/>
      <c r="BS11" s="163">
        <f t="shared" si="49"/>
        <v>0</v>
      </c>
      <c r="BT11" s="172"/>
      <c r="BU11" s="172"/>
      <c r="BV11" s="172"/>
      <c r="BW11" s="172"/>
      <c r="BX11" s="172"/>
      <c r="BY11" s="172"/>
      <c r="BZ11" s="172"/>
      <c r="CA11" s="172"/>
      <c r="CB11" s="172"/>
      <c r="CC11" s="164">
        <f t="shared" si="25"/>
        <v>0</v>
      </c>
      <c r="CD11" s="179"/>
      <c r="CE11" s="179"/>
      <c r="CF11" s="179"/>
      <c r="CG11" s="179"/>
      <c r="CH11" s="179"/>
      <c r="CI11" s="179"/>
      <c r="CJ11" s="179"/>
      <c r="CK11" s="179"/>
      <c r="CL11" s="179"/>
      <c r="CM11" s="179"/>
      <c r="CN11" s="183">
        <f t="shared" si="26"/>
        <v>0</v>
      </c>
      <c r="CO11" s="183">
        <f t="shared" si="27"/>
        <v>0</v>
      </c>
      <c r="CP11" s="183">
        <f t="shared" si="28"/>
        <v>6.3943561176215268E-8</v>
      </c>
      <c r="CQ11" s="183">
        <f t="shared" si="29"/>
        <v>5.4543728226602407E-7</v>
      </c>
      <c r="CR11" s="183">
        <f t="shared" si="30"/>
        <v>0</v>
      </c>
      <c r="CS11" s="183">
        <f t="shared" si="31"/>
        <v>0</v>
      </c>
      <c r="CT11" s="183">
        <f t="shared" si="32"/>
        <v>0</v>
      </c>
      <c r="CU11" s="183">
        <f t="shared" si="33"/>
        <v>0</v>
      </c>
      <c r="CV11" s="183">
        <f t="shared" si="34"/>
        <v>1.3690087139513282E-7</v>
      </c>
      <c r="CW11" s="183">
        <f t="shared" si="35"/>
        <v>1.3396691307395008E-7</v>
      </c>
      <c r="CX11" s="193">
        <f t="shared" si="36"/>
        <v>0</v>
      </c>
      <c r="CY11" s="193">
        <f t="shared" si="37"/>
        <v>0</v>
      </c>
      <c r="CZ11" s="193">
        <f t="shared" si="38"/>
        <v>0</v>
      </c>
      <c r="DA11" s="193">
        <f t="shared" si="39"/>
        <v>0</v>
      </c>
      <c r="DB11" s="193">
        <f t="shared" si="40"/>
        <v>0</v>
      </c>
      <c r="DC11" s="193">
        <f t="shared" si="41"/>
        <v>0</v>
      </c>
      <c r="DD11" s="193">
        <f t="shared" si="42"/>
        <v>0</v>
      </c>
      <c r="DE11" s="193">
        <f t="shared" si="43"/>
        <v>0</v>
      </c>
      <c r="DF11" s="193">
        <f t="shared" si="44"/>
        <v>0</v>
      </c>
      <c r="DG11" s="193">
        <f t="shared" si="45"/>
        <v>0</v>
      </c>
    </row>
    <row r="12" spans="1:111" s="173" customFormat="1">
      <c r="A12" s="150">
        <f t="shared" si="17"/>
        <v>43901</v>
      </c>
      <c r="B12" s="165">
        <v>0</v>
      </c>
      <c r="C12" s="165">
        <v>0</v>
      </c>
      <c r="D12" s="165">
        <v>5</v>
      </c>
      <c r="E12" s="165">
        <v>7</v>
      </c>
      <c r="F12" s="165">
        <v>0</v>
      </c>
      <c r="G12" s="165">
        <v>0</v>
      </c>
      <c r="H12" s="165">
        <v>0</v>
      </c>
      <c r="I12" s="165">
        <v>0</v>
      </c>
      <c r="J12" s="165">
        <v>1</v>
      </c>
      <c r="K12" s="165">
        <f t="shared" si="20"/>
        <v>13</v>
      </c>
      <c r="L12" s="166"/>
      <c r="M12" s="166"/>
      <c r="N12" s="166"/>
      <c r="O12" s="166"/>
      <c r="P12" s="166"/>
      <c r="Q12" s="166"/>
      <c r="R12" s="166"/>
      <c r="S12" s="166"/>
      <c r="T12" s="166"/>
      <c r="U12" s="166">
        <f t="shared" si="21"/>
        <v>0</v>
      </c>
      <c r="V12" s="167"/>
      <c r="W12" s="167"/>
      <c r="X12" s="167"/>
      <c r="Y12" s="167"/>
      <c r="Z12" s="167"/>
      <c r="AA12" s="167"/>
      <c r="AB12" s="167"/>
      <c r="AC12" s="167"/>
      <c r="AD12" s="167"/>
      <c r="AE12" s="167">
        <f t="shared" si="22"/>
        <v>0</v>
      </c>
      <c r="AF12" s="168"/>
      <c r="AG12" s="168"/>
      <c r="AH12" s="168"/>
      <c r="AI12" s="168"/>
      <c r="AJ12" s="168"/>
      <c r="AK12" s="168"/>
      <c r="AL12" s="168"/>
      <c r="AM12" s="168"/>
      <c r="AN12" s="168"/>
      <c r="AO12" s="168">
        <f t="shared" si="23"/>
        <v>0</v>
      </c>
      <c r="AP12" s="57">
        <f t="shared" si="46"/>
        <v>0</v>
      </c>
      <c r="AQ12" s="57">
        <f t="shared" si="24"/>
        <v>0</v>
      </c>
      <c r="AR12" s="57">
        <f t="shared" si="24"/>
        <v>4</v>
      </c>
      <c r="AS12" s="57">
        <f t="shared" si="24"/>
        <v>1</v>
      </c>
      <c r="AT12" s="57">
        <f t="shared" si="24"/>
        <v>0</v>
      </c>
      <c r="AU12" s="57">
        <f t="shared" si="24"/>
        <v>0</v>
      </c>
      <c r="AV12" s="57">
        <f t="shared" si="24"/>
        <v>0</v>
      </c>
      <c r="AW12" s="57">
        <f t="shared" si="24"/>
        <v>0</v>
      </c>
      <c r="AX12" s="57">
        <f t="shared" si="24"/>
        <v>0</v>
      </c>
      <c r="AY12" s="57">
        <f t="shared" si="47"/>
        <v>5</v>
      </c>
      <c r="AZ12" s="170"/>
      <c r="BA12" s="170"/>
      <c r="BB12" s="170"/>
      <c r="BC12" s="170"/>
      <c r="BD12" s="170"/>
      <c r="BE12" s="170"/>
      <c r="BF12" s="170"/>
      <c r="BG12" s="170"/>
      <c r="BH12" s="170"/>
      <c r="BI12" s="152">
        <f t="shared" si="48"/>
        <v>0</v>
      </c>
      <c r="BJ12" s="171"/>
      <c r="BK12" s="171"/>
      <c r="BL12" s="171"/>
      <c r="BM12" s="171"/>
      <c r="BN12" s="171"/>
      <c r="BO12" s="171"/>
      <c r="BP12" s="171"/>
      <c r="BQ12" s="171"/>
      <c r="BR12" s="171"/>
      <c r="BS12" s="163">
        <f t="shared" si="49"/>
        <v>0</v>
      </c>
      <c r="BT12" s="172"/>
      <c r="BU12" s="172"/>
      <c r="BV12" s="172"/>
      <c r="BW12" s="172"/>
      <c r="BX12" s="172"/>
      <c r="BY12" s="172"/>
      <c r="BZ12" s="172"/>
      <c r="CA12" s="172"/>
      <c r="CB12" s="172"/>
      <c r="CC12" s="164">
        <f t="shared" si="25"/>
        <v>0</v>
      </c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83">
        <f t="shared" si="26"/>
        <v>0</v>
      </c>
      <c r="CO12" s="183">
        <f t="shared" si="27"/>
        <v>0</v>
      </c>
      <c r="CP12" s="183">
        <f t="shared" si="28"/>
        <v>3.1971780588107635E-7</v>
      </c>
      <c r="CQ12" s="183">
        <f t="shared" si="29"/>
        <v>6.3634349597702801E-7</v>
      </c>
      <c r="CR12" s="183">
        <f t="shared" si="30"/>
        <v>0</v>
      </c>
      <c r="CS12" s="183">
        <f t="shared" si="31"/>
        <v>0</v>
      </c>
      <c r="CT12" s="183">
        <f t="shared" si="32"/>
        <v>0</v>
      </c>
      <c r="CU12" s="183">
        <f t="shared" si="33"/>
        <v>0</v>
      </c>
      <c r="CV12" s="183">
        <f t="shared" si="34"/>
        <v>1.3690087139513282E-7</v>
      </c>
      <c r="CW12" s="183">
        <f t="shared" si="35"/>
        <v>2.1769623374516889E-7</v>
      </c>
      <c r="CX12" s="193">
        <f t="shared" si="36"/>
        <v>0</v>
      </c>
      <c r="CY12" s="193">
        <f t="shared" si="37"/>
        <v>0</v>
      </c>
      <c r="CZ12" s="193">
        <f t="shared" si="38"/>
        <v>0</v>
      </c>
      <c r="DA12" s="193">
        <f t="shared" si="39"/>
        <v>0</v>
      </c>
      <c r="DB12" s="193">
        <f t="shared" si="40"/>
        <v>0</v>
      </c>
      <c r="DC12" s="193">
        <f t="shared" si="41"/>
        <v>0</v>
      </c>
      <c r="DD12" s="193">
        <f t="shared" si="42"/>
        <v>0</v>
      </c>
      <c r="DE12" s="193">
        <f t="shared" si="43"/>
        <v>0</v>
      </c>
      <c r="DF12" s="193">
        <f t="shared" si="44"/>
        <v>0</v>
      </c>
      <c r="DG12" s="193">
        <f t="shared" si="45"/>
        <v>0</v>
      </c>
    </row>
    <row r="13" spans="1:111" s="173" customFormat="1">
      <c r="A13" s="150">
        <f t="shared" si="17"/>
        <v>43902</v>
      </c>
      <c r="B13" s="165">
        <v>0</v>
      </c>
      <c r="C13" s="165">
        <v>0</v>
      </c>
      <c r="D13" s="165">
        <v>6</v>
      </c>
      <c r="E13" s="165">
        <v>8</v>
      </c>
      <c r="F13" s="165">
        <v>0</v>
      </c>
      <c r="G13" s="165">
        <v>1</v>
      </c>
      <c r="H13" s="165">
        <v>0</v>
      </c>
      <c r="I13" s="165">
        <v>0</v>
      </c>
      <c r="J13" s="165">
        <v>1</v>
      </c>
      <c r="K13" s="165">
        <f t="shared" si="20"/>
        <v>16</v>
      </c>
      <c r="L13" s="166"/>
      <c r="M13" s="166"/>
      <c r="N13" s="166"/>
      <c r="O13" s="166"/>
      <c r="P13" s="166"/>
      <c r="Q13" s="166"/>
      <c r="R13" s="166"/>
      <c r="S13" s="166"/>
      <c r="T13" s="166"/>
      <c r="U13" s="166">
        <f t="shared" si="21"/>
        <v>0</v>
      </c>
      <c r="V13" s="167"/>
      <c r="W13" s="167"/>
      <c r="X13" s="167"/>
      <c r="Y13" s="167"/>
      <c r="Z13" s="167"/>
      <c r="AA13" s="167"/>
      <c r="AB13" s="167"/>
      <c r="AC13" s="167"/>
      <c r="AD13" s="167"/>
      <c r="AE13" s="167">
        <f t="shared" si="22"/>
        <v>0</v>
      </c>
      <c r="AF13" s="168"/>
      <c r="AG13" s="168"/>
      <c r="AH13" s="168"/>
      <c r="AI13" s="168"/>
      <c r="AJ13" s="168"/>
      <c r="AK13" s="168"/>
      <c r="AL13" s="168"/>
      <c r="AM13" s="168"/>
      <c r="AN13" s="168"/>
      <c r="AO13" s="168">
        <f t="shared" si="23"/>
        <v>0</v>
      </c>
      <c r="AP13" s="57">
        <f t="shared" si="46"/>
        <v>0</v>
      </c>
      <c r="AQ13" s="57">
        <f t="shared" si="24"/>
        <v>0</v>
      </c>
      <c r="AR13" s="57">
        <f t="shared" si="24"/>
        <v>1</v>
      </c>
      <c r="AS13" s="57">
        <f t="shared" si="24"/>
        <v>1</v>
      </c>
      <c r="AT13" s="57">
        <f t="shared" si="24"/>
        <v>0</v>
      </c>
      <c r="AU13" s="57">
        <f t="shared" si="24"/>
        <v>1</v>
      </c>
      <c r="AV13" s="57">
        <f t="shared" si="24"/>
        <v>0</v>
      </c>
      <c r="AW13" s="57">
        <f t="shared" si="24"/>
        <v>0</v>
      </c>
      <c r="AX13" s="57">
        <f t="shared" si="24"/>
        <v>0</v>
      </c>
      <c r="AY13" s="57">
        <f t="shared" si="47"/>
        <v>3</v>
      </c>
      <c r="AZ13" s="170"/>
      <c r="BA13" s="170"/>
      <c r="BB13" s="170"/>
      <c r="BC13" s="170"/>
      <c r="BD13" s="170"/>
      <c r="BE13" s="170"/>
      <c r="BF13" s="170"/>
      <c r="BG13" s="170"/>
      <c r="BH13" s="170"/>
      <c r="BI13" s="152">
        <f t="shared" si="48"/>
        <v>0</v>
      </c>
      <c r="BJ13" s="171"/>
      <c r="BK13" s="171"/>
      <c r="BL13" s="171"/>
      <c r="BM13" s="171"/>
      <c r="BN13" s="171"/>
      <c r="BO13" s="171"/>
      <c r="BP13" s="171"/>
      <c r="BQ13" s="171"/>
      <c r="BR13" s="171"/>
      <c r="BS13" s="163">
        <f t="shared" si="49"/>
        <v>0</v>
      </c>
      <c r="BT13" s="172"/>
      <c r="BU13" s="172"/>
      <c r="BV13" s="172"/>
      <c r="BW13" s="172"/>
      <c r="BX13" s="172"/>
      <c r="BY13" s="172"/>
      <c r="BZ13" s="172"/>
      <c r="CA13" s="172"/>
      <c r="CB13" s="172"/>
      <c r="CC13" s="164">
        <f t="shared" si="25"/>
        <v>0</v>
      </c>
      <c r="CD13" s="179"/>
      <c r="CE13" s="179"/>
      <c r="CF13" s="179"/>
      <c r="CG13" s="179"/>
      <c r="CH13" s="179"/>
      <c r="CI13" s="179"/>
      <c r="CJ13" s="179"/>
      <c r="CK13" s="179"/>
      <c r="CL13" s="179"/>
      <c r="CM13" s="179"/>
      <c r="CN13" s="183">
        <f t="shared" si="26"/>
        <v>0</v>
      </c>
      <c r="CO13" s="183">
        <f t="shared" si="27"/>
        <v>0</v>
      </c>
      <c r="CP13" s="183">
        <f t="shared" si="28"/>
        <v>3.8366136705729158E-7</v>
      </c>
      <c r="CQ13" s="183">
        <f t="shared" si="29"/>
        <v>7.2724970968803206E-7</v>
      </c>
      <c r="CR13" s="183">
        <f t="shared" si="30"/>
        <v>0</v>
      </c>
      <c r="CS13" s="183">
        <f t="shared" si="31"/>
        <v>2.0793538026054598E-7</v>
      </c>
      <c r="CT13" s="183">
        <f t="shared" si="32"/>
        <v>0</v>
      </c>
      <c r="CU13" s="183">
        <f t="shared" si="33"/>
        <v>0</v>
      </c>
      <c r="CV13" s="183">
        <f t="shared" si="34"/>
        <v>1.3690087139513282E-7</v>
      </c>
      <c r="CW13" s="183">
        <f t="shared" si="35"/>
        <v>2.6793382614790016E-7</v>
      </c>
      <c r="CX13" s="193">
        <f t="shared" si="36"/>
        <v>0</v>
      </c>
      <c r="CY13" s="193">
        <f t="shared" si="37"/>
        <v>0</v>
      </c>
      <c r="CZ13" s="193">
        <f t="shared" si="38"/>
        <v>0</v>
      </c>
      <c r="DA13" s="193">
        <f t="shared" si="39"/>
        <v>0</v>
      </c>
      <c r="DB13" s="193">
        <f t="shared" si="40"/>
        <v>0</v>
      </c>
      <c r="DC13" s="193">
        <f t="shared" si="41"/>
        <v>0</v>
      </c>
      <c r="DD13" s="193">
        <f t="shared" si="42"/>
        <v>0</v>
      </c>
      <c r="DE13" s="193">
        <f t="shared" si="43"/>
        <v>0</v>
      </c>
      <c r="DF13" s="193">
        <f t="shared" si="44"/>
        <v>0</v>
      </c>
      <c r="DG13" s="193">
        <f t="shared" si="45"/>
        <v>0</v>
      </c>
    </row>
    <row r="14" spans="1:111" s="173" customFormat="1">
      <c r="A14" s="150">
        <f t="shared" si="17"/>
        <v>43903</v>
      </c>
      <c r="B14" s="165">
        <v>0</v>
      </c>
      <c r="C14" s="165">
        <v>0</v>
      </c>
      <c r="D14" s="165">
        <v>10</v>
      </c>
      <c r="E14" s="165">
        <v>10</v>
      </c>
      <c r="F14" s="165">
        <v>0</v>
      </c>
      <c r="G14" s="165">
        <v>1</v>
      </c>
      <c r="H14" s="165">
        <v>0</v>
      </c>
      <c r="I14" s="165">
        <v>0</v>
      </c>
      <c r="J14" s="165">
        <v>3</v>
      </c>
      <c r="K14" s="165">
        <f t="shared" si="20"/>
        <v>24</v>
      </c>
      <c r="L14" s="166"/>
      <c r="M14" s="166"/>
      <c r="N14" s="166"/>
      <c r="O14" s="166"/>
      <c r="P14" s="166"/>
      <c r="Q14" s="166"/>
      <c r="R14" s="166"/>
      <c r="S14" s="166"/>
      <c r="T14" s="166"/>
      <c r="U14" s="166">
        <f t="shared" si="21"/>
        <v>0</v>
      </c>
      <c r="V14" s="167"/>
      <c r="W14" s="167"/>
      <c r="X14" s="167"/>
      <c r="Y14" s="167"/>
      <c r="Z14" s="167"/>
      <c r="AA14" s="167"/>
      <c r="AB14" s="167"/>
      <c r="AC14" s="167"/>
      <c r="AD14" s="167"/>
      <c r="AE14" s="167">
        <f t="shared" si="22"/>
        <v>0</v>
      </c>
      <c r="AF14" s="168"/>
      <c r="AG14" s="168"/>
      <c r="AH14" s="168"/>
      <c r="AI14" s="168"/>
      <c r="AJ14" s="168"/>
      <c r="AK14" s="168"/>
      <c r="AL14" s="168"/>
      <c r="AM14" s="168"/>
      <c r="AN14" s="168"/>
      <c r="AO14" s="168">
        <f t="shared" si="23"/>
        <v>0</v>
      </c>
      <c r="AP14" s="57">
        <f t="shared" si="46"/>
        <v>0</v>
      </c>
      <c r="AQ14" s="57">
        <f t="shared" si="24"/>
        <v>0</v>
      </c>
      <c r="AR14" s="57">
        <f t="shared" si="24"/>
        <v>4</v>
      </c>
      <c r="AS14" s="57">
        <f t="shared" si="24"/>
        <v>2</v>
      </c>
      <c r="AT14" s="57">
        <f t="shared" si="24"/>
        <v>0</v>
      </c>
      <c r="AU14" s="57">
        <f t="shared" si="24"/>
        <v>0</v>
      </c>
      <c r="AV14" s="57">
        <f t="shared" si="24"/>
        <v>0</v>
      </c>
      <c r="AW14" s="57">
        <f t="shared" si="24"/>
        <v>0</v>
      </c>
      <c r="AX14" s="57">
        <f t="shared" si="24"/>
        <v>2</v>
      </c>
      <c r="AY14" s="57">
        <f t="shared" si="47"/>
        <v>8</v>
      </c>
      <c r="AZ14" s="170"/>
      <c r="BA14" s="170"/>
      <c r="BB14" s="170"/>
      <c r="BC14" s="170"/>
      <c r="BD14" s="170"/>
      <c r="BE14" s="170"/>
      <c r="BF14" s="170"/>
      <c r="BG14" s="170"/>
      <c r="BH14" s="170"/>
      <c r="BI14" s="152">
        <f t="shared" si="48"/>
        <v>0</v>
      </c>
      <c r="BJ14" s="171"/>
      <c r="BK14" s="171"/>
      <c r="BL14" s="171"/>
      <c r="BM14" s="171"/>
      <c r="BN14" s="171"/>
      <c r="BO14" s="171"/>
      <c r="BP14" s="171"/>
      <c r="BQ14" s="171"/>
      <c r="BR14" s="171"/>
      <c r="BS14" s="163">
        <f t="shared" si="49"/>
        <v>0</v>
      </c>
      <c r="BT14" s="172"/>
      <c r="BU14" s="172"/>
      <c r="BV14" s="172"/>
      <c r="BW14" s="172"/>
      <c r="BX14" s="172"/>
      <c r="BY14" s="172"/>
      <c r="BZ14" s="172"/>
      <c r="CA14" s="172"/>
      <c r="CB14" s="172"/>
      <c r="CC14" s="164">
        <f t="shared" si="25"/>
        <v>0</v>
      </c>
      <c r="CD14" s="179"/>
      <c r="CE14" s="179"/>
      <c r="CF14" s="179"/>
      <c r="CG14" s="179"/>
      <c r="CH14" s="179"/>
      <c r="CI14" s="179"/>
      <c r="CJ14" s="179"/>
      <c r="CK14" s="179"/>
      <c r="CL14" s="179"/>
      <c r="CM14" s="179"/>
      <c r="CN14" s="183">
        <f t="shared" si="26"/>
        <v>0</v>
      </c>
      <c r="CO14" s="183">
        <f t="shared" si="27"/>
        <v>0</v>
      </c>
      <c r="CP14" s="183">
        <f t="shared" si="28"/>
        <v>6.394356117621527E-7</v>
      </c>
      <c r="CQ14" s="183">
        <f t="shared" si="29"/>
        <v>9.0906213711004005E-7</v>
      </c>
      <c r="CR14" s="183">
        <f t="shared" si="30"/>
        <v>0</v>
      </c>
      <c r="CS14" s="183">
        <f t="shared" si="31"/>
        <v>2.0793538026054598E-7</v>
      </c>
      <c r="CT14" s="183">
        <f t="shared" si="32"/>
        <v>0</v>
      </c>
      <c r="CU14" s="183">
        <f t="shared" si="33"/>
        <v>0</v>
      </c>
      <c r="CV14" s="183">
        <f t="shared" si="34"/>
        <v>4.1070261418539846E-7</v>
      </c>
      <c r="CW14" s="183">
        <f t="shared" si="35"/>
        <v>4.0190073922185026E-7</v>
      </c>
      <c r="CX14" s="193">
        <f t="shared" si="36"/>
        <v>0</v>
      </c>
      <c r="CY14" s="193">
        <f t="shared" si="37"/>
        <v>0</v>
      </c>
      <c r="CZ14" s="193">
        <f t="shared" si="38"/>
        <v>0</v>
      </c>
      <c r="DA14" s="193">
        <f t="shared" si="39"/>
        <v>0</v>
      </c>
      <c r="DB14" s="193">
        <f t="shared" si="40"/>
        <v>0</v>
      </c>
      <c r="DC14" s="193">
        <f t="shared" si="41"/>
        <v>0</v>
      </c>
      <c r="DD14" s="193">
        <f t="shared" si="42"/>
        <v>0</v>
      </c>
      <c r="DE14" s="193">
        <f t="shared" si="43"/>
        <v>0</v>
      </c>
      <c r="DF14" s="193">
        <f t="shared" si="44"/>
        <v>0</v>
      </c>
      <c r="DG14" s="193">
        <f t="shared" si="45"/>
        <v>0</v>
      </c>
    </row>
    <row r="15" spans="1:111" s="173" customFormat="1">
      <c r="A15" s="150">
        <f t="shared" si="17"/>
        <v>43904</v>
      </c>
      <c r="B15" s="165">
        <v>0</v>
      </c>
      <c r="C15" s="165">
        <v>0</v>
      </c>
      <c r="D15" s="165">
        <v>17</v>
      </c>
      <c r="E15" s="165">
        <v>11</v>
      </c>
      <c r="F15" s="165">
        <v>0</v>
      </c>
      <c r="G15" s="165">
        <v>1</v>
      </c>
      <c r="H15" s="165">
        <v>0</v>
      </c>
      <c r="I15" s="165">
        <v>0</v>
      </c>
      <c r="J15" s="165">
        <v>9</v>
      </c>
      <c r="K15" s="165">
        <f t="shared" si="20"/>
        <v>38</v>
      </c>
      <c r="L15" s="166"/>
      <c r="M15" s="166"/>
      <c r="N15" s="166"/>
      <c r="O15" s="166"/>
      <c r="P15" s="166"/>
      <c r="Q15" s="166"/>
      <c r="R15" s="166"/>
      <c r="S15" s="166"/>
      <c r="T15" s="166"/>
      <c r="U15" s="166">
        <f t="shared" si="21"/>
        <v>0</v>
      </c>
      <c r="V15" s="167"/>
      <c r="W15" s="167"/>
      <c r="X15" s="167"/>
      <c r="Y15" s="167"/>
      <c r="Z15" s="167"/>
      <c r="AA15" s="167"/>
      <c r="AB15" s="167"/>
      <c r="AC15" s="167"/>
      <c r="AD15" s="167"/>
      <c r="AE15" s="167">
        <f t="shared" si="22"/>
        <v>0</v>
      </c>
      <c r="AF15" s="168"/>
      <c r="AG15" s="168"/>
      <c r="AH15" s="168"/>
      <c r="AI15" s="168"/>
      <c r="AJ15" s="168"/>
      <c r="AK15" s="168"/>
      <c r="AL15" s="168"/>
      <c r="AM15" s="168"/>
      <c r="AN15" s="168"/>
      <c r="AO15" s="168">
        <f t="shared" si="23"/>
        <v>0</v>
      </c>
      <c r="AP15" s="57">
        <f t="shared" si="46"/>
        <v>0</v>
      </c>
      <c r="AQ15" s="57">
        <f t="shared" si="24"/>
        <v>0</v>
      </c>
      <c r="AR15" s="57">
        <f t="shared" si="24"/>
        <v>7</v>
      </c>
      <c r="AS15" s="57">
        <f t="shared" si="24"/>
        <v>1</v>
      </c>
      <c r="AT15" s="57">
        <f t="shared" si="24"/>
        <v>0</v>
      </c>
      <c r="AU15" s="57">
        <f t="shared" si="24"/>
        <v>0</v>
      </c>
      <c r="AV15" s="57">
        <f t="shared" si="24"/>
        <v>0</v>
      </c>
      <c r="AW15" s="57">
        <f t="shared" si="24"/>
        <v>0</v>
      </c>
      <c r="AX15" s="57">
        <f t="shared" si="24"/>
        <v>6</v>
      </c>
      <c r="AY15" s="57">
        <f t="shared" si="47"/>
        <v>14</v>
      </c>
      <c r="AZ15" s="170"/>
      <c r="BA15" s="170"/>
      <c r="BB15" s="170"/>
      <c r="BC15" s="170"/>
      <c r="BD15" s="170"/>
      <c r="BE15" s="170"/>
      <c r="BF15" s="170"/>
      <c r="BG15" s="170"/>
      <c r="BH15" s="170"/>
      <c r="BI15" s="152">
        <f t="shared" si="48"/>
        <v>0</v>
      </c>
      <c r="BJ15" s="171"/>
      <c r="BK15" s="171"/>
      <c r="BL15" s="171"/>
      <c r="BM15" s="171"/>
      <c r="BN15" s="171"/>
      <c r="BO15" s="171"/>
      <c r="BP15" s="171"/>
      <c r="BQ15" s="171"/>
      <c r="BR15" s="171"/>
      <c r="BS15" s="163">
        <f t="shared" si="49"/>
        <v>0</v>
      </c>
      <c r="BT15" s="172"/>
      <c r="BU15" s="172"/>
      <c r="BV15" s="172"/>
      <c r="BW15" s="172"/>
      <c r="BX15" s="172"/>
      <c r="BY15" s="172"/>
      <c r="BZ15" s="172"/>
      <c r="CA15" s="172"/>
      <c r="CB15" s="172"/>
      <c r="CC15" s="164">
        <f t="shared" si="25"/>
        <v>0</v>
      </c>
      <c r="CD15" s="179"/>
      <c r="CE15" s="179"/>
      <c r="CF15" s="179"/>
      <c r="CG15" s="179"/>
      <c r="CH15" s="179"/>
      <c r="CI15" s="179"/>
      <c r="CJ15" s="179"/>
      <c r="CK15" s="179"/>
      <c r="CL15" s="179"/>
      <c r="CM15" s="179"/>
      <c r="CN15" s="183">
        <f t="shared" si="26"/>
        <v>0</v>
      </c>
      <c r="CO15" s="183">
        <f t="shared" si="27"/>
        <v>0</v>
      </c>
      <c r="CP15" s="183">
        <f t="shared" si="28"/>
        <v>1.0870405399956596E-6</v>
      </c>
      <c r="CQ15" s="183">
        <f t="shared" si="29"/>
        <v>9.9996835082104399E-7</v>
      </c>
      <c r="CR15" s="183">
        <f t="shared" si="30"/>
        <v>0</v>
      </c>
      <c r="CS15" s="183">
        <f t="shared" si="31"/>
        <v>2.0793538026054598E-7</v>
      </c>
      <c r="CT15" s="183">
        <f t="shared" si="32"/>
        <v>0</v>
      </c>
      <c r="CU15" s="183">
        <f t="shared" si="33"/>
        <v>0</v>
      </c>
      <c r="CV15" s="183">
        <f t="shared" si="34"/>
        <v>1.2321078425561954E-6</v>
      </c>
      <c r="CW15" s="183">
        <f t="shared" si="35"/>
        <v>6.3634283710126291E-7</v>
      </c>
      <c r="CX15" s="193">
        <f t="shared" si="36"/>
        <v>0</v>
      </c>
      <c r="CY15" s="193">
        <f t="shared" si="37"/>
        <v>0</v>
      </c>
      <c r="CZ15" s="193">
        <f t="shared" si="38"/>
        <v>0</v>
      </c>
      <c r="DA15" s="193">
        <f t="shared" si="39"/>
        <v>0</v>
      </c>
      <c r="DB15" s="193">
        <f t="shared" si="40"/>
        <v>0</v>
      </c>
      <c r="DC15" s="193">
        <f t="shared" si="41"/>
        <v>0</v>
      </c>
      <c r="DD15" s="193">
        <f t="shared" si="42"/>
        <v>0</v>
      </c>
      <c r="DE15" s="193">
        <f t="shared" si="43"/>
        <v>0</v>
      </c>
      <c r="DF15" s="193">
        <f t="shared" si="44"/>
        <v>0</v>
      </c>
      <c r="DG15" s="193">
        <f t="shared" si="45"/>
        <v>0</v>
      </c>
    </row>
    <row r="16" spans="1:111" s="173" customFormat="1">
      <c r="A16" s="150">
        <f t="shared" si="17"/>
        <v>43905</v>
      </c>
      <c r="B16" s="165">
        <v>0</v>
      </c>
      <c r="C16" s="165">
        <v>0</v>
      </c>
      <c r="D16" s="165">
        <v>24</v>
      </c>
      <c r="E16" s="165">
        <v>12</v>
      </c>
      <c r="F16" s="165">
        <v>0</v>
      </c>
      <c r="G16" s="165">
        <v>1</v>
      </c>
      <c r="H16" s="165">
        <v>0</v>
      </c>
      <c r="I16" s="165">
        <v>0</v>
      </c>
      <c r="J16" s="165">
        <v>14</v>
      </c>
      <c r="K16" s="165">
        <f t="shared" si="20"/>
        <v>51</v>
      </c>
      <c r="L16" s="166"/>
      <c r="M16" s="166"/>
      <c r="N16" s="166"/>
      <c r="O16" s="166"/>
      <c r="P16" s="166"/>
      <c r="Q16" s="166"/>
      <c r="R16" s="166"/>
      <c r="S16" s="166"/>
      <c r="T16" s="166"/>
      <c r="U16" s="166">
        <f t="shared" si="21"/>
        <v>0</v>
      </c>
      <c r="V16" s="167"/>
      <c r="W16" s="167"/>
      <c r="X16" s="167"/>
      <c r="Y16" s="167"/>
      <c r="Z16" s="167"/>
      <c r="AA16" s="167"/>
      <c r="AB16" s="167"/>
      <c r="AC16" s="167"/>
      <c r="AD16" s="167"/>
      <c r="AE16" s="167">
        <f t="shared" si="22"/>
        <v>0</v>
      </c>
      <c r="AF16" s="168"/>
      <c r="AG16" s="168"/>
      <c r="AH16" s="168"/>
      <c r="AI16" s="168"/>
      <c r="AJ16" s="168"/>
      <c r="AK16" s="168"/>
      <c r="AL16" s="168"/>
      <c r="AM16" s="168"/>
      <c r="AN16" s="168"/>
      <c r="AO16" s="168">
        <f t="shared" si="23"/>
        <v>0</v>
      </c>
      <c r="AP16" s="57">
        <f t="shared" si="46"/>
        <v>0</v>
      </c>
      <c r="AQ16" s="57">
        <f t="shared" si="24"/>
        <v>0</v>
      </c>
      <c r="AR16" s="57">
        <f t="shared" si="24"/>
        <v>7</v>
      </c>
      <c r="AS16" s="57">
        <f t="shared" si="24"/>
        <v>1</v>
      </c>
      <c r="AT16" s="57">
        <f t="shared" si="24"/>
        <v>0</v>
      </c>
      <c r="AU16" s="57">
        <f t="shared" si="24"/>
        <v>0</v>
      </c>
      <c r="AV16" s="57">
        <f t="shared" si="24"/>
        <v>0</v>
      </c>
      <c r="AW16" s="57">
        <f t="shared" si="24"/>
        <v>0</v>
      </c>
      <c r="AX16" s="57">
        <f t="shared" si="24"/>
        <v>5</v>
      </c>
      <c r="AY16" s="57">
        <f t="shared" si="47"/>
        <v>13</v>
      </c>
      <c r="AZ16" s="170"/>
      <c r="BA16" s="170"/>
      <c r="BB16" s="170"/>
      <c r="BC16" s="170"/>
      <c r="BD16" s="170"/>
      <c r="BE16" s="170"/>
      <c r="BF16" s="170"/>
      <c r="BG16" s="170"/>
      <c r="BH16" s="170"/>
      <c r="BI16" s="152">
        <f t="shared" si="48"/>
        <v>0</v>
      </c>
      <c r="BJ16" s="171"/>
      <c r="BK16" s="171"/>
      <c r="BL16" s="171"/>
      <c r="BM16" s="171"/>
      <c r="BN16" s="171"/>
      <c r="BO16" s="171"/>
      <c r="BP16" s="171"/>
      <c r="BQ16" s="171"/>
      <c r="BR16" s="171"/>
      <c r="BS16" s="163">
        <f t="shared" si="49"/>
        <v>0</v>
      </c>
      <c r="BT16" s="172"/>
      <c r="BU16" s="172"/>
      <c r="BV16" s="172"/>
      <c r="BW16" s="172"/>
      <c r="BX16" s="172"/>
      <c r="BY16" s="172"/>
      <c r="BZ16" s="172"/>
      <c r="CA16" s="172"/>
      <c r="CB16" s="172"/>
      <c r="CC16" s="164">
        <f t="shared" si="25"/>
        <v>0</v>
      </c>
      <c r="CD16" s="179"/>
      <c r="CE16" s="179"/>
      <c r="CF16" s="179"/>
      <c r="CG16" s="179"/>
      <c r="CH16" s="179"/>
      <c r="CI16" s="179"/>
      <c r="CJ16" s="179"/>
      <c r="CK16" s="179"/>
      <c r="CL16" s="179"/>
      <c r="CM16" s="179"/>
      <c r="CN16" s="183">
        <f t="shared" si="26"/>
        <v>0</v>
      </c>
      <c r="CO16" s="183">
        <f t="shared" si="27"/>
        <v>0</v>
      </c>
      <c r="CP16" s="183">
        <f t="shared" si="28"/>
        <v>1.5346454682291663E-6</v>
      </c>
      <c r="CQ16" s="183">
        <f t="shared" si="29"/>
        <v>1.0908745645320481E-6</v>
      </c>
      <c r="CR16" s="183">
        <f t="shared" si="30"/>
        <v>0</v>
      </c>
      <c r="CS16" s="183">
        <f t="shared" si="31"/>
        <v>2.0793538026054598E-7</v>
      </c>
      <c r="CT16" s="183">
        <f t="shared" si="32"/>
        <v>0</v>
      </c>
      <c r="CU16" s="183">
        <f t="shared" si="33"/>
        <v>0</v>
      </c>
      <c r="CV16" s="183">
        <f t="shared" si="34"/>
        <v>1.9166121995318595E-6</v>
      </c>
      <c r="CW16" s="183">
        <f t="shared" si="35"/>
        <v>8.5403907084643182E-7</v>
      </c>
      <c r="CX16" s="193">
        <f t="shared" si="36"/>
        <v>0</v>
      </c>
      <c r="CY16" s="193">
        <f t="shared" si="37"/>
        <v>0</v>
      </c>
      <c r="CZ16" s="193">
        <f t="shared" si="38"/>
        <v>0</v>
      </c>
      <c r="DA16" s="193">
        <f t="shared" si="39"/>
        <v>0</v>
      </c>
      <c r="DB16" s="193">
        <f t="shared" si="40"/>
        <v>0</v>
      </c>
      <c r="DC16" s="193">
        <f t="shared" si="41"/>
        <v>0</v>
      </c>
      <c r="DD16" s="193">
        <f t="shared" si="42"/>
        <v>0</v>
      </c>
      <c r="DE16" s="193">
        <f t="shared" si="43"/>
        <v>0</v>
      </c>
      <c r="DF16" s="193">
        <f t="shared" si="44"/>
        <v>0</v>
      </c>
      <c r="DG16" s="193">
        <f t="shared" si="45"/>
        <v>0</v>
      </c>
    </row>
    <row r="17" spans="1:114" s="173" customFormat="1">
      <c r="A17" s="150">
        <f t="shared" si="17"/>
        <v>43906</v>
      </c>
      <c r="B17" s="165">
        <v>0</v>
      </c>
      <c r="C17" s="165">
        <v>0</v>
      </c>
      <c r="D17" s="165">
        <v>31</v>
      </c>
      <c r="E17" s="165">
        <v>12</v>
      </c>
      <c r="F17" s="165">
        <v>1</v>
      </c>
      <c r="G17" s="165">
        <v>2</v>
      </c>
      <c r="H17" s="165">
        <v>0</v>
      </c>
      <c r="I17" s="165">
        <v>0</v>
      </c>
      <c r="J17" s="165">
        <v>16</v>
      </c>
      <c r="K17" s="165">
        <f t="shared" si="20"/>
        <v>62</v>
      </c>
      <c r="L17" s="166"/>
      <c r="M17" s="166"/>
      <c r="N17" s="166"/>
      <c r="O17" s="166"/>
      <c r="P17" s="166"/>
      <c r="Q17" s="166"/>
      <c r="R17" s="166"/>
      <c r="S17" s="166"/>
      <c r="T17" s="166"/>
      <c r="U17" s="166">
        <f t="shared" si="21"/>
        <v>0</v>
      </c>
      <c r="V17" s="167"/>
      <c r="W17" s="167"/>
      <c r="X17" s="167"/>
      <c r="Y17" s="167"/>
      <c r="Z17" s="167"/>
      <c r="AA17" s="167"/>
      <c r="AB17" s="167"/>
      <c r="AC17" s="167"/>
      <c r="AD17" s="167"/>
      <c r="AE17" s="167">
        <f t="shared" si="22"/>
        <v>0</v>
      </c>
      <c r="AF17" s="168"/>
      <c r="AG17" s="168"/>
      <c r="AH17" s="168"/>
      <c r="AI17" s="168"/>
      <c r="AJ17" s="168"/>
      <c r="AK17" s="168"/>
      <c r="AL17" s="168"/>
      <c r="AM17" s="168"/>
      <c r="AN17" s="168"/>
      <c r="AO17" s="168">
        <f t="shared" si="23"/>
        <v>0</v>
      </c>
      <c r="AP17" s="57">
        <f t="shared" si="46"/>
        <v>0</v>
      </c>
      <c r="AQ17" s="57">
        <f t="shared" si="24"/>
        <v>0</v>
      </c>
      <c r="AR17" s="57">
        <f t="shared" si="24"/>
        <v>7</v>
      </c>
      <c r="AS17" s="57">
        <f t="shared" si="24"/>
        <v>0</v>
      </c>
      <c r="AT17" s="57">
        <f t="shared" si="24"/>
        <v>1</v>
      </c>
      <c r="AU17" s="57">
        <f t="shared" si="24"/>
        <v>1</v>
      </c>
      <c r="AV17" s="57">
        <f t="shared" si="24"/>
        <v>0</v>
      </c>
      <c r="AW17" s="57">
        <f t="shared" si="24"/>
        <v>0</v>
      </c>
      <c r="AX17" s="57">
        <f t="shared" si="24"/>
        <v>2</v>
      </c>
      <c r="AY17" s="57">
        <f t="shared" si="47"/>
        <v>11</v>
      </c>
      <c r="AZ17" s="170"/>
      <c r="BA17" s="170"/>
      <c r="BB17" s="170"/>
      <c r="BC17" s="170"/>
      <c r="BD17" s="170"/>
      <c r="BE17" s="170"/>
      <c r="BF17" s="170"/>
      <c r="BG17" s="170"/>
      <c r="BH17" s="170"/>
      <c r="BI17" s="152">
        <f t="shared" si="48"/>
        <v>0</v>
      </c>
      <c r="BJ17" s="171"/>
      <c r="BK17" s="171"/>
      <c r="BL17" s="171"/>
      <c r="BM17" s="171"/>
      <c r="BN17" s="171"/>
      <c r="BO17" s="171"/>
      <c r="BP17" s="171"/>
      <c r="BQ17" s="171"/>
      <c r="BR17" s="171"/>
      <c r="BS17" s="163">
        <f t="shared" si="49"/>
        <v>0</v>
      </c>
      <c r="BT17" s="172"/>
      <c r="BU17" s="172"/>
      <c r="BV17" s="172"/>
      <c r="BW17" s="172"/>
      <c r="BX17" s="172"/>
      <c r="BY17" s="172"/>
      <c r="BZ17" s="172"/>
      <c r="CA17" s="172"/>
      <c r="CB17" s="172"/>
      <c r="CC17" s="164">
        <f t="shared" si="25"/>
        <v>0</v>
      </c>
      <c r="CD17" s="179"/>
      <c r="CE17" s="179"/>
      <c r="CF17" s="179"/>
      <c r="CG17" s="179"/>
      <c r="CH17" s="179"/>
      <c r="CI17" s="179"/>
      <c r="CJ17" s="179"/>
      <c r="CK17" s="179"/>
      <c r="CL17" s="179"/>
      <c r="CM17" s="179"/>
      <c r="CN17" s="183">
        <f t="shared" si="26"/>
        <v>0</v>
      </c>
      <c r="CO17" s="183">
        <f t="shared" si="27"/>
        <v>0</v>
      </c>
      <c r="CP17" s="183">
        <f t="shared" si="28"/>
        <v>1.9822503964626732E-6</v>
      </c>
      <c r="CQ17" s="183">
        <f t="shared" si="29"/>
        <v>1.0908745645320481E-6</v>
      </c>
      <c r="CR17" s="183">
        <f t="shared" si="30"/>
        <v>1.7082847343876536E-7</v>
      </c>
      <c r="CS17" s="183">
        <f t="shared" si="31"/>
        <v>4.1587076052109195E-7</v>
      </c>
      <c r="CT17" s="183">
        <f t="shared" si="32"/>
        <v>0</v>
      </c>
      <c r="CU17" s="183">
        <f t="shared" si="33"/>
        <v>0</v>
      </c>
      <c r="CV17" s="183">
        <f t="shared" si="34"/>
        <v>2.1904139423221251E-6</v>
      </c>
      <c r="CW17" s="183">
        <f t="shared" si="35"/>
        <v>1.0382435763231132E-6</v>
      </c>
      <c r="CX17" s="193">
        <f t="shared" si="36"/>
        <v>0</v>
      </c>
      <c r="CY17" s="193">
        <f t="shared" si="37"/>
        <v>0</v>
      </c>
      <c r="CZ17" s="193">
        <f t="shared" si="38"/>
        <v>0</v>
      </c>
      <c r="DA17" s="193">
        <f t="shared" si="39"/>
        <v>0</v>
      </c>
      <c r="DB17" s="193">
        <f t="shared" si="40"/>
        <v>0</v>
      </c>
      <c r="DC17" s="193">
        <f t="shared" si="41"/>
        <v>0</v>
      </c>
      <c r="DD17" s="193">
        <f t="shared" si="42"/>
        <v>0</v>
      </c>
      <c r="DE17" s="193">
        <f t="shared" si="43"/>
        <v>0</v>
      </c>
      <c r="DF17" s="193">
        <f t="shared" si="44"/>
        <v>0</v>
      </c>
      <c r="DG17" s="193">
        <f t="shared" si="45"/>
        <v>0</v>
      </c>
    </row>
    <row r="18" spans="1:114" s="173" customFormat="1">
      <c r="A18" s="150">
        <f t="shared" si="17"/>
        <v>43907</v>
      </c>
      <c r="B18" s="165">
        <v>0</v>
      </c>
      <c r="C18" s="165">
        <v>0</v>
      </c>
      <c r="D18" s="165">
        <v>45</v>
      </c>
      <c r="E18" s="165">
        <v>16</v>
      </c>
      <c r="F18" s="165">
        <v>1</v>
      </c>
      <c r="G18" s="165">
        <v>2</v>
      </c>
      <c r="H18" s="165">
        <v>0</v>
      </c>
      <c r="I18" s="165">
        <v>0</v>
      </c>
      <c r="J18" s="165">
        <v>21</v>
      </c>
      <c r="K18" s="165">
        <f t="shared" si="20"/>
        <v>85</v>
      </c>
      <c r="L18" s="166"/>
      <c r="M18" s="166"/>
      <c r="N18" s="166"/>
      <c r="O18" s="166"/>
      <c r="P18" s="166"/>
      <c r="Q18" s="166"/>
      <c r="R18" s="166"/>
      <c r="S18" s="166"/>
      <c r="T18" s="166"/>
      <c r="U18" s="166">
        <f t="shared" si="21"/>
        <v>0</v>
      </c>
      <c r="V18" s="167"/>
      <c r="W18" s="167"/>
      <c r="X18" s="167"/>
      <c r="Y18" s="167"/>
      <c r="Z18" s="167"/>
      <c r="AA18" s="167"/>
      <c r="AB18" s="167"/>
      <c r="AC18" s="167"/>
      <c r="AD18" s="167"/>
      <c r="AE18" s="167">
        <f t="shared" si="22"/>
        <v>0</v>
      </c>
      <c r="AF18" s="168"/>
      <c r="AG18" s="168"/>
      <c r="AH18" s="168"/>
      <c r="AI18" s="168"/>
      <c r="AJ18" s="168"/>
      <c r="AK18" s="168"/>
      <c r="AL18" s="168"/>
      <c r="AM18" s="168"/>
      <c r="AN18" s="168"/>
      <c r="AO18" s="168">
        <f t="shared" si="23"/>
        <v>0</v>
      </c>
      <c r="AP18" s="57">
        <f t="shared" si="46"/>
        <v>0</v>
      </c>
      <c r="AQ18" s="57">
        <f t="shared" si="24"/>
        <v>0</v>
      </c>
      <c r="AR18" s="57">
        <f t="shared" si="24"/>
        <v>14</v>
      </c>
      <c r="AS18" s="57">
        <f t="shared" si="24"/>
        <v>4</v>
      </c>
      <c r="AT18" s="57">
        <f t="shared" si="24"/>
        <v>0</v>
      </c>
      <c r="AU18" s="57">
        <f t="shared" si="24"/>
        <v>0</v>
      </c>
      <c r="AV18" s="57">
        <f t="shared" si="24"/>
        <v>0</v>
      </c>
      <c r="AW18" s="57">
        <f t="shared" si="24"/>
        <v>0</v>
      </c>
      <c r="AX18" s="57">
        <f t="shared" si="24"/>
        <v>5</v>
      </c>
      <c r="AY18" s="57">
        <f t="shared" si="47"/>
        <v>23</v>
      </c>
      <c r="AZ18" s="170"/>
      <c r="BA18" s="170"/>
      <c r="BB18" s="170"/>
      <c r="BC18" s="170"/>
      <c r="BD18" s="170"/>
      <c r="BE18" s="170"/>
      <c r="BF18" s="170"/>
      <c r="BG18" s="170"/>
      <c r="BH18" s="170"/>
      <c r="BI18" s="152">
        <f t="shared" si="48"/>
        <v>0</v>
      </c>
      <c r="BJ18" s="171"/>
      <c r="BK18" s="171"/>
      <c r="BL18" s="171"/>
      <c r="BM18" s="171"/>
      <c r="BN18" s="171"/>
      <c r="BO18" s="171"/>
      <c r="BP18" s="171"/>
      <c r="BQ18" s="171"/>
      <c r="BR18" s="171"/>
      <c r="BS18" s="163">
        <f t="shared" si="49"/>
        <v>0</v>
      </c>
      <c r="BT18" s="172"/>
      <c r="BU18" s="172"/>
      <c r="BV18" s="172"/>
      <c r="BW18" s="172"/>
      <c r="BX18" s="172"/>
      <c r="BY18" s="172"/>
      <c r="BZ18" s="172"/>
      <c r="CA18" s="172"/>
      <c r="CB18" s="172"/>
      <c r="CC18" s="164">
        <f t="shared" si="25"/>
        <v>0</v>
      </c>
      <c r="CD18" s="179"/>
      <c r="CE18" s="179"/>
      <c r="CF18" s="179"/>
      <c r="CG18" s="179"/>
      <c r="CH18" s="179"/>
      <c r="CI18" s="179"/>
      <c r="CJ18" s="179"/>
      <c r="CK18" s="179"/>
      <c r="CL18" s="179"/>
      <c r="CM18" s="179"/>
      <c r="CN18" s="183">
        <f t="shared" si="26"/>
        <v>0</v>
      </c>
      <c r="CO18" s="183">
        <f t="shared" si="27"/>
        <v>0</v>
      </c>
      <c r="CP18" s="183">
        <f t="shared" si="28"/>
        <v>2.8774602529296871E-6</v>
      </c>
      <c r="CQ18" s="183">
        <f t="shared" si="29"/>
        <v>1.4544994193760641E-6</v>
      </c>
      <c r="CR18" s="183">
        <f t="shared" si="30"/>
        <v>1.7082847343876536E-7</v>
      </c>
      <c r="CS18" s="183">
        <f t="shared" si="31"/>
        <v>4.1587076052109195E-7</v>
      </c>
      <c r="CT18" s="183">
        <f t="shared" si="32"/>
        <v>0</v>
      </c>
      <c r="CU18" s="183">
        <f t="shared" si="33"/>
        <v>0</v>
      </c>
      <c r="CV18" s="183">
        <f t="shared" si="34"/>
        <v>2.8749182992977895E-6</v>
      </c>
      <c r="CW18" s="183">
        <f t="shared" si="35"/>
        <v>1.4233984514107197E-6</v>
      </c>
      <c r="CX18" s="193">
        <f t="shared" si="36"/>
        <v>0</v>
      </c>
      <c r="CY18" s="193">
        <f t="shared" si="37"/>
        <v>0</v>
      </c>
      <c r="CZ18" s="193">
        <f t="shared" si="38"/>
        <v>0</v>
      </c>
      <c r="DA18" s="193">
        <f t="shared" si="39"/>
        <v>0</v>
      </c>
      <c r="DB18" s="193">
        <f t="shared" si="40"/>
        <v>0</v>
      </c>
      <c r="DC18" s="193">
        <f t="shared" si="41"/>
        <v>0</v>
      </c>
      <c r="DD18" s="193">
        <f t="shared" si="42"/>
        <v>0</v>
      </c>
      <c r="DE18" s="193">
        <f t="shared" si="43"/>
        <v>0</v>
      </c>
      <c r="DF18" s="193">
        <f t="shared" si="44"/>
        <v>0</v>
      </c>
      <c r="DG18" s="193">
        <f t="shared" si="45"/>
        <v>0</v>
      </c>
    </row>
    <row r="19" spans="1:114" s="173" customFormat="1">
      <c r="A19" s="150">
        <f t="shared" si="17"/>
        <v>43908</v>
      </c>
      <c r="B19" s="165">
        <v>0</v>
      </c>
      <c r="C19" s="165">
        <v>0</v>
      </c>
      <c r="D19" s="165">
        <v>61</v>
      </c>
      <c r="E19" s="165">
        <v>19</v>
      </c>
      <c r="F19" s="165">
        <v>1</v>
      </c>
      <c r="G19" s="165">
        <v>4</v>
      </c>
      <c r="H19" s="165">
        <v>0</v>
      </c>
      <c r="I19" s="165">
        <v>0</v>
      </c>
      <c r="J19" s="165">
        <v>31</v>
      </c>
      <c r="K19" s="165">
        <f t="shared" si="20"/>
        <v>116</v>
      </c>
      <c r="L19" s="166"/>
      <c r="M19" s="166"/>
      <c r="N19" s="166"/>
      <c r="O19" s="166"/>
      <c r="P19" s="166"/>
      <c r="Q19" s="166"/>
      <c r="R19" s="166"/>
      <c r="S19" s="166"/>
      <c r="T19" s="166"/>
      <c r="U19" s="166">
        <f t="shared" si="21"/>
        <v>0</v>
      </c>
      <c r="V19" s="167"/>
      <c r="W19" s="167"/>
      <c r="X19" s="167"/>
      <c r="Y19" s="167"/>
      <c r="Z19" s="167"/>
      <c r="AA19" s="167"/>
      <c r="AB19" s="167"/>
      <c r="AC19" s="167"/>
      <c r="AD19" s="167"/>
      <c r="AE19" s="167">
        <f t="shared" si="22"/>
        <v>0</v>
      </c>
      <c r="AF19" s="168"/>
      <c r="AG19" s="168"/>
      <c r="AH19" s="168"/>
      <c r="AI19" s="168"/>
      <c r="AJ19" s="168"/>
      <c r="AK19" s="168"/>
      <c r="AL19" s="168"/>
      <c r="AM19" s="168"/>
      <c r="AN19" s="168"/>
      <c r="AO19" s="168">
        <f t="shared" si="23"/>
        <v>0</v>
      </c>
      <c r="AP19" s="57">
        <f t="shared" si="46"/>
        <v>0</v>
      </c>
      <c r="AQ19" s="57">
        <f t="shared" si="24"/>
        <v>0</v>
      </c>
      <c r="AR19" s="57">
        <f t="shared" si="24"/>
        <v>16</v>
      </c>
      <c r="AS19" s="57">
        <f t="shared" si="24"/>
        <v>3</v>
      </c>
      <c r="AT19" s="57">
        <f t="shared" si="24"/>
        <v>0</v>
      </c>
      <c r="AU19" s="57">
        <f t="shared" si="24"/>
        <v>2</v>
      </c>
      <c r="AV19" s="57">
        <f t="shared" si="24"/>
        <v>0</v>
      </c>
      <c r="AW19" s="57">
        <f t="shared" si="24"/>
        <v>0</v>
      </c>
      <c r="AX19" s="57">
        <f t="shared" si="24"/>
        <v>10</v>
      </c>
      <c r="AY19" s="57">
        <f t="shared" si="47"/>
        <v>31</v>
      </c>
      <c r="AZ19" s="170"/>
      <c r="BA19" s="170"/>
      <c r="BB19" s="170"/>
      <c r="BC19" s="170"/>
      <c r="BD19" s="170"/>
      <c r="BE19" s="170"/>
      <c r="BF19" s="170"/>
      <c r="BG19" s="170"/>
      <c r="BH19" s="170"/>
      <c r="BI19" s="152">
        <f t="shared" si="48"/>
        <v>0</v>
      </c>
      <c r="BJ19" s="171"/>
      <c r="BK19" s="171"/>
      <c r="BL19" s="171"/>
      <c r="BM19" s="171"/>
      <c r="BN19" s="171"/>
      <c r="BO19" s="171"/>
      <c r="BP19" s="171"/>
      <c r="BQ19" s="171"/>
      <c r="BR19" s="171"/>
      <c r="BS19" s="163">
        <f t="shared" si="49"/>
        <v>0</v>
      </c>
      <c r="BT19" s="172"/>
      <c r="BU19" s="172"/>
      <c r="BV19" s="172"/>
      <c r="BW19" s="172"/>
      <c r="BX19" s="172"/>
      <c r="BY19" s="172"/>
      <c r="BZ19" s="172"/>
      <c r="CA19" s="172"/>
      <c r="CB19" s="172"/>
      <c r="CC19" s="164">
        <f t="shared" si="25"/>
        <v>0</v>
      </c>
      <c r="CD19" s="179"/>
      <c r="CE19" s="179"/>
      <c r="CF19" s="179"/>
      <c r="CG19" s="179"/>
      <c r="CH19" s="179"/>
      <c r="CI19" s="179"/>
      <c r="CJ19" s="179"/>
      <c r="CK19" s="179"/>
      <c r="CL19" s="179"/>
      <c r="CM19" s="179"/>
      <c r="CN19" s="183">
        <f t="shared" si="26"/>
        <v>0</v>
      </c>
      <c r="CO19" s="183">
        <f t="shared" si="27"/>
        <v>0</v>
      </c>
      <c r="CP19" s="183">
        <f t="shared" si="28"/>
        <v>3.9005572317491311E-6</v>
      </c>
      <c r="CQ19" s="183">
        <f t="shared" si="29"/>
        <v>1.7272180605090762E-6</v>
      </c>
      <c r="CR19" s="183">
        <f t="shared" si="30"/>
        <v>1.7082847343876536E-7</v>
      </c>
      <c r="CS19" s="183">
        <f t="shared" si="31"/>
        <v>8.317415210421839E-7</v>
      </c>
      <c r="CT19" s="183">
        <f t="shared" si="32"/>
        <v>0</v>
      </c>
      <c r="CU19" s="183">
        <f t="shared" si="33"/>
        <v>0</v>
      </c>
      <c r="CV19" s="183">
        <f t="shared" si="34"/>
        <v>4.2439270132491181E-6</v>
      </c>
      <c r="CW19" s="183">
        <f t="shared" si="35"/>
        <v>1.9425202395722765E-6</v>
      </c>
      <c r="CX19" s="193">
        <f t="shared" si="36"/>
        <v>0</v>
      </c>
      <c r="CY19" s="193">
        <f t="shared" si="37"/>
        <v>0</v>
      </c>
      <c r="CZ19" s="193">
        <f t="shared" si="38"/>
        <v>0</v>
      </c>
      <c r="DA19" s="193">
        <f t="shared" si="39"/>
        <v>0</v>
      </c>
      <c r="DB19" s="193">
        <f t="shared" si="40"/>
        <v>0</v>
      </c>
      <c r="DC19" s="193">
        <f t="shared" si="41"/>
        <v>0</v>
      </c>
      <c r="DD19" s="193">
        <f t="shared" si="42"/>
        <v>0</v>
      </c>
      <c r="DE19" s="193">
        <f t="shared" si="43"/>
        <v>0</v>
      </c>
      <c r="DF19" s="193">
        <f t="shared" si="44"/>
        <v>0</v>
      </c>
      <c r="DG19" s="193">
        <f t="shared" si="45"/>
        <v>0</v>
      </c>
    </row>
    <row r="20" spans="1:114" s="173" customFormat="1">
      <c r="A20" s="150">
        <f t="shared" si="17"/>
        <v>43909</v>
      </c>
      <c r="B20" s="165">
        <v>0</v>
      </c>
      <c r="C20" s="165">
        <v>0</v>
      </c>
      <c r="D20" s="165">
        <v>76</v>
      </c>
      <c r="E20" s="165">
        <v>22</v>
      </c>
      <c r="F20" s="165">
        <v>1</v>
      </c>
      <c r="G20" s="165">
        <v>5</v>
      </c>
      <c r="H20" s="165">
        <v>0</v>
      </c>
      <c r="I20" s="165">
        <v>0</v>
      </c>
      <c r="J20" s="165">
        <v>46</v>
      </c>
      <c r="K20" s="165">
        <f t="shared" si="20"/>
        <v>150</v>
      </c>
      <c r="L20" s="166"/>
      <c r="M20" s="166"/>
      <c r="N20" s="166"/>
      <c r="O20" s="166"/>
      <c r="P20" s="166"/>
      <c r="Q20" s="166"/>
      <c r="R20" s="166"/>
      <c r="S20" s="166"/>
      <c r="T20" s="166"/>
      <c r="U20" s="166">
        <f t="shared" si="21"/>
        <v>0</v>
      </c>
      <c r="V20" s="167"/>
      <c r="W20" s="167"/>
      <c r="X20" s="167"/>
      <c r="Y20" s="167"/>
      <c r="Z20" s="167"/>
      <c r="AA20" s="167"/>
      <c r="AB20" s="167"/>
      <c r="AC20" s="167"/>
      <c r="AD20" s="167"/>
      <c r="AE20" s="167">
        <f t="shared" si="22"/>
        <v>0</v>
      </c>
      <c r="AF20" s="168"/>
      <c r="AG20" s="168"/>
      <c r="AH20" s="168"/>
      <c r="AI20" s="168"/>
      <c r="AJ20" s="168"/>
      <c r="AK20" s="168"/>
      <c r="AL20" s="168"/>
      <c r="AM20" s="168"/>
      <c r="AN20" s="168"/>
      <c r="AO20" s="168">
        <f t="shared" si="23"/>
        <v>0</v>
      </c>
      <c r="AP20" s="57">
        <f t="shared" si="46"/>
        <v>0</v>
      </c>
      <c r="AQ20" s="57">
        <f t="shared" si="24"/>
        <v>0</v>
      </c>
      <c r="AR20" s="57">
        <f t="shared" si="24"/>
        <v>15</v>
      </c>
      <c r="AS20" s="57">
        <f t="shared" si="24"/>
        <v>3</v>
      </c>
      <c r="AT20" s="57">
        <f t="shared" si="24"/>
        <v>0</v>
      </c>
      <c r="AU20" s="57">
        <f t="shared" si="24"/>
        <v>1</v>
      </c>
      <c r="AV20" s="57">
        <f t="shared" si="24"/>
        <v>0</v>
      </c>
      <c r="AW20" s="57">
        <f t="shared" si="24"/>
        <v>0</v>
      </c>
      <c r="AX20" s="57">
        <f t="shared" si="24"/>
        <v>15</v>
      </c>
      <c r="AY20" s="57">
        <f t="shared" si="47"/>
        <v>34</v>
      </c>
      <c r="AZ20" s="170"/>
      <c r="BA20" s="170"/>
      <c r="BB20" s="170"/>
      <c r="BC20" s="170"/>
      <c r="BD20" s="170"/>
      <c r="BE20" s="170"/>
      <c r="BF20" s="170"/>
      <c r="BG20" s="170"/>
      <c r="BH20" s="170"/>
      <c r="BI20" s="152">
        <f t="shared" si="48"/>
        <v>0</v>
      </c>
      <c r="BJ20" s="171"/>
      <c r="BK20" s="171"/>
      <c r="BL20" s="171"/>
      <c r="BM20" s="171"/>
      <c r="BN20" s="171"/>
      <c r="BO20" s="171"/>
      <c r="BP20" s="171"/>
      <c r="BQ20" s="171"/>
      <c r="BR20" s="171"/>
      <c r="BS20" s="163">
        <f t="shared" si="49"/>
        <v>0</v>
      </c>
      <c r="BT20" s="172"/>
      <c r="BU20" s="172"/>
      <c r="BV20" s="172"/>
      <c r="BW20" s="172"/>
      <c r="BX20" s="172"/>
      <c r="BY20" s="172"/>
      <c r="BZ20" s="172"/>
      <c r="CA20" s="172"/>
      <c r="CB20" s="172"/>
      <c r="CC20" s="164">
        <f t="shared" si="25"/>
        <v>0</v>
      </c>
      <c r="CD20" s="180">
        <f>SUM(AP7:AP20)</f>
        <v>0</v>
      </c>
      <c r="CE20" s="180">
        <f t="shared" ref="CE20:CM35" si="50">SUM(AQ7:AQ20)</f>
        <v>0</v>
      </c>
      <c r="CF20" s="180">
        <f t="shared" si="50"/>
        <v>76</v>
      </c>
      <c r="CG20" s="180">
        <f t="shared" si="50"/>
        <v>21</v>
      </c>
      <c r="CH20" s="180">
        <f t="shared" si="50"/>
        <v>1</v>
      </c>
      <c r="CI20" s="180">
        <f t="shared" si="50"/>
        <v>5</v>
      </c>
      <c r="CJ20" s="180">
        <f t="shared" si="50"/>
        <v>0</v>
      </c>
      <c r="CK20" s="180">
        <f t="shared" si="50"/>
        <v>0</v>
      </c>
      <c r="CL20" s="180">
        <f t="shared" si="50"/>
        <v>46</v>
      </c>
      <c r="CM20" s="180">
        <f t="shared" si="50"/>
        <v>149</v>
      </c>
      <c r="CN20" s="183">
        <f t="shared" ref="CN20:CN83" si="51">B20/B$5</f>
        <v>0</v>
      </c>
      <c r="CO20" s="183">
        <f t="shared" ref="CO20:CO83" si="52">C20/C$5</f>
        <v>0</v>
      </c>
      <c r="CP20" s="183">
        <f t="shared" ref="CP20:CP83" si="53">D20/D$5</f>
        <v>4.8597106493923603E-6</v>
      </c>
      <c r="CQ20" s="183">
        <f t="shared" ref="CQ20:CQ83" si="54">E20/E$5</f>
        <v>1.999936701642088E-6</v>
      </c>
      <c r="CR20" s="183">
        <f t="shared" ref="CR20:CR83" si="55">F20/F$5</f>
        <v>1.7082847343876536E-7</v>
      </c>
      <c r="CS20" s="183">
        <f t="shared" ref="CS20:CS83" si="56">G20/G$5</f>
        <v>1.0396769013027299E-6</v>
      </c>
      <c r="CT20" s="183">
        <f t="shared" ref="CT20:CT83" si="57">H20/H$5</f>
        <v>0</v>
      </c>
      <c r="CU20" s="183">
        <f t="shared" ref="CU20:CU83" si="58">I20/I$5</f>
        <v>0</v>
      </c>
      <c r="CV20" s="183">
        <f t="shared" ref="CV20:CV83" si="59">J20/J$5</f>
        <v>6.2974400841761102E-6</v>
      </c>
      <c r="CW20" s="183">
        <f t="shared" ref="CW20:CW83" si="60">K20/K$5</f>
        <v>2.5118796201365644E-6</v>
      </c>
      <c r="CX20" s="193">
        <f t="shared" si="36"/>
        <v>0</v>
      </c>
      <c r="CY20" s="193">
        <f t="shared" si="37"/>
        <v>0</v>
      </c>
      <c r="CZ20" s="193">
        <f t="shared" si="38"/>
        <v>0</v>
      </c>
      <c r="DA20" s="193">
        <f t="shared" si="39"/>
        <v>0</v>
      </c>
      <c r="DB20" s="193">
        <f t="shared" si="40"/>
        <v>0</v>
      </c>
      <c r="DC20" s="193">
        <f t="shared" si="41"/>
        <v>0</v>
      </c>
      <c r="DD20" s="193">
        <f t="shared" si="42"/>
        <v>0</v>
      </c>
      <c r="DE20" s="193">
        <f t="shared" si="43"/>
        <v>0</v>
      </c>
      <c r="DF20" s="193">
        <f t="shared" si="44"/>
        <v>0</v>
      </c>
      <c r="DG20" s="193">
        <f t="shared" si="45"/>
        <v>0</v>
      </c>
    </row>
    <row r="21" spans="1:114" s="173" customFormat="1">
      <c r="A21" s="150">
        <f t="shared" si="17"/>
        <v>43910</v>
      </c>
      <c r="B21" s="165">
        <v>0</v>
      </c>
      <c r="C21" s="165">
        <v>7</v>
      </c>
      <c r="D21" s="165">
        <v>109</v>
      </c>
      <c r="E21" s="165">
        <v>24</v>
      </c>
      <c r="F21" s="165">
        <v>1</v>
      </c>
      <c r="G21" s="165">
        <v>5</v>
      </c>
      <c r="H21" s="165">
        <v>0</v>
      </c>
      <c r="I21" s="165">
        <v>0</v>
      </c>
      <c r="J21" s="165">
        <v>56</v>
      </c>
      <c r="K21" s="165">
        <f t="shared" si="20"/>
        <v>202</v>
      </c>
      <c r="L21" s="166"/>
      <c r="M21" s="166"/>
      <c r="N21" s="166"/>
      <c r="O21" s="166"/>
      <c r="P21" s="166"/>
      <c r="Q21" s="166"/>
      <c r="R21" s="166"/>
      <c r="S21" s="166"/>
      <c r="T21" s="166"/>
      <c r="U21" s="166">
        <f t="shared" si="21"/>
        <v>0</v>
      </c>
      <c r="V21" s="167"/>
      <c r="W21" s="167"/>
      <c r="X21" s="167"/>
      <c r="Y21" s="167"/>
      <c r="Z21" s="167"/>
      <c r="AA21" s="167"/>
      <c r="AB21" s="167"/>
      <c r="AC21" s="167"/>
      <c r="AD21" s="167"/>
      <c r="AE21" s="167">
        <f t="shared" si="22"/>
        <v>0</v>
      </c>
      <c r="AF21" s="168"/>
      <c r="AG21" s="168"/>
      <c r="AH21" s="168"/>
      <c r="AI21" s="168"/>
      <c r="AJ21" s="168"/>
      <c r="AK21" s="168"/>
      <c r="AL21" s="168"/>
      <c r="AM21" s="168"/>
      <c r="AN21" s="168"/>
      <c r="AO21" s="168">
        <f t="shared" si="23"/>
        <v>0</v>
      </c>
      <c r="AP21" s="57">
        <f t="shared" si="46"/>
        <v>0</v>
      </c>
      <c r="AQ21" s="57">
        <f t="shared" si="24"/>
        <v>7</v>
      </c>
      <c r="AR21" s="57">
        <f t="shared" si="24"/>
        <v>33</v>
      </c>
      <c r="AS21" s="57">
        <f t="shared" si="24"/>
        <v>2</v>
      </c>
      <c r="AT21" s="57">
        <f t="shared" si="24"/>
        <v>0</v>
      </c>
      <c r="AU21" s="57">
        <f t="shared" si="24"/>
        <v>0</v>
      </c>
      <c r="AV21" s="57">
        <f t="shared" si="24"/>
        <v>0</v>
      </c>
      <c r="AW21" s="57">
        <f t="shared" si="24"/>
        <v>0</v>
      </c>
      <c r="AX21" s="57">
        <f t="shared" si="24"/>
        <v>10</v>
      </c>
      <c r="AY21" s="57">
        <f t="shared" si="47"/>
        <v>52</v>
      </c>
      <c r="AZ21" s="170"/>
      <c r="BA21" s="170"/>
      <c r="BB21" s="170"/>
      <c r="BC21" s="170"/>
      <c r="BD21" s="170"/>
      <c r="BE21" s="170"/>
      <c r="BF21" s="170"/>
      <c r="BG21" s="170"/>
      <c r="BH21" s="170"/>
      <c r="BI21" s="152">
        <f t="shared" si="48"/>
        <v>0</v>
      </c>
      <c r="BJ21" s="171"/>
      <c r="BK21" s="171"/>
      <c r="BL21" s="171"/>
      <c r="BM21" s="171"/>
      <c r="BN21" s="171"/>
      <c r="BO21" s="171"/>
      <c r="BP21" s="171"/>
      <c r="BQ21" s="171"/>
      <c r="BR21" s="171"/>
      <c r="BS21" s="163">
        <f t="shared" si="49"/>
        <v>0</v>
      </c>
      <c r="BT21" s="172"/>
      <c r="BU21" s="172"/>
      <c r="BV21" s="172"/>
      <c r="BW21" s="172"/>
      <c r="BX21" s="172"/>
      <c r="BY21" s="172"/>
      <c r="BZ21" s="172"/>
      <c r="CA21" s="172"/>
      <c r="CB21" s="172"/>
      <c r="CC21" s="164">
        <f t="shared" si="25"/>
        <v>0</v>
      </c>
      <c r="CD21" s="180">
        <f t="shared" ref="CD21:CD84" si="61">SUM(AP8:AP21)</f>
        <v>0</v>
      </c>
      <c r="CE21" s="180">
        <f t="shared" ref="CE21:CE84" si="62">SUM(AQ8:AQ21)</f>
        <v>7</v>
      </c>
      <c r="CF21" s="180">
        <f t="shared" ref="CF21:CF84" si="63">SUM(AR8:AR21)</f>
        <v>109</v>
      </c>
      <c r="CG21" s="180">
        <f t="shared" ref="CG21:CG84" si="64">SUM(AS8:AS21)</f>
        <v>23</v>
      </c>
      <c r="CH21" s="180">
        <f t="shared" ref="CH21:CH84" si="65">SUM(AT8:AT21)</f>
        <v>1</v>
      </c>
      <c r="CI21" s="180">
        <f t="shared" ref="CI21:CI84" si="66">SUM(AU8:AU21)</f>
        <v>5</v>
      </c>
      <c r="CJ21" s="180">
        <f t="shared" ref="CJ21:CJ84" si="67">SUM(AV8:AV21)</f>
        <v>0</v>
      </c>
      <c r="CK21" s="180">
        <f t="shared" ref="CK21:CK84" si="68">SUM(AW8:AW21)</f>
        <v>0</v>
      </c>
      <c r="CL21" s="180">
        <f t="shared" ref="CL21:CM84" si="69">SUM(AX8:AX21)</f>
        <v>56</v>
      </c>
      <c r="CM21" s="180">
        <f t="shared" si="50"/>
        <v>201</v>
      </c>
      <c r="CN21" s="183">
        <f t="shared" si="51"/>
        <v>0</v>
      </c>
      <c r="CO21" s="183">
        <f t="shared" si="52"/>
        <v>2.4920573421204513E-6</v>
      </c>
      <c r="CP21" s="183">
        <f t="shared" si="53"/>
        <v>6.9698481682074638E-6</v>
      </c>
      <c r="CQ21" s="183">
        <f t="shared" si="54"/>
        <v>2.1817491290640963E-6</v>
      </c>
      <c r="CR21" s="183">
        <f t="shared" si="55"/>
        <v>1.7082847343876536E-7</v>
      </c>
      <c r="CS21" s="183">
        <f t="shared" si="56"/>
        <v>1.0396769013027299E-6</v>
      </c>
      <c r="CT21" s="183">
        <f t="shared" si="57"/>
        <v>0</v>
      </c>
      <c r="CU21" s="183">
        <f t="shared" si="58"/>
        <v>0</v>
      </c>
      <c r="CV21" s="183">
        <f t="shared" si="59"/>
        <v>7.666448798127438E-6</v>
      </c>
      <c r="CW21" s="183">
        <f t="shared" si="60"/>
        <v>3.3826645551172396E-6</v>
      </c>
      <c r="CX21" s="193">
        <f t="shared" si="36"/>
        <v>0</v>
      </c>
      <c r="CY21" s="193">
        <f t="shared" si="37"/>
        <v>0</v>
      </c>
      <c r="CZ21" s="193">
        <f t="shared" si="38"/>
        <v>0</v>
      </c>
      <c r="DA21" s="193">
        <f t="shared" si="39"/>
        <v>0</v>
      </c>
      <c r="DB21" s="193">
        <f t="shared" si="40"/>
        <v>0</v>
      </c>
      <c r="DC21" s="193">
        <f t="shared" si="41"/>
        <v>0</v>
      </c>
      <c r="DD21" s="193">
        <f t="shared" si="42"/>
        <v>0</v>
      </c>
      <c r="DE21" s="193">
        <f t="shared" si="43"/>
        <v>0</v>
      </c>
      <c r="DF21" s="193">
        <f t="shared" si="44"/>
        <v>0</v>
      </c>
      <c r="DG21" s="193">
        <f t="shared" si="45"/>
        <v>0</v>
      </c>
    </row>
    <row r="22" spans="1:114" s="173" customFormat="1">
      <c r="A22" s="150">
        <f t="shared" si="17"/>
        <v>43911</v>
      </c>
      <c r="B22" s="165">
        <v>1</v>
      </c>
      <c r="C22" s="165">
        <v>7</v>
      </c>
      <c r="D22" s="165">
        <v>125</v>
      </c>
      <c r="E22" s="165">
        <v>27</v>
      </c>
      <c r="F22" s="165">
        <v>1</v>
      </c>
      <c r="G22" s="165">
        <v>5</v>
      </c>
      <c r="H22" s="165">
        <v>0</v>
      </c>
      <c r="I22" s="165">
        <v>0</v>
      </c>
      <c r="J22" s="165">
        <v>74</v>
      </c>
      <c r="K22" s="165">
        <f t="shared" si="20"/>
        <v>240</v>
      </c>
      <c r="L22" s="166"/>
      <c r="M22" s="166"/>
      <c r="N22" s="166"/>
      <c r="O22" s="166"/>
      <c r="P22" s="166"/>
      <c r="Q22" s="166"/>
      <c r="R22" s="166"/>
      <c r="S22" s="166"/>
      <c r="T22" s="166"/>
      <c r="U22" s="166">
        <f t="shared" si="21"/>
        <v>0</v>
      </c>
      <c r="V22" s="167"/>
      <c r="W22" s="167"/>
      <c r="X22" s="167"/>
      <c r="Y22" s="167"/>
      <c r="Z22" s="167"/>
      <c r="AA22" s="167"/>
      <c r="AB22" s="167"/>
      <c r="AC22" s="167"/>
      <c r="AD22" s="167"/>
      <c r="AE22" s="167">
        <f t="shared" si="22"/>
        <v>0</v>
      </c>
      <c r="AF22" s="168"/>
      <c r="AG22" s="168"/>
      <c r="AH22" s="168"/>
      <c r="AI22" s="168"/>
      <c r="AJ22" s="168"/>
      <c r="AK22" s="168"/>
      <c r="AL22" s="168"/>
      <c r="AM22" s="168"/>
      <c r="AN22" s="168"/>
      <c r="AO22" s="168">
        <f t="shared" si="23"/>
        <v>0</v>
      </c>
      <c r="AP22" s="57">
        <f t="shared" si="46"/>
        <v>1</v>
      </c>
      <c r="AQ22" s="57">
        <f t="shared" si="24"/>
        <v>0</v>
      </c>
      <c r="AR22" s="57">
        <f t="shared" si="24"/>
        <v>16</v>
      </c>
      <c r="AS22" s="57">
        <f t="shared" si="24"/>
        <v>3</v>
      </c>
      <c r="AT22" s="57">
        <f t="shared" si="24"/>
        <v>0</v>
      </c>
      <c r="AU22" s="57">
        <f t="shared" si="24"/>
        <v>0</v>
      </c>
      <c r="AV22" s="57">
        <f t="shared" si="24"/>
        <v>0</v>
      </c>
      <c r="AW22" s="57">
        <f t="shared" si="24"/>
        <v>0</v>
      </c>
      <c r="AX22" s="57">
        <f t="shared" si="24"/>
        <v>18</v>
      </c>
      <c r="AY22" s="57">
        <f t="shared" si="47"/>
        <v>38</v>
      </c>
      <c r="AZ22" s="170"/>
      <c r="BA22" s="170"/>
      <c r="BB22" s="170"/>
      <c r="BC22" s="170"/>
      <c r="BD22" s="170"/>
      <c r="BE22" s="170"/>
      <c r="BF22" s="170"/>
      <c r="BG22" s="170"/>
      <c r="BH22" s="170"/>
      <c r="BI22" s="152">
        <f t="shared" si="48"/>
        <v>0</v>
      </c>
      <c r="BJ22" s="171"/>
      <c r="BK22" s="171"/>
      <c r="BL22" s="171"/>
      <c r="BM22" s="171"/>
      <c r="BN22" s="171"/>
      <c r="BO22" s="171"/>
      <c r="BP22" s="171"/>
      <c r="BQ22" s="171"/>
      <c r="BR22" s="171"/>
      <c r="BS22" s="163">
        <f t="shared" si="49"/>
        <v>0</v>
      </c>
      <c r="BT22" s="172"/>
      <c r="BU22" s="172"/>
      <c r="BV22" s="172"/>
      <c r="BW22" s="172"/>
      <c r="BX22" s="172"/>
      <c r="BY22" s="172"/>
      <c r="BZ22" s="172"/>
      <c r="CA22" s="172"/>
      <c r="CB22" s="172"/>
      <c r="CC22" s="164">
        <f t="shared" si="25"/>
        <v>0</v>
      </c>
      <c r="CD22" s="180">
        <f t="shared" si="61"/>
        <v>1</v>
      </c>
      <c r="CE22" s="180">
        <f t="shared" si="62"/>
        <v>7</v>
      </c>
      <c r="CF22" s="180">
        <f t="shared" si="63"/>
        <v>124</v>
      </c>
      <c r="CG22" s="180">
        <f t="shared" si="64"/>
        <v>26</v>
      </c>
      <c r="CH22" s="180">
        <f t="shared" si="65"/>
        <v>1</v>
      </c>
      <c r="CI22" s="180">
        <f t="shared" si="66"/>
        <v>5</v>
      </c>
      <c r="CJ22" s="180">
        <f t="shared" si="67"/>
        <v>0</v>
      </c>
      <c r="CK22" s="180">
        <f t="shared" si="68"/>
        <v>0</v>
      </c>
      <c r="CL22" s="180">
        <f t="shared" si="69"/>
        <v>74</v>
      </c>
      <c r="CM22" s="180">
        <f t="shared" si="50"/>
        <v>238</v>
      </c>
      <c r="CN22" s="183">
        <f t="shared" si="51"/>
        <v>1.45544482769971E-7</v>
      </c>
      <c r="CO22" s="183">
        <f t="shared" si="52"/>
        <v>2.4920573421204513E-6</v>
      </c>
      <c r="CP22" s="183">
        <f t="shared" si="53"/>
        <v>7.9929451470269091E-6</v>
      </c>
      <c r="CQ22" s="183">
        <f t="shared" si="54"/>
        <v>2.4544677701971081E-6</v>
      </c>
      <c r="CR22" s="183">
        <f t="shared" si="55"/>
        <v>1.7082847343876536E-7</v>
      </c>
      <c r="CS22" s="183">
        <f t="shared" si="56"/>
        <v>1.0396769013027299E-6</v>
      </c>
      <c r="CT22" s="183">
        <f t="shared" si="57"/>
        <v>0</v>
      </c>
      <c r="CU22" s="183">
        <f t="shared" si="58"/>
        <v>0</v>
      </c>
      <c r="CV22" s="183">
        <f t="shared" si="59"/>
        <v>1.0130664483239829E-5</v>
      </c>
      <c r="CW22" s="183">
        <f t="shared" si="60"/>
        <v>4.0190073922185028E-6</v>
      </c>
      <c r="CX22" s="193">
        <f t="shared" si="36"/>
        <v>0</v>
      </c>
      <c r="CY22" s="193">
        <f t="shared" si="37"/>
        <v>0</v>
      </c>
      <c r="CZ22" s="193">
        <f t="shared" si="38"/>
        <v>0</v>
      </c>
      <c r="DA22" s="193">
        <f t="shared" si="39"/>
        <v>0</v>
      </c>
      <c r="DB22" s="193">
        <f t="shared" si="40"/>
        <v>0</v>
      </c>
      <c r="DC22" s="193">
        <f t="shared" si="41"/>
        <v>0</v>
      </c>
      <c r="DD22" s="193">
        <f t="shared" si="42"/>
        <v>0</v>
      </c>
      <c r="DE22" s="193">
        <f t="shared" si="43"/>
        <v>0</v>
      </c>
      <c r="DF22" s="193">
        <f t="shared" si="44"/>
        <v>0</v>
      </c>
      <c r="DG22" s="193">
        <f t="shared" si="45"/>
        <v>0</v>
      </c>
      <c r="DI22" s="83"/>
      <c r="DJ22" s="55"/>
    </row>
    <row r="23" spans="1:114" s="173" customFormat="1">
      <c r="A23" s="150">
        <f t="shared" si="17"/>
        <v>43912</v>
      </c>
      <c r="B23" s="165">
        <v>2</v>
      </c>
      <c r="C23" s="165">
        <v>9</v>
      </c>
      <c r="D23" s="165">
        <v>132</v>
      </c>
      <c r="E23" s="165">
        <v>36</v>
      </c>
      <c r="F23" s="165">
        <v>1</v>
      </c>
      <c r="G23" s="165">
        <v>6</v>
      </c>
      <c r="H23" s="165">
        <v>0</v>
      </c>
      <c r="I23" s="165">
        <v>0</v>
      </c>
      <c r="J23" s="165">
        <v>88</v>
      </c>
      <c r="K23" s="165">
        <f t="shared" si="20"/>
        <v>274</v>
      </c>
      <c r="L23" s="166"/>
      <c r="M23" s="166"/>
      <c r="N23" s="166"/>
      <c r="O23" s="166"/>
      <c r="P23" s="166"/>
      <c r="Q23" s="166"/>
      <c r="R23" s="166"/>
      <c r="S23" s="166"/>
      <c r="T23" s="166"/>
      <c r="U23" s="166">
        <f t="shared" si="21"/>
        <v>0</v>
      </c>
      <c r="V23" s="167"/>
      <c r="W23" s="167"/>
      <c r="X23" s="167"/>
      <c r="Y23" s="167"/>
      <c r="Z23" s="167"/>
      <c r="AA23" s="167"/>
      <c r="AB23" s="167"/>
      <c r="AC23" s="167"/>
      <c r="AD23" s="167"/>
      <c r="AE23" s="167">
        <f t="shared" si="22"/>
        <v>0</v>
      </c>
      <c r="AF23" s="168"/>
      <c r="AG23" s="168"/>
      <c r="AH23" s="168"/>
      <c r="AI23" s="168"/>
      <c r="AJ23" s="168"/>
      <c r="AK23" s="168"/>
      <c r="AL23" s="168"/>
      <c r="AM23" s="168"/>
      <c r="AN23" s="168"/>
      <c r="AO23" s="168">
        <f t="shared" si="23"/>
        <v>0</v>
      </c>
      <c r="AP23" s="57">
        <f t="shared" si="46"/>
        <v>1</v>
      </c>
      <c r="AQ23" s="57">
        <f t="shared" si="24"/>
        <v>2</v>
      </c>
      <c r="AR23" s="57">
        <f t="shared" si="24"/>
        <v>7</v>
      </c>
      <c r="AS23" s="57">
        <f t="shared" si="24"/>
        <v>9</v>
      </c>
      <c r="AT23" s="57">
        <f t="shared" si="24"/>
        <v>0</v>
      </c>
      <c r="AU23" s="57">
        <f t="shared" si="24"/>
        <v>1</v>
      </c>
      <c r="AV23" s="57">
        <f t="shared" si="24"/>
        <v>0</v>
      </c>
      <c r="AW23" s="57">
        <f t="shared" si="24"/>
        <v>0</v>
      </c>
      <c r="AX23" s="57">
        <f t="shared" si="24"/>
        <v>14</v>
      </c>
      <c r="AY23" s="57">
        <f t="shared" si="47"/>
        <v>34</v>
      </c>
      <c r="AZ23" s="170"/>
      <c r="BA23" s="170"/>
      <c r="BB23" s="170"/>
      <c r="BC23" s="170"/>
      <c r="BD23" s="170"/>
      <c r="BE23" s="170"/>
      <c r="BF23" s="170"/>
      <c r="BG23" s="170"/>
      <c r="BH23" s="170"/>
      <c r="BI23" s="152">
        <f t="shared" si="48"/>
        <v>0</v>
      </c>
      <c r="BJ23" s="171"/>
      <c r="BK23" s="171"/>
      <c r="BL23" s="171"/>
      <c r="BM23" s="171"/>
      <c r="BN23" s="171"/>
      <c r="BO23" s="171"/>
      <c r="BP23" s="171"/>
      <c r="BQ23" s="171"/>
      <c r="BR23" s="171"/>
      <c r="BS23" s="163">
        <f t="shared" si="49"/>
        <v>0</v>
      </c>
      <c r="BT23" s="172"/>
      <c r="BU23" s="172"/>
      <c r="BV23" s="172"/>
      <c r="BW23" s="172"/>
      <c r="BX23" s="172"/>
      <c r="BY23" s="172"/>
      <c r="BZ23" s="172"/>
      <c r="CA23" s="172"/>
      <c r="CB23" s="172"/>
      <c r="CC23" s="164">
        <f t="shared" si="25"/>
        <v>0</v>
      </c>
      <c r="CD23" s="180">
        <f t="shared" si="61"/>
        <v>2</v>
      </c>
      <c r="CE23" s="180">
        <f t="shared" si="62"/>
        <v>9</v>
      </c>
      <c r="CF23" s="180">
        <f t="shared" si="63"/>
        <v>131</v>
      </c>
      <c r="CG23" s="180">
        <f t="shared" si="64"/>
        <v>34</v>
      </c>
      <c r="CH23" s="180">
        <f t="shared" si="65"/>
        <v>1</v>
      </c>
      <c r="CI23" s="180">
        <f t="shared" si="66"/>
        <v>6</v>
      </c>
      <c r="CJ23" s="180">
        <f t="shared" si="67"/>
        <v>0</v>
      </c>
      <c r="CK23" s="180">
        <f t="shared" si="68"/>
        <v>0</v>
      </c>
      <c r="CL23" s="180">
        <f t="shared" si="69"/>
        <v>88</v>
      </c>
      <c r="CM23" s="180">
        <f t="shared" si="50"/>
        <v>271</v>
      </c>
      <c r="CN23" s="183">
        <f t="shared" si="51"/>
        <v>2.91088965539942E-7</v>
      </c>
      <c r="CO23" s="183">
        <f t="shared" si="52"/>
        <v>3.2040737255834374E-6</v>
      </c>
      <c r="CP23" s="183">
        <f t="shared" si="53"/>
        <v>8.4405500752604156E-6</v>
      </c>
      <c r="CQ23" s="183">
        <f t="shared" si="54"/>
        <v>3.2726236935961444E-6</v>
      </c>
      <c r="CR23" s="183">
        <f t="shared" si="55"/>
        <v>1.7082847343876536E-7</v>
      </c>
      <c r="CS23" s="183">
        <f t="shared" si="56"/>
        <v>1.247612281563276E-6</v>
      </c>
      <c r="CT23" s="183">
        <f t="shared" si="57"/>
        <v>0</v>
      </c>
      <c r="CU23" s="183">
        <f t="shared" si="58"/>
        <v>0</v>
      </c>
      <c r="CV23" s="183">
        <f t="shared" si="59"/>
        <v>1.2047276682771688E-5</v>
      </c>
      <c r="CW23" s="183">
        <f t="shared" si="60"/>
        <v>4.5883667727827907E-6</v>
      </c>
      <c r="CX23" s="193">
        <f t="shared" si="36"/>
        <v>0</v>
      </c>
      <c r="CY23" s="193">
        <f t="shared" si="37"/>
        <v>0</v>
      </c>
      <c r="CZ23" s="193">
        <f t="shared" si="38"/>
        <v>0</v>
      </c>
      <c r="DA23" s="193">
        <f t="shared" si="39"/>
        <v>0</v>
      </c>
      <c r="DB23" s="193">
        <f t="shared" si="40"/>
        <v>0</v>
      </c>
      <c r="DC23" s="193">
        <f t="shared" si="41"/>
        <v>0</v>
      </c>
      <c r="DD23" s="193">
        <f t="shared" si="42"/>
        <v>0</v>
      </c>
      <c r="DE23" s="193">
        <f t="shared" si="43"/>
        <v>0</v>
      </c>
      <c r="DF23" s="193">
        <f t="shared" si="44"/>
        <v>0</v>
      </c>
      <c r="DG23" s="193">
        <f t="shared" si="45"/>
        <v>0</v>
      </c>
      <c r="DI23" s="83"/>
      <c r="DJ23" s="55"/>
    </row>
    <row r="24" spans="1:114" s="173" customFormat="1">
      <c r="A24" s="150">
        <f t="shared" si="17"/>
        <v>43913</v>
      </c>
      <c r="B24" s="165">
        <v>2</v>
      </c>
      <c r="C24" s="165">
        <v>13</v>
      </c>
      <c r="D24" s="165">
        <v>207</v>
      </c>
      <c r="E24" s="165">
        <v>60</v>
      </c>
      <c r="F24" s="165">
        <v>4</v>
      </c>
      <c r="G24" s="165">
        <v>9</v>
      </c>
      <c r="H24" s="165">
        <v>4</v>
      </c>
      <c r="I24" s="165">
        <v>2</v>
      </c>
      <c r="J24" s="165">
        <v>100</v>
      </c>
      <c r="K24" s="165">
        <f t="shared" si="20"/>
        <v>401</v>
      </c>
      <c r="L24" s="166"/>
      <c r="M24" s="166"/>
      <c r="N24" s="166"/>
      <c r="O24" s="166"/>
      <c r="P24" s="166"/>
      <c r="Q24" s="166"/>
      <c r="R24" s="166"/>
      <c r="S24" s="166"/>
      <c r="T24" s="166"/>
      <c r="U24" s="166">
        <f t="shared" si="21"/>
        <v>0</v>
      </c>
      <c r="V24" s="167"/>
      <c r="W24" s="167"/>
      <c r="X24" s="167"/>
      <c r="Y24" s="167"/>
      <c r="Z24" s="167"/>
      <c r="AA24" s="167"/>
      <c r="AB24" s="167"/>
      <c r="AC24" s="167"/>
      <c r="AD24" s="167"/>
      <c r="AE24" s="167">
        <f t="shared" si="22"/>
        <v>0</v>
      </c>
      <c r="AF24" s="168"/>
      <c r="AG24" s="168"/>
      <c r="AH24" s="168"/>
      <c r="AI24" s="168"/>
      <c r="AJ24" s="168"/>
      <c r="AK24" s="168"/>
      <c r="AL24" s="168"/>
      <c r="AM24" s="168"/>
      <c r="AN24" s="168"/>
      <c r="AO24" s="168">
        <f t="shared" si="23"/>
        <v>0</v>
      </c>
      <c r="AP24" s="57">
        <f t="shared" si="46"/>
        <v>0</v>
      </c>
      <c r="AQ24" s="57">
        <f t="shared" si="46"/>
        <v>4</v>
      </c>
      <c r="AR24" s="57">
        <f t="shared" si="46"/>
        <v>75</v>
      </c>
      <c r="AS24" s="57">
        <f t="shared" si="46"/>
        <v>24</v>
      </c>
      <c r="AT24" s="57">
        <f t="shared" si="46"/>
        <v>3</v>
      </c>
      <c r="AU24" s="57">
        <f t="shared" si="46"/>
        <v>3</v>
      </c>
      <c r="AV24" s="57">
        <f t="shared" si="46"/>
        <v>4</v>
      </c>
      <c r="AW24" s="57">
        <f t="shared" si="46"/>
        <v>2</v>
      </c>
      <c r="AX24" s="57">
        <f t="shared" si="46"/>
        <v>12</v>
      </c>
      <c r="AY24" s="57">
        <f t="shared" si="47"/>
        <v>127</v>
      </c>
      <c r="AZ24" s="170"/>
      <c r="BA24" s="170"/>
      <c r="BB24" s="170"/>
      <c r="BC24" s="170"/>
      <c r="BD24" s="170"/>
      <c r="BE24" s="170"/>
      <c r="BF24" s="170"/>
      <c r="BG24" s="170"/>
      <c r="BH24" s="170"/>
      <c r="BI24" s="152">
        <f t="shared" si="48"/>
        <v>0</v>
      </c>
      <c r="BJ24" s="171"/>
      <c r="BK24" s="171"/>
      <c r="BL24" s="171"/>
      <c r="BM24" s="171"/>
      <c r="BN24" s="171"/>
      <c r="BO24" s="171"/>
      <c r="BP24" s="171"/>
      <c r="BQ24" s="171"/>
      <c r="BR24" s="171"/>
      <c r="BS24" s="163">
        <f t="shared" si="49"/>
        <v>0</v>
      </c>
      <c r="BT24" s="172"/>
      <c r="BU24" s="172"/>
      <c r="BV24" s="172"/>
      <c r="BW24" s="172"/>
      <c r="BX24" s="172"/>
      <c r="BY24" s="172"/>
      <c r="BZ24" s="172"/>
      <c r="CA24" s="172"/>
      <c r="CB24" s="172"/>
      <c r="CC24" s="164">
        <f t="shared" si="25"/>
        <v>0</v>
      </c>
      <c r="CD24" s="180">
        <f t="shared" si="61"/>
        <v>2</v>
      </c>
      <c r="CE24" s="180">
        <f t="shared" si="62"/>
        <v>13</v>
      </c>
      <c r="CF24" s="180">
        <f t="shared" si="63"/>
        <v>206</v>
      </c>
      <c r="CG24" s="180">
        <f t="shared" si="64"/>
        <v>54</v>
      </c>
      <c r="CH24" s="180">
        <f t="shared" si="65"/>
        <v>4</v>
      </c>
      <c r="CI24" s="180">
        <f t="shared" si="66"/>
        <v>9</v>
      </c>
      <c r="CJ24" s="180">
        <f t="shared" si="67"/>
        <v>4</v>
      </c>
      <c r="CK24" s="180">
        <f t="shared" si="68"/>
        <v>2</v>
      </c>
      <c r="CL24" s="180">
        <f t="shared" si="69"/>
        <v>100</v>
      </c>
      <c r="CM24" s="180">
        <f t="shared" si="50"/>
        <v>394</v>
      </c>
      <c r="CN24" s="183">
        <f t="shared" si="51"/>
        <v>2.91088965539942E-7</v>
      </c>
      <c r="CO24" s="183">
        <f t="shared" si="52"/>
        <v>4.628106492509409E-6</v>
      </c>
      <c r="CP24" s="183">
        <f t="shared" si="53"/>
        <v>1.323631716347656E-5</v>
      </c>
      <c r="CQ24" s="183">
        <f t="shared" si="54"/>
        <v>5.4543728226602407E-6</v>
      </c>
      <c r="CR24" s="183">
        <f t="shared" si="55"/>
        <v>6.8331389375506146E-7</v>
      </c>
      <c r="CS24" s="183">
        <f t="shared" si="56"/>
        <v>1.8714184223449138E-6</v>
      </c>
      <c r="CT24" s="183">
        <f t="shared" si="57"/>
        <v>9.7379809505316537E-7</v>
      </c>
      <c r="CU24" s="183">
        <f t="shared" si="58"/>
        <v>1.512598605000734E-6</v>
      </c>
      <c r="CV24" s="183">
        <f t="shared" si="59"/>
        <v>1.3690087139513283E-5</v>
      </c>
      <c r="CW24" s="183">
        <f t="shared" si="60"/>
        <v>6.7150915178317482E-6</v>
      </c>
      <c r="CX24" s="193">
        <f t="shared" si="36"/>
        <v>0</v>
      </c>
      <c r="CY24" s="193">
        <f t="shared" si="37"/>
        <v>0</v>
      </c>
      <c r="CZ24" s="193">
        <f t="shared" si="38"/>
        <v>0</v>
      </c>
      <c r="DA24" s="193">
        <f t="shared" si="39"/>
        <v>0</v>
      </c>
      <c r="DB24" s="193">
        <f t="shared" si="40"/>
        <v>0</v>
      </c>
      <c r="DC24" s="193">
        <f t="shared" si="41"/>
        <v>0</v>
      </c>
      <c r="DD24" s="193">
        <f t="shared" si="42"/>
        <v>0</v>
      </c>
      <c r="DE24" s="193">
        <f t="shared" si="43"/>
        <v>0</v>
      </c>
      <c r="DF24" s="193">
        <f t="shared" si="44"/>
        <v>0</v>
      </c>
      <c r="DG24" s="193">
        <f t="shared" si="45"/>
        <v>0</v>
      </c>
      <c r="DI24" s="83"/>
      <c r="DJ24" s="55"/>
    </row>
    <row r="25" spans="1:114" s="173" customFormat="1">
      <c r="A25" s="150">
        <f t="shared" si="17"/>
        <v>43914</v>
      </c>
      <c r="B25" s="165">
        <v>2</v>
      </c>
      <c r="C25" s="165">
        <v>18</v>
      </c>
      <c r="D25" s="165">
        <v>302</v>
      </c>
      <c r="E25" s="165">
        <v>80</v>
      </c>
      <c r="F25" s="165">
        <v>4</v>
      </c>
      <c r="G25" s="165">
        <v>9</v>
      </c>
      <c r="H25" s="165">
        <v>5</v>
      </c>
      <c r="I25" s="165">
        <v>2</v>
      </c>
      <c r="J25" s="165">
        <v>113</v>
      </c>
      <c r="K25" s="165">
        <f t="shared" si="20"/>
        <v>535</v>
      </c>
      <c r="L25" s="166"/>
      <c r="M25" s="166"/>
      <c r="N25" s="166"/>
      <c r="O25" s="166"/>
      <c r="P25" s="166"/>
      <c r="Q25" s="166"/>
      <c r="R25" s="166"/>
      <c r="S25" s="166"/>
      <c r="T25" s="166"/>
      <c r="U25" s="166">
        <f t="shared" si="21"/>
        <v>0</v>
      </c>
      <c r="V25" s="167"/>
      <c r="W25" s="167"/>
      <c r="X25" s="167"/>
      <c r="Y25" s="167"/>
      <c r="Z25" s="167"/>
      <c r="AA25" s="167"/>
      <c r="AB25" s="167"/>
      <c r="AC25" s="167"/>
      <c r="AD25" s="167"/>
      <c r="AE25" s="167">
        <f t="shared" si="22"/>
        <v>0</v>
      </c>
      <c r="AF25" s="168"/>
      <c r="AG25" s="168"/>
      <c r="AH25" s="168"/>
      <c r="AI25" s="168"/>
      <c r="AJ25" s="168"/>
      <c r="AK25" s="168"/>
      <c r="AL25" s="168"/>
      <c r="AM25" s="168"/>
      <c r="AN25" s="168"/>
      <c r="AO25" s="168">
        <f t="shared" si="23"/>
        <v>0</v>
      </c>
      <c r="AP25" s="57">
        <f t="shared" si="46"/>
        <v>0</v>
      </c>
      <c r="AQ25" s="57">
        <f t="shared" si="46"/>
        <v>5</v>
      </c>
      <c r="AR25" s="57">
        <f t="shared" si="46"/>
        <v>95</v>
      </c>
      <c r="AS25" s="57">
        <f t="shared" si="46"/>
        <v>20</v>
      </c>
      <c r="AT25" s="57">
        <f t="shared" si="46"/>
        <v>0</v>
      </c>
      <c r="AU25" s="57">
        <f t="shared" si="46"/>
        <v>0</v>
      </c>
      <c r="AV25" s="57">
        <f t="shared" si="46"/>
        <v>1</v>
      </c>
      <c r="AW25" s="57">
        <f t="shared" si="46"/>
        <v>0</v>
      </c>
      <c r="AX25" s="57">
        <f t="shared" si="46"/>
        <v>13</v>
      </c>
      <c r="AY25" s="57">
        <f t="shared" si="47"/>
        <v>134</v>
      </c>
      <c r="AZ25" s="170"/>
      <c r="BA25" s="170"/>
      <c r="BB25" s="170"/>
      <c r="BC25" s="170"/>
      <c r="BD25" s="170"/>
      <c r="BE25" s="170"/>
      <c r="BF25" s="170"/>
      <c r="BG25" s="170"/>
      <c r="BH25" s="170"/>
      <c r="BI25" s="152">
        <f t="shared" si="48"/>
        <v>0</v>
      </c>
      <c r="BJ25" s="171"/>
      <c r="BK25" s="171"/>
      <c r="BL25" s="171"/>
      <c r="BM25" s="171"/>
      <c r="BN25" s="171"/>
      <c r="BO25" s="171"/>
      <c r="BP25" s="171"/>
      <c r="BQ25" s="171"/>
      <c r="BR25" s="171"/>
      <c r="BS25" s="163">
        <f t="shared" si="49"/>
        <v>0</v>
      </c>
      <c r="BT25" s="172"/>
      <c r="BU25" s="172"/>
      <c r="BV25" s="172"/>
      <c r="BW25" s="172"/>
      <c r="BX25" s="172"/>
      <c r="BY25" s="172"/>
      <c r="BZ25" s="172"/>
      <c r="CA25" s="172"/>
      <c r="CB25" s="172"/>
      <c r="CC25" s="164">
        <f t="shared" si="25"/>
        <v>0</v>
      </c>
      <c r="CD25" s="180">
        <f t="shared" si="61"/>
        <v>2</v>
      </c>
      <c r="CE25" s="180">
        <f t="shared" si="62"/>
        <v>18</v>
      </c>
      <c r="CF25" s="180">
        <f t="shared" si="63"/>
        <v>301</v>
      </c>
      <c r="CG25" s="180">
        <f t="shared" si="64"/>
        <v>74</v>
      </c>
      <c r="CH25" s="180">
        <f t="shared" si="65"/>
        <v>4</v>
      </c>
      <c r="CI25" s="180">
        <f t="shared" si="66"/>
        <v>9</v>
      </c>
      <c r="CJ25" s="180">
        <f t="shared" si="67"/>
        <v>5</v>
      </c>
      <c r="CK25" s="180">
        <f t="shared" si="68"/>
        <v>2</v>
      </c>
      <c r="CL25" s="180">
        <f t="shared" si="69"/>
        <v>112</v>
      </c>
      <c r="CM25" s="180">
        <f t="shared" si="50"/>
        <v>527</v>
      </c>
      <c r="CN25" s="183">
        <f t="shared" si="51"/>
        <v>2.91088965539942E-7</v>
      </c>
      <c r="CO25" s="183">
        <f t="shared" si="52"/>
        <v>6.4081474511668748E-6</v>
      </c>
      <c r="CP25" s="183">
        <f t="shared" si="53"/>
        <v>1.9310955475217009E-5</v>
      </c>
      <c r="CQ25" s="183">
        <f t="shared" si="54"/>
        <v>7.2724970968803204E-6</v>
      </c>
      <c r="CR25" s="183">
        <f t="shared" si="55"/>
        <v>6.8331389375506146E-7</v>
      </c>
      <c r="CS25" s="183">
        <f t="shared" si="56"/>
        <v>1.8714184223449138E-6</v>
      </c>
      <c r="CT25" s="183">
        <f t="shared" si="57"/>
        <v>1.2172476188164569E-6</v>
      </c>
      <c r="CU25" s="183">
        <f t="shared" si="58"/>
        <v>1.512598605000734E-6</v>
      </c>
      <c r="CV25" s="183">
        <f t="shared" si="59"/>
        <v>1.5469798467650011E-5</v>
      </c>
      <c r="CW25" s="183">
        <f t="shared" si="60"/>
        <v>8.959037311820412E-6</v>
      </c>
      <c r="CX25" s="193">
        <f t="shared" si="36"/>
        <v>0</v>
      </c>
      <c r="CY25" s="193">
        <f t="shared" si="37"/>
        <v>0</v>
      </c>
      <c r="CZ25" s="193">
        <f t="shared" si="38"/>
        <v>0</v>
      </c>
      <c r="DA25" s="193">
        <f t="shared" si="39"/>
        <v>0</v>
      </c>
      <c r="DB25" s="193">
        <f t="shared" si="40"/>
        <v>0</v>
      </c>
      <c r="DC25" s="193">
        <f t="shared" si="41"/>
        <v>0</v>
      </c>
      <c r="DD25" s="193">
        <f t="shared" si="42"/>
        <v>0</v>
      </c>
      <c r="DE25" s="193">
        <f t="shared" si="43"/>
        <v>0</v>
      </c>
      <c r="DF25" s="193">
        <f t="shared" si="44"/>
        <v>0</v>
      </c>
      <c r="DG25" s="193">
        <f t="shared" si="45"/>
        <v>0</v>
      </c>
      <c r="DI25" s="83"/>
      <c r="DJ25" s="55"/>
    </row>
    <row r="26" spans="1:114" s="173" customFormat="1">
      <c r="A26" s="150">
        <f t="shared" si="17"/>
        <v>43915</v>
      </c>
      <c r="B26" s="165">
        <v>2</v>
      </c>
      <c r="C26" s="165">
        <v>30</v>
      </c>
      <c r="D26" s="165">
        <v>319</v>
      </c>
      <c r="E26" s="165">
        <v>91</v>
      </c>
      <c r="F26" s="165">
        <v>4</v>
      </c>
      <c r="G26" s="165">
        <v>8</v>
      </c>
      <c r="H26" s="165">
        <v>5</v>
      </c>
      <c r="I26" s="165">
        <v>2</v>
      </c>
      <c r="J26" s="165">
        <v>183</v>
      </c>
      <c r="K26" s="165">
        <f t="shared" si="20"/>
        <v>644</v>
      </c>
      <c r="L26" s="166"/>
      <c r="M26" s="166"/>
      <c r="N26" s="166"/>
      <c r="O26" s="166"/>
      <c r="P26" s="166"/>
      <c r="Q26" s="166"/>
      <c r="R26" s="166"/>
      <c r="S26" s="166"/>
      <c r="T26" s="166"/>
      <c r="U26" s="166">
        <f t="shared" si="21"/>
        <v>0</v>
      </c>
      <c r="V26" s="167"/>
      <c r="W26" s="167"/>
      <c r="X26" s="167"/>
      <c r="Y26" s="167"/>
      <c r="Z26" s="167"/>
      <c r="AA26" s="167"/>
      <c r="AB26" s="167"/>
      <c r="AC26" s="167"/>
      <c r="AD26" s="167"/>
      <c r="AE26" s="167">
        <f t="shared" si="22"/>
        <v>0</v>
      </c>
      <c r="AF26" s="168"/>
      <c r="AG26" s="168"/>
      <c r="AH26" s="168"/>
      <c r="AI26" s="168"/>
      <c r="AJ26" s="168"/>
      <c r="AK26" s="168"/>
      <c r="AL26" s="168"/>
      <c r="AM26" s="168"/>
      <c r="AN26" s="168"/>
      <c r="AO26" s="168">
        <f t="shared" si="23"/>
        <v>0</v>
      </c>
      <c r="AP26" s="57">
        <f t="shared" si="46"/>
        <v>0</v>
      </c>
      <c r="AQ26" s="57">
        <f t="shared" si="46"/>
        <v>12</v>
      </c>
      <c r="AR26" s="57">
        <f t="shared" si="46"/>
        <v>17</v>
      </c>
      <c r="AS26" s="57">
        <f t="shared" si="46"/>
        <v>11</v>
      </c>
      <c r="AT26" s="57">
        <f t="shared" si="46"/>
        <v>0</v>
      </c>
      <c r="AU26" s="57">
        <f t="shared" si="46"/>
        <v>-1</v>
      </c>
      <c r="AV26" s="57">
        <f t="shared" si="46"/>
        <v>0</v>
      </c>
      <c r="AW26" s="57">
        <f t="shared" si="46"/>
        <v>0</v>
      </c>
      <c r="AX26" s="57">
        <f t="shared" si="46"/>
        <v>70</v>
      </c>
      <c r="AY26" s="57">
        <f t="shared" si="47"/>
        <v>109</v>
      </c>
      <c r="AZ26" s="170"/>
      <c r="BA26" s="170"/>
      <c r="BB26" s="170"/>
      <c r="BC26" s="170"/>
      <c r="BD26" s="170"/>
      <c r="BE26" s="170"/>
      <c r="BF26" s="170"/>
      <c r="BG26" s="170"/>
      <c r="BH26" s="170"/>
      <c r="BI26" s="152">
        <f t="shared" si="48"/>
        <v>0</v>
      </c>
      <c r="BJ26" s="171"/>
      <c r="BK26" s="171"/>
      <c r="BL26" s="171"/>
      <c r="BM26" s="171"/>
      <c r="BN26" s="171"/>
      <c r="BO26" s="171"/>
      <c r="BP26" s="171"/>
      <c r="BQ26" s="171"/>
      <c r="BR26" s="171"/>
      <c r="BS26" s="163">
        <f t="shared" si="49"/>
        <v>0</v>
      </c>
      <c r="BT26" s="172"/>
      <c r="BU26" s="172"/>
      <c r="BV26" s="172"/>
      <c r="BW26" s="172"/>
      <c r="BX26" s="172"/>
      <c r="BY26" s="172"/>
      <c r="BZ26" s="172"/>
      <c r="CA26" s="172"/>
      <c r="CB26" s="172"/>
      <c r="CC26" s="164">
        <f t="shared" si="25"/>
        <v>0</v>
      </c>
      <c r="CD26" s="180">
        <f t="shared" si="61"/>
        <v>2</v>
      </c>
      <c r="CE26" s="180">
        <f t="shared" si="62"/>
        <v>30</v>
      </c>
      <c r="CF26" s="180">
        <f t="shared" si="63"/>
        <v>314</v>
      </c>
      <c r="CG26" s="180">
        <f t="shared" si="64"/>
        <v>84</v>
      </c>
      <c r="CH26" s="180">
        <f t="shared" si="65"/>
        <v>4</v>
      </c>
      <c r="CI26" s="180">
        <f t="shared" si="66"/>
        <v>8</v>
      </c>
      <c r="CJ26" s="180">
        <f t="shared" si="67"/>
        <v>5</v>
      </c>
      <c r="CK26" s="180">
        <f t="shared" si="68"/>
        <v>2</v>
      </c>
      <c r="CL26" s="180">
        <f t="shared" si="69"/>
        <v>182</v>
      </c>
      <c r="CM26" s="180">
        <f t="shared" si="50"/>
        <v>631</v>
      </c>
      <c r="CN26" s="183">
        <f t="shared" si="51"/>
        <v>2.91088965539942E-7</v>
      </c>
      <c r="CO26" s="183">
        <f t="shared" si="52"/>
        <v>1.0680245751944791E-5</v>
      </c>
      <c r="CP26" s="183">
        <f t="shared" si="53"/>
        <v>2.039799601521267E-5</v>
      </c>
      <c r="CQ26" s="183">
        <f t="shared" si="54"/>
        <v>8.272465447701365E-6</v>
      </c>
      <c r="CR26" s="183">
        <f t="shared" si="55"/>
        <v>6.8331389375506146E-7</v>
      </c>
      <c r="CS26" s="183">
        <f t="shared" si="56"/>
        <v>1.6634830420843678E-6</v>
      </c>
      <c r="CT26" s="183">
        <f t="shared" si="57"/>
        <v>1.2172476188164569E-6</v>
      </c>
      <c r="CU26" s="183">
        <f t="shared" si="58"/>
        <v>1.512598605000734E-6</v>
      </c>
      <c r="CV26" s="183">
        <f t="shared" si="59"/>
        <v>2.5052859465309306E-5</v>
      </c>
      <c r="CW26" s="183">
        <f t="shared" si="60"/>
        <v>1.0784336502452983E-5</v>
      </c>
      <c r="CX26" s="193">
        <f t="shared" si="36"/>
        <v>0</v>
      </c>
      <c r="CY26" s="193">
        <f t="shared" si="37"/>
        <v>0</v>
      </c>
      <c r="CZ26" s="193">
        <f t="shared" si="38"/>
        <v>0</v>
      </c>
      <c r="DA26" s="193">
        <f t="shared" si="39"/>
        <v>0</v>
      </c>
      <c r="DB26" s="193">
        <f t="shared" si="40"/>
        <v>0</v>
      </c>
      <c r="DC26" s="193">
        <f t="shared" si="41"/>
        <v>0</v>
      </c>
      <c r="DD26" s="193">
        <f t="shared" si="42"/>
        <v>0</v>
      </c>
      <c r="DE26" s="193">
        <f t="shared" si="43"/>
        <v>0</v>
      </c>
      <c r="DF26" s="193">
        <f t="shared" si="44"/>
        <v>0</v>
      </c>
      <c r="DG26" s="193">
        <f t="shared" si="45"/>
        <v>0</v>
      </c>
      <c r="DI26" s="83"/>
      <c r="DJ26" s="55"/>
    </row>
    <row r="27" spans="1:114" s="173" customFormat="1">
      <c r="A27" s="150">
        <f t="shared" si="17"/>
        <v>43916</v>
      </c>
      <c r="B27" s="165">
        <v>5</v>
      </c>
      <c r="C27" s="165">
        <v>49</v>
      </c>
      <c r="D27" s="165">
        <v>409</v>
      </c>
      <c r="E27" s="165">
        <v>134</v>
      </c>
      <c r="F27" s="165">
        <v>6</v>
      </c>
      <c r="G27" s="165">
        <v>9</v>
      </c>
      <c r="H27" s="165">
        <v>4</v>
      </c>
      <c r="I27" s="165">
        <v>1</v>
      </c>
      <c r="J27" s="165">
        <v>229</v>
      </c>
      <c r="K27" s="165">
        <f t="shared" si="20"/>
        <v>846</v>
      </c>
      <c r="L27" s="166"/>
      <c r="M27" s="166"/>
      <c r="N27" s="166"/>
      <c r="O27" s="166"/>
      <c r="P27" s="166"/>
      <c r="Q27" s="166"/>
      <c r="R27" s="166"/>
      <c r="S27" s="166"/>
      <c r="T27" s="166"/>
      <c r="U27" s="166">
        <f t="shared" si="21"/>
        <v>0</v>
      </c>
      <c r="V27" s="167"/>
      <c r="W27" s="167"/>
      <c r="X27" s="167"/>
      <c r="Y27" s="167"/>
      <c r="Z27" s="167"/>
      <c r="AA27" s="167"/>
      <c r="AB27" s="167"/>
      <c r="AC27" s="167"/>
      <c r="AD27" s="167"/>
      <c r="AE27" s="167">
        <f t="shared" si="22"/>
        <v>0</v>
      </c>
      <c r="AF27" s="168"/>
      <c r="AG27" s="168"/>
      <c r="AH27" s="168"/>
      <c r="AI27" s="168"/>
      <c r="AJ27" s="168"/>
      <c r="AK27" s="168"/>
      <c r="AL27" s="168"/>
      <c r="AM27" s="168"/>
      <c r="AN27" s="168"/>
      <c r="AO27" s="168">
        <f t="shared" si="23"/>
        <v>0</v>
      </c>
      <c r="AP27" s="57">
        <f t="shared" si="46"/>
        <v>3</v>
      </c>
      <c r="AQ27" s="57">
        <f t="shared" si="46"/>
        <v>19</v>
      </c>
      <c r="AR27" s="57">
        <f t="shared" si="46"/>
        <v>90</v>
      </c>
      <c r="AS27" s="57">
        <f t="shared" si="46"/>
        <v>43</v>
      </c>
      <c r="AT27" s="57">
        <f t="shared" si="46"/>
        <v>2</v>
      </c>
      <c r="AU27" s="57">
        <f t="shared" si="46"/>
        <v>1</v>
      </c>
      <c r="AV27" s="57">
        <f t="shared" si="46"/>
        <v>-1</v>
      </c>
      <c r="AW27" s="57">
        <f t="shared" si="46"/>
        <v>-1</v>
      </c>
      <c r="AX27" s="57">
        <f t="shared" si="46"/>
        <v>46</v>
      </c>
      <c r="AY27" s="57">
        <f t="shared" si="47"/>
        <v>202</v>
      </c>
      <c r="AZ27" s="170"/>
      <c r="BA27" s="170"/>
      <c r="BB27" s="170"/>
      <c r="BC27" s="170"/>
      <c r="BD27" s="170"/>
      <c r="BE27" s="170"/>
      <c r="BF27" s="170"/>
      <c r="BG27" s="170"/>
      <c r="BH27" s="170"/>
      <c r="BI27" s="152">
        <f t="shared" si="48"/>
        <v>0</v>
      </c>
      <c r="BJ27" s="171"/>
      <c r="BK27" s="171"/>
      <c r="BL27" s="171"/>
      <c r="BM27" s="171"/>
      <c r="BN27" s="171"/>
      <c r="BO27" s="171"/>
      <c r="BP27" s="171"/>
      <c r="BQ27" s="171"/>
      <c r="BR27" s="171"/>
      <c r="BS27" s="163">
        <f t="shared" si="49"/>
        <v>0</v>
      </c>
      <c r="BT27" s="172"/>
      <c r="BU27" s="172"/>
      <c r="BV27" s="172"/>
      <c r="BW27" s="172"/>
      <c r="BX27" s="172"/>
      <c r="BY27" s="172"/>
      <c r="BZ27" s="172"/>
      <c r="CA27" s="172"/>
      <c r="CB27" s="172"/>
      <c r="CC27" s="164">
        <f t="shared" si="25"/>
        <v>0</v>
      </c>
      <c r="CD27" s="180">
        <f t="shared" si="61"/>
        <v>5</v>
      </c>
      <c r="CE27" s="180">
        <f t="shared" si="62"/>
        <v>49</v>
      </c>
      <c r="CF27" s="180">
        <f t="shared" si="63"/>
        <v>403</v>
      </c>
      <c r="CG27" s="180">
        <f t="shared" si="64"/>
        <v>126</v>
      </c>
      <c r="CH27" s="180">
        <f t="shared" si="65"/>
        <v>6</v>
      </c>
      <c r="CI27" s="180">
        <f t="shared" si="66"/>
        <v>8</v>
      </c>
      <c r="CJ27" s="180">
        <f t="shared" si="67"/>
        <v>4</v>
      </c>
      <c r="CK27" s="180">
        <f t="shared" si="68"/>
        <v>1</v>
      </c>
      <c r="CL27" s="180">
        <f t="shared" si="69"/>
        <v>228</v>
      </c>
      <c r="CM27" s="180">
        <f t="shared" si="50"/>
        <v>830</v>
      </c>
      <c r="CN27" s="183">
        <f t="shared" si="51"/>
        <v>7.2772241384985507E-7</v>
      </c>
      <c r="CO27" s="183">
        <f t="shared" si="52"/>
        <v>1.7444401394843159E-5</v>
      </c>
      <c r="CP27" s="183">
        <f t="shared" si="53"/>
        <v>2.6152916521072045E-5</v>
      </c>
      <c r="CQ27" s="183">
        <f t="shared" si="54"/>
        <v>1.2181432637274537E-5</v>
      </c>
      <c r="CR27" s="183">
        <f t="shared" si="55"/>
        <v>1.0249708406325922E-6</v>
      </c>
      <c r="CS27" s="183">
        <f t="shared" si="56"/>
        <v>1.8714184223449138E-6</v>
      </c>
      <c r="CT27" s="183">
        <f t="shared" si="57"/>
        <v>9.7379809505316537E-7</v>
      </c>
      <c r="CU27" s="183">
        <f t="shared" si="58"/>
        <v>7.56299302500367E-7</v>
      </c>
      <c r="CV27" s="183">
        <f t="shared" si="59"/>
        <v>3.1350299549485419E-5</v>
      </c>
      <c r="CW27" s="183">
        <f t="shared" si="60"/>
        <v>1.4167001057570222E-5</v>
      </c>
      <c r="CX27" s="193">
        <f t="shared" si="36"/>
        <v>0</v>
      </c>
      <c r="CY27" s="193">
        <f t="shared" si="37"/>
        <v>0</v>
      </c>
      <c r="CZ27" s="193">
        <f t="shared" si="38"/>
        <v>0</v>
      </c>
      <c r="DA27" s="193">
        <f t="shared" si="39"/>
        <v>0</v>
      </c>
      <c r="DB27" s="193">
        <f t="shared" si="40"/>
        <v>0</v>
      </c>
      <c r="DC27" s="193">
        <f t="shared" si="41"/>
        <v>0</v>
      </c>
      <c r="DD27" s="193">
        <f t="shared" si="42"/>
        <v>0</v>
      </c>
      <c r="DE27" s="193">
        <f t="shared" si="43"/>
        <v>0</v>
      </c>
      <c r="DF27" s="193">
        <f t="shared" si="44"/>
        <v>0</v>
      </c>
      <c r="DG27" s="193">
        <f t="shared" si="45"/>
        <v>0</v>
      </c>
      <c r="DI27" s="83"/>
      <c r="DJ27" s="55"/>
    </row>
    <row r="28" spans="1:114" s="173" customFormat="1">
      <c r="A28" s="150">
        <f t="shared" si="17"/>
        <v>43917</v>
      </c>
      <c r="B28" s="165">
        <v>5</v>
      </c>
      <c r="C28" s="165">
        <v>58.5</v>
      </c>
      <c r="D28" s="165">
        <v>471</v>
      </c>
      <c r="E28" s="165">
        <v>145</v>
      </c>
      <c r="F28" s="165">
        <v>8.5</v>
      </c>
      <c r="G28" s="165">
        <v>9</v>
      </c>
      <c r="H28" s="165">
        <v>5</v>
      </c>
      <c r="I28" s="165">
        <v>0</v>
      </c>
      <c r="J28" s="165">
        <v>250</v>
      </c>
      <c r="K28" s="165">
        <f t="shared" si="20"/>
        <v>952</v>
      </c>
      <c r="L28" s="166"/>
      <c r="M28" s="166"/>
      <c r="N28" s="166"/>
      <c r="O28" s="166"/>
      <c r="P28" s="166"/>
      <c r="Q28" s="166"/>
      <c r="R28" s="166"/>
      <c r="S28" s="166"/>
      <c r="T28" s="166"/>
      <c r="U28" s="166">
        <f t="shared" si="21"/>
        <v>0</v>
      </c>
      <c r="V28" s="167"/>
      <c r="W28" s="167"/>
      <c r="X28" s="167"/>
      <c r="Y28" s="167"/>
      <c r="Z28" s="167"/>
      <c r="AA28" s="167"/>
      <c r="AB28" s="167"/>
      <c r="AC28" s="167"/>
      <c r="AD28" s="167"/>
      <c r="AE28" s="167">
        <f t="shared" si="22"/>
        <v>0</v>
      </c>
      <c r="AF28" s="168"/>
      <c r="AG28" s="168"/>
      <c r="AH28" s="168"/>
      <c r="AI28" s="168"/>
      <c r="AJ28" s="168"/>
      <c r="AK28" s="168"/>
      <c r="AL28" s="168"/>
      <c r="AM28" s="168"/>
      <c r="AN28" s="168"/>
      <c r="AO28" s="168">
        <f t="shared" si="23"/>
        <v>0</v>
      </c>
      <c r="AP28" s="57">
        <f t="shared" si="46"/>
        <v>0</v>
      </c>
      <c r="AQ28" s="57">
        <f t="shared" si="46"/>
        <v>9.5</v>
      </c>
      <c r="AR28" s="57">
        <f t="shared" si="46"/>
        <v>62</v>
      </c>
      <c r="AS28" s="57">
        <f t="shared" si="46"/>
        <v>11</v>
      </c>
      <c r="AT28" s="57">
        <f t="shared" si="46"/>
        <v>2.5</v>
      </c>
      <c r="AU28" s="57">
        <f t="shared" si="46"/>
        <v>0</v>
      </c>
      <c r="AV28" s="57">
        <f t="shared" si="46"/>
        <v>1</v>
      </c>
      <c r="AW28" s="57">
        <f t="shared" si="46"/>
        <v>-1</v>
      </c>
      <c r="AX28" s="57">
        <f t="shared" si="46"/>
        <v>21</v>
      </c>
      <c r="AY28" s="57">
        <f t="shared" si="47"/>
        <v>106</v>
      </c>
      <c r="AZ28" s="170"/>
      <c r="BA28" s="170"/>
      <c r="BB28" s="170"/>
      <c r="BC28" s="170"/>
      <c r="BD28" s="170"/>
      <c r="BE28" s="170"/>
      <c r="BF28" s="170"/>
      <c r="BG28" s="170"/>
      <c r="BH28" s="170"/>
      <c r="BI28" s="152">
        <f t="shared" si="48"/>
        <v>0</v>
      </c>
      <c r="BJ28" s="171"/>
      <c r="BK28" s="171"/>
      <c r="BL28" s="171"/>
      <c r="BM28" s="171"/>
      <c r="BN28" s="171"/>
      <c r="BO28" s="171"/>
      <c r="BP28" s="171"/>
      <c r="BQ28" s="171"/>
      <c r="BR28" s="171"/>
      <c r="BS28" s="163">
        <f t="shared" si="49"/>
        <v>0</v>
      </c>
      <c r="BT28" s="172"/>
      <c r="BU28" s="172"/>
      <c r="BV28" s="172"/>
      <c r="BW28" s="172"/>
      <c r="BX28" s="172"/>
      <c r="BY28" s="172"/>
      <c r="BZ28" s="172"/>
      <c r="CA28" s="172"/>
      <c r="CB28" s="172"/>
      <c r="CC28" s="164">
        <f t="shared" si="25"/>
        <v>0</v>
      </c>
      <c r="CD28" s="180">
        <f t="shared" si="61"/>
        <v>5</v>
      </c>
      <c r="CE28" s="180">
        <f t="shared" si="62"/>
        <v>58.5</v>
      </c>
      <c r="CF28" s="180">
        <f t="shared" si="63"/>
        <v>461</v>
      </c>
      <c r="CG28" s="180">
        <f t="shared" si="64"/>
        <v>135</v>
      </c>
      <c r="CH28" s="180">
        <f t="shared" si="65"/>
        <v>8.5</v>
      </c>
      <c r="CI28" s="180">
        <f t="shared" si="66"/>
        <v>8</v>
      </c>
      <c r="CJ28" s="180">
        <f t="shared" si="67"/>
        <v>5</v>
      </c>
      <c r="CK28" s="180">
        <f t="shared" si="68"/>
        <v>0</v>
      </c>
      <c r="CL28" s="180">
        <f t="shared" si="69"/>
        <v>247</v>
      </c>
      <c r="CM28" s="180">
        <f t="shared" si="50"/>
        <v>928</v>
      </c>
      <c r="CN28" s="183">
        <f t="shared" si="51"/>
        <v>7.2772241384985507E-7</v>
      </c>
      <c r="CO28" s="183">
        <f t="shared" si="52"/>
        <v>2.0826479216292344E-5</v>
      </c>
      <c r="CP28" s="183">
        <f t="shared" si="53"/>
        <v>3.0117417313997391E-5</v>
      </c>
      <c r="CQ28" s="183">
        <f t="shared" si="54"/>
        <v>1.318140098809558E-5</v>
      </c>
      <c r="CR28" s="183">
        <f t="shared" si="55"/>
        <v>1.4520420242295055E-6</v>
      </c>
      <c r="CS28" s="183">
        <f t="shared" si="56"/>
        <v>1.8714184223449138E-6</v>
      </c>
      <c r="CT28" s="183">
        <f t="shared" si="57"/>
        <v>1.2172476188164569E-6</v>
      </c>
      <c r="CU28" s="183">
        <f t="shared" si="58"/>
        <v>0</v>
      </c>
      <c r="CV28" s="183">
        <f t="shared" si="59"/>
        <v>3.4225217848783207E-5</v>
      </c>
      <c r="CW28" s="183">
        <f t="shared" si="60"/>
        <v>1.5942062655800061E-5</v>
      </c>
      <c r="CX28" s="193">
        <f t="shared" si="36"/>
        <v>0</v>
      </c>
      <c r="CY28" s="193">
        <f t="shared" si="37"/>
        <v>0</v>
      </c>
      <c r="CZ28" s="193">
        <f t="shared" si="38"/>
        <v>0</v>
      </c>
      <c r="DA28" s="193">
        <f t="shared" si="39"/>
        <v>0</v>
      </c>
      <c r="DB28" s="193">
        <f t="shared" si="40"/>
        <v>0</v>
      </c>
      <c r="DC28" s="193">
        <f t="shared" si="41"/>
        <v>0</v>
      </c>
      <c r="DD28" s="193">
        <f t="shared" si="42"/>
        <v>0</v>
      </c>
      <c r="DE28" s="193">
        <f t="shared" si="43"/>
        <v>0</v>
      </c>
      <c r="DF28" s="193">
        <f t="shared" si="44"/>
        <v>0</v>
      </c>
      <c r="DG28" s="193">
        <f t="shared" si="45"/>
        <v>0</v>
      </c>
      <c r="DI28" s="83"/>
      <c r="DJ28" s="55"/>
    </row>
    <row r="29" spans="1:114" s="173" customFormat="1">
      <c r="A29" s="150">
        <f t="shared" si="17"/>
        <v>43918</v>
      </c>
      <c r="B29" s="165">
        <v>10</v>
      </c>
      <c r="C29" s="165">
        <v>68</v>
      </c>
      <c r="D29" s="165">
        <v>533</v>
      </c>
      <c r="E29" s="165">
        <v>156</v>
      </c>
      <c r="F29" s="165">
        <v>11</v>
      </c>
      <c r="G29" s="165">
        <v>10</v>
      </c>
      <c r="H29" s="165">
        <v>6</v>
      </c>
      <c r="I29" s="165">
        <v>5</v>
      </c>
      <c r="J29" s="165">
        <v>271</v>
      </c>
      <c r="K29" s="165">
        <f t="shared" si="20"/>
        <v>1070</v>
      </c>
      <c r="L29" s="166"/>
      <c r="M29" s="166"/>
      <c r="N29" s="166"/>
      <c r="O29" s="166"/>
      <c r="P29" s="166"/>
      <c r="Q29" s="166"/>
      <c r="R29" s="166"/>
      <c r="S29" s="166"/>
      <c r="T29" s="166"/>
      <c r="U29" s="166">
        <f t="shared" si="21"/>
        <v>0</v>
      </c>
      <c r="V29" s="167"/>
      <c r="W29" s="167"/>
      <c r="X29" s="167"/>
      <c r="Y29" s="167"/>
      <c r="Z29" s="167"/>
      <c r="AA29" s="167"/>
      <c r="AB29" s="167"/>
      <c r="AC29" s="167"/>
      <c r="AD29" s="167"/>
      <c r="AE29" s="167">
        <f t="shared" si="22"/>
        <v>0</v>
      </c>
      <c r="AF29" s="168"/>
      <c r="AG29" s="168"/>
      <c r="AH29" s="168"/>
      <c r="AI29" s="168"/>
      <c r="AJ29" s="168"/>
      <c r="AK29" s="168"/>
      <c r="AL29" s="168"/>
      <c r="AM29" s="168"/>
      <c r="AN29" s="168"/>
      <c r="AO29" s="168">
        <f t="shared" si="23"/>
        <v>0</v>
      </c>
      <c r="AP29" s="57">
        <f t="shared" si="46"/>
        <v>5</v>
      </c>
      <c r="AQ29" s="57">
        <f t="shared" si="46"/>
        <v>9.5</v>
      </c>
      <c r="AR29" s="57">
        <f t="shared" si="46"/>
        <v>62</v>
      </c>
      <c r="AS29" s="57">
        <f t="shared" si="46"/>
        <v>11</v>
      </c>
      <c r="AT29" s="57">
        <f t="shared" si="46"/>
        <v>2.5</v>
      </c>
      <c r="AU29" s="57">
        <f t="shared" si="46"/>
        <v>1</v>
      </c>
      <c r="AV29" s="57">
        <f t="shared" si="46"/>
        <v>1</v>
      </c>
      <c r="AW29" s="57">
        <f t="shared" si="46"/>
        <v>5</v>
      </c>
      <c r="AX29" s="57">
        <f t="shared" si="46"/>
        <v>21</v>
      </c>
      <c r="AY29" s="57">
        <f t="shared" si="47"/>
        <v>118</v>
      </c>
      <c r="AZ29" s="170"/>
      <c r="BA29" s="170"/>
      <c r="BB29" s="170"/>
      <c r="BC29" s="170"/>
      <c r="BD29" s="170"/>
      <c r="BE29" s="170"/>
      <c r="BF29" s="170"/>
      <c r="BG29" s="170"/>
      <c r="BH29" s="170"/>
      <c r="BI29" s="152">
        <f t="shared" si="48"/>
        <v>0</v>
      </c>
      <c r="BJ29" s="171"/>
      <c r="BK29" s="171"/>
      <c r="BL29" s="171"/>
      <c r="BM29" s="171"/>
      <c r="BN29" s="171"/>
      <c r="BO29" s="171"/>
      <c r="BP29" s="171"/>
      <c r="BQ29" s="171"/>
      <c r="BR29" s="171"/>
      <c r="BS29" s="163">
        <f t="shared" si="49"/>
        <v>0</v>
      </c>
      <c r="BT29" s="172"/>
      <c r="BU29" s="172"/>
      <c r="BV29" s="172"/>
      <c r="BW29" s="172"/>
      <c r="BX29" s="172"/>
      <c r="BY29" s="172"/>
      <c r="BZ29" s="172"/>
      <c r="CA29" s="172"/>
      <c r="CB29" s="172"/>
      <c r="CC29" s="164">
        <f t="shared" si="25"/>
        <v>0</v>
      </c>
      <c r="CD29" s="180">
        <f t="shared" si="61"/>
        <v>10</v>
      </c>
      <c r="CE29" s="180">
        <f t="shared" si="62"/>
        <v>68</v>
      </c>
      <c r="CF29" s="180">
        <f t="shared" si="63"/>
        <v>516</v>
      </c>
      <c r="CG29" s="180">
        <f t="shared" si="64"/>
        <v>145</v>
      </c>
      <c r="CH29" s="180">
        <f t="shared" si="65"/>
        <v>11</v>
      </c>
      <c r="CI29" s="180">
        <f t="shared" si="66"/>
        <v>9</v>
      </c>
      <c r="CJ29" s="180">
        <f t="shared" si="67"/>
        <v>6</v>
      </c>
      <c r="CK29" s="180">
        <f t="shared" si="68"/>
        <v>5</v>
      </c>
      <c r="CL29" s="180">
        <f t="shared" si="69"/>
        <v>262</v>
      </c>
      <c r="CM29" s="180">
        <f t="shared" si="50"/>
        <v>1032</v>
      </c>
      <c r="CN29" s="183">
        <f t="shared" si="51"/>
        <v>1.4554448276997101E-6</v>
      </c>
      <c r="CO29" s="183">
        <f t="shared" si="52"/>
        <v>2.4208557037741524E-5</v>
      </c>
      <c r="CP29" s="183">
        <f t="shared" si="53"/>
        <v>3.4081918106922737E-5</v>
      </c>
      <c r="CQ29" s="183">
        <f t="shared" si="54"/>
        <v>1.4181369338916625E-5</v>
      </c>
      <c r="CR29" s="183">
        <f t="shared" si="55"/>
        <v>1.8791132078264188E-6</v>
      </c>
      <c r="CS29" s="183">
        <f t="shared" si="56"/>
        <v>2.0793538026054599E-6</v>
      </c>
      <c r="CT29" s="183">
        <f t="shared" si="57"/>
        <v>1.4606971425797482E-6</v>
      </c>
      <c r="CU29" s="183">
        <f t="shared" si="58"/>
        <v>3.7814965125018354E-6</v>
      </c>
      <c r="CV29" s="183">
        <f t="shared" si="59"/>
        <v>3.7100136148080996E-5</v>
      </c>
      <c r="CW29" s="183">
        <f t="shared" si="60"/>
        <v>1.7918074623640824E-5</v>
      </c>
      <c r="CX29" s="193">
        <f t="shared" si="36"/>
        <v>0</v>
      </c>
      <c r="CY29" s="193">
        <f t="shared" si="37"/>
        <v>0</v>
      </c>
      <c r="CZ29" s="193">
        <f t="shared" si="38"/>
        <v>0</v>
      </c>
      <c r="DA29" s="193">
        <f t="shared" si="39"/>
        <v>0</v>
      </c>
      <c r="DB29" s="193">
        <f t="shared" si="40"/>
        <v>0</v>
      </c>
      <c r="DC29" s="193">
        <f t="shared" si="41"/>
        <v>0</v>
      </c>
      <c r="DD29" s="193">
        <f t="shared" si="42"/>
        <v>0</v>
      </c>
      <c r="DE29" s="193">
        <f t="shared" si="43"/>
        <v>0</v>
      </c>
      <c r="DF29" s="193">
        <f t="shared" si="44"/>
        <v>0</v>
      </c>
      <c r="DG29" s="193">
        <f t="shared" si="45"/>
        <v>0</v>
      </c>
      <c r="DI29" s="83"/>
      <c r="DJ29" s="55"/>
    </row>
    <row r="30" spans="1:114" s="173" customFormat="1">
      <c r="A30" s="150">
        <f t="shared" si="17"/>
        <v>43919</v>
      </c>
      <c r="B30" s="165">
        <v>12</v>
      </c>
      <c r="C30" s="165">
        <v>72</v>
      </c>
      <c r="D30" s="165">
        <v>584</v>
      </c>
      <c r="E30" s="165">
        <v>167</v>
      </c>
      <c r="F30" s="165">
        <v>12</v>
      </c>
      <c r="G30" s="165">
        <v>11</v>
      </c>
      <c r="H30" s="165">
        <v>6</v>
      </c>
      <c r="I30" s="165">
        <v>6</v>
      </c>
      <c r="J30" s="165">
        <v>310</v>
      </c>
      <c r="K30" s="165">
        <f t="shared" si="20"/>
        <v>1180</v>
      </c>
      <c r="L30" s="166"/>
      <c r="M30" s="166"/>
      <c r="N30" s="166"/>
      <c r="O30" s="166"/>
      <c r="P30" s="166"/>
      <c r="Q30" s="166"/>
      <c r="R30" s="166"/>
      <c r="S30" s="166"/>
      <c r="T30" s="166"/>
      <c r="U30" s="166">
        <f t="shared" si="21"/>
        <v>0</v>
      </c>
      <c r="V30" s="167"/>
      <c r="W30" s="167"/>
      <c r="X30" s="167"/>
      <c r="Y30" s="167"/>
      <c r="Z30" s="167"/>
      <c r="AA30" s="167"/>
      <c r="AB30" s="167"/>
      <c r="AC30" s="167"/>
      <c r="AD30" s="167"/>
      <c r="AE30" s="167">
        <f t="shared" si="22"/>
        <v>0</v>
      </c>
      <c r="AF30" s="168"/>
      <c r="AG30" s="168"/>
      <c r="AH30" s="168"/>
      <c r="AI30" s="168"/>
      <c r="AJ30" s="168"/>
      <c r="AK30" s="168"/>
      <c r="AL30" s="168"/>
      <c r="AM30" s="168"/>
      <c r="AN30" s="168"/>
      <c r="AO30" s="168">
        <f t="shared" si="23"/>
        <v>0</v>
      </c>
      <c r="AP30" s="57">
        <f t="shared" si="46"/>
        <v>2</v>
      </c>
      <c r="AQ30" s="57">
        <f t="shared" si="46"/>
        <v>4</v>
      </c>
      <c r="AR30" s="57">
        <f t="shared" si="46"/>
        <v>51</v>
      </c>
      <c r="AS30" s="57">
        <f t="shared" si="46"/>
        <v>11</v>
      </c>
      <c r="AT30" s="57">
        <f t="shared" si="46"/>
        <v>1</v>
      </c>
      <c r="AU30" s="57">
        <f t="shared" si="46"/>
        <v>1</v>
      </c>
      <c r="AV30" s="57">
        <f t="shared" si="46"/>
        <v>0</v>
      </c>
      <c r="AW30" s="57">
        <f t="shared" si="46"/>
        <v>1</v>
      </c>
      <c r="AX30" s="57">
        <f t="shared" si="46"/>
        <v>39</v>
      </c>
      <c r="AY30" s="57">
        <f t="shared" si="47"/>
        <v>110</v>
      </c>
      <c r="AZ30" s="170"/>
      <c r="BA30" s="170"/>
      <c r="BB30" s="170"/>
      <c r="BC30" s="170"/>
      <c r="BD30" s="170"/>
      <c r="BE30" s="170"/>
      <c r="BF30" s="170"/>
      <c r="BG30" s="170"/>
      <c r="BH30" s="170"/>
      <c r="BI30" s="152">
        <f t="shared" si="48"/>
        <v>0</v>
      </c>
      <c r="BJ30" s="171"/>
      <c r="BK30" s="171"/>
      <c r="BL30" s="171"/>
      <c r="BM30" s="171"/>
      <c r="BN30" s="171"/>
      <c r="BO30" s="171"/>
      <c r="BP30" s="171"/>
      <c r="BQ30" s="171"/>
      <c r="BR30" s="171"/>
      <c r="BS30" s="163">
        <f t="shared" si="49"/>
        <v>0</v>
      </c>
      <c r="BT30" s="172"/>
      <c r="BU30" s="172"/>
      <c r="BV30" s="172"/>
      <c r="BW30" s="172"/>
      <c r="BX30" s="172"/>
      <c r="BY30" s="172"/>
      <c r="BZ30" s="172"/>
      <c r="CA30" s="172"/>
      <c r="CB30" s="172"/>
      <c r="CC30" s="164">
        <f t="shared" si="25"/>
        <v>0</v>
      </c>
      <c r="CD30" s="180">
        <f t="shared" si="61"/>
        <v>12</v>
      </c>
      <c r="CE30" s="180">
        <f t="shared" si="62"/>
        <v>72</v>
      </c>
      <c r="CF30" s="180">
        <f t="shared" si="63"/>
        <v>560</v>
      </c>
      <c r="CG30" s="180">
        <f t="shared" si="64"/>
        <v>155</v>
      </c>
      <c r="CH30" s="180">
        <f t="shared" si="65"/>
        <v>12</v>
      </c>
      <c r="CI30" s="180">
        <f t="shared" si="66"/>
        <v>10</v>
      </c>
      <c r="CJ30" s="180">
        <f t="shared" si="67"/>
        <v>6</v>
      </c>
      <c r="CK30" s="180">
        <f t="shared" si="68"/>
        <v>6</v>
      </c>
      <c r="CL30" s="180">
        <f t="shared" si="69"/>
        <v>296</v>
      </c>
      <c r="CM30" s="180">
        <f>SUM(AY17:AY30)</f>
        <v>1129</v>
      </c>
      <c r="CN30" s="183">
        <f t="shared" si="51"/>
        <v>1.7465337932396521E-6</v>
      </c>
      <c r="CO30" s="183">
        <f t="shared" si="52"/>
        <v>2.5632589804667499E-5</v>
      </c>
      <c r="CP30" s="183">
        <f t="shared" si="53"/>
        <v>3.7343039726909714E-5</v>
      </c>
      <c r="CQ30" s="183">
        <f t="shared" si="54"/>
        <v>1.518133768973767E-5</v>
      </c>
      <c r="CR30" s="183">
        <f t="shared" si="55"/>
        <v>2.0499416812651844E-6</v>
      </c>
      <c r="CS30" s="183">
        <f t="shared" si="56"/>
        <v>2.2872891828660057E-6</v>
      </c>
      <c r="CT30" s="183">
        <f t="shared" si="57"/>
        <v>1.4606971425797482E-6</v>
      </c>
      <c r="CU30" s="183">
        <f t="shared" si="58"/>
        <v>4.537795815002202E-6</v>
      </c>
      <c r="CV30" s="183">
        <f t="shared" si="59"/>
        <v>4.2439270132491176E-5</v>
      </c>
      <c r="CW30" s="183">
        <f t="shared" si="60"/>
        <v>1.976011967840764E-5</v>
      </c>
      <c r="CX30" s="193">
        <f t="shared" si="36"/>
        <v>0</v>
      </c>
      <c r="CY30" s="193">
        <f t="shared" si="37"/>
        <v>0</v>
      </c>
      <c r="CZ30" s="193">
        <f t="shared" si="38"/>
        <v>0</v>
      </c>
      <c r="DA30" s="193">
        <f t="shared" si="39"/>
        <v>0</v>
      </c>
      <c r="DB30" s="193">
        <f t="shared" si="40"/>
        <v>0</v>
      </c>
      <c r="DC30" s="193">
        <f t="shared" si="41"/>
        <v>0</v>
      </c>
      <c r="DD30" s="193">
        <f t="shared" si="42"/>
        <v>0</v>
      </c>
      <c r="DE30" s="193">
        <f t="shared" si="43"/>
        <v>0</v>
      </c>
      <c r="DF30" s="193">
        <f t="shared" si="44"/>
        <v>0</v>
      </c>
      <c r="DG30" s="193">
        <f t="shared" si="45"/>
        <v>0</v>
      </c>
      <c r="DI30" s="83"/>
      <c r="DJ30" s="55"/>
    </row>
    <row r="31" spans="1:114" s="173" customFormat="1">
      <c r="A31" s="150">
        <f t="shared" si="17"/>
        <v>43920</v>
      </c>
      <c r="B31" s="165">
        <v>12</v>
      </c>
      <c r="C31" s="165">
        <v>72</v>
      </c>
      <c r="D31" s="165">
        <v>618</v>
      </c>
      <c r="E31" s="165">
        <v>171</v>
      </c>
      <c r="F31" s="165">
        <v>11</v>
      </c>
      <c r="G31" s="165">
        <v>11</v>
      </c>
      <c r="H31" s="165">
        <v>3</v>
      </c>
      <c r="I31" s="165">
        <v>8</v>
      </c>
      <c r="J31" s="165">
        <v>324</v>
      </c>
      <c r="K31" s="165">
        <f t="shared" si="20"/>
        <v>1230</v>
      </c>
      <c r="L31" s="166"/>
      <c r="M31" s="166"/>
      <c r="N31" s="166"/>
      <c r="O31" s="166"/>
      <c r="P31" s="166"/>
      <c r="Q31" s="166"/>
      <c r="R31" s="166"/>
      <c r="S31" s="166"/>
      <c r="T31" s="166"/>
      <c r="U31" s="166">
        <f t="shared" si="21"/>
        <v>0</v>
      </c>
      <c r="V31" s="167"/>
      <c r="W31" s="167"/>
      <c r="X31" s="167"/>
      <c r="Y31" s="167"/>
      <c r="Z31" s="167"/>
      <c r="AA31" s="167"/>
      <c r="AB31" s="167"/>
      <c r="AC31" s="167"/>
      <c r="AD31" s="167"/>
      <c r="AE31" s="167">
        <f t="shared" si="22"/>
        <v>0</v>
      </c>
      <c r="AF31" s="168"/>
      <c r="AG31" s="168"/>
      <c r="AH31" s="168"/>
      <c r="AI31" s="168"/>
      <c r="AJ31" s="168"/>
      <c r="AK31" s="168"/>
      <c r="AL31" s="168"/>
      <c r="AM31" s="168"/>
      <c r="AN31" s="168"/>
      <c r="AO31" s="168">
        <f t="shared" si="23"/>
        <v>0</v>
      </c>
      <c r="AP31" s="57">
        <f t="shared" si="46"/>
        <v>0</v>
      </c>
      <c r="AQ31" s="57">
        <f t="shared" si="46"/>
        <v>0</v>
      </c>
      <c r="AR31" s="57">
        <f t="shared" si="46"/>
        <v>34</v>
      </c>
      <c r="AS31" s="57">
        <f t="shared" si="46"/>
        <v>4</v>
      </c>
      <c r="AT31" s="57">
        <f t="shared" si="46"/>
        <v>-1</v>
      </c>
      <c r="AU31" s="57">
        <f t="shared" si="46"/>
        <v>0</v>
      </c>
      <c r="AV31" s="57">
        <f t="shared" si="46"/>
        <v>-3</v>
      </c>
      <c r="AW31" s="57">
        <f t="shared" si="46"/>
        <v>2</v>
      </c>
      <c r="AX31" s="57">
        <f t="shared" si="46"/>
        <v>14</v>
      </c>
      <c r="AY31" s="57">
        <f t="shared" si="47"/>
        <v>50</v>
      </c>
      <c r="AZ31" s="170"/>
      <c r="BA31" s="170"/>
      <c r="BB31" s="170"/>
      <c r="BC31" s="170"/>
      <c r="BD31" s="170"/>
      <c r="BE31" s="170"/>
      <c r="BF31" s="170"/>
      <c r="BG31" s="170"/>
      <c r="BH31" s="170"/>
      <c r="BI31" s="152">
        <f t="shared" si="48"/>
        <v>0</v>
      </c>
      <c r="BJ31" s="171"/>
      <c r="BK31" s="171"/>
      <c r="BL31" s="171"/>
      <c r="BM31" s="171"/>
      <c r="BN31" s="171"/>
      <c r="BO31" s="171"/>
      <c r="BP31" s="171"/>
      <c r="BQ31" s="171"/>
      <c r="BR31" s="171"/>
      <c r="BS31" s="163">
        <f t="shared" si="49"/>
        <v>0</v>
      </c>
      <c r="BT31" s="172"/>
      <c r="BU31" s="172"/>
      <c r="BV31" s="172"/>
      <c r="BW31" s="172"/>
      <c r="BX31" s="172"/>
      <c r="BY31" s="172"/>
      <c r="BZ31" s="172"/>
      <c r="CA31" s="172"/>
      <c r="CB31" s="172"/>
      <c r="CC31" s="164">
        <f t="shared" si="25"/>
        <v>0</v>
      </c>
      <c r="CD31" s="180">
        <f t="shared" si="61"/>
        <v>12</v>
      </c>
      <c r="CE31" s="180">
        <f t="shared" si="62"/>
        <v>72</v>
      </c>
      <c r="CF31" s="180">
        <f t="shared" si="63"/>
        <v>587</v>
      </c>
      <c r="CG31" s="180">
        <f t="shared" si="64"/>
        <v>159</v>
      </c>
      <c r="CH31" s="180">
        <f t="shared" si="65"/>
        <v>10</v>
      </c>
      <c r="CI31" s="180">
        <f t="shared" si="66"/>
        <v>9</v>
      </c>
      <c r="CJ31" s="180">
        <f t="shared" si="67"/>
        <v>3</v>
      </c>
      <c r="CK31" s="180">
        <f t="shared" si="68"/>
        <v>8</v>
      </c>
      <c r="CL31" s="180">
        <f t="shared" si="69"/>
        <v>308</v>
      </c>
      <c r="CM31" s="180">
        <f t="shared" si="50"/>
        <v>1168</v>
      </c>
      <c r="CN31" s="183">
        <f t="shared" si="51"/>
        <v>1.7465337932396521E-6</v>
      </c>
      <c r="CO31" s="183">
        <f t="shared" si="52"/>
        <v>2.5632589804667499E-5</v>
      </c>
      <c r="CP31" s="183">
        <f t="shared" si="53"/>
        <v>3.9517120806901037E-5</v>
      </c>
      <c r="CQ31" s="183">
        <f t="shared" si="54"/>
        <v>1.5544962544581684E-5</v>
      </c>
      <c r="CR31" s="183">
        <f t="shared" si="55"/>
        <v>1.8791132078264188E-6</v>
      </c>
      <c r="CS31" s="183">
        <f t="shared" si="56"/>
        <v>2.2872891828660057E-6</v>
      </c>
      <c r="CT31" s="183">
        <f t="shared" si="57"/>
        <v>7.3034857128987408E-7</v>
      </c>
      <c r="CU31" s="183">
        <f t="shared" si="58"/>
        <v>6.050394420002936E-6</v>
      </c>
      <c r="CV31" s="183">
        <f t="shared" si="59"/>
        <v>4.4355882332023035E-5</v>
      </c>
      <c r="CW31" s="183">
        <f t="shared" si="60"/>
        <v>2.0597412885119828E-5</v>
      </c>
      <c r="CX31" s="193">
        <f t="shared" si="36"/>
        <v>0</v>
      </c>
      <c r="CY31" s="193">
        <f t="shared" si="37"/>
        <v>0</v>
      </c>
      <c r="CZ31" s="193">
        <f t="shared" si="38"/>
        <v>0</v>
      </c>
      <c r="DA31" s="193">
        <f t="shared" si="39"/>
        <v>0</v>
      </c>
      <c r="DB31" s="193">
        <f t="shared" si="40"/>
        <v>0</v>
      </c>
      <c r="DC31" s="193">
        <f t="shared" si="41"/>
        <v>0</v>
      </c>
      <c r="DD31" s="193">
        <f t="shared" si="42"/>
        <v>0</v>
      </c>
      <c r="DE31" s="193">
        <f t="shared" si="43"/>
        <v>0</v>
      </c>
      <c r="DF31" s="193">
        <f t="shared" si="44"/>
        <v>0</v>
      </c>
      <c r="DG31" s="193">
        <f t="shared" si="45"/>
        <v>0</v>
      </c>
      <c r="DI31" s="83"/>
      <c r="DJ31" s="55"/>
    </row>
    <row r="32" spans="1:114" s="173" customFormat="1">
      <c r="A32" s="150">
        <f t="shared" si="17"/>
        <v>43921</v>
      </c>
      <c r="B32" s="165">
        <v>12</v>
      </c>
      <c r="C32" s="165">
        <v>74</v>
      </c>
      <c r="D32" s="165">
        <v>633</v>
      </c>
      <c r="E32" s="165">
        <v>179</v>
      </c>
      <c r="F32" s="165">
        <v>14</v>
      </c>
      <c r="G32" s="165">
        <v>12</v>
      </c>
      <c r="H32" s="165">
        <v>6</v>
      </c>
      <c r="I32" s="165">
        <v>8</v>
      </c>
      <c r="J32" s="165">
        <v>325</v>
      </c>
      <c r="K32" s="165">
        <f t="shared" si="20"/>
        <v>1263</v>
      </c>
      <c r="L32" s="166"/>
      <c r="M32" s="166"/>
      <c r="N32" s="166"/>
      <c r="O32" s="166"/>
      <c r="P32" s="166"/>
      <c r="Q32" s="166"/>
      <c r="R32" s="166"/>
      <c r="S32" s="166"/>
      <c r="T32" s="166"/>
      <c r="U32" s="166">
        <f t="shared" si="21"/>
        <v>0</v>
      </c>
      <c r="V32" s="167"/>
      <c r="W32" s="167"/>
      <c r="X32" s="167"/>
      <c r="Y32" s="167"/>
      <c r="Z32" s="167"/>
      <c r="AA32" s="167"/>
      <c r="AB32" s="167"/>
      <c r="AC32" s="167"/>
      <c r="AD32" s="167"/>
      <c r="AE32" s="167">
        <f t="shared" si="22"/>
        <v>0</v>
      </c>
      <c r="AF32" s="168"/>
      <c r="AG32" s="168"/>
      <c r="AH32" s="168"/>
      <c r="AI32" s="168"/>
      <c r="AJ32" s="168"/>
      <c r="AK32" s="168"/>
      <c r="AL32" s="168"/>
      <c r="AM32" s="168"/>
      <c r="AN32" s="168"/>
      <c r="AO32" s="168">
        <f t="shared" si="23"/>
        <v>0</v>
      </c>
      <c r="AP32" s="57">
        <f t="shared" si="46"/>
        <v>0</v>
      </c>
      <c r="AQ32" s="57">
        <f t="shared" si="46"/>
        <v>2</v>
      </c>
      <c r="AR32" s="57">
        <f t="shared" si="46"/>
        <v>15</v>
      </c>
      <c r="AS32" s="57">
        <f t="shared" si="46"/>
        <v>8</v>
      </c>
      <c r="AT32" s="57">
        <f t="shared" si="46"/>
        <v>3</v>
      </c>
      <c r="AU32" s="57">
        <f t="shared" si="46"/>
        <v>1</v>
      </c>
      <c r="AV32" s="57">
        <f t="shared" si="46"/>
        <v>3</v>
      </c>
      <c r="AW32" s="57">
        <f t="shared" si="46"/>
        <v>0</v>
      </c>
      <c r="AX32" s="57">
        <f t="shared" si="46"/>
        <v>1</v>
      </c>
      <c r="AY32" s="57">
        <f t="shared" si="47"/>
        <v>33</v>
      </c>
      <c r="AZ32" s="170"/>
      <c r="BA32" s="170"/>
      <c r="BB32" s="170"/>
      <c r="BC32" s="170"/>
      <c r="BD32" s="170"/>
      <c r="BE32" s="170"/>
      <c r="BF32" s="170"/>
      <c r="BG32" s="170"/>
      <c r="BH32" s="170"/>
      <c r="BI32" s="152">
        <f t="shared" si="48"/>
        <v>0</v>
      </c>
      <c r="BJ32" s="171"/>
      <c r="BK32" s="171"/>
      <c r="BL32" s="171"/>
      <c r="BM32" s="171"/>
      <c r="BN32" s="171"/>
      <c r="BO32" s="171"/>
      <c r="BP32" s="171"/>
      <c r="BQ32" s="171"/>
      <c r="BR32" s="171"/>
      <c r="BS32" s="163">
        <f t="shared" si="49"/>
        <v>0</v>
      </c>
      <c r="BT32" s="172"/>
      <c r="BU32" s="172"/>
      <c r="BV32" s="172"/>
      <c r="BW32" s="172"/>
      <c r="BX32" s="172"/>
      <c r="BY32" s="172"/>
      <c r="BZ32" s="172"/>
      <c r="CA32" s="172"/>
      <c r="CB32" s="172"/>
      <c r="CC32" s="164">
        <f t="shared" si="25"/>
        <v>0</v>
      </c>
      <c r="CD32" s="180">
        <f t="shared" si="61"/>
        <v>12</v>
      </c>
      <c r="CE32" s="180">
        <f t="shared" si="62"/>
        <v>74</v>
      </c>
      <c r="CF32" s="180">
        <f t="shared" si="63"/>
        <v>588</v>
      </c>
      <c r="CG32" s="180">
        <f t="shared" si="64"/>
        <v>163</v>
      </c>
      <c r="CH32" s="180">
        <f t="shared" si="65"/>
        <v>13</v>
      </c>
      <c r="CI32" s="180">
        <f t="shared" si="66"/>
        <v>10</v>
      </c>
      <c r="CJ32" s="180">
        <f t="shared" si="67"/>
        <v>6</v>
      </c>
      <c r="CK32" s="180">
        <f t="shared" si="68"/>
        <v>8</v>
      </c>
      <c r="CL32" s="180">
        <f t="shared" si="69"/>
        <v>304</v>
      </c>
      <c r="CM32" s="180">
        <f t="shared" si="50"/>
        <v>1178</v>
      </c>
      <c r="CN32" s="183">
        <f t="shared" si="51"/>
        <v>1.7465337932396521E-6</v>
      </c>
      <c r="CO32" s="183">
        <f t="shared" si="52"/>
        <v>2.6344606188130485E-5</v>
      </c>
      <c r="CP32" s="183">
        <f t="shared" si="53"/>
        <v>4.0476274224544267E-5</v>
      </c>
      <c r="CQ32" s="183">
        <f t="shared" si="54"/>
        <v>1.6272212254269719E-5</v>
      </c>
      <c r="CR32" s="183">
        <f t="shared" si="55"/>
        <v>2.3915986281427151E-6</v>
      </c>
      <c r="CS32" s="183">
        <f t="shared" si="56"/>
        <v>2.4952245631265519E-6</v>
      </c>
      <c r="CT32" s="183">
        <f t="shared" si="57"/>
        <v>1.4606971425797482E-6</v>
      </c>
      <c r="CU32" s="183">
        <f t="shared" si="58"/>
        <v>6.050394420002936E-6</v>
      </c>
      <c r="CV32" s="183">
        <f t="shared" si="59"/>
        <v>4.449278320341817E-5</v>
      </c>
      <c r="CW32" s="183">
        <f t="shared" si="60"/>
        <v>2.115002640154987E-5</v>
      </c>
      <c r="CX32" s="193">
        <f t="shared" si="36"/>
        <v>0</v>
      </c>
      <c r="CY32" s="193">
        <f t="shared" si="37"/>
        <v>0</v>
      </c>
      <c r="CZ32" s="193">
        <f t="shared" si="38"/>
        <v>0</v>
      </c>
      <c r="DA32" s="193">
        <f t="shared" si="39"/>
        <v>0</v>
      </c>
      <c r="DB32" s="193">
        <f t="shared" si="40"/>
        <v>0</v>
      </c>
      <c r="DC32" s="193">
        <f t="shared" si="41"/>
        <v>0</v>
      </c>
      <c r="DD32" s="193">
        <f t="shared" si="42"/>
        <v>0</v>
      </c>
      <c r="DE32" s="193">
        <f t="shared" si="43"/>
        <v>0</v>
      </c>
      <c r="DF32" s="193">
        <f t="shared" si="44"/>
        <v>0</v>
      </c>
      <c r="DG32" s="193">
        <f t="shared" si="45"/>
        <v>0</v>
      </c>
      <c r="DI32" s="83"/>
      <c r="DJ32" s="55"/>
    </row>
    <row r="33" spans="1:114" s="173" customFormat="1">
      <c r="A33" s="150">
        <f t="shared" si="17"/>
        <v>43922</v>
      </c>
      <c r="B33" s="165">
        <v>15</v>
      </c>
      <c r="C33" s="165">
        <v>76</v>
      </c>
      <c r="D33" s="165">
        <v>645</v>
      </c>
      <c r="E33" s="165">
        <v>186</v>
      </c>
      <c r="F33" s="165">
        <v>14</v>
      </c>
      <c r="G33" s="165">
        <v>12</v>
      </c>
      <c r="H33" s="165">
        <v>7</v>
      </c>
      <c r="I33" s="165">
        <v>9</v>
      </c>
      <c r="J33" s="165">
        <v>326</v>
      </c>
      <c r="K33" s="165">
        <f t="shared" si="20"/>
        <v>1290</v>
      </c>
      <c r="L33" s="166"/>
      <c r="M33" s="166"/>
      <c r="N33" s="166"/>
      <c r="O33" s="166"/>
      <c r="P33" s="166"/>
      <c r="Q33" s="166"/>
      <c r="R33" s="166"/>
      <c r="S33" s="166"/>
      <c r="T33" s="166"/>
      <c r="U33" s="166">
        <f t="shared" si="21"/>
        <v>0</v>
      </c>
      <c r="V33" s="167"/>
      <c r="W33" s="167"/>
      <c r="X33" s="167"/>
      <c r="Y33" s="167"/>
      <c r="Z33" s="167"/>
      <c r="AA33" s="167"/>
      <c r="AB33" s="167"/>
      <c r="AC33" s="167"/>
      <c r="AD33" s="167"/>
      <c r="AE33" s="167">
        <f t="shared" si="22"/>
        <v>0</v>
      </c>
      <c r="AF33" s="168"/>
      <c r="AG33" s="168"/>
      <c r="AH33" s="168"/>
      <c r="AI33" s="168"/>
      <c r="AJ33" s="168"/>
      <c r="AK33" s="168"/>
      <c r="AL33" s="168"/>
      <c r="AM33" s="168"/>
      <c r="AN33" s="168"/>
      <c r="AO33" s="168">
        <f t="shared" si="23"/>
        <v>0</v>
      </c>
      <c r="AP33" s="57">
        <f t="shared" si="46"/>
        <v>3</v>
      </c>
      <c r="AQ33" s="57">
        <f t="shared" si="46"/>
        <v>2</v>
      </c>
      <c r="AR33" s="57">
        <f t="shared" si="46"/>
        <v>12</v>
      </c>
      <c r="AS33" s="57">
        <f t="shared" si="46"/>
        <v>7</v>
      </c>
      <c r="AT33" s="57">
        <f t="shared" si="46"/>
        <v>0</v>
      </c>
      <c r="AU33" s="57">
        <f t="shared" si="46"/>
        <v>0</v>
      </c>
      <c r="AV33" s="57">
        <f t="shared" si="46"/>
        <v>1</v>
      </c>
      <c r="AW33" s="57">
        <f t="shared" si="46"/>
        <v>1</v>
      </c>
      <c r="AX33" s="57">
        <f t="shared" si="46"/>
        <v>1</v>
      </c>
      <c r="AY33" s="57">
        <f t="shared" si="47"/>
        <v>27</v>
      </c>
      <c r="AZ33" s="170"/>
      <c r="BA33" s="170"/>
      <c r="BB33" s="170"/>
      <c r="BC33" s="170"/>
      <c r="BD33" s="170"/>
      <c r="BE33" s="170"/>
      <c r="BF33" s="170"/>
      <c r="BG33" s="170"/>
      <c r="BH33" s="170"/>
      <c r="BI33" s="152">
        <f t="shared" si="48"/>
        <v>0</v>
      </c>
      <c r="BJ33" s="171"/>
      <c r="BK33" s="171"/>
      <c r="BL33" s="171"/>
      <c r="BM33" s="171"/>
      <c r="BN33" s="171"/>
      <c r="BO33" s="171"/>
      <c r="BP33" s="171"/>
      <c r="BQ33" s="171"/>
      <c r="BR33" s="171"/>
      <c r="BS33" s="163">
        <f t="shared" si="49"/>
        <v>0</v>
      </c>
      <c r="BT33" s="172"/>
      <c r="BU33" s="172"/>
      <c r="BV33" s="172"/>
      <c r="BW33" s="172"/>
      <c r="BX33" s="172"/>
      <c r="BY33" s="172"/>
      <c r="BZ33" s="172"/>
      <c r="CA33" s="172"/>
      <c r="CB33" s="172"/>
      <c r="CC33" s="164">
        <f t="shared" si="25"/>
        <v>0</v>
      </c>
      <c r="CD33" s="180">
        <f t="shared" si="61"/>
        <v>15</v>
      </c>
      <c r="CE33" s="180">
        <f t="shared" si="62"/>
        <v>76</v>
      </c>
      <c r="CF33" s="180">
        <f t="shared" si="63"/>
        <v>584</v>
      </c>
      <c r="CG33" s="180">
        <f t="shared" si="64"/>
        <v>167</v>
      </c>
      <c r="CH33" s="180">
        <f t="shared" si="65"/>
        <v>13</v>
      </c>
      <c r="CI33" s="180">
        <f t="shared" si="66"/>
        <v>8</v>
      </c>
      <c r="CJ33" s="180">
        <f t="shared" si="67"/>
        <v>7</v>
      </c>
      <c r="CK33" s="180">
        <f t="shared" si="68"/>
        <v>9</v>
      </c>
      <c r="CL33" s="180">
        <f t="shared" si="69"/>
        <v>295</v>
      </c>
      <c r="CM33" s="180">
        <f t="shared" si="50"/>
        <v>1174</v>
      </c>
      <c r="CN33" s="183">
        <f t="shared" si="51"/>
        <v>2.1831672415495649E-6</v>
      </c>
      <c r="CO33" s="183">
        <f t="shared" si="52"/>
        <v>2.705662257159347E-5</v>
      </c>
      <c r="CP33" s="183">
        <f t="shared" si="53"/>
        <v>4.1243596958658847E-5</v>
      </c>
      <c r="CQ33" s="183">
        <f t="shared" si="54"/>
        <v>1.6908555750246744E-5</v>
      </c>
      <c r="CR33" s="183">
        <f t="shared" si="55"/>
        <v>2.3915986281427151E-6</v>
      </c>
      <c r="CS33" s="183">
        <f t="shared" si="56"/>
        <v>2.4952245631265519E-6</v>
      </c>
      <c r="CT33" s="183">
        <f t="shared" si="57"/>
        <v>1.7041466663430397E-6</v>
      </c>
      <c r="CU33" s="183">
        <f t="shared" si="58"/>
        <v>6.8066937225033039E-6</v>
      </c>
      <c r="CV33" s="183">
        <f t="shared" si="59"/>
        <v>4.4629684074813304E-5</v>
      </c>
      <c r="CW33" s="183">
        <f t="shared" si="60"/>
        <v>2.1602164733174453E-5</v>
      </c>
      <c r="CX33" s="193">
        <f t="shared" si="36"/>
        <v>0</v>
      </c>
      <c r="CY33" s="193">
        <f t="shared" si="37"/>
        <v>0</v>
      </c>
      <c r="CZ33" s="193">
        <f t="shared" si="38"/>
        <v>0</v>
      </c>
      <c r="DA33" s="193">
        <f t="shared" si="39"/>
        <v>0</v>
      </c>
      <c r="DB33" s="193">
        <f t="shared" si="40"/>
        <v>0</v>
      </c>
      <c r="DC33" s="193">
        <f t="shared" si="41"/>
        <v>0</v>
      </c>
      <c r="DD33" s="193">
        <f t="shared" si="42"/>
        <v>0</v>
      </c>
      <c r="DE33" s="193">
        <f t="shared" si="43"/>
        <v>0</v>
      </c>
      <c r="DF33" s="193">
        <f t="shared" si="44"/>
        <v>0</v>
      </c>
      <c r="DG33" s="193">
        <f t="shared" si="45"/>
        <v>0</v>
      </c>
      <c r="DI33" s="83"/>
      <c r="DJ33" s="55"/>
    </row>
    <row r="34" spans="1:114" s="173" customFormat="1">
      <c r="A34" s="150">
        <f t="shared" si="17"/>
        <v>43923</v>
      </c>
      <c r="B34" s="165">
        <v>17</v>
      </c>
      <c r="C34" s="165">
        <v>84</v>
      </c>
      <c r="D34" s="165">
        <v>663</v>
      </c>
      <c r="E34" s="165">
        <v>206</v>
      </c>
      <c r="F34" s="165">
        <v>16</v>
      </c>
      <c r="G34" s="165">
        <v>13</v>
      </c>
      <c r="H34" s="165">
        <v>8</v>
      </c>
      <c r="I34" s="165">
        <v>7</v>
      </c>
      <c r="J34" s="165">
        <v>353</v>
      </c>
      <c r="K34" s="165">
        <f t="shared" si="20"/>
        <v>1367</v>
      </c>
      <c r="L34" s="166"/>
      <c r="M34" s="166"/>
      <c r="N34" s="166"/>
      <c r="O34" s="166"/>
      <c r="P34" s="166"/>
      <c r="Q34" s="166"/>
      <c r="R34" s="166"/>
      <c r="S34" s="166"/>
      <c r="T34" s="166"/>
      <c r="U34" s="166">
        <f t="shared" si="21"/>
        <v>0</v>
      </c>
      <c r="V34" s="167"/>
      <c r="W34" s="167"/>
      <c r="X34" s="167"/>
      <c r="Y34" s="167"/>
      <c r="Z34" s="167"/>
      <c r="AA34" s="167"/>
      <c r="AB34" s="167"/>
      <c r="AC34" s="167"/>
      <c r="AD34" s="167"/>
      <c r="AE34" s="167">
        <f t="shared" si="22"/>
        <v>0</v>
      </c>
      <c r="AF34" s="168"/>
      <c r="AG34" s="168"/>
      <c r="AH34" s="168"/>
      <c r="AI34" s="168"/>
      <c r="AJ34" s="168"/>
      <c r="AK34" s="168"/>
      <c r="AL34" s="168"/>
      <c r="AM34" s="168"/>
      <c r="AN34" s="168"/>
      <c r="AO34" s="168">
        <f t="shared" si="23"/>
        <v>0</v>
      </c>
      <c r="AP34" s="57">
        <f t="shared" si="46"/>
        <v>2</v>
      </c>
      <c r="AQ34" s="57">
        <f t="shared" si="46"/>
        <v>8</v>
      </c>
      <c r="AR34" s="57">
        <f t="shared" si="46"/>
        <v>18</v>
      </c>
      <c r="AS34" s="57">
        <f t="shared" si="46"/>
        <v>20</v>
      </c>
      <c r="AT34" s="57">
        <f t="shared" si="46"/>
        <v>2</v>
      </c>
      <c r="AU34" s="57">
        <f t="shared" si="46"/>
        <v>1</v>
      </c>
      <c r="AV34" s="57">
        <f t="shared" si="46"/>
        <v>1</v>
      </c>
      <c r="AW34" s="57">
        <f t="shared" si="46"/>
        <v>-2</v>
      </c>
      <c r="AX34" s="57">
        <f t="shared" si="46"/>
        <v>27</v>
      </c>
      <c r="AY34" s="57">
        <f t="shared" si="47"/>
        <v>77</v>
      </c>
      <c r="AZ34" s="170"/>
      <c r="BA34" s="170"/>
      <c r="BB34" s="170"/>
      <c r="BC34" s="170"/>
      <c r="BD34" s="170"/>
      <c r="BE34" s="170"/>
      <c r="BF34" s="170"/>
      <c r="BG34" s="170"/>
      <c r="BH34" s="170"/>
      <c r="BI34" s="152">
        <f t="shared" si="48"/>
        <v>0</v>
      </c>
      <c r="BJ34" s="171"/>
      <c r="BK34" s="171"/>
      <c r="BL34" s="171"/>
      <c r="BM34" s="171"/>
      <c r="BN34" s="171"/>
      <c r="BO34" s="171"/>
      <c r="BP34" s="171"/>
      <c r="BQ34" s="171"/>
      <c r="BR34" s="171"/>
      <c r="BS34" s="163">
        <f t="shared" si="49"/>
        <v>0</v>
      </c>
      <c r="BT34" s="172"/>
      <c r="BU34" s="172"/>
      <c r="BV34" s="172"/>
      <c r="BW34" s="172"/>
      <c r="BX34" s="172"/>
      <c r="BY34" s="172"/>
      <c r="BZ34" s="172"/>
      <c r="CA34" s="172"/>
      <c r="CB34" s="172"/>
      <c r="CC34" s="164">
        <f t="shared" si="25"/>
        <v>0</v>
      </c>
      <c r="CD34" s="180">
        <f t="shared" si="61"/>
        <v>17</v>
      </c>
      <c r="CE34" s="180">
        <f t="shared" si="62"/>
        <v>84</v>
      </c>
      <c r="CF34" s="180">
        <f t="shared" si="63"/>
        <v>587</v>
      </c>
      <c r="CG34" s="180">
        <f t="shared" si="64"/>
        <v>184</v>
      </c>
      <c r="CH34" s="180">
        <f t="shared" si="65"/>
        <v>15</v>
      </c>
      <c r="CI34" s="180">
        <f t="shared" si="66"/>
        <v>8</v>
      </c>
      <c r="CJ34" s="180">
        <f t="shared" si="67"/>
        <v>8</v>
      </c>
      <c r="CK34" s="180">
        <f t="shared" si="68"/>
        <v>7</v>
      </c>
      <c r="CL34" s="180">
        <f t="shared" si="69"/>
        <v>307</v>
      </c>
      <c r="CM34" s="180">
        <f t="shared" si="50"/>
        <v>1217</v>
      </c>
      <c r="CN34" s="183">
        <f t="shared" si="51"/>
        <v>2.4742562070895071E-6</v>
      </c>
      <c r="CO34" s="183">
        <f t="shared" si="52"/>
        <v>2.9904688105445413E-5</v>
      </c>
      <c r="CP34" s="183">
        <f t="shared" si="53"/>
        <v>4.2394581059830725E-5</v>
      </c>
      <c r="CQ34" s="183">
        <f t="shared" si="54"/>
        <v>1.8726680024466825E-5</v>
      </c>
      <c r="CR34" s="183">
        <f t="shared" si="55"/>
        <v>2.7332555750202458E-6</v>
      </c>
      <c r="CS34" s="183">
        <f t="shared" si="56"/>
        <v>2.7031599433870977E-6</v>
      </c>
      <c r="CT34" s="183">
        <f t="shared" si="57"/>
        <v>1.9475961901063307E-6</v>
      </c>
      <c r="CU34" s="183">
        <f t="shared" si="58"/>
        <v>5.294095117502569E-6</v>
      </c>
      <c r="CV34" s="183">
        <f t="shared" si="59"/>
        <v>4.8326007602481888E-5</v>
      </c>
      <c r="CW34" s="183">
        <f t="shared" si="60"/>
        <v>2.2891596271511223E-5</v>
      </c>
      <c r="CX34" s="193">
        <f t="shared" si="36"/>
        <v>0</v>
      </c>
      <c r="CY34" s="193">
        <f t="shared" si="37"/>
        <v>0</v>
      </c>
      <c r="CZ34" s="193">
        <f t="shared" si="38"/>
        <v>0</v>
      </c>
      <c r="DA34" s="193">
        <f t="shared" si="39"/>
        <v>0</v>
      </c>
      <c r="DB34" s="193">
        <f t="shared" si="40"/>
        <v>0</v>
      </c>
      <c r="DC34" s="193">
        <f t="shared" si="41"/>
        <v>0</v>
      </c>
      <c r="DD34" s="193">
        <f t="shared" si="42"/>
        <v>0</v>
      </c>
      <c r="DE34" s="193">
        <f t="shared" si="43"/>
        <v>0</v>
      </c>
      <c r="DF34" s="193">
        <f t="shared" si="44"/>
        <v>0</v>
      </c>
      <c r="DG34" s="193">
        <f t="shared" si="45"/>
        <v>0</v>
      </c>
      <c r="DI34" s="83"/>
      <c r="DJ34" s="55"/>
    </row>
    <row r="35" spans="1:114" s="173" customFormat="1">
      <c r="A35" s="150">
        <f t="shared" si="17"/>
        <v>43924</v>
      </c>
      <c r="B35" s="165">
        <v>21</v>
      </c>
      <c r="C35" s="165">
        <v>84</v>
      </c>
      <c r="D35" s="165">
        <v>672</v>
      </c>
      <c r="E35" s="165">
        <v>215</v>
      </c>
      <c r="F35" s="165">
        <v>16</v>
      </c>
      <c r="G35" s="165">
        <v>13</v>
      </c>
      <c r="H35" s="165">
        <v>9</v>
      </c>
      <c r="I35" s="165">
        <v>7</v>
      </c>
      <c r="J35" s="165">
        <v>374</v>
      </c>
      <c r="K35" s="165">
        <f t="shared" si="20"/>
        <v>1411</v>
      </c>
      <c r="L35" s="166"/>
      <c r="M35" s="166"/>
      <c r="N35" s="166"/>
      <c r="O35" s="166"/>
      <c r="P35" s="166"/>
      <c r="Q35" s="166"/>
      <c r="R35" s="166"/>
      <c r="S35" s="166"/>
      <c r="T35" s="166"/>
      <c r="U35" s="166">
        <f t="shared" si="21"/>
        <v>0</v>
      </c>
      <c r="V35" s="167"/>
      <c r="W35" s="167"/>
      <c r="X35" s="167"/>
      <c r="Y35" s="167"/>
      <c r="Z35" s="167"/>
      <c r="AA35" s="167"/>
      <c r="AB35" s="167"/>
      <c r="AC35" s="167"/>
      <c r="AD35" s="167"/>
      <c r="AE35" s="167">
        <f t="shared" si="22"/>
        <v>0</v>
      </c>
      <c r="AF35" s="168"/>
      <c r="AG35" s="168"/>
      <c r="AH35" s="168"/>
      <c r="AI35" s="168"/>
      <c r="AJ35" s="168"/>
      <c r="AK35" s="168"/>
      <c r="AL35" s="168"/>
      <c r="AM35" s="168"/>
      <c r="AN35" s="168"/>
      <c r="AO35" s="168">
        <f t="shared" si="23"/>
        <v>0</v>
      </c>
      <c r="AP35" s="57">
        <f t="shared" si="46"/>
        <v>4</v>
      </c>
      <c r="AQ35" s="57">
        <f t="shared" si="46"/>
        <v>0</v>
      </c>
      <c r="AR35" s="57">
        <f t="shared" si="46"/>
        <v>9</v>
      </c>
      <c r="AS35" s="57">
        <f t="shared" si="46"/>
        <v>9</v>
      </c>
      <c r="AT35" s="57">
        <f t="shared" si="46"/>
        <v>0</v>
      </c>
      <c r="AU35" s="57">
        <f t="shared" si="46"/>
        <v>0</v>
      </c>
      <c r="AV35" s="57">
        <f t="shared" si="46"/>
        <v>1</v>
      </c>
      <c r="AW35" s="57">
        <f t="shared" si="46"/>
        <v>0</v>
      </c>
      <c r="AX35" s="57">
        <f t="shared" si="46"/>
        <v>21</v>
      </c>
      <c r="AY35" s="57">
        <f t="shared" si="47"/>
        <v>44</v>
      </c>
      <c r="AZ35" s="170"/>
      <c r="BA35" s="170"/>
      <c r="BB35" s="170"/>
      <c r="BC35" s="170"/>
      <c r="BD35" s="170"/>
      <c r="BE35" s="170"/>
      <c r="BF35" s="170"/>
      <c r="BG35" s="170"/>
      <c r="BH35" s="170"/>
      <c r="BI35" s="152">
        <f t="shared" si="48"/>
        <v>0</v>
      </c>
      <c r="BJ35" s="171"/>
      <c r="BK35" s="171"/>
      <c r="BL35" s="171"/>
      <c r="BM35" s="171"/>
      <c r="BN35" s="171"/>
      <c r="BO35" s="171"/>
      <c r="BP35" s="171"/>
      <c r="BQ35" s="171"/>
      <c r="BR35" s="171"/>
      <c r="BS35" s="163">
        <f t="shared" si="49"/>
        <v>0</v>
      </c>
      <c r="BT35" s="172"/>
      <c r="BU35" s="172"/>
      <c r="BV35" s="172"/>
      <c r="BW35" s="172"/>
      <c r="BX35" s="172"/>
      <c r="BY35" s="172"/>
      <c r="BZ35" s="172"/>
      <c r="CA35" s="172"/>
      <c r="CB35" s="172"/>
      <c r="CC35" s="164">
        <f t="shared" si="25"/>
        <v>0</v>
      </c>
      <c r="CD35" s="180">
        <f t="shared" si="61"/>
        <v>21</v>
      </c>
      <c r="CE35" s="180">
        <f t="shared" si="62"/>
        <v>77</v>
      </c>
      <c r="CF35" s="180">
        <f t="shared" si="63"/>
        <v>563</v>
      </c>
      <c r="CG35" s="180">
        <f t="shared" si="64"/>
        <v>191</v>
      </c>
      <c r="CH35" s="180">
        <f t="shared" si="65"/>
        <v>15</v>
      </c>
      <c r="CI35" s="180">
        <f t="shared" si="66"/>
        <v>8</v>
      </c>
      <c r="CJ35" s="180">
        <f t="shared" si="67"/>
        <v>9</v>
      </c>
      <c r="CK35" s="180">
        <f t="shared" si="68"/>
        <v>7</v>
      </c>
      <c r="CL35" s="180">
        <f t="shared" si="69"/>
        <v>318</v>
      </c>
      <c r="CM35" s="180">
        <f t="shared" si="50"/>
        <v>1209</v>
      </c>
      <c r="CN35" s="183">
        <f t="shared" si="51"/>
        <v>3.056434138169391E-6</v>
      </c>
      <c r="CO35" s="183">
        <f t="shared" si="52"/>
        <v>2.9904688105445413E-5</v>
      </c>
      <c r="CP35" s="183">
        <f t="shared" si="53"/>
        <v>4.2970073110416657E-5</v>
      </c>
      <c r="CQ35" s="183">
        <f t="shared" si="54"/>
        <v>1.9544835947865862E-5</v>
      </c>
      <c r="CR35" s="183">
        <f t="shared" si="55"/>
        <v>2.7332555750202458E-6</v>
      </c>
      <c r="CS35" s="183">
        <f t="shared" si="56"/>
        <v>2.7031599433870977E-6</v>
      </c>
      <c r="CT35" s="183">
        <f t="shared" si="57"/>
        <v>2.1910457138696225E-6</v>
      </c>
      <c r="CU35" s="183">
        <f t="shared" si="58"/>
        <v>5.294095117502569E-6</v>
      </c>
      <c r="CV35" s="183">
        <f t="shared" si="59"/>
        <v>5.1200925901779676E-5</v>
      </c>
      <c r="CW35" s="183">
        <f t="shared" si="60"/>
        <v>2.3628414293417946E-5</v>
      </c>
      <c r="CX35" s="193">
        <f t="shared" si="36"/>
        <v>0</v>
      </c>
      <c r="CY35" s="193">
        <f t="shared" si="37"/>
        <v>0</v>
      </c>
      <c r="CZ35" s="193">
        <f t="shared" si="38"/>
        <v>0</v>
      </c>
      <c r="DA35" s="193">
        <f t="shared" si="39"/>
        <v>0</v>
      </c>
      <c r="DB35" s="193">
        <f t="shared" si="40"/>
        <v>0</v>
      </c>
      <c r="DC35" s="193">
        <f t="shared" si="41"/>
        <v>0</v>
      </c>
      <c r="DD35" s="193">
        <f t="shared" si="42"/>
        <v>0</v>
      </c>
      <c r="DE35" s="193">
        <f t="shared" si="43"/>
        <v>0</v>
      </c>
      <c r="DF35" s="193">
        <f t="shared" si="44"/>
        <v>0</v>
      </c>
      <c r="DG35" s="193">
        <f t="shared" si="45"/>
        <v>0</v>
      </c>
      <c r="DI35" s="83"/>
      <c r="DJ35" s="55"/>
    </row>
    <row r="36" spans="1:114" s="173" customFormat="1">
      <c r="A36" s="150">
        <f t="shared" si="17"/>
        <v>43925</v>
      </c>
      <c r="B36" s="165">
        <v>25</v>
      </c>
      <c r="C36" s="165">
        <v>85</v>
      </c>
      <c r="D36" s="165">
        <v>693</v>
      </c>
      <c r="E36" s="165">
        <v>232</v>
      </c>
      <c r="F36" s="165">
        <v>18</v>
      </c>
      <c r="G36" s="165">
        <v>18</v>
      </c>
      <c r="H36" s="165">
        <v>11</v>
      </c>
      <c r="I36" s="165">
        <v>7</v>
      </c>
      <c r="J36" s="165">
        <v>433</v>
      </c>
      <c r="K36" s="165">
        <f t="shared" si="20"/>
        <v>1522</v>
      </c>
      <c r="L36" s="166"/>
      <c r="M36" s="166"/>
      <c r="N36" s="166"/>
      <c r="O36" s="166"/>
      <c r="P36" s="166"/>
      <c r="Q36" s="166"/>
      <c r="R36" s="166"/>
      <c r="S36" s="166"/>
      <c r="T36" s="166"/>
      <c r="U36" s="166">
        <f t="shared" si="21"/>
        <v>0</v>
      </c>
      <c r="V36" s="167"/>
      <c r="W36" s="167"/>
      <c r="X36" s="167"/>
      <c r="Y36" s="167"/>
      <c r="Z36" s="167"/>
      <c r="AA36" s="167"/>
      <c r="AB36" s="167"/>
      <c r="AC36" s="167"/>
      <c r="AD36" s="167"/>
      <c r="AE36" s="167">
        <f t="shared" si="22"/>
        <v>0</v>
      </c>
      <c r="AF36" s="168"/>
      <c r="AG36" s="168"/>
      <c r="AH36" s="168"/>
      <c r="AI36" s="168"/>
      <c r="AJ36" s="168"/>
      <c r="AK36" s="168"/>
      <c r="AL36" s="168"/>
      <c r="AM36" s="168"/>
      <c r="AN36" s="168"/>
      <c r="AO36" s="168">
        <f t="shared" si="23"/>
        <v>0</v>
      </c>
      <c r="AP36" s="57">
        <f t="shared" si="46"/>
        <v>4</v>
      </c>
      <c r="AQ36" s="57">
        <f t="shared" si="46"/>
        <v>1</v>
      </c>
      <c r="AR36" s="57">
        <f t="shared" si="46"/>
        <v>21</v>
      </c>
      <c r="AS36" s="57">
        <f t="shared" si="46"/>
        <v>17</v>
      </c>
      <c r="AT36" s="57">
        <f t="shared" si="46"/>
        <v>2</v>
      </c>
      <c r="AU36" s="57">
        <f t="shared" si="46"/>
        <v>5</v>
      </c>
      <c r="AV36" s="57">
        <f t="shared" si="46"/>
        <v>2</v>
      </c>
      <c r="AW36" s="57">
        <f t="shared" si="46"/>
        <v>0</v>
      </c>
      <c r="AX36" s="57">
        <f t="shared" si="46"/>
        <v>59</v>
      </c>
      <c r="AY36" s="57">
        <f t="shared" si="47"/>
        <v>111</v>
      </c>
      <c r="AZ36" s="170"/>
      <c r="BA36" s="170"/>
      <c r="BB36" s="170"/>
      <c r="BC36" s="170"/>
      <c r="BD36" s="170"/>
      <c r="BE36" s="170"/>
      <c r="BF36" s="170"/>
      <c r="BG36" s="170"/>
      <c r="BH36" s="170"/>
      <c r="BI36" s="152">
        <f t="shared" si="48"/>
        <v>0</v>
      </c>
      <c r="BJ36" s="171"/>
      <c r="BK36" s="171"/>
      <c r="BL36" s="171"/>
      <c r="BM36" s="171"/>
      <c r="BN36" s="171"/>
      <c r="BO36" s="171"/>
      <c r="BP36" s="171"/>
      <c r="BQ36" s="171"/>
      <c r="BR36" s="171"/>
      <c r="BS36" s="163">
        <f t="shared" si="49"/>
        <v>0</v>
      </c>
      <c r="BT36" s="172"/>
      <c r="BU36" s="172"/>
      <c r="BV36" s="172"/>
      <c r="BW36" s="172"/>
      <c r="BX36" s="172"/>
      <c r="BY36" s="172"/>
      <c r="BZ36" s="172"/>
      <c r="CA36" s="172"/>
      <c r="CB36" s="172"/>
      <c r="CC36" s="164">
        <f t="shared" si="25"/>
        <v>0</v>
      </c>
      <c r="CD36" s="180">
        <f t="shared" si="61"/>
        <v>24</v>
      </c>
      <c r="CE36" s="180">
        <f t="shared" si="62"/>
        <v>78</v>
      </c>
      <c r="CF36" s="180">
        <f t="shared" si="63"/>
        <v>568</v>
      </c>
      <c r="CG36" s="180">
        <f t="shared" si="64"/>
        <v>205</v>
      </c>
      <c r="CH36" s="180">
        <f t="shared" si="65"/>
        <v>17</v>
      </c>
      <c r="CI36" s="180">
        <f t="shared" si="66"/>
        <v>13</v>
      </c>
      <c r="CJ36" s="180">
        <f t="shared" si="67"/>
        <v>11</v>
      </c>
      <c r="CK36" s="180">
        <f t="shared" si="68"/>
        <v>7</v>
      </c>
      <c r="CL36" s="180">
        <f t="shared" si="69"/>
        <v>359</v>
      </c>
      <c r="CM36" s="180">
        <f t="shared" si="69"/>
        <v>1282</v>
      </c>
      <c r="CN36" s="183">
        <f t="shared" si="51"/>
        <v>3.6386120692492753E-6</v>
      </c>
      <c r="CO36" s="183">
        <f t="shared" si="52"/>
        <v>3.0260696297176907E-5</v>
      </c>
      <c r="CP36" s="183">
        <f t="shared" si="53"/>
        <v>4.4312887895117176E-5</v>
      </c>
      <c r="CQ36" s="183">
        <f t="shared" si="54"/>
        <v>2.1090241580952928E-5</v>
      </c>
      <c r="CR36" s="183">
        <f t="shared" si="55"/>
        <v>3.0749125218977761E-6</v>
      </c>
      <c r="CS36" s="183">
        <f t="shared" si="56"/>
        <v>3.7428368446898277E-6</v>
      </c>
      <c r="CT36" s="183">
        <f t="shared" si="57"/>
        <v>2.677944761396205E-6</v>
      </c>
      <c r="CU36" s="183">
        <f t="shared" si="58"/>
        <v>5.294095117502569E-6</v>
      </c>
      <c r="CV36" s="183">
        <f t="shared" si="59"/>
        <v>5.9278077314092517E-5</v>
      </c>
      <c r="CW36" s="183">
        <f t="shared" si="60"/>
        <v>2.5487205212319006E-5</v>
      </c>
      <c r="CX36" s="193">
        <f t="shared" si="36"/>
        <v>0</v>
      </c>
      <c r="CY36" s="193">
        <f t="shared" si="37"/>
        <v>0</v>
      </c>
      <c r="CZ36" s="193">
        <f t="shared" si="38"/>
        <v>0</v>
      </c>
      <c r="DA36" s="193">
        <f t="shared" si="39"/>
        <v>0</v>
      </c>
      <c r="DB36" s="193">
        <f t="shared" si="40"/>
        <v>0</v>
      </c>
      <c r="DC36" s="193">
        <f t="shared" si="41"/>
        <v>0</v>
      </c>
      <c r="DD36" s="193">
        <f t="shared" si="42"/>
        <v>0</v>
      </c>
      <c r="DE36" s="193">
        <f t="shared" si="43"/>
        <v>0</v>
      </c>
      <c r="DF36" s="193">
        <f t="shared" si="44"/>
        <v>0</v>
      </c>
      <c r="DG36" s="193">
        <f t="shared" si="45"/>
        <v>0</v>
      </c>
      <c r="DI36" s="83"/>
      <c r="DJ36" s="55"/>
    </row>
    <row r="37" spans="1:114" s="173" customFormat="1">
      <c r="A37" s="150">
        <f t="shared" si="17"/>
        <v>43926</v>
      </c>
      <c r="B37" s="165">
        <v>31</v>
      </c>
      <c r="C37" s="165">
        <v>87</v>
      </c>
      <c r="D37" s="165">
        <v>704</v>
      </c>
      <c r="E37" s="165">
        <v>246</v>
      </c>
      <c r="F37" s="165">
        <v>19</v>
      </c>
      <c r="G37" s="165">
        <v>18</v>
      </c>
      <c r="H37" s="165">
        <v>11</v>
      </c>
      <c r="I37" s="165">
        <v>8</v>
      </c>
      <c r="J37" s="165">
        <v>454</v>
      </c>
      <c r="K37" s="165">
        <f t="shared" si="20"/>
        <v>1578</v>
      </c>
      <c r="L37" s="166"/>
      <c r="M37" s="166"/>
      <c r="N37" s="166"/>
      <c r="O37" s="166"/>
      <c r="P37" s="166"/>
      <c r="Q37" s="166"/>
      <c r="R37" s="166"/>
      <c r="S37" s="166"/>
      <c r="T37" s="166"/>
      <c r="U37" s="166">
        <f t="shared" si="21"/>
        <v>0</v>
      </c>
      <c r="V37" s="167"/>
      <c r="W37" s="167"/>
      <c r="X37" s="167"/>
      <c r="Y37" s="167"/>
      <c r="Z37" s="167"/>
      <c r="AA37" s="167"/>
      <c r="AB37" s="167"/>
      <c r="AC37" s="167"/>
      <c r="AD37" s="167"/>
      <c r="AE37" s="167">
        <f t="shared" si="22"/>
        <v>0</v>
      </c>
      <c r="AF37" s="168"/>
      <c r="AG37" s="168"/>
      <c r="AH37" s="168"/>
      <c r="AI37" s="168"/>
      <c r="AJ37" s="168"/>
      <c r="AK37" s="168"/>
      <c r="AL37" s="168"/>
      <c r="AM37" s="168"/>
      <c r="AN37" s="168"/>
      <c r="AO37" s="168">
        <f t="shared" si="23"/>
        <v>0</v>
      </c>
      <c r="AP37" s="57">
        <f t="shared" si="46"/>
        <v>6</v>
      </c>
      <c r="AQ37" s="57">
        <f t="shared" si="46"/>
        <v>2</v>
      </c>
      <c r="AR37" s="57">
        <f t="shared" si="46"/>
        <v>11</v>
      </c>
      <c r="AS37" s="57">
        <f t="shared" si="46"/>
        <v>14</v>
      </c>
      <c r="AT37" s="57">
        <f t="shared" si="46"/>
        <v>1</v>
      </c>
      <c r="AU37" s="57">
        <f t="shared" si="46"/>
        <v>0</v>
      </c>
      <c r="AV37" s="57">
        <f t="shared" si="46"/>
        <v>0</v>
      </c>
      <c r="AW37" s="57">
        <f t="shared" si="46"/>
        <v>1</v>
      </c>
      <c r="AX37" s="57">
        <f t="shared" si="46"/>
        <v>21</v>
      </c>
      <c r="AY37" s="57">
        <f t="shared" si="47"/>
        <v>56</v>
      </c>
      <c r="AZ37" s="170"/>
      <c r="BA37" s="170"/>
      <c r="BB37" s="170"/>
      <c r="BC37" s="170"/>
      <c r="BD37" s="170"/>
      <c r="BE37" s="170"/>
      <c r="BF37" s="170"/>
      <c r="BG37" s="170"/>
      <c r="BH37" s="170"/>
      <c r="BI37" s="152">
        <f t="shared" si="48"/>
        <v>0</v>
      </c>
      <c r="BJ37" s="171"/>
      <c r="BK37" s="171"/>
      <c r="BL37" s="171"/>
      <c r="BM37" s="171"/>
      <c r="BN37" s="171"/>
      <c r="BO37" s="171"/>
      <c r="BP37" s="171"/>
      <c r="BQ37" s="171"/>
      <c r="BR37" s="171"/>
      <c r="BS37" s="163">
        <f t="shared" si="49"/>
        <v>0</v>
      </c>
      <c r="BT37" s="172"/>
      <c r="BU37" s="172"/>
      <c r="BV37" s="172"/>
      <c r="BW37" s="172"/>
      <c r="BX37" s="172"/>
      <c r="BY37" s="172"/>
      <c r="BZ37" s="172"/>
      <c r="CA37" s="172"/>
      <c r="CB37" s="172"/>
      <c r="CC37" s="164">
        <f t="shared" si="25"/>
        <v>0</v>
      </c>
      <c r="CD37" s="180">
        <f t="shared" si="61"/>
        <v>29</v>
      </c>
      <c r="CE37" s="180">
        <f t="shared" si="62"/>
        <v>78</v>
      </c>
      <c r="CF37" s="180">
        <f t="shared" si="63"/>
        <v>572</v>
      </c>
      <c r="CG37" s="180">
        <f t="shared" si="64"/>
        <v>210</v>
      </c>
      <c r="CH37" s="180">
        <f t="shared" si="65"/>
        <v>18</v>
      </c>
      <c r="CI37" s="180">
        <f t="shared" si="66"/>
        <v>12</v>
      </c>
      <c r="CJ37" s="180">
        <f t="shared" si="67"/>
        <v>11</v>
      </c>
      <c r="CK37" s="180">
        <f t="shared" si="68"/>
        <v>8</v>
      </c>
      <c r="CL37" s="180">
        <f t="shared" si="69"/>
        <v>366</v>
      </c>
      <c r="CM37" s="180">
        <f t="shared" si="69"/>
        <v>1304</v>
      </c>
      <c r="CN37" s="183">
        <f t="shared" si="51"/>
        <v>4.5118789658691013E-6</v>
      </c>
      <c r="CO37" s="183">
        <f t="shared" si="52"/>
        <v>3.0972712680639893E-5</v>
      </c>
      <c r="CP37" s="183">
        <f t="shared" si="53"/>
        <v>4.5016267068055548E-5</v>
      </c>
      <c r="CQ37" s="183">
        <f t="shared" si="54"/>
        <v>2.2362928572906986E-5</v>
      </c>
      <c r="CR37" s="183">
        <f t="shared" si="55"/>
        <v>3.2457409953365417E-6</v>
      </c>
      <c r="CS37" s="183">
        <f t="shared" si="56"/>
        <v>3.7428368446898277E-6</v>
      </c>
      <c r="CT37" s="183">
        <f t="shared" si="57"/>
        <v>2.677944761396205E-6</v>
      </c>
      <c r="CU37" s="183">
        <f t="shared" si="58"/>
        <v>6.050394420002936E-6</v>
      </c>
      <c r="CV37" s="183">
        <f t="shared" si="59"/>
        <v>6.2152995613390299E-5</v>
      </c>
      <c r="CW37" s="183">
        <f t="shared" si="60"/>
        <v>2.6424973603836654E-5</v>
      </c>
      <c r="CX37" s="193">
        <f t="shared" si="36"/>
        <v>0</v>
      </c>
      <c r="CY37" s="193">
        <f t="shared" si="37"/>
        <v>0</v>
      </c>
      <c r="CZ37" s="193">
        <f t="shared" si="38"/>
        <v>0</v>
      </c>
      <c r="DA37" s="193">
        <f t="shared" si="39"/>
        <v>0</v>
      </c>
      <c r="DB37" s="193">
        <f t="shared" si="40"/>
        <v>0</v>
      </c>
      <c r="DC37" s="193">
        <f t="shared" si="41"/>
        <v>0</v>
      </c>
      <c r="DD37" s="193">
        <f t="shared" si="42"/>
        <v>0</v>
      </c>
      <c r="DE37" s="193">
        <f t="shared" si="43"/>
        <v>0</v>
      </c>
      <c r="DF37" s="193">
        <f t="shared" si="44"/>
        <v>0</v>
      </c>
      <c r="DG37" s="193">
        <f t="shared" si="45"/>
        <v>0</v>
      </c>
      <c r="DI37" s="83"/>
      <c r="DJ37" s="55"/>
    </row>
    <row r="38" spans="1:114" s="173" customFormat="1">
      <c r="A38" s="150">
        <f t="shared" si="17"/>
        <v>43927</v>
      </c>
      <c r="B38" s="165">
        <v>32</v>
      </c>
      <c r="C38" s="165">
        <v>89</v>
      </c>
      <c r="D38" s="165">
        <v>713</v>
      </c>
      <c r="E38" s="165">
        <v>257</v>
      </c>
      <c r="F38" s="165">
        <v>19</v>
      </c>
      <c r="G38" s="165">
        <v>18</v>
      </c>
      <c r="H38" s="165">
        <v>11</v>
      </c>
      <c r="I38" s="165">
        <v>8</v>
      </c>
      <c r="J38" s="165">
        <v>462</v>
      </c>
      <c r="K38" s="165">
        <f t="shared" si="20"/>
        <v>1609</v>
      </c>
      <c r="L38" s="166"/>
      <c r="M38" s="166"/>
      <c r="N38" s="166"/>
      <c r="O38" s="166"/>
      <c r="P38" s="166"/>
      <c r="Q38" s="166"/>
      <c r="R38" s="166"/>
      <c r="S38" s="166"/>
      <c r="T38" s="166"/>
      <c r="U38" s="166">
        <f t="shared" si="21"/>
        <v>0</v>
      </c>
      <c r="V38" s="167"/>
      <c r="W38" s="167"/>
      <c r="X38" s="167"/>
      <c r="Y38" s="167"/>
      <c r="Z38" s="167"/>
      <c r="AA38" s="167"/>
      <c r="AB38" s="167"/>
      <c r="AC38" s="167"/>
      <c r="AD38" s="167"/>
      <c r="AE38" s="167">
        <f t="shared" si="22"/>
        <v>0</v>
      </c>
      <c r="AF38" s="168"/>
      <c r="AG38" s="168"/>
      <c r="AH38" s="168"/>
      <c r="AI38" s="168"/>
      <c r="AJ38" s="168"/>
      <c r="AK38" s="168"/>
      <c r="AL38" s="168"/>
      <c r="AM38" s="168"/>
      <c r="AN38" s="168"/>
      <c r="AO38" s="168">
        <f t="shared" si="23"/>
        <v>0</v>
      </c>
      <c r="AP38" s="57">
        <f t="shared" si="46"/>
        <v>1</v>
      </c>
      <c r="AQ38" s="57">
        <f t="shared" si="46"/>
        <v>2</v>
      </c>
      <c r="AR38" s="57">
        <f t="shared" si="46"/>
        <v>9</v>
      </c>
      <c r="AS38" s="57">
        <f t="shared" si="46"/>
        <v>11</v>
      </c>
      <c r="AT38" s="57">
        <f t="shared" si="46"/>
        <v>0</v>
      </c>
      <c r="AU38" s="57">
        <f t="shared" si="46"/>
        <v>0</v>
      </c>
      <c r="AV38" s="57">
        <f t="shared" si="46"/>
        <v>0</v>
      </c>
      <c r="AW38" s="57">
        <f t="shared" si="46"/>
        <v>0</v>
      </c>
      <c r="AX38" s="57">
        <f t="shared" si="46"/>
        <v>8</v>
      </c>
      <c r="AY38" s="57">
        <f t="shared" si="47"/>
        <v>31</v>
      </c>
      <c r="AZ38" s="170"/>
      <c r="BA38" s="170"/>
      <c r="BB38" s="170"/>
      <c r="BC38" s="170"/>
      <c r="BD38" s="170"/>
      <c r="BE38" s="170"/>
      <c r="BF38" s="170"/>
      <c r="BG38" s="170"/>
      <c r="BH38" s="170"/>
      <c r="BI38" s="152">
        <f t="shared" si="48"/>
        <v>0</v>
      </c>
      <c r="BJ38" s="171"/>
      <c r="BK38" s="171"/>
      <c r="BL38" s="171"/>
      <c r="BM38" s="171"/>
      <c r="BN38" s="171"/>
      <c r="BO38" s="171"/>
      <c r="BP38" s="171"/>
      <c r="BQ38" s="171"/>
      <c r="BR38" s="171"/>
      <c r="BS38" s="163">
        <f t="shared" si="49"/>
        <v>0</v>
      </c>
      <c r="BT38" s="172"/>
      <c r="BU38" s="172"/>
      <c r="BV38" s="172"/>
      <c r="BW38" s="172"/>
      <c r="BX38" s="172"/>
      <c r="BY38" s="172"/>
      <c r="BZ38" s="172"/>
      <c r="CA38" s="172"/>
      <c r="CB38" s="172"/>
      <c r="CC38" s="164">
        <f t="shared" si="25"/>
        <v>0</v>
      </c>
      <c r="CD38" s="180">
        <f t="shared" si="61"/>
        <v>30</v>
      </c>
      <c r="CE38" s="180">
        <f t="shared" si="62"/>
        <v>76</v>
      </c>
      <c r="CF38" s="180">
        <f t="shared" si="63"/>
        <v>506</v>
      </c>
      <c r="CG38" s="180">
        <f t="shared" si="64"/>
        <v>197</v>
      </c>
      <c r="CH38" s="180">
        <f t="shared" si="65"/>
        <v>15</v>
      </c>
      <c r="CI38" s="180">
        <f t="shared" si="66"/>
        <v>9</v>
      </c>
      <c r="CJ38" s="180">
        <f t="shared" si="67"/>
        <v>7</v>
      </c>
      <c r="CK38" s="180">
        <f t="shared" si="68"/>
        <v>6</v>
      </c>
      <c r="CL38" s="180">
        <f t="shared" si="69"/>
        <v>362</v>
      </c>
      <c r="CM38" s="180">
        <f t="shared" si="69"/>
        <v>1208</v>
      </c>
      <c r="CN38" s="183">
        <f t="shared" si="51"/>
        <v>4.657423448639072E-6</v>
      </c>
      <c r="CO38" s="183">
        <f t="shared" si="52"/>
        <v>3.1684729064102882E-5</v>
      </c>
      <c r="CP38" s="183">
        <f t="shared" si="53"/>
        <v>4.5591759118641486E-5</v>
      </c>
      <c r="CQ38" s="183">
        <f t="shared" si="54"/>
        <v>2.3362896923728029E-5</v>
      </c>
      <c r="CR38" s="183">
        <f t="shared" si="55"/>
        <v>3.2457409953365417E-6</v>
      </c>
      <c r="CS38" s="183">
        <f t="shared" si="56"/>
        <v>3.7428368446898277E-6</v>
      </c>
      <c r="CT38" s="183">
        <f t="shared" si="57"/>
        <v>2.677944761396205E-6</v>
      </c>
      <c r="CU38" s="183">
        <f t="shared" si="58"/>
        <v>6.050394420002936E-6</v>
      </c>
      <c r="CV38" s="183">
        <f t="shared" si="59"/>
        <v>6.3248202584551363E-5</v>
      </c>
      <c r="CW38" s="183">
        <f t="shared" si="60"/>
        <v>2.6944095391998213E-5</v>
      </c>
      <c r="CX38" s="193">
        <f t="shared" si="36"/>
        <v>0</v>
      </c>
      <c r="CY38" s="193">
        <f t="shared" si="37"/>
        <v>0</v>
      </c>
      <c r="CZ38" s="193">
        <f t="shared" si="38"/>
        <v>0</v>
      </c>
      <c r="DA38" s="193">
        <f t="shared" si="39"/>
        <v>0</v>
      </c>
      <c r="DB38" s="193">
        <f t="shared" si="40"/>
        <v>0</v>
      </c>
      <c r="DC38" s="193">
        <f t="shared" si="41"/>
        <v>0</v>
      </c>
      <c r="DD38" s="193">
        <f t="shared" si="42"/>
        <v>0</v>
      </c>
      <c r="DE38" s="193">
        <f t="shared" si="43"/>
        <v>0</v>
      </c>
      <c r="DF38" s="193">
        <f t="shared" si="44"/>
        <v>0</v>
      </c>
      <c r="DG38" s="193">
        <f t="shared" si="45"/>
        <v>0</v>
      </c>
      <c r="DI38" s="83"/>
      <c r="DJ38" s="55"/>
    </row>
    <row r="39" spans="1:114" s="173" customFormat="1">
      <c r="A39" s="150">
        <f t="shared" si="17"/>
        <v>43928</v>
      </c>
      <c r="B39" s="165">
        <v>40</v>
      </c>
      <c r="C39" s="165">
        <v>88.5</v>
      </c>
      <c r="D39" s="165">
        <v>747.5</v>
      </c>
      <c r="E39" s="165">
        <v>305.5</v>
      </c>
      <c r="F39" s="165">
        <v>20</v>
      </c>
      <c r="G39" s="165">
        <v>19.5</v>
      </c>
      <c r="H39" s="165">
        <v>13</v>
      </c>
      <c r="I39" s="165">
        <v>10.5</v>
      </c>
      <c r="J39" s="165">
        <v>478.5</v>
      </c>
      <c r="K39" s="165">
        <f t="shared" si="20"/>
        <v>1723</v>
      </c>
      <c r="L39" s="166"/>
      <c r="M39" s="166"/>
      <c r="N39" s="166"/>
      <c r="O39" s="166"/>
      <c r="P39" s="166"/>
      <c r="Q39" s="166"/>
      <c r="R39" s="166"/>
      <c r="S39" s="166"/>
      <c r="T39" s="166"/>
      <c r="U39" s="166">
        <f t="shared" si="21"/>
        <v>0</v>
      </c>
      <c r="V39" s="167"/>
      <c r="W39" s="167"/>
      <c r="X39" s="167"/>
      <c r="Y39" s="167"/>
      <c r="Z39" s="167"/>
      <c r="AA39" s="167"/>
      <c r="AB39" s="167"/>
      <c r="AC39" s="167"/>
      <c r="AD39" s="167"/>
      <c r="AE39" s="167">
        <f t="shared" si="22"/>
        <v>0</v>
      </c>
      <c r="AF39" s="168"/>
      <c r="AG39" s="168"/>
      <c r="AH39" s="168"/>
      <c r="AI39" s="168"/>
      <c r="AJ39" s="168"/>
      <c r="AK39" s="168"/>
      <c r="AL39" s="168"/>
      <c r="AM39" s="168"/>
      <c r="AN39" s="168"/>
      <c r="AO39" s="168">
        <f t="shared" si="23"/>
        <v>0</v>
      </c>
      <c r="AP39" s="57">
        <f t="shared" si="46"/>
        <v>8</v>
      </c>
      <c r="AQ39" s="57">
        <f t="shared" si="46"/>
        <v>-0.5</v>
      </c>
      <c r="AR39" s="57">
        <f t="shared" si="46"/>
        <v>34.5</v>
      </c>
      <c r="AS39" s="57">
        <f t="shared" si="46"/>
        <v>48.5</v>
      </c>
      <c r="AT39" s="57">
        <f t="shared" si="46"/>
        <v>1</v>
      </c>
      <c r="AU39" s="57">
        <f t="shared" si="46"/>
        <v>1.5</v>
      </c>
      <c r="AV39" s="57">
        <f t="shared" si="46"/>
        <v>2</v>
      </c>
      <c r="AW39" s="57">
        <f t="shared" si="46"/>
        <v>2.5</v>
      </c>
      <c r="AX39" s="57">
        <f t="shared" si="46"/>
        <v>16.5</v>
      </c>
      <c r="AY39" s="57">
        <f t="shared" si="47"/>
        <v>114</v>
      </c>
      <c r="AZ39" s="170"/>
      <c r="BA39" s="170"/>
      <c r="BB39" s="170"/>
      <c r="BC39" s="170"/>
      <c r="BD39" s="170"/>
      <c r="BE39" s="170"/>
      <c r="BF39" s="170"/>
      <c r="BG39" s="170"/>
      <c r="BH39" s="170"/>
      <c r="BI39" s="152">
        <f t="shared" si="48"/>
        <v>0</v>
      </c>
      <c r="BJ39" s="171"/>
      <c r="BK39" s="171"/>
      <c r="BL39" s="171"/>
      <c r="BM39" s="171"/>
      <c r="BN39" s="171"/>
      <c r="BO39" s="171"/>
      <c r="BP39" s="171"/>
      <c r="BQ39" s="171"/>
      <c r="BR39" s="171"/>
      <c r="BS39" s="163">
        <f t="shared" si="49"/>
        <v>0</v>
      </c>
      <c r="BT39" s="172"/>
      <c r="BU39" s="172"/>
      <c r="BV39" s="172"/>
      <c r="BW39" s="172"/>
      <c r="BX39" s="172"/>
      <c r="BY39" s="172"/>
      <c r="BZ39" s="172"/>
      <c r="CA39" s="172"/>
      <c r="CB39" s="172"/>
      <c r="CC39" s="164">
        <f t="shared" si="25"/>
        <v>0</v>
      </c>
      <c r="CD39" s="180">
        <f t="shared" si="61"/>
        <v>38</v>
      </c>
      <c r="CE39" s="180">
        <f t="shared" si="62"/>
        <v>70.5</v>
      </c>
      <c r="CF39" s="180">
        <f t="shared" si="63"/>
        <v>445.5</v>
      </c>
      <c r="CG39" s="180">
        <f t="shared" si="64"/>
        <v>225.5</v>
      </c>
      <c r="CH39" s="180">
        <f t="shared" si="65"/>
        <v>16</v>
      </c>
      <c r="CI39" s="180">
        <f t="shared" si="66"/>
        <v>10.5</v>
      </c>
      <c r="CJ39" s="180">
        <f t="shared" si="67"/>
        <v>8</v>
      </c>
      <c r="CK39" s="180">
        <f t="shared" si="68"/>
        <v>8.5</v>
      </c>
      <c r="CL39" s="180">
        <f t="shared" si="69"/>
        <v>365.5</v>
      </c>
      <c r="CM39" s="180">
        <f t="shared" si="69"/>
        <v>1188</v>
      </c>
      <c r="CN39" s="183">
        <f t="shared" si="51"/>
        <v>5.8217793107988406E-6</v>
      </c>
      <c r="CO39" s="183">
        <f t="shared" si="52"/>
        <v>3.1506724968237135E-5</v>
      </c>
      <c r="CP39" s="183">
        <f t="shared" si="53"/>
        <v>4.7797811979220911E-5</v>
      </c>
      <c r="CQ39" s="183">
        <f t="shared" si="54"/>
        <v>2.7771848288711724E-5</v>
      </c>
      <c r="CR39" s="183">
        <f t="shared" si="55"/>
        <v>3.4165694687753069E-6</v>
      </c>
      <c r="CS39" s="183">
        <f t="shared" si="56"/>
        <v>4.0547399150806464E-6</v>
      </c>
      <c r="CT39" s="183">
        <f t="shared" si="57"/>
        <v>3.1648438089227876E-6</v>
      </c>
      <c r="CU39" s="183">
        <f t="shared" si="58"/>
        <v>7.9411426762538535E-6</v>
      </c>
      <c r="CV39" s="183">
        <f t="shared" si="59"/>
        <v>6.5507066962571062E-5</v>
      </c>
      <c r="CW39" s="183">
        <f t="shared" si="60"/>
        <v>2.8853123903301999E-5</v>
      </c>
      <c r="CX39" s="193">
        <f t="shared" si="36"/>
        <v>0</v>
      </c>
      <c r="CY39" s="193">
        <f t="shared" si="37"/>
        <v>0</v>
      </c>
      <c r="CZ39" s="193">
        <f t="shared" si="38"/>
        <v>0</v>
      </c>
      <c r="DA39" s="193">
        <f t="shared" si="39"/>
        <v>0</v>
      </c>
      <c r="DB39" s="193">
        <f t="shared" si="40"/>
        <v>0</v>
      </c>
      <c r="DC39" s="193">
        <f t="shared" si="41"/>
        <v>0</v>
      </c>
      <c r="DD39" s="193">
        <f t="shared" si="42"/>
        <v>0</v>
      </c>
      <c r="DE39" s="193">
        <f t="shared" si="43"/>
        <v>0</v>
      </c>
      <c r="DF39" s="193">
        <f t="shared" si="44"/>
        <v>0</v>
      </c>
      <c r="DG39" s="193">
        <f t="shared" si="45"/>
        <v>0</v>
      </c>
      <c r="DI39" s="83"/>
      <c r="DJ39" s="55"/>
    </row>
    <row r="40" spans="1:114" s="173" customFormat="1">
      <c r="A40" s="150">
        <f t="shared" si="17"/>
        <v>43929</v>
      </c>
      <c r="B40" s="165">
        <v>45</v>
      </c>
      <c r="C40" s="165">
        <v>88</v>
      </c>
      <c r="D40" s="165">
        <v>782</v>
      </c>
      <c r="E40" s="165">
        <v>354</v>
      </c>
      <c r="F40" s="165">
        <v>21</v>
      </c>
      <c r="G40" s="165">
        <v>21</v>
      </c>
      <c r="H40" s="165">
        <v>15</v>
      </c>
      <c r="I40" s="165">
        <v>13</v>
      </c>
      <c r="J40" s="165">
        <v>495</v>
      </c>
      <c r="K40" s="165">
        <f t="shared" si="20"/>
        <v>1834</v>
      </c>
      <c r="L40" s="166"/>
      <c r="M40" s="166"/>
      <c r="N40" s="166"/>
      <c r="O40" s="166"/>
      <c r="P40" s="166"/>
      <c r="Q40" s="166"/>
      <c r="R40" s="166"/>
      <c r="S40" s="166"/>
      <c r="T40" s="166"/>
      <c r="U40" s="166">
        <f t="shared" si="21"/>
        <v>0</v>
      </c>
      <c r="V40" s="167"/>
      <c r="W40" s="167"/>
      <c r="X40" s="167"/>
      <c r="Y40" s="167"/>
      <c r="Z40" s="167"/>
      <c r="AA40" s="167"/>
      <c r="AB40" s="167"/>
      <c r="AC40" s="167"/>
      <c r="AD40" s="167"/>
      <c r="AE40" s="167">
        <f t="shared" si="22"/>
        <v>0</v>
      </c>
      <c r="AF40" s="168"/>
      <c r="AG40" s="168"/>
      <c r="AH40" s="168"/>
      <c r="AI40" s="168"/>
      <c r="AJ40" s="168"/>
      <c r="AK40" s="168"/>
      <c r="AL40" s="168"/>
      <c r="AM40" s="168"/>
      <c r="AN40" s="168"/>
      <c r="AO40" s="168">
        <f t="shared" si="23"/>
        <v>0</v>
      </c>
      <c r="AP40" s="57">
        <f t="shared" si="46"/>
        <v>5</v>
      </c>
      <c r="AQ40" s="57">
        <f t="shared" si="46"/>
        <v>-0.5</v>
      </c>
      <c r="AR40" s="57">
        <f t="shared" si="46"/>
        <v>34.5</v>
      </c>
      <c r="AS40" s="57">
        <f t="shared" si="46"/>
        <v>48.5</v>
      </c>
      <c r="AT40" s="57">
        <f t="shared" si="46"/>
        <v>1</v>
      </c>
      <c r="AU40" s="57">
        <f t="shared" si="46"/>
        <v>1.5</v>
      </c>
      <c r="AV40" s="57">
        <f t="shared" si="46"/>
        <v>2</v>
      </c>
      <c r="AW40" s="57">
        <f t="shared" si="46"/>
        <v>2.5</v>
      </c>
      <c r="AX40" s="57">
        <f t="shared" si="46"/>
        <v>16.5</v>
      </c>
      <c r="AY40" s="57">
        <f t="shared" si="47"/>
        <v>111</v>
      </c>
      <c r="AZ40" s="170"/>
      <c r="BA40" s="170"/>
      <c r="BB40" s="170"/>
      <c r="BC40" s="170"/>
      <c r="BD40" s="170"/>
      <c r="BE40" s="170"/>
      <c r="BF40" s="170"/>
      <c r="BG40" s="170"/>
      <c r="BH40" s="170"/>
      <c r="BI40" s="152">
        <f t="shared" si="48"/>
        <v>0</v>
      </c>
      <c r="BJ40" s="171"/>
      <c r="BK40" s="171"/>
      <c r="BL40" s="171"/>
      <c r="BM40" s="171"/>
      <c r="BN40" s="171"/>
      <c r="BO40" s="171"/>
      <c r="BP40" s="171"/>
      <c r="BQ40" s="171"/>
      <c r="BR40" s="171"/>
      <c r="BS40" s="163">
        <f t="shared" si="49"/>
        <v>0</v>
      </c>
      <c r="BT40" s="172"/>
      <c r="BU40" s="172"/>
      <c r="BV40" s="172"/>
      <c r="BW40" s="172"/>
      <c r="BX40" s="172"/>
      <c r="BY40" s="172"/>
      <c r="BZ40" s="172"/>
      <c r="CA40" s="172"/>
      <c r="CB40" s="172"/>
      <c r="CC40" s="164">
        <f t="shared" si="25"/>
        <v>0</v>
      </c>
      <c r="CD40" s="180">
        <f t="shared" si="61"/>
        <v>43</v>
      </c>
      <c r="CE40" s="180">
        <f t="shared" si="62"/>
        <v>58</v>
      </c>
      <c r="CF40" s="180">
        <f t="shared" si="63"/>
        <v>463</v>
      </c>
      <c r="CG40" s="180">
        <f t="shared" si="64"/>
        <v>263</v>
      </c>
      <c r="CH40" s="180">
        <f t="shared" si="65"/>
        <v>17</v>
      </c>
      <c r="CI40" s="180">
        <f t="shared" si="66"/>
        <v>13</v>
      </c>
      <c r="CJ40" s="180">
        <f t="shared" si="67"/>
        <v>10</v>
      </c>
      <c r="CK40" s="180">
        <f t="shared" si="68"/>
        <v>11</v>
      </c>
      <c r="CL40" s="180">
        <f t="shared" si="69"/>
        <v>312</v>
      </c>
      <c r="CM40" s="180">
        <f t="shared" si="69"/>
        <v>1190</v>
      </c>
      <c r="CN40" s="183">
        <f t="shared" si="51"/>
        <v>6.5495017246486956E-6</v>
      </c>
      <c r="CO40" s="183">
        <f t="shared" si="52"/>
        <v>3.1328720872371387E-5</v>
      </c>
      <c r="CP40" s="183">
        <f t="shared" si="53"/>
        <v>5.0003864839800335E-5</v>
      </c>
      <c r="CQ40" s="183">
        <f t="shared" si="54"/>
        <v>3.218079965369542E-5</v>
      </c>
      <c r="CR40" s="183">
        <f t="shared" si="55"/>
        <v>3.5873979422140724E-6</v>
      </c>
      <c r="CS40" s="183">
        <f t="shared" si="56"/>
        <v>4.3666429854714655E-6</v>
      </c>
      <c r="CT40" s="183">
        <f t="shared" si="57"/>
        <v>3.6517428564493706E-6</v>
      </c>
      <c r="CU40" s="183">
        <f t="shared" si="58"/>
        <v>9.831890932504771E-6</v>
      </c>
      <c r="CV40" s="183">
        <f t="shared" si="59"/>
        <v>6.7765931340590748E-5</v>
      </c>
      <c r="CW40" s="183">
        <f t="shared" si="60"/>
        <v>3.0711914822203055E-5</v>
      </c>
      <c r="CX40" s="193">
        <f t="shared" si="36"/>
        <v>0</v>
      </c>
      <c r="CY40" s="193">
        <f t="shared" si="37"/>
        <v>0</v>
      </c>
      <c r="CZ40" s="193">
        <f t="shared" si="38"/>
        <v>0</v>
      </c>
      <c r="DA40" s="193">
        <f t="shared" si="39"/>
        <v>0</v>
      </c>
      <c r="DB40" s="193">
        <f t="shared" si="40"/>
        <v>0</v>
      </c>
      <c r="DC40" s="193">
        <f t="shared" si="41"/>
        <v>0</v>
      </c>
      <c r="DD40" s="193">
        <f t="shared" si="42"/>
        <v>0</v>
      </c>
      <c r="DE40" s="193">
        <f t="shared" si="43"/>
        <v>0</v>
      </c>
      <c r="DF40" s="193">
        <f t="shared" si="44"/>
        <v>0</v>
      </c>
      <c r="DG40" s="193">
        <f t="shared" si="45"/>
        <v>0</v>
      </c>
      <c r="DI40" s="83"/>
      <c r="DJ40" s="55"/>
    </row>
    <row r="41" spans="1:114" s="173" customFormat="1">
      <c r="A41" s="150">
        <f t="shared" si="17"/>
        <v>43930</v>
      </c>
      <c r="B41" s="165">
        <v>61</v>
      </c>
      <c r="C41" s="165">
        <v>93</v>
      </c>
      <c r="D41" s="165">
        <v>795</v>
      </c>
      <c r="E41" s="165">
        <v>387</v>
      </c>
      <c r="F41" s="165">
        <v>22</v>
      </c>
      <c r="G41" s="165">
        <v>20</v>
      </c>
      <c r="H41" s="165">
        <v>15</v>
      </c>
      <c r="I41" s="165">
        <v>15</v>
      </c>
      <c r="J41" s="165">
        <v>515</v>
      </c>
      <c r="K41" s="165">
        <f t="shared" si="20"/>
        <v>1923</v>
      </c>
      <c r="L41" s="166"/>
      <c r="M41" s="166"/>
      <c r="N41" s="166"/>
      <c r="O41" s="166"/>
      <c r="P41" s="166"/>
      <c r="Q41" s="166"/>
      <c r="R41" s="166"/>
      <c r="S41" s="166"/>
      <c r="T41" s="166"/>
      <c r="U41" s="166">
        <f t="shared" si="21"/>
        <v>0</v>
      </c>
      <c r="V41" s="167"/>
      <c r="W41" s="167"/>
      <c r="X41" s="167"/>
      <c r="Y41" s="167"/>
      <c r="Z41" s="167"/>
      <c r="AA41" s="167"/>
      <c r="AB41" s="167"/>
      <c r="AC41" s="167"/>
      <c r="AD41" s="167"/>
      <c r="AE41" s="167">
        <f t="shared" si="22"/>
        <v>0</v>
      </c>
      <c r="AF41" s="168"/>
      <c r="AG41" s="168"/>
      <c r="AH41" s="168"/>
      <c r="AI41" s="168"/>
      <c r="AJ41" s="168"/>
      <c r="AK41" s="168"/>
      <c r="AL41" s="168"/>
      <c r="AM41" s="168"/>
      <c r="AN41" s="168"/>
      <c r="AO41" s="168">
        <f t="shared" si="23"/>
        <v>0</v>
      </c>
      <c r="AP41" s="57">
        <f t="shared" si="46"/>
        <v>16</v>
      </c>
      <c r="AQ41" s="57">
        <f t="shared" si="46"/>
        <v>5</v>
      </c>
      <c r="AR41" s="57">
        <f t="shared" si="46"/>
        <v>13</v>
      </c>
      <c r="AS41" s="57">
        <f t="shared" si="46"/>
        <v>33</v>
      </c>
      <c r="AT41" s="57">
        <f t="shared" si="46"/>
        <v>1</v>
      </c>
      <c r="AU41" s="57">
        <f t="shared" si="46"/>
        <v>-1</v>
      </c>
      <c r="AV41" s="57">
        <f t="shared" si="46"/>
        <v>0</v>
      </c>
      <c r="AW41" s="57">
        <f t="shared" si="46"/>
        <v>2</v>
      </c>
      <c r="AX41" s="57">
        <f t="shared" si="46"/>
        <v>20</v>
      </c>
      <c r="AY41" s="57">
        <f t="shared" si="47"/>
        <v>89</v>
      </c>
      <c r="AZ41" s="170"/>
      <c r="BA41" s="170"/>
      <c r="BB41" s="170"/>
      <c r="BC41" s="170"/>
      <c r="BD41" s="170"/>
      <c r="BE41" s="170"/>
      <c r="BF41" s="170"/>
      <c r="BG41" s="170"/>
      <c r="BH41" s="170"/>
      <c r="BI41" s="152">
        <f t="shared" si="48"/>
        <v>0</v>
      </c>
      <c r="BJ41" s="171"/>
      <c r="BK41" s="171"/>
      <c r="BL41" s="171"/>
      <c r="BM41" s="171"/>
      <c r="BN41" s="171"/>
      <c r="BO41" s="171"/>
      <c r="BP41" s="171"/>
      <c r="BQ41" s="171"/>
      <c r="BR41" s="171"/>
      <c r="BS41" s="163">
        <f t="shared" si="49"/>
        <v>0</v>
      </c>
      <c r="BT41" s="172"/>
      <c r="BU41" s="172"/>
      <c r="BV41" s="172"/>
      <c r="BW41" s="172"/>
      <c r="BX41" s="172"/>
      <c r="BY41" s="172"/>
      <c r="BZ41" s="172"/>
      <c r="CA41" s="172"/>
      <c r="CB41" s="172"/>
      <c r="CC41" s="164">
        <f t="shared" si="25"/>
        <v>0</v>
      </c>
      <c r="CD41" s="180">
        <f t="shared" si="61"/>
        <v>56</v>
      </c>
      <c r="CE41" s="180">
        <f t="shared" si="62"/>
        <v>44</v>
      </c>
      <c r="CF41" s="180">
        <f t="shared" si="63"/>
        <v>386</v>
      </c>
      <c r="CG41" s="180">
        <f t="shared" si="64"/>
        <v>253</v>
      </c>
      <c r="CH41" s="180">
        <f t="shared" si="65"/>
        <v>16</v>
      </c>
      <c r="CI41" s="180">
        <f t="shared" si="66"/>
        <v>11</v>
      </c>
      <c r="CJ41" s="180">
        <f t="shared" si="67"/>
        <v>11</v>
      </c>
      <c r="CK41" s="180">
        <f t="shared" si="68"/>
        <v>14</v>
      </c>
      <c r="CL41" s="180">
        <f t="shared" si="69"/>
        <v>286</v>
      </c>
      <c r="CM41" s="180">
        <f t="shared" si="69"/>
        <v>1077</v>
      </c>
      <c r="CN41" s="183">
        <f t="shared" si="51"/>
        <v>8.8782134489682311E-6</v>
      </c>
      <c r="CO41" s="183">
        <f t="shared" si="52"/>
        <v>3.3108761831028853E-5</v>
      </c>
      <c r="CP41" s="183">
        <f t="shared" si="53"/>
        <v>5.0835131135091139E-5</v>
      </c>
      <c r="CQ41" s="183">
        <f t="shared" si="54"/>
        <v>3.5180704706158552E-5</v>
      </c>
      <c r="CR41" s="183">
        <f t="shared" si="55"/>
        <v>3.7582264156528376E-6</v>
      </c>
      <c r="CS41" s="183">
        <f t="shared" si="56"/>
        <v>4.1587076052109197E-6</v>
      </c>
      <c r="CT41" s="183">
        <f t="shared" si="57"/>
        <v>3.6517428564493706E-6</v>
      </c>
      <c r="CU41" s="183">
        <f t="shared" si="58"/>
        <v>1.1344489537505505E-5</v>
      </c>
      <c r="CV41" s="183">
        <f t="shared" si="59"/>
        <v>7.0503948768493402E-5</v>
      </c>
      <c r="CW41" s="183">
        <f t="shared" si="60"/>
        <v>3.2202296730150753E-5</v>
      </c>
      <c r="CX41" s="193">
        <f t="shared" si="36"/>
        <v>0</v>
      </c>
      <c r="CY41" s="193">
        <f t="shared" si="37"/>
        <v>0</v>
      </c>
      <c r="CZ41" s="193">
        <f t="shared" si="38"/>
        <v>0</v>
      </c>
      <c r="DA41" s="193">
        <f t="shared" si="39"/>
        <v>0</v>
      </c>
      <c r="DB41" s="193">
        <f t="shared" si="40"/>
        <v>0</v>
      </c>
      <c r="DC41" s="193">
        <f t="shared" si="41"/>
        <v>0</v>
      </c>
      <c r="DD41" s="193">
        <f t="shared" si="42"/>
        <v>0</v>
      </c>
      <c r="DE41" s="193">
        <f t="shared" si="43"/>
        <v>0</v>
      </c>
      <c r="DF41" s="193">
        <f t="shared" si="44"/>
        <v>0</v>
      </c>
      <c r="DG41" s="193">
        <f t="shared" si="45"/>
        <v>0</v>
      </c>
      <c r="DI41" s="83"/>
      <c r="DJ41" s="55"/>
    </row>
    <row r="42" spans="1:114" s="173" customFormat="1">
      <c r="A42" s="150">
        <f t="shared" si="17"/>
        <v>43931</v>
      </c>
      <c r="B42" s="165">
        <v>68</v>
      </c>
      <c r="C42" s="165">
        <v>94</v>
      </c>
      <c r="D42" s="165">
        <v>801</v>
      </c>
      <c r="E42" s="165">
        <v>412</v>
      </c>
      <c r="F42" s="165">
        <v>24</v>
      </c>
      <c r="G42" s="165">
        <v>20</v>
      </c>
      <c r="H42" s="165">
        <v>18</v>
      </c>
      <c r="I42" s="165">
        <v>15</v>
      </c>
      <c r="J42" s="165">
        <v>541</v>
      </c>
      <c r="K42" s="165">
        <f t="shared" si="20"/>
        <v>1993</v>
      </c>
      <c r="L42" s="166"/>
      <c r="M42" s="166"/>
      <c r="N42" s="166"/>
      <c r="O42" s="166"/>
      <c r="P42" s="166"/>
      <c r="Q42" s="166"/>
      <c r="R42" s="166"/>
      <c r="S42" s="166"/>
      <c r="T42" s="166"/>
      <c r="U42" s="166">
        <f t="shared" si="21"/>
        <v>0</v>
      </c>
      <c r="V42" s="167"/>
      <c r="W42" s="167"/>
      <c r="X42" s="167"/>
      <c r="Y42" s="167"/>
      <c r="Z42" s="167"/>
      <c r="AA42" s="167"/>
      <c r="AB42" s="167"/>
      <c r="AC42" s="167"/>
      <c r="AD42" s="167"/>
      <c r="AE42" s="167">
        <f t="shared" si="22"/>
        <v>0</v>
      </c>
      <c r="AF42" s="168"/>
      <c r="AG42" s="168"/>
      <c r="AH42" s="168"/>
      <c r="AI42" s="168"/>
      <c r="AJ42" s="168"/>
      <c r="AK42" s="168"/>
      <c r="AL42" s="168"/>
      <c r="AM42" s="168"/>
      <c r="AN42" s="168"/>
      <c r="AO42" s="168">
        <f t="shared" si="23"/>
        <v>0</v>
      </c>
      <c r="AP42" s="57">
        <f t="shared" si="46"/>
        <v>7</v>
      </c>
      <c r="AQ42" s="57">
        <f t="shared" si="46"/>
        <v>1</v>
      </c>
      <c r="AR42" s="57">
        <f t="shared" si="46"/>
        <v>6</v>
      </c>
      <c r="AS42" s="57">
        <f t="shared" si="46"/>
        <v>25</v>
      </c>
      <c r="AT42" s="57">
        <f t="shared" si="46"/>
        <v>2</v>
      </c>
      <c r="AU42" s="57">
        <f t="shared" si="46"/>
        <v>0</v>
      </c>
      <c r="AV42" s="57">
        <f t="shared" si="46"/>
        <v>3</v>
      </c>
      <c r="AW42" s="57">
        <f t="shared" si="46"/>
        <v>0</v>
      </c>
      <c r="AX42" s="57">
        <f t="shared" si="46"/>
        <v>26</v>
      </c>
      <c r="AY42" s="57">
        <f t="shared" si="47"/>
        <v>70</v>
      </c>
      <c r="AZ42" s="170"/>
      <c r="BA42" s="170"/>
      <c r="BB42" s="170"/>
      <c r="BC42" s="170"/>
      <c r="BD42" s="170"/>
      <c r="BE42" s="170"/>
      <c r="BF42" s="170"/>
      <c r="BG42" s="170"/>
      <c r="BH42" s="170"/>
      <c r="BI42" s="152">
        <f t="shared" si="48"/>
        <v>0</v>
      </c>
      <c r="BJ42" s="171"/>
      <c r="BK42" s="171"/>
      <c r="BL42" s="171"/>
      <c r="BM42" s="171"/>
      <c r="BN42" s="171"/>
      <c r="BO42" s="171"/>
      <c r="BP42" s="171"/>
      <c r="BQ42" s="171"/>
      <c r="BR42" s="171"/>
      <c r="BS42" s="163">
        <f t="shared" si="49"/>
        <v>0</v>
      </c>
      <c r="BT42" s="172"/>
      <c r="BU42" s="172"/>
      <c r="BV42" s="172"/>
      <c r="BW42" s="172"/>
      <c r="BX42" s="172"/>
      <c r="BY42" s="172"/>
      <c r="BZ42" s="172"/>
      <c r="CA42" s="172"/>
      <c r="CB42" s="172"/>
      <c r="CC42" s="164">
        <f t="shared" si="25"/>
        <v>0</v>
      </c>
      <c r="CD42" s="180">
        <f t="shared" si="61"/>
        <v>63</v>
      </c>
      <c r="CE42" s="180">
        <f t="shared" si="62"/>
        <v>35.5</v>
      </c>
      <c r="CF42" s="180">
        <f t="shared" si="63"/>
        <v>330</v>
      </c>
      <c r="CG42" s="180">
        <f t="shared" si="64"/>
        <v>267</v>
      </c>
      <c r="CH42" s="180">
        <f t="shared" si="65"/>
        <v>15.5</v>
      </c>
      <c r="CI42" s="180">
        <f t="shared" si="66"/>
        <v>11</v>
      </c>
      <c r="CJ42" s="180">
        <f t="shared" si="67"/>
        <v>13</v>
      </c>
      <c r="CK42" s="180">
        <f t="shared" si="68"/>
        <v>15</v>
      </c>
      <c r="CL42" s="180">
        <f t="shared" si="69"/>
        <v>291</v>
      </c>
      <c r="CM42" s="180">
        <f t="shared" si="69"/>
        <v>1041</v>
      </c>
      <c r="CN42" s="183">
        <f t="shared" si="51"/>
        <v>9.8970248283580283E-6</v>
      </c>
      <c r="CO42" s="183">
        <f t="shared" si="52"/>
        <v>3.3464770022760348E-5</v>
      </c>
      <c r="CP42" s="183">
        <f t="shared" si="53"/>
        <v>5.1218792502148429E-5</v>
      </c>
      <c r="CQ42" s="183">
        <f t="shared" si="54"/>
        <v>3.7453360048933649E-5</v>
      </c>
      <c r="CR42" s="183">
        <f t="shared" si="55"/>
        <v>4.0998833625303687E-6</v>
      </c>
      <c r="CS42" s="183">
        <f t="shared" si="56"/>
        <v>4.1587076052109197E-6</v>
      </c>
      <c r="CT42" s="183">
        <f t="shared" si="57"/>
        <v>4.3820914277392449E-6</v>
      </c>
      <c r="CU42" s="183">
        <f t="shared" si="58"/>
        <v>1.1344489537505505E-5</v>
      </c>
      <c r="CV42" s="183">
        <f t="shared" si="59"/>
        <v>7.4063371424766864E-5</v>
      </c>
      <c r="CW42" s="183">
        <f t="shared" si="60"/>
        <v>3.3374507219547819E-5</v>
      </c>
      <c r="CX42" s="193">
        <f t="shared" si="36"/>
        <v>0</v>
      </c>
      <c r="CY42" s="193">
        <f t="shared" si="37"/>
        <v>0</v>
      </c>
      <c r="CZ42" s="193">
        <f t="shared" si="38"/>
        <v>0</v>
      </c>
      <c r="DA42" s="193">
        <f t="shared" si="39"/>
        <v>0</v>
      </c>
      <c r="DB42" s="193">
        <f t="shared" si="40"/>
        <v>0</v>
      </c>
      <c r="DC42" s="193">
        <f t="shared" si="41"/>
        <v>0</v>
      </c>
      <c r="DD42" s="193">
        <f t="shared" si="42"/>
        <v>0</v>
      </c>
      <c r="DE42" s="193">
        <f t="shared" si="43"/>
        <v>0</v>
      </c>
      <c r="DF42" s="193">
        <f t="shared" si="44"/>
        <v>0</v>
      </c>
      <c r="DG42" s="193">
        <f t="shared" si="45"/>
        <v>0</v>
      </c>
      <c r="DI42" s="83"/>
      <c r="DJ42" s="55"/>
    </row>
    <row r="43" spans="1:114" s="173" customFormat="1">
      <c r="A43" s="150">
        <f t="shared" si="17"/>
        <v>43932</v>
      </c>
      <c r="B43" s="165">
        <v>69</v>
      </c>
      <c r="C43" s="165">
        <v>94</v>
      </c>
      <c r="D43" s="165">
        <v>813</v>
      </c>
      <c r="E43" s="165">
        <v>418</v>
      </c>
      <c r="F43" s="165">
        <v>23</v>
      </c>
      <c r="G43" s="165">
        <v>20</v>
      </c>
      <c r="H43" s="165">
        <v>19</v>
      </c>
      <c r="I43" s="165">
        <v>16</v>
      </c>
      <c r="J43" s="165">
        <v>546</v>
      </c>
      <c r="K43" s="165">
        <f t="shared" si="20"/>
        <v>2018</v>
      </c>
      <c r="L43" s="166"/>
      <c r="M43" s="166"/>
      <c r="N43" s="166"/>
      <c r="O43" s="166"/>
      <c r="P43" s="166"/>
      <c r="Q43" s="166"/>
      <c r="R43" s="166"/>
      <c r="S43" s="166"/>
      <c r="T43" s="166"/>
      <c r="U43" s="166">
        <f t="shared" si="21"/>
        <v>0</v>
      </c>
      <c r="V43" s="167"/>
      <c r="W43" s="167"/>
      <c r="X43" s="167"/>
      <c r="Y43" s="167"/>
      <c r="Z43" s="167"/>
      <c r="AA43" s="167"/>
      <c r="AB43" s="167"/>
      <c r="AC43" s="167"/>
      <c r="AD43" s="167"/>
      <c r="AE43" s="167">
        <f t="shared" si="22"/>
        <v>0</v>
      </c>
      <c r="AF43" s="168"/>
      <c r="AG43" s="168"/>
      <c r="AH43" s="168"/>
      <c r="AI43" s="168"/>
      <c r="AJ43" s="168"/>
      <c r="AK43" s="168"/>
      <c r="AL43" s="168"/>
      <c r="AM43" s="168"/>
      <c r="AN43" s="168"/>
      <c r="AO43" s="168">
        <f t="shared" si="23"/>
        <v>0</v>
      </c>
      <c r="AP43" s="57">
        <f t="shared" si="46"/>
        <v>1</v>
      </c>
      <c r="AQ43" s="57">
        <f t="shared" si="46"/>
        <v>0</v>
      </c>
      <c r="AR43" s="57">
        <f t="shared" si="46"/>
        <v>12</v>
      </c>
      <c r="AS43" s="57">
        <f t="shared" si="46"/>
        <v>6</v>
      </c>
      <c r="AT43" s="57">
        <f t="shared" si="46"/>
        <v>-1</v>
      </c>
      <c r="AU43" s="57">
        <f t="shared" si="46"/>
        <v>0</v>
      </c>
      <c r="AV43" s="57">
        <f t="shared" si="46"/>
        <v>1</v>
      </c>
      <c r="AW43" s="57">
        <f t="shared" si="46"/>
        <v>1</v>
      </c>
      <c r="AX43" s="57">
        <f t="shared" si="46"/>
        <v>5</v>
      </c>
      <c r="AY43" s="57">
        <f t="shared" si="47"/>
        <v>25</v>
      </c>
      <c r="AZ43" s="170"/>
      <c r="BA43" s="170"/>
      <c r="BB43" s="170"/>
      <c r="BC43" s="170"/>
      <c r="BD43" s="170"/>
      <c r="BE43" s="170"/>
      <c r="BF43" s="170"/>
      <c r="BG43" s="170"/>
      <c r="BH43" s="170"/>
      <c r="BI43" s="152">
        <f t="shared" si="48"/>
        <v>0</v>
      </c>
      <c r="BJ43" s="171"/>
      <c r="BK43" s="171"/>
      <c r="BL43" s="171"/>
      <c r="BM43" s="171"/>
      <c r="BN43" s="171"/>
      <c r="BO43" s="171"/>
      <c r="BP43" s="171"/>
      <c r="BQ43" s="171"/>
      <c r="BR43" s="171"/>
      <c r="BS43" s="163">
        <f t="shared" si="49"/>
        <v>0</v>
      </c>
      <c r="BT43" s="172"/>
      <c r="BU43" s="172"/>
      <c r="BV43" s="172"/>
      <c r="BW43" s="172"/>
      <c r="BX43" s="172"/>
      <c r="BY43" s="172"/>
      <c r="BZ43" s="172"/>
      <c r="CA43" s="172"/>
      <c r="CB43" s="172"/>
      <c r="CC43" s="164">
        <f t="shared" si="25"/>
        <v>0</v>
      </c>
      <c r="CD43" s="180">
        <f t="shared" si="61"/>
        <v>59</v>
      </c>
      <c r="CE43" s="180">
        <f t="shared" si="62"/>
        <v>26</v>
      </c>
      <c r="CF43" s="180">
        <f t="shared" si="63"/>
        <v>280</v>
      </c>
      <c r="CG43" s="180">
        <f t="shared" si="64"/>
        <v>262</v>
      </c>
      <c r="CH43" s="180">
        <f t="shared" si="65"/>
        <v>12</v>
      </c>
      <c r="CI43" s="180">
        <f t="shared" si="66"/>
        <v>10</v>
      </c>
      <c r="CJ43" s="180">
        <f t="shared" si="67"/>
        <v>13</v>
      </c>
      <c r="CK43" s="180">
        <f t="shared" si="68"/>
        <v>11</v>
      </c>
      <c r="CL43" s="180">
        <f t="shared" si="69"/>
        <v>275</v>
      </c>
      <c r="CM43" s="180">
        <f t="shared" si="69"/>
        <v>948</v>
      </c>
      <c r="CN43" s="183">
        <f t="shared" si="51"/>
        <v>1.0042569311128E-5</v>
      </c>
      <c r="CO43" s="183">
        <f t="shared" si="52"/>
        <v>3.3464770022760348E-5</v>
      </c>
      <c r="CP43" s="183">
        <f t="shared" si="53"/>
        <v>5.198611523626301E-5</v>
      </c>
      <c r="CQ43" s="183">
        <f t="shared" si="54"/>
        <v>3.7998797331199672E-5</v>
      </c>
      <c r="CR43" s="183">
        <f t="shared" si="55"/>
        <v>3.9290548890916027E-6</v>
      </c>
      <c r="CS43" s="183">
        <f t="shared" si="56"/>
        <v>4.1587076052109197E-6</v>
      </c>
      <c r="CT43" s="183">
        <f t="shared" si="57"/>
        <v>4.6255409515025362E-6</v>
      </c>
      <c r="CU43" s="183">
        <f t="shared" si="58"/>
        <v>1.2100788840005872E-5</v>
      </c>
      <c r="CV43" s="183">
        <f t="shared" si="59"/>
        <v>7.4747875781742531E-5</v>
      </c>
      <c r="CW43" s="183">
        <f t="shared" si="60"/>
        <v>3.3793153822903911E-5</v>
      </c>
      <c r="CX43" s="193">
        <f t="shared" si="36"/>
        <v>0</v>
      </c>
      <c r="CY43" s="193">
        <f t="shared" si="37"/>
        <v>0</v>
      </c>
      <c r="CZ43" s="193">
        <f t="shared" si="38"/>
        <v>0</v>
      </c>
      <c r="DA43" s="193">
        <f t="shared" si="39"/>
        <v>0</v>
      </c>
      <c r="DB43" s="193">
        <f t="shared" si="40"/>
        <v>0</v>
      </c>
      <c r="DC43" s="193">
        <f t="shared" si="41"/>
        <v>0</v>
      </c>
      <c r="DD43" s="193">
        <f t="shared" si="42"/>
        <v>0</v>
      </c>
      <c r="DE43" s="193">
        <f t="shared" si="43"/>
        <v>0</v>
      </c>
      <c r="DF43" s="193">
        <f t="shared" si="44"/>
        <v>0</v>
      </c>
      <c r="DG43" s="193">
        <f t="shared" si="45"/>
        <v>0</v>
      </c>
      <c r="DI43" s="83"/>
      <c r="DJ43" s="55"/>
    </row>
    <row r="44" spans="1:114" s="173" customFormat="1">
      <c r="A44" s="150">
        <f t="shared" si="17"/>
        <v>43933</v>
      </c>
      <c r="B44" s="165">
        <v>88</v>
      </c>
      <c r="C44" s="165">
        <v>96</v>
      </c>
      <c r="D44" s="165">
        <v>865</v>
      </c>
      <c r="E44" s="165">
        <v>443</v>
      </c>
      <c r="F44" s="165">
        <v>23</v>
      </c>
      <c r="G44" s="165">
        <v>21</v>
      </c>
      <c r="H44" s="165">
        <v>19</v>
      </c>
      <c r="I44" s="165">
        <v>16</v>
      </c>
      <c r="J44" s="165">
        <v>587</v>
      </c>
      <c r="K44" s="165">
        <f t="shared" si="20"/>
        <v>2158</v>
      </c>
      <c r="L44" s="166"/>
      <c r="M44" s="166"/>
      <c r="N44" s="166"/>
      <c r="O44" s="166"/>
      <c r="P44" s="166"/>
      <c r="Q44" s="166"/>
      <c r="R44" s="166"/>
      <c r="S44" s="166"/>
      <c r="T44" s="166"/>
      <c r="U44" s="166">
        <f t="shared" si="21"/>
        <v>0</v>
      </c>
      <c r="V44" s="167"/>
      <c r="W44" s="167"/>
      <c r="X44" s="167"/>
      <c r="Y44" s="167"/>
      <c r="Z44" s="167"/>
      <c r="AA44" s="167"/>
      <c r="AB44" s="167"/>
      <c r="AC44" s="167"/>
      <c r="AD44" s="167"/>
      <c r="AE44" s="167">
        <f t="shared" si="22"/>
        <v>0</v>
      </c>
      <c r="AF44" s="168"/>
      <c r="AG44" s="168"/>
      <c r="AH44" s="168"/>
      <c r="AI44" s="168"/>
      <c r="AJ44" s="168"/>
      <c r="AK44" s="168"/>
      <c r="AL44" s="168"/>
      <c r="AM44" s="168"/>
      <c r="AN44" s="168"/>
      <c r="AO44" s="168">
        <f t="shared" si="23"/>
        <v>0</v>
      </c>
      <c r="AP44" s="57">
        <f t="shared" si="46"/>
        <v>19</v>
      </c>
      <c r="AQ44" s="57">
        <f t="shared" si="46"/>
        <v>2</v>
      </c>
      <c r="AR44" s="57">
        <f t="shared" si="46"/>
        <v>52</v>
      </c>
      <c r="AS44" s="57">
        <f t="shared" si="46"/>
        <v>25</v>
      </c>
      <c r="AT44" s="57">
        <f t="shared" si="46"/>
        <v>0</v>
      </c>
      <c r="AU44" s="57">
        <f t="shared" si="46"/>
        <v>1</v>
      </c>
      <c r="AV44" s="57">
        <f t="shared" si="46"/>
        <v>0</v>
      </c>
      <c r="AW44" s="57">
        <f t="shared" si="46"/>
        <v>0</v>
      </c>
      <c r="AX44" s="57">
        <f t="shared" si="46"/>
        <v>41</v>
      </c>
      <c r="AY44" s="57">
        <f t="shared" si="47"/>
        <v>140</v>
      </c>
      <c r="AZ44" s="170"/>
      <c r="BA44" s="170"/>
      <c r="BB44" s="170"/>
      <c r="BC44" s="170"/>
      <c r="BD44" s="170"/>
      <c r="BE44" s="170"/>
      <c r="BF44" s="170"/>
      <c r="BG44" s="170"/>
      <c r="BH44" s="170"/>
      <c r="BI44" s="152">
        <f t="shared" si="48"/>
        <v>0</v>
      </c>
      <c r="BJ44" s="171"/>
      <c r="BK44" s="171"/>
      <c r="BL44" s="171"/>
      <c r="BM44" s="171"/>
      <c r="BN44" s="171"/>
      <c r="BO44" s="171"/>
      <c r="BP44" s="171"/>
      <c r="BQ44" s="171"/>
      <c r="BR44" s="171"/>
      <c r="BS44" s="163">
        <f t="shared" si="49"/>
        <v>0</v>
      </c>
      <c r="BT44" s="172"/>
      <c r="BU44" s="172"/>
      <c r="BV44" s="172"/>
      <c r="BW44" s="172"/>
      <c r="BX44" s="172"/>
      <c r="BY44" s="172"/>
      <c r="BZ44" s="172"/>
      <c r="CA44" s="172"/>
      <c r="CB44" s="172"/>
      <c r="CC44" s="164">
        <f t="shared" si="25"/>
        <v>0</v>
      </c>
      <c r="CD44" s="180">
        <f t="shared" si="61"/>
        <v>76</v>
      </c>
      <c r="CE44" s="180">
        <f t="shared" si="62"/>
        <v>24</v>
      </c>
      <c r="CF44" s="180">
        <f t="shared" si="63"/>
        <v>281</v>
      </c>
      <c r="CG44" s="180">
        <f t="shared" si="64"/>
        <v>276</v>
      </c>
      <c r="CH44" s="180">
        <f t="shared" si="65"/>
        <v>11</v>
      </c>
      <c r="CI44" s="180">
        <f t="shared" si="66"/>
        <v>10</v>
      </c>
      <c r="CJ44" s="180">
        <f t="shared" si="67"/>
        <v>13</v>
      </c>
      <c r="CK44" s="180">
        <f t="shared" si="68"/>
        <v>10</v>
      </c>
      <c r="CL44" s="180">
        <f t="shared" si="69"/>
        <v>277</v>
      </c>
      <c r="CM44" s="180">
        <f t="shared" si="69"/>
        <v>978</v>
      </c>
      <c r="CN44" s="183">
        <f t="shared" si="51"/>
        <v>1.2807914483757448E-5</v>
      </c>
      <c r="CO44" s="183">
        <f t="shared" si="52"/>
        <v>3.417678640622333E-5</v>
      </c>
      <c r="CP44" s="183">
        <f t="shared" si="53"/>
        <v>5.5311180417426204E-5</v>
      </c>
      <c r="CQ44" s="183">
        <f t="shared" si="54"/>
        <v>4.0271452673974776E-5</v>
      </c>
      <c r="CR44" s="183">
        <f t="shared" si="55"/>
        <v>3.9290548890916027E-6</v>
      </c>
      <c r="CS44" s="183">
        <f t="shared" si="56"/>
        <v>4.3666429854714655E-6</v>
      </c>
      <c r="CT44" s="183">
        <f t="shared" si="57"/>
        <v>4.6255409515025362E-6</v>
      </c>
      <c r="CU44" s="183">
        <f t="shared" si="58"/>
        <v>1.2100788840005872E-5</v>
      </c>
      <c r="CV44" s="183">
        <f t="shared" si="59"/>
        <v>8.0360811508942967E-5</v>
      </c>
      <c r="CW44" s="183">
        <f t="shared" si="60"/>
        <v>3.6137574801698036E-5</v>
      </c>
      <c r="CX44" s="193">
        <f t="shared" si="36"/>
        <v>0</v>
      </c>
      <c r="CY44" s="193">
        <f t="shared" si="37"/>
        <v>0</v>
      </c>
      <c r="CZ44" s="193">
        <f t="shared" si="38"/>
        <v>0</v>
      </c>
      <c r="DA44" s="193">
        <f t="shared" si="39"/>
        <v>0</v>
      </c>
      <c r="DB44" s="193">
        <f t="shared" si="40"/>
        <v>0</v>
      </c>
      <c r="DC44" s="193">
        <f t="shared" si="41"/>
        <v>0</v>
      </c>
      <c r="DD44" s="193">
        <f t="shared" si="42"/>
        <v>0</v>
      </c>
      <c r="DE44" s="193">
        <f t="shared" si="43"/>
        <v>0</v>
      </c>
      <c r="DF44" s="193">
        <f t="shared" si="44"/>
        <v>0</v>
      </c>
      <c r="DG44" s="193">
        <f t="shared" si="45"/>
        <v>0</v>
      </c>
      <c r="DI44" s="83"/>
      <c r="DJ44" s="55"/>
    </row>
    <row r="45" spans="1:114" s="173" customFormat="1">
      <c r="A45" s="150">
        <f t="shared" si="17"/>
        <v>43934</v>
      </c>
      <c r="B45" s="165">
        <v>104</v>
      </c>
      <c r="C45" s="165">
        <v>96</v>
      </c>
      <c r="D45" s="165">
        <v>890</v>
      </c>
      <c r="E45" s="165">
        <v>465</v>
      </c>
      <c r="F45" s="165">
        <v>23</v>
      </c>
      <c r="G45" s="165">
        <v>22</v>
      </c>
      <c r="H45" s="165">
        <v>22</v>
      </c>
      <c r="I45" s="165">
        <v>16</v>
      </c>
      <c r="J45" s="165">
        <v>617</v>
      </c>
      <c r="K45" s="165">
        <f t="shared" si="20"/>
        <v>2255</v>
      </c>
      <c r="L45" s="166"/>
      <c r="M45" s="166"/>
      <c r="N45" s="166"/>
      <c r="O45" s="166"/>
      <c r="P45" s="166"/>
      <c r="Q45" s="166"/>
      <c r="R45" s="166"/>
      <c r="S45" s="166"/>
      <c r="T45" s="166"/>
      <c r="U45" s="166">
        <f t="shared" si="21"/>
        <v>0</v>
      </c>
      <c r="V45" s="167"/>
      <c r="W45" s="167"/>
      <c r="X45" s="167"/>
      <c r="Y45" s="167"/>
      <c r="Z45" s="167"/>
      <c r="AA45" s="167"/>
      <c r="AB45" s="167"/>
      <c r="AC45" s="167"/>
      <c r="AD45" s="167"/>
      <c r="AE45" s="167">
        <f t="shared" si="22"/>
        <v>0</v>
      </c>
      <c r="AF45" s="168"/>
      <c r="AG45" s="168"/>
      <c r="AH45" s="168"/>
      <c r="AI45" s="168"/>
      <c r="AJ45" s="168"/>
      <c r="AK45" s="168"/>
      <c r="AL45" s="168"/>
      <c r="AM45" s="168"/>
      <c r="AN45" s="168"/>
      <c r="AO45" s="168">
        <f t="shared" si="23"/>
        <v>0</v>
      </c>
      <c r="AP45" s="57">
        <f t="shared" si="46"/>
        <v>16</v>
      </c>
      <c r="AQ45" s="57">
        <f t="shared" si="46"/>
        <v>0</v>
      </c>
      <c r="AR45" s="57">
        <f t="shared" si="46"/>
        <v>25</v>
      </c>
      <c r="AS45" s="57">
        <f t="shared" si="46"/>
        <v>22</v>
      </c>
      <c r="AT45" s="57">
        <f t="shared" si="46"/>
        <v>0</v>
      </c>
      <c r="AU45" s="57">
        <f t="shared" si="46"/>
        <v>1</v>
      </c>
      <c r="AV45" s="57">
        <f t="shared" si="46"/>
        <v>3</v>
      </c>
      <c r="AW45" s="57">
        <f t="shared" si="46"/>
        <v>0</v>
      </c>
      <c r="AX45" s="57">
        <f t="shared" si="46"/>
        <v>30</v>
      </c>
      <c r="AY45" s="57">
        <f t="shared" si="47"/>
        <v>97</v>
      </c>
      <c r="AZ45" s="170"/>
      <c r="BA45" s="170"/>
      <c r="BB45" s="170"/>
      <c r="BC45" s="170"/>
      <c r="BD45" s="170"/>
      <c r="BE45" s="170"/>
      <c r="BF45" s="170"/>
      <c r="BG45" s="170"/>
      <c r="BH45" s="170"/>
      <c r="BI45" s="152">
        <f t="shared" si="48"/>
        <v>0</v>
      </c>
      <c r="BJ45" s="171"/>
      <c r="BK45" s="171"/>
      <c r="BL45" s="171"/>
      <c r="BM45" s="171"/>
      <c r="BN45" s="171"/>
      <c r="BO45" s="171"/>
      <c r="BP45" s="171"/>
      <c r="BQ45" s="171"/>
      <c r="BR45" s="171"/>
      <c r="BS45" s="163">
        <f t="shared" si="49"/>
        <v>0</v>
      </c>
      <c r="BT45" s="172"/>
      <c r="BU45" s="172"/>
      <c r="BV45" s="172"/>
      <c r="BW45" s="172"/>
      <c r="BX45" s="172"/>
      <c r="BY45" s="172"/>
      <c r="BZ45" s="172"/>
      <c r="CA45" s="172"/>
      <c r="CB45" s="172"/>
      <c r="CC45" s="164">
        <f t="shared" si="25"/>
        <v>0</v>
      </c>
      <c r="CD45" s="180">
        <f t="shared" si="61"/>
        <v>92</v>
      </c>
      <c r="CE45" s="180">
        <f t="shared" si="62"/>
        <v>24</v>
      </c>
      <c r="CF45" s="180">
        <f t="shared" si="63"/>
        <v>272</v>
      </c>
      <c r="CG45" s="180">
        <f t="shared" si="64"/>
        <v>294</v>
      </c>
      <c r="CH45" s="180">
        <f t="shared" si="65"/>
        <v>12</v>
      </c>
      <c r="CI45" s="180">
        <f t="shared" si="66"/>
        <v>11</v>
      </c>
      <c r="CJ45" s="180">
        <f t="shared" si="67"/>
        <v>19</v>
      </c>
      <c r="CK45" s="180">
        <f t="shared" si="68"/>
        <v>8</v>
      </c>
      <c r="CL45" s="180">
        <f t="shared" si="69"/>
        <v>293</v>
      </c>
      <c r="CM45" s="180">
        <f t="shared" si="69"/>
        <v>1025</v>
      </c>
      <c r="CN45" s="183">
        <f t="shared" si="51"/>
        <v>1.5136626208076984E-5</v>
      </c>
      <c r="CO45" s="183">
        <f t="shared" si="52"/>
        <v>3.417678640622333E-5</v>
      </c>
      <c r="CP45" s="183">
        <f t="shared" si="53"/>
        <v>5.6909769446831588E-5</v>
      </c>
      <c r="CQ45" s="183">
        <f t="shared" si="54"/>
        <v>4.2271389375616862E-5</v>
      </c>
      <c r="CR45" s="183">
        <f t="shared" si="55"/>
        <v>3.9290548890916027E-6</v>
      </c>
      <c r="CS45" s="183">
        <f t="shared" si="56"/>
        <v>4.5745783657320114E-6</v>
      </c>
      <c r="CT45" s="183">
        <f t="shared" si="57"/>
        <v>5.3558895227924101E-6</v>
      </c>
      <c r="CU45" s="183">
        <f t="shared" si="58"/>
        <v>1.2100788840005872E-5</v>
      </c>
      <c r="CV45" s="183">
        <f t="shared" si="59"/>
        <v>8.4467837650796954E-5</v>
      </c>
      <c r="CW45" s="183">
        <f t="shared" si="60"/>
        <v>3.7761923622719681E-5</v>
      </c>
      <c r="CX45" s="193">
        <f t="shared" si="36"/>
        <v>0</v>
      </c>
      <c r="CY45" s="193">
        <f t="shared" si="37"/>
        <v>0</v>
      </c>
      <c r="CZ45" s="193">
        <f t="shared" si="38"/>
        <v>0</v>
      </c>
      <c r="DA45" s="193">
        <f t="shared" si="39"/>
        <v>0</v>
      </c>
      <c r="DB45" s="193">
        <f t="shared" si="40"/>
        <v>0</v>
      </c>
      <c r="DC45" s="193">
        <f t="shared" si="41"/>
        <v>0</v>
      </c>
      <c r="DD45" s="193">
        <f t="shared" si="42"/>
        <v>0</v>
      </c>
      <c r="DE45" s="193">
        <f t="shared" si="43"/>
        <v>0</v>
      </c>
      <c r="DF45" s="193">
        <f t="shared" si="44"/>
        <v>0</v>
      </c>
      <c r="DG45" s="193">
        <f t="shared" si="45"/>
        <v>0</v>
      </c>
      <c r="DI45" s="83"/>
      <c r="DJ45" s="55"/>
    </row>
    <row r="46" spans="1:114" s="173" customFormat="1">
      <c r="A46" s="150">
        <f t="shared" si="17"/>
        <v>43935</v>
      </c>
      <c r="B46" s="165">
        <v>174</v>
      </c>
      <c r="C46" s="165">
        <v>98</v>
      </c>
      <c r="D46" s="165">
        <v>909</v>
      </c>
      <c r="E46" s="165">
        <v>489</v>
      </c>
      <c r="F46" s="165">
        <v>24</v>
      </c>
      <c r="G46" s="165">
        <v>22</v>
      </c>
      <c r="H46" s="165">
        <v>22</v>
      </c>
      <c r="I46" s="165">
        <v>16</v>
      </c>
      <c r="J46" s="165">
        <v>643</v>
      </c>
      <c r="K46" s="165">
        <f t="shared" si="20"/>
        <v>2397</v>
      </c>
      <c r="L46" s="166"/>
      <c r="M46" s="166"/>
      <c r="N46" s="166"/>
      <c r="O46" s="166"/>
      <c r="P46" s="166"/>
      <c r="Q46" s="166"/>
      <c r="R46" s="166"/>
      <c r="S46" s="166"/>
      <c r="T46" s="166"/>
      <c r="U46" s="166">
        <f t="shared" si="21"/>
        <v>0</v>
      </c>
      <c r="V46" s="167"/>
      <c r="W46" s="167"/>
      <c r="X46" s="167"/>
      <c r="Y46" s="167"/>
      <c r="Z46" s="167"/>
      <c r="AA46" s="167"/>
      <c r="AB46" s="167"/>
      <c r="AC46" s="167"/>
      <c r="AD46" s="167"/>
      <c r="AE46" s="167">
        <f t="shared" si="22"/>
        <v>0</v>
      </c>
      <c r="AF46" s="168"/>
      <c r="AG46" s="168"/>
      <c r="AH46" s="168"/>
      <c r="AI46" s="168"/>
      <c r="AJ46" s="168"/>
      <c r="AK46" s="168"/>
      <c r="AL46" s="168"/>
      <c r="AM46" s="168"/>
      <c r="AN46" s="168"/>
      <c r="AO46" s="168">
        <f t="shared" si="23"/>
        <v>0</v>
      </c>
      <c r="AP46" s="57">
        <f t="shared" si="46"/>
        <v>70</v>
      </c>
      <c r="AQ46" s="57">
        <f t="shared" si="46"/>
        <v>2</v>
      </c>
      <c r="AR46" s="57">
        <f t="shared" si="46"/>
        <v>19</v>
      </c>
      <c r="AS46" s="57">
        <f t="shared" si="46"/>
        <v>24</v>
      </c>
      <c r="AT46" s="57">
        <f t="shared" si="46"/>
        <v>1</v>
      </c>
      <c r="AU46" s="57">
        <f t="shared" si="46"/>
        <v>0</v>
      </c>
      <c r="AV46" s="57">
        <f t="shared" si="46"/>
        <v>0</v>
      </c>
      <c r="AW46" s="57">
        <f t="shared" si="46"/>
        <v>0</v>
      </c>
      <c r="AX46" s="57">
        <f t="shared" si="46"/>
        <v>26</v>
      </c>
      <c r="AY46" s="57">
        <f t="shared" si="47"/>
        <v>142</v>
      </c>
      <c r="AZ46" s="170"/>
      <c r="BA46" s="170"/>
      <c r="BB46" s="170"/>
      <c r="BC46" s="170"/>
      <c r="BD46" s="170"/>
      <c r="BE46" s="170"/>
      <c r="BF46" s="170"/>
      <c r="BG46" s="170"/>
      <c r="BH46" s="170"/>
      <c r="BI46" s="152">
        <f t="shared" si="48"/>
        <v>0</v>
      </c>
      <c r="BJ46" s="171"/>
      <c r="BK46" s="171"/>
      <c r="BL46" s="171"/>
      <c r="BM46" s="171"/>
      <c r="BN46" s="171"/>
      <c r="BO46" s="171"/>
      <c r="BP46" s="171"/>
      <c r="BQ46" s="171"/>
      <c r="BR46" s="171"/>
      <c r="BS46" s="163">
        <f t="shared" si="49"/>
        <v>0</v>
      </c>
      <c r="BT46" s="172"/>
      <c r="BU46" s="172"/>
      <c r="BV46" s="172"/>
      <c r="BW46" s="172"/>
      <c r="BX46" s="172"/>
      <c r="BY46" s="172"/>
      <c r="BZ46" s="172"/>
      <c r="CA46" s="172"/>
      <c r="CB46" s="172"/>
      <c r="CC46" s="164">
        <f t="shared" si="25"/>
        <v>0</v>
      </c>
      <c r="CD46" s="180">
        <f t="shared" si="61"/>
        <v>162</v>
      </c>
      <c r="CE46" s="180">
        <f t="shared" si="62"/>
        <v>24</v>
      </c>
      <c r="CF46" s="180">
        <f t="shared" si="63"/>
        <v>276</v>
      </c>
      <c r="CG46" s="180">
        <f t="shared" si="64"/>
        <v>310</v>
      </c>
      <c r="CH46" s="180">
        <f t="shared" si="65"/>
        <v>10</v>
      </c>
      <c r="CI46" s="180">
        <f t="shared" si="66"/>
        <v>10</v>
      </c>
      <c r="CJ46" s="180">
        <f t="shared" si="67"/>
        <v>16</v>
      </c>
      <c r="CK46" s="180">
        <f t="shared" si="68"/>
        <v>8</v>
      </c>
      <c r="CL46" s="180">
        <f t="shared" si="69"/>
        <v>318</v>
      </c>
      <c r="CM46" s="180">
        <f t="shared" si="69"/>
        <v>1134</v>
      </c>
      <c r="CN46" s="183">
        <f t="shared" si="51"/>
        <v>2.5324740001974953E-5</v>
      </c>
      <c r="CO46" s="183">
        <f t="shared" si="52"/>
        <v>3.4888802789686319E-5</v>
      </c>
      <c r="CP46" s="183">
        <f t="shared" si="53"/>
        <v>5.8124697109179675E-5</v>
      </c>
      <c r="CQ46" s="183">
        <f t="shared" si="54"/>
        <v>4.445313850468096E-5</v>
      </c>
      <c r="CR46" s="183">
        <f t="shared" si="55"/>
        <v>4.0998833625303687E-6</v>
      </c>
      <c r="CS46" s="183">
        <f t="shared" si="56"/>
        <v>4.5745783657320114E-6</v>
      </c>
      <c r="CT46" s="183">
        <f t="shared" si="57"/>
        <v>5.3558895227924101E-6</v>
      </c>
      <c r="CU46" s="183">
        <f t="shared" si="58"/>
        <v>1.2100788840005872E-5</v>
      </c>
      <c r="CV46" s="183">
        <f t="shared" si="59"/>
        <v>8.8027260307070403E-5</v>
      </c>
      <c r="CW46" s="183">
        <f t="shared" si="60"/>
        <v>4.0139836329782293E-5</v>
      </c>
      <c r="CX46" s="193">
        <f t="shared" si="36"/>
        <v>0</v>
      </c>
      <c r="CY46" s="193">
        <f t="shared" si="37"/>
        <v>0</v>
      </c>
      <c r="CZ46" s="193">
        <f t="shared" si="38"/>
        <v>0</v>
      </c>
      <c r="DA46" s="193">
        <f t="shared" si="39"/>
        <v>0</v>
      </c>
      <c r="DB46" s="193">
        <f t="shared" si="40"/>
        <v>0</v>
      </c>
      <c r="DC46" s="193">
        <f t="shared" si="41"/>
        <v>0</v>
      </c>
      <c r="DD46" s="193">
        <f t="shared" si="42"/>
        <v>0</v>
      </c>
      <c r="DE46" s="193">
        <f t="shared" si="43"/>
        <v>0</v>
      </c>
      <c r="DF46" s="193">
        <f t="shared" si="44"/>
        <v>0</v>
      </c>
      <c r="DG46" s="193">
        <f t="shared" si="45"/>
        <v>0</v>
      </c>
      <c r="DI46" s="83"/>
      <c r="DJ46" s="55"/>
    </row>
    <row r="47" spans="1:114" s="173" customFormat="1">
      <c r="A47" s="150">
        <f t="shared" si="17"/>
        <v>43936</v>
      </c>
      <c r="B47" s="165">
        <v>199</v>
      </c>
      <c r="C47" s="165">
        <v>97</v>
      </c>
      <c r="D47" s="165">
        <v>930</v>
      </c>
      <c r="E47" s="165">
        <v>519</v>
      </c>
      <c r="F47" s="165">
        <v>25</v>
      </c>
      <c r="G47" s="165">
        <v>22</v>
      </c>
      <c r="H47" s="165">
        <v>23</v>
      </c>
      <c r="I47" s="165">
        <v>16</v>
      </c>
      <c r="J47" s="165">
        <v>657</v>
      </c>
      <c r="K47" s="165">
        <f t="shared" si="20"/>
        <v>2488</v>
      </c>
      <c r="L47" s="166"/>
      <c r="M47" s="166"/>
      <c r="N47" s="166"/>
      <c r="O47" s="166"/>
      <c r="P47" s="166"/>
      <c r="Q47" s="166"/>
      <c r="R47" s="166"/>
      <c r="S47" s="166"/>
      <c r="T47" s="166"/>
      <c r="U47" s="166">
        <f t="shared" si="21"/>
        <v>0</v>
      </c>
      <c r="V47" s="167"/>
      <c r="W47" s="167"/>
      <c r="X47" s="167"/>
      <c r="Y47" s="167"/>
      <c r="Z47" s="167"/>
      <c r="AA47" s="167"/>
      <c r="AB47" s="167"/>
      <c r="AC47" s="167"/>
      <c r="AD47" s="167"/>
      <c r="AE47" s="167">
        <f t="shared" si="22"/>
        <v>0</v>
      </c>
      <c r="AF47" s="168"/>
      <c r="AG47" s="168"/>
      <c r="AH47" s="168"/>
      <c r="AI47" s="168"/>
      <c r="AJ47" s="168"/>
      <c r="AK47" s="168"/>
      <c r="AL47" s="168"/>
      <c r="AM47" s="168"/>
      <c r="AN47" s="168"/>
      <c r="AO47" s="168">
        <f t="shared" si="23"/>
        <v>0</v>
      </c>
      <c r="AP47" s="57">
        <f t="shared" si="46"/>
        <v>25</v>
      </c>
      <c r="AQ47" s="57">
        <f t="shared" si="46"/>
        <v>-1</v>
      </c>
      <c r="AR47" s="57">
        <f t="shared" si="46"/>
        <v>21</v>
      </c>
      <c r="AS47" s="57">
        <f t="shared" si="46"/>
        <v>30</v>
      </c>
      <c r="AT47" s="57">
        <f t="shared" si="46"/>
        <v>1</v>
      </c>
      <c r="AU47" s="57">
        <f t="shared" si="46"/>
        <v>0</v>
      </c>
      <c r="AV47" s="57">
        <f t="shared" si="46"/>
        <v>1</v>
      </c>
      <c r="AW47" s="57">
        <f t="shared" si="46"/>
        <v>0</v>
      </c>
      <c r="AX47" s="57">
        <f t="shared" si="46"/>
        <v>14</v>
      </c>
      <c r="AY47" s="57">
        <f t="shared" si="47"/>
        <v>91</v>
      </c>
      <c r="AZ47" s="170"/>
      <c r="BA47" s="170"/>
      <c r="BB47" s="170"/>
      <c r="BC47" s="170"/>
      <c r="BD47" s="170"/>
      <c r="BE47" s="170"/>
      <c r="BF47" s="170"/>
      <c r="BG47" s="170"/>
      <c r="BH47" s="170"/>
      <c r="BI47" s="152">
        <f t="shared" si="48"/>
        <v>0</v>
      </c>
      <c r="BJ47" s="171"/>
      <c r="BK47" s="171"/>
      <c r="BL47" s="171"/>
      <c r="BM47" s="171"/>
      <c r="BN47" s="171"/>
      <c r="BO47" s="171"/>
      <c r="BP47" s="171"/>
      <c r="BQ47" s="171"/>
      <c r="BR47" s="171"/>
      <c r="BS47" s="163">
        <f t="shared" si="49"/>
        <v>0</v>
      </c>
      <c r="BT47" s="172"/>
      <c r="BU47" s="172"/>
      <c r="BV47" s="172"/>
      <c r="BW47" s="172"/>
      <c r="BX47" s="172"/>
      <c r="BY47" s="172"/>
      <c r="BZ47" s="172"/>
      <c r="CA47" s="172"/>
      <c r="CB47" s="172"/>
      <c r="CC47" s="164">
        <f t="shared" si="25"/>
        <v>0</v>
      </c>
      <c r="CD47" s="180">
        <f t="shared" si="61"/>
        <v>184</v>
      </c>
      <c r="CE47" s="180">
        <f t="shared" si="62"/>
        <v>21</v>
      </c>
      <c r="CF47" s="180">
        <f t="shared" si="63"/>
        <v>285</v>
      </c>
      <c r="CG47" s="180">
        <f t="shared" si="64"/>
        <v>333</v>
      </c>
      <c r="CH47" s="180">
        <f t="shared" si="65"/>
        <v>11</v>
      </c>
      <c r="CI47" s="180">
        <f t="shared" si="66"/>
        <v>10</v>
      </c>
      <c r="CJ47" s="180">
        <f t="shared" si="67"/>
        <v>16</v>
      </c>
      <c r="CK47" s="180">
        <f t="shared" si="68"/>
        <v>7</v>
      </c>
      <c r="CL47" s="180">
        <f t="shared" si="69"/>
        <v>331</v>
      </c>
      <c r="CM47" s="180">
        <f t="shared" si="69"/>
        <v>1198</v>
      </c>
      <c r="CN47" s="183">
        <f t="shared" si="51"/>
        <v>2.8963352071224229E-5</v>
      </c>
      <c r="CO47" s="183">
        <f t="shared" si="52"/>
        <v>3.4532794597954824E-5</v>
      </c>
      <c r="CP47" s="183">
        <f t="shared" si="53"/>
        <v>5.9467511893880201E-5</v>
      </c>
      <c r="CQ47" s="183">
        <f t="shared" si="54"/>
        <v>4.7180324916011081E-5</v>
      </c>
      <c r="CR47" s="183">
        <f t="shared" si="55"/>
        <v>4.2707118359691339E-6</v>
      </c>
      <c r="CS47" s="183">
        <f t="shared" si="56"/>
        <v>4.5745783657320114E-6</v>
      </c>
      <c r="CT47" s="183">
        <f t="shared" si="57"/>
        <v>5.5993390465557013E-6</v>
      </c>
      <c r="CU47" s="183">
        <f t="shared" si="58"/>
        <v>1.2100788840005872E-5</v>
      </c>
      <c r="CV47" s="183">
        <f t="shared" si="59"/>
        <v>8.9943872506602262E-5</v>
      </c>
      <c r="CW47" s="183">
        <f t="shared" si="60"/>
        <v>4.1663709965998478E-5</v>
      </c>
      <c r="CX47" s="193">
        <f t="shared" si="36"/>
        <v>0</v>
      </c>
      <c r="CY47" s="193">
        <f t="shared" si="37"/>
        <v>0</v>
      </c>
      <c r="CZ47" s="193">
        <f t="shared" si="38"/>
        <v>0</v>
      </c>
      <c r="DA47" s="193">
        <f t="shared" si="39"/>
        <v>0</v>
      </c>
      <c r="DB47" s="193">
        <f t="shared" si="40"/>
        <v>0</v>
      </c>
      <c r="DC47" s="193">
        <f t="shared" si="41"/>
        <v>0</v>
      </c>
      <c r="DD47" s="193">
        <f t="shared" si="42"/>
        <v>0</v>
      </c>
      <c r="DE47" s="193">
        <f t="shared" si="43"/>
        <v>0</v>
      </c>
      <c r="DF47" s="193">
        <f t="shared" si="44"/>
        <v>0</v>
      </c>
      <c r="DG47" s="193">
        <f t="shared" si="45"/>
        <v>0</v>
      </c>
      <c r="DI47" s="83"/>
      <c r="DJ47" s="55"/>
    </row>
    <row r="48" spans="1:114" s="173" customFormat="1">
      <c r="A48" s="150">
        <f t="shared" si="17"/>
        <v>43937</v>
      </c>
      <c r="B48" s="165">
        <v>220</v>
      </c>
      <c r="C48" s="165">
        <v>98</v>
      </c>
      <c r="D48" s="165">
        <v>969</v>
      </c>
      <c r="E48" s="165">
        <v>539</v>
      </c>
      <c r="F48" s="165">
        <v>26</v>
      </c>
      <c r="G48" s="165">
        <v>22</v>
      </c>
      <c r="H48" s="165">
        <v>24</v>
      </c>
      <c r="I48" s="165">
        <v>16</v>
      </c>
      <c r="J48" s="165">
        <v>675</v>
      </c>
      <c r="K48" s="165">
        <f t="shared" si="20"/>
        <v>2589</v>
      </c>
      <c r="L48" s="166"/>
      <c r="M48" s="166"/>
      <c r="N48" s="166"/>
      <c r="O48" s="166"/>
      <c r="P48" s="166"/>
      <c r="Q48" s="166"/>
      <c r="R48" s="166"/>
      <c r="S48" s="166"/>
      <c r="T48" s="166"/>
      <c r="U48" s="166">
        <f t="shared" si="21"/>
        <v>0</v>
      </c>
      <c r="V48" s="167"/>
      <c r="W48" s="167"/>
      <c r="X48" s="167"/>
      <c r="Y48" s="167"/>
      <c r="Z48" s="167"/>
      <c r="AA48" s="167"/>
      <c r="AB48" s="167"/>
      <c r="AC48" s="167"/>
      <c r="AD48" s="167"/>
      <c r="AE48" s="167">
        <f t="shared" si="22"/>
        <v>0</v>
      </c>
      <c r="AF48" s="168"/>
      <c r="AG48" s="168"/>
      <c r="AH48" s="168"/>
      <c r="AI48" s="168"/>
      <c r="AJ48" s="168"/>
      <c r="AK48" s="168"/>
      <c r="AL48" s="168"/>
      <c r="AM48" s="168"/>
      <c r="AN48" s="168"/>
      <c r="AO48" s="168">
        <f t="shared" si="23"/>
        <v>0</v>
      </c>
      <c r="AP48" s="57">
        <f t="shared" si="46"/>
        <v>21</v>
      </c>
      <c r="AQ48" s="57">
        <f t="shared" si="46"/>
        <v>1</v>
      </c>
      <c r="AR48" s="57">
        <f t="shared" si="46"/>
        <v>39</v>
      </c>
      <c r="AS48" s="57">
        <f t="shared" si="46"/>
        <v>20</v>
      </c>
      <c r="AT48" s="57">
        <f t="shared" si="46"/>
        <v>1</v>
      </c>
      <c r="AU48" s="57">
        <f t="shared" si="46"/>
        <v>0</v>
      </c>
      <c r="AV48" s="57">
        <f t="shared" si="46"/>
        <v>1</v>
      </c>
      <c r="AW48" s="57">
        <f t="shared" si="46"/>
        <v>0</v>
      </c>
      <c r="AX48" s="57">
        <f t="shared" si="46"/>
        <v>18</v>
      </c>
      <c r="AY48" s="57">
        <f t="shared" si="47"/>
        <v>101</v>
      </c>
      <c r="AZ48" s="170"/>
      <c r="BA48" s="170"/>
      <c r="BB48" s="170"/>
      <c r="BC48" s="170"/>
      <c r="BD48" s="170"/>
      <c r="BE48" s="170"/>
      <c r="BF48" s="170"/>
      <c r="BG48" s="170"/>
      <c r="BH48" s="170"/>
      <c r="BI48" s="152">
        <f t="shared" si="48"/>
        <v>0</v>
      </c>
      <c r="BJ48" s="171"/>
      <c r="BK48" s="171"/>
      <c r="BL48" s="171"/>
      <c r="BM48" s="171"/>
      <c r="BN48" s="171"/>
      <c r="BO48" s="171"/>
      <c r="BP48" s="171"/>
      <c r="BQ48" s="171"/>
      <c r="BR48" s="171"/>
      <c r="BS48" s="163">
        <f t="shared" si="49"/>
        <v>0</v>
      </c>
      <c r="BT48" s="172"/>
      <c r="BU48" s="172"/>
      <c r="BV48" s="172"/>
      <c r="BW48" s="172"/>
      <c r="BX48" s="172"/>
      <c r="BY48" s="172"/>
      <c r="BZ48" s="172"/>
      <c r="CA48" s="172"/>
      <c r="CB48" s="172"/>
      <c r="CC48" s="164">
        <f t="shared" si="25"/>
        <v>0</v>
      </c>
      <c r="CD48" s="180">
        <f t="shared" si="61"/>
        <v>203</v>
      </c>
      <c r="CE48" s="180">
        <f t="shared" si="62"/>
        <v>14</v>
      </c>
      <c r="CF48" s="180">
        <f t="shared" si="63"/>
        <v>306</v>
      </c>
      <c r="CG48" s="180">
        <f t="shared" si="64"/>
        <v>333</v>
      </c>
      <c r="CH48" s="180">
        <f t="shared" si="65"/>
        <v>10</v>
      </c>
      <c r="CI48" s="180">
        <f t="shared" si="66"/>
        <v>9</v>
      </c>
      <c r="CJ48" s="180">
        <f t="shared" si="67"/>
        <v>16</v>
      </c>
      <c r="CK48" s="180">
        <f t="shared" si="68"/>
        <v>9</v>
      </c>
      <c r="CL48" s="180">
        <f t="shared" si="69"/>
        <v>322</v>
      </c>
      <c r="CM48" s="180">
        <f t="shared" si="69"/>
        <v>1222</v>
      </c>
      <c r="CN48" s="183">
        <f t="shared" si="51"/>
        <v>3.2019786209393622E-5</v>
      </c>
      <c r="CO48" s="183">
        <f t="shared" si="52"/>
        <v>3.4888802789686319E-5</v>
      </c>
      <c r="CP48" s="183">
        <f t="shared" si="53"/>
        <v>6.1961310779752598E-5</v>
      </c>
      <c r="CQ48" s="183">
        <f t="shared" si="54"/>
        <v>4.8998449190231161E-5</v>
      </c>
      <c r="CR48" s="183">
        <f t="shared" si="55"/>
        <v>4.441540309407899E-6</v>
      </c>
      <c r="CS48" s="183">
        <f t="shared" si="56"/>
        <v>4.5745783657320114E-6</v>
      </c>
      <c r="CT48" s="183">
        <f t="shared" si="57"/>
        <v>5.8427885703189926E-6</v>
      </c>
      <c r="CU48" s="183">
        <f t="shared" si="58"/>
        <v>1.2100788840005872E-5</v>
      </c>
      <c r="CV48" s="183">
        <f t="shared" si="59"/>
        <v>9.240808819171466E-5</v>
      </c>
      <c r="CW48" s="183">
        <f t="shared" si="60"/>
        <v>4.3355042243557096E-5</v>
      </c>
      <c r="CX48" s="193">
        <f t="shared" si="36"/>
        <v>0</v>
      </c>
      <c r="CY48" s="193">
        <f t="shared" si="37"/>
        <v>0</v>
      </c>
      <c r="CZ48" s="193">
        <f t="shared" si="38"/>
        <v>0</v>
      </c>
      <c r="DA48" s="193">
        <f t="shared" si="39"/>
        <v>0</v>
      </c>
      <c r="DB48" s="193">
        <f t="shared" si="40"/>
        <v>0</v>
      </c>
      <c r="DC48" s="193">
        <f t="shared" si="41"/>
        <v>0</v>
      </c>
      <c r="DD48" s="193">
        <f t="shared" si="42"/>
        <v>0</v>
      </c>
      <c r="DE48" s="193">
        <f t="shared" si="43"/>
        <v>0</v>
      </c>
      <c r="DF48" s="193">
        <f t="shared" si="44"/>
        <v>0</v>
      </c>
      <c r="DG48" s="193">
        <f t="shared" si="45"/>
        <v>0</v>
      </c>
      <c r="DI48" s="83"/>
      <c r="DJ48" s="55"/>
    </row>
    <row r="49" spans="1:114" s="173" customFormat="1">
      <c r="A49" s="150">
        <f t="shared" si="17"/>
        <v>43938</v>
      </c>
      <c r="B49" s="165">
        <v>246</v>
      </c>
      <c r="C49" s="165">
        <v>100</v>
      </c>
      <c r="D49" s="165">
        <v>1018</v>
      </c>
      <c r="E49" s="165">
        <v>591</v>
      </c>
      <c r="F49" s="165">
        <v>26</v>
      </c>
      <c r="G49" s="165">
        <v>23</v>
      </c>
      <c r="H49" s="165">
        <v>24</v>
      </c>
      <c r="I49" s="165">
        <v>16</v>
      </c>
      <c r="J49" s="165">
        <v>717</v>
      </c>
      <c r="K49" s="165">
        <f t="shared" si="20"/>
        <v>2761</v>
      </c>
      <c r="L49" s="166"/>
      <c r="M49" s="166"/>
      <c r="N49" s="166"/>
      <c r="O49" s="166"/>
      <c r="P49" s="166"/>
      <c r="Q49" s="166"/>
      <c r="R49" s="166"/>
      <c r="S49" s="166"/>
      <c r="T49" s="166"/>
      <c r="U49" s="166">
        <f t="shared" si="21"/>
        <v>0</v>
      </c>
      <c r="V49" s="167"/>
      <c r="W49" s="167"/>
      <c r="X49" s="167"/>
      <c r="Y49" s="167"/>
      <c r="Z49" s="167"/>
      <c r="AA49" s="167"/>
      <c r="AB49" s="167"/>
      <c r="AC49" s="167"/>
      <c r="AD49" s="167"/>
      <c r="AE49" s="167">
        <f t="shared" si="22"/>
        <v>0</v>
      </c>
      <c r="AF49" s="168"/>
      <c r="AG49" s="168"/>
      <c r="AH49" s="168"/>
      <c r="AI49" s="168"/>
      <c r="AJ49" s="168"/>
      <c r="AK49" s="168"/>
      <c r="AL49" s="168"/>
      <c r="AM49" s="168"/>
      <c r="AN49" s="168"/>
      <c r="AO49" s="168">
        <f t="shared" si="23"/>
        <v>0</v>
      </c>
      <c r="AP49" s="57">
        <f t="shared" si="46"/>
        <v>26</v>
      </c>
      <c r="AQ49" s="57">
        <f t="shared" si="46"/>
        <v>2</v>
      </c>
      <c r="AR49" s="57">
        <f t="shared" si="46"/>
        <v>49</v>
      </c>
      <c r="AS49" s="57">
        <f t="shared" si="46"/>
        <v>52</v>
      </c>
      <c r="AT49" s="57">
        <f t="shared" si="46"/>
        <v>0</v>
      </c>
      <c r="AU49" s="57">
        <f t="shared" si="46"/>
        <v>1</v>
      </c>
      <c r="AV49" s="57">
        <f t="shared" si="46"/>
        <v>0</v>
      </c>
      <c r="AW49" s="57">
        <f t="shared" si="46"/>
        <v>0</v>
      </c>
      <c r="AX49" s="57">
        <f t="shared" si="46"/>
        <v>42</v>
      </c>
      <c r="AY49" s="57">
        <f t="shared" si="47"/>
        <v>172</v>
      </c>
      <c r="AZ49" s="170"/>
      <c r="BA49" s="170"/>
      <c r="BB49" s="170"/>
      <c r="BC49" s="170"/>
      <c r="BD49" s="170"/>
      <c r="BE49" s="170"/>
      <c r="BF49" s="170"/>
      <c r="BG49" s="170"/>
      <c r="BH49" s="170"/>
      <c r="BI49" s="152">
        <f t="shared" si="48"/>
        <v>0</v>
      </c>
      <c r="BJ49" s="171"/>
      <c r="BK49" s="171"/>
      <c r="BL49" s="171"/>
      <c r="BM49" s="171"/>
      <c r="BN49" s="171"/>
      <c r="BO49" s="171"/>
      <c r="BP49" s="171"/>
      <c r="BQ49" s="171"/>
      <c r="BR49" s="171"/>
      <c r="BS49" s="163">
        <f t="shared" si="49"/>
        <v>0</v>
      </c>
      <c r="BT49" s="172"/>
      <c r="BU49" s="172"/>
      <c r="BV49" s="172"/>
      <c r="BW49" s="172"/>
      <c r="BX49" s="172"/>
      <c r="BY49" s="172"/>
      <c r="BZ49" s="172"/>
      <c r="CA49" s="172"/>
      <c r="CB49" s="172"/>
      <c r="CC49" s="164">
        <f t="shared" si="25"/>
        <v>0</v>
      </c>
      <c r="CD49" s="180">
        <f t="shared" si="61"/>
        <v>225</v>
      </c>
      <c r="CE49" s="180">
        <f t="shared" si="62"/>
        <v>16</v>
      </c>
      <c r="CF49" s="180">
        <f t="shared" si="63"/>
        <v>346</v>
      </c>
      <c r="CG49" s="180">
        <f t="shared" si="64"/>
        <v>376</v>
      </c>
      <c r="CH49" s="180">
        <f t="shared" si="65"/>
        <v>10</v>
      </c>
      <c r="CI49" s="180">
        <f t="shared" si="66"/>
        <v>10</v>
      </c>
      <c r="CJ49" s="180">
        <f t="shared" si="67"/>
        <v>15</v>
      </c>
      <c r="CK49" s="180">
        <f t="shared" si="68"/>
        <v>9</v>
      </c>
      <c r="CL49" s="180">
        <f t="shared" si="69"/>
        <v>343</v>
      </c>
      <c r="CM49" s="180">
        <f t="shared" si="69"/>
        <v>1350</v>
      </c>
      <c r="CN49" s="183">
        <f t="shared" si="51"/>
        <v>3.5803942761412864E-5</v>
      </c>
      <c r="CO49" s="183">
        <f t="shared" si="52"/>
        <v>3.5600819173149301E-5</v>
      </c>
      <c r="CP49" s="183">
        <f t="shared" si="53"/>
        <v>6.5094545277387137E-5</v>
      </c>
      <c r="CQ49" s="183">
        <f t="shared" si="54"/>
        <v>5.3725572303203368E-5</v>
      </c>
      <c r="CR49" s="183">
        <f t="shared" si="55"/>
        <v>4.441540309407899E-6</v>
      </c>
      <c r="CS49" s="183">
        <f t="shared" si="56"/>
        <v>4.7825137459925572E-6</v>
      </c>
      <c r="CT49" s="183">
        <f t="shared" si="57"/>
        <v>5.8427885703189926E-6</v>
      </c>
      <c r="CU49" s="183">
        <f t="shared" si="58"/>
        <v>1.2100788840005872E-5</v>
      </c>
      <c r="CV49" s="183">
        <f t="shared" si="59"/>
        <v>9.8157924790310237E-5</v>
      </c>
      <c r="CW49" s="183">
        <f t="shared" si="60"/>
        <v>4.6235330874647024E-5</v>
      </c>
      <c r="CX49" s="193">
        <f t="shared" si="36"/>
        <v>0</v>
      </c>
      <c r="CY49" s="193">
        <f t="shared" si="37"/>
        <v>0</v>
      </c>
      <c r="CZ49" s="193">
        <f t="shared" si="38"/>
        <v>0</v>
      </c>
      <c r="DA49" s="193">
        <f t="shared" si="39"/>
        <v>0</v>
      </c>
      <c r="DB49" s="193">
        <f t="shared" si="40"/>
        <v>0</v>
      </c>
      <c r="DC49" s="193">
        <f t="shared" si="41"/>
        <v>0</v>
      </c>
      <c r="DD49" s="193">
        <f t="shared" si="42"/>
        <v>0</v>
      </c>
      <c r="DE49" s="193">
        <f t="shared" si="43"/>
        <v>0</v>
      </c>
      <c r="DF49" s="193">
        <f t="shared" si="44"/>
        <v>0</v>
      </c>
      <c r="DG49" s="193">
        <f t="shared" si="45"/>
        <v>0</v>
      </c>
      <c r="DI49" s="83"/>
      <c r="DJ49" s="55"/>
    </row>
    <row r="50" spans="1:114" s="173" customFormat="1">
      <c r="A50" s="150">
        <f t="shared" si="17"/>
        <v>43939</v>
      </c>
      <c r="B50" s="165">
        <v>270</v>
      </c>
      <c r="C50" s="165">
        <v>100</v>
      </c>
      <c r="D50" s="165">
        <v>1101</v>
      </c>
      <c r="E50" s="165">
        <v>604</v>
      </c>
      <c r="F50" s="165">
        <v>31</v>
      </c>
      <c r="G50" s="165">
        <v>25</v>
      </c>
      <c r="H50" s="165">
        <v>24</v>
      </c>
      <c r="I50" s="165">
        <v>16</v>
      </c>
      <c r="J50" s="165">
        <v>838</v>
      </c>
      <c r="K50" s="165">
        <f t="shared" si="20"/>
        <v>3009</v>
      </c>
      <c r="L50" s="166"/>
      <c r="M50" s="166"/>
      <c r="N50" s="166"/>
      <c r="O50" s="166"/>
      <c r="P50" s="166"/>
      <c r="Q50" s="166"/>
      <c r="R50" s="166"/>
      <c r="S50" s="166"/>
      <c r="T50" s="166"/>
      <c r="U50" s="166">
        <f t="shared" si="21"/>
        <v>0</v>
      </c>
      <c r="V50" s="167"/>
      <c r="W50" s="167"/>
      <c r="X50" s="167"/>
      <c r="Y50" s="167"/>
      <c r="Z50" s="167"/>
      <c r="AA50" s="167"/>
      <c r="AB50" s="167"/>
      <c r="AC50" s="167"/>
      <c r="AD50" s="167"/>
      <c r="AE50" s="167">
        <f t="shared" si="22"/>
        <v>0</v>
      </c>
      <c r="AF50" s="168"/>
      <c r="AG50" s="168"/>
      <c r="AH50" s="168"/>
      <c r="AI50" s="168"/>
      <c r="AJ50" s="168"/>
      <c r="AK50" s="168"/>
      <c r="AL50" s="168"/>
      <c r="AM50" s="168"/>
      <c r="AN50" s="168"/>
      <c r="AO50" s="168">
        <f t="shared" si="23"/>
        <v>0</v>
      </c>
      <c r="AP50" s="57">
        <f t="shared" si="46"/>
        <v>24</v>
      </c>
      <c r="AQ50" s="57">
        <f t="shared" si="46"/>
        <v>0</v>
      </c>
      <c r="AR50" s="57">
        <f t="shared" si="46"/>
        <v>83</v>
      </c>
      <c r="AS50" s="57">
        <f t="shared" si="46"/>
        <v>13</v>
      </c>
      <c r="AT50" s="57">
        <f t="shared" si="46"/>
        <v>5</v>
      </c>
      <c r="AU50" s="57">
        <f t="shared" si="46"/>
        <v>2</v>
      </c>
      <c r="AV50" s="57">
        <f t="shared" ref="AV50:AX79" si="70">H50-H49</f>
        <v>0</v>
      </c>
      <c r="AW50" s="57">
        <f t="shared" si="70"/>
        <v>0</v>
      </c>
      <c r="AX50" s="57">
        <f t="shared" si="70"/>
        <v>121</v>
      </c>
      <c r="AY50" s="57">
        <f t="shared" si="47"/>
        <v>248</v>
      </c>
      <c r="AZ50" s="170"/>
      <c r="BA50" s="170"/>
      <c r="BB50" s="170"/>
      <c r="BC50" s="170"/>
      <c r="BD50" s="170"/>
      <c r="BE50" s="170"/>
      <c r="BF50" s="170"/>
      <c r="BG50" s="170"/>
      <c r="BH50" s="170"/>
      <c r="BI50" s="152">
        <f t="shared" si="48"/>
        <v>0</v>
      </c>
      <c r="BJ50" s="171"/>
      <c r="BK50" s="171"/>
      <c r="BL50" s="171"/>
      <c r="BM50" s="171"/>
      <c r="BN50" s="171"/>
      <c r="BO50" s="171"/>
      <c r="BP50" s="171"/>
      <c r="BQ50" s="171"/>
      <c r="BR50" s="171"/>
      <c r="BS50" s="163">
        <f t="shared" si="49"/>
        <v>0</v>
      </c>
      <c r="BT50" s="172"/>
      <c r="BU50" s="172"/>
      <c r="BV50" s="172"/>
      <c r="BW50" s="172"/>
      <c r="BX50" s="172"/>
      <c r="BY50" s="172"/>
      <c r="BZ50" s="172"/>
      <c r="CA50" s="172"/>
      <c r="CB50" s="172"/>
      <c r="CC50" s="164">
        <f t="shared" si="25"/>
        <v>0</v>
      </c>
      <c r="CD50" s="180">
        <f t="shared" si="61"/>
        <v>245</v>
      </c>
      <c r="CE50" s="180">
        <f t="shared" si="62"/>
        <v>15</v>
      </c>
      <c r="CF50" s="180">
        <f t="shared" si="63"/>
        <v>408</v>
      </c>
      <c r="CG50" s="180">
        <f t="shared" si="64"/>
        <v>372</v>
      </c>
      <c r="CH50" s="180">
        <f t="shared" si="65"/>
        <v>13</v>
      </c>
      <c r="CI50" s="180">
        <f t="shared" si="66"/>
        <v>7</v>
      </c>
      <c r="CJ50" s="180">
        <f t="shared" si="67"/>
        <v>13</v>
      </c>
      <c r="CK50" s="180">
        <f t="shared" si="68"/>
        <v>9</v>
      </c>
      <c r="CL50" s="180">
        <f t="shared" si="69"/>
        <v>405</v>
      </c>
      <c r="CM50" s="180">
        <f t="shared" si="69"/>
        <v>1487</v>
      </c>
      <c r="CN50" s="183">
        <f t="shared" si="51"/>
        <v>3.9297010347892173E-5</v>
      </c>
      <c r="CO50" s="183">
        <f t="shared" si="52"/>
        <v>3.5600819173149301E-5</v>
      </c>
      <c r="CP50" s="183">
        <f t="shared" si="53"/>
        <v>7.0401860855013012E-5</v>
      </c>
      <c r="CQ50" s="183">
        <f t="shared" si="54"/>
        <v>5.4907353081446419E-5</v>
      </c>
      <c r="CR50" s="183">
        <f t="shared" si="55"/>
        <v>5.2956826766017257E-6</v>
      </c>
      <c r="CS50" s="183">
        <f t="shared" si="56"/>
        <v>5.1983845065136497E-6</v>
      </c>
      <c r="CT50" s="183">
        <f t="shared" si="57"/>
        <v>5.8427885703189926E-6</v>
      </c>
      <c r="CU50" s="183">
        <f t="shared" si="58"/>
        <v>1.2100788840005872E-5</v>
      </c>
      <c r="CV50" s="183">
        <f t="shared" si="59"/>
        <v>1.1472293022912132E-4</v>
      </c>
      <c r="CW50" s="183">
        <f t="shared" si="60"/>
        <v>5.0388305179939478E-5</v>
      </c>
      <c r="CX50" s="193">
        <f t="shared" si="36"/>
        <v>0</v>
      </c>
      <c r="CY50" s="193">
        <f t="shared" si="37"/>
        <v>0</v>
      </c>
      <c r="CZ50" s="193">
        <f t="shared" si="38"/>
        <v>0</v>
      </c>
      <c r="DA50" s="193">
        <f t="shared" si="39"/>
        <v>0</v>
      </c>
      <c r="DB50" s="193">
        <f t="shared" si="40"/>
        <v>0</v>
      </c>
      <c r="DC50" s="193">
        <f t="shared" si="41"/>
        <v>0</v>
      </c>
      <c r="DD50" s="193">
        <f t="shared" si="42"/>
        <v>0</v>
      </c>
      <c r="DE50" s="193">
        <f t="shared" si="43"/>
        <v>0</v>
      </c>
      <c r="DF50" s="193">
        <f t="shared" si="44"/>
        <v>0</v>
      </c>
      <c r="DG50" s="193">
        <f t="shared" si="45"/>
        <v>0</v>
      </c>
      <c r="DI50" s="83"/>
      <c r="DJ50" s="55"/>
    </row>
    <row r="51" spans="1:114" s="173" customFormat="1">
      <c r="A51" s="150">
        <f t="shared" si="17"/>
        <v>43940</v>
      </c>
      <c r="B51" s="165">
        <v>293</v>
      </c>
      <c r="C51" s="165">
        <v>102</v>
      </c>
      <c r="D51" s="165">
        <v>1148</v>
      </c>
      <c r="E51" s="165">
        <v>617</v>
      </c>
      <c r="F51" s="165">
        <v>32</v>
      </c>
      <c r="G51" s="165">
        <v>23</v>
      </c>
      <c r="H51" s="165">
        <v>24</v>
      </c>
      <c r="I51" s="165">
        <v>16</v>
      </c>
      <c r="J51" s="165">
        <v>868</v>
      </c>
      <c r="K51" s="165">
        <f t="shared" si="20"/>
        <v>3123</v>
      </c>
      <c r="L51" s="166"/>
      <c r="M51" s="166"/>
      <c r="N51" s="166"/>
      <c r="O51" s="166"/>
      <c r="P51" s="166"/>
      <c r="Q51" s="166"/>
      <c r="R51" s="166"/>
      <c r="S51" s="166"/>
      <c r="T51" s="166"/>
      <c r="U51" s="166">
        <f t="shared" si="21"/>
        <v>0</v>
      </c>
      <c r="V51" s="167"/>
      <c r="W51" s="167"/>
      <c r="X51" s="167"/>
      <c r="Y51" s="167"/>
      <c r="Z51" s="167"/>
      <c r="AA51" s="167"/>
      <c r="AB51" s="167"/>
      <c r="AC51" s="167"/>
      <c r="AD51" s="167"/>
      <c r="AE51" s="167">
        <f t="shared" si="22"/>
        <v>0</v>
      </c>
      <c r="AF51" s="168"/>
      <c r="AG51" s="168"/>
      <c r="AH51" s="168"/>
      <c r="AI51" s="168"/>
      <c r="AJ51" s="168"/>
      <c r="AK51" s="168"/>
      <c r="AL51" s="168"/>
      <c r="AM51" s="168"/>
      <c r="AN51" s="168"/>
      <c r="AO51" s="168">
        <f t="shared" si="23"/>
        <v>0</v>
      </c>
      <c r="AP51" s="57">
        <f t="shared" ref="AP51:AP79" si="71">B51-B50</f>
        <v>23</v>
      </c>
      <c r="AQ51" s="57">
        <f t="shared" ref="AQ51:AQ79" si="72">C51-C50</f>
        <v>2</v>
      </c>
      <c r="AR51" s="57">
        <f t="shared" ref="AR51:AR79" si="73">D51-D50</f>
        <v>47</v>
      </c>
      <c r="AS51" s="57">
        <f t="shared" ref="AS51:AS79" si="74">E51-E50</f>
        <v>13</v>
      </c>
      <c r="AT51" s="57">
        <f t="shared" ref="AT51:AT79" si="75">F51-F50</f>
        <v>1</v>
      </c>
      <c r="AU51" s="57">
        <f t="shared" ref="AU51:AU79" si="76">G51-G50</f>
        <v>-2</v>
      </c>
      <c r="AV51" s="57">
        <f t="shared" si="70"/>
        <v>0</v>
      </c>
      <c r="AW51" s="57">
        <f t="shared" si="70"/>
        <v>0</v>
      </c>
      <c r="AX51" s="57">
        <f t="shared" si="70"/>
        <v>30</v>
      </c>
      <c r="AY51" s="57">
        <f t="shared" si="47"/>
        <v>114</v>
      </c>
      <c r="AZ51" s="170"/>
      <c r="BA51" s="170"/>
      <c r="BB51" s="170"/>
      <c r="BC51" s="170"/>
      <c r="BD51" s="170"/>
      <c r="BE51" s="170"/>
      <c r="BF51" s="170"/>
      <c r="BG51" s="170"/>
      <c r="BH51" s="170"/>
      <c r="BI51" s="152">
        <f t="shared" si="48"/>
        <v>0</v>
      </c>
      <c r="BJ51" s="171"/>
      <c r="BK51" s="171"/>
      <c r="BL51" s="171"/>
      <c r="BM51" s="171"/>
      <c r="BN51" s="171"/>
      <c r="BO51" s="171"/>
      <c r="BP51" s="171"/>
      <c r="BQ51" s="171"/>
      <c r="BR51" s="171"/>
      <c r="BS51" s="163">
        <f t="shared" si="49"/>
        <v>0</v>
      </c>
      <c r="BT51" s="172"/>
      <c r="BU51" s="172"/>
      <c r="BV51" s="172"/>
      <c r="BW51" s="172"/>
      <c r="BX51" s="172"/>
      <c r="BY51" s="172"/>
      <c r="BZ51" s="172"/>
      <c r="CA51" s="172"/>
      <c r="CB51" s="172"/>
      <c r="CC51" s="164">
        <f t="shared" si="25"/>
        <v>0</v>
      </c>
      <c r="CD51" s="180">
        <f t="shared" si="61"/>
        <v>262</v>
      </c>
      <c r="CE51" s="180">
        <f t="shared" si="62"/>
        <v>15</v>
      </c>
      <c r="CF51" s="180">
        <f t="shared" si="63"/>
        <v>444</v>
      </c>
      <c r="CG51" s="180">
        <f t="shared" si="64"/>
        <v>371</v>
      </c>
      <c r="CH51" s="180">
        <f t="shared" si="65"/>
        <v>13</v>
      </c>
      <c r="CI51" s="180">
        <f t="shared" si="66"/>
        <v>5</v>
      </c>
      <c r="CJ51" s="180">
        <f t="shared" si="67"/>
        <v>13</v>
      </c>
      <c r="CK51" s="180">
        <f t="shared" si="68"/>
        <v>8</v>
      </c>
      <c r="CL51" s="180">
        <f t="shared" si="69"/>
        <v>414</v>
      </c>
      <c r="CM51" s="180">
        <f t="shared" si="69"/>
        <v>1545</v>
      </c>
      <c r="CN51" s="183">
        <f t="shared" si="51"/>
        <v>4.2644533451601503E-5</v>
      </c>
      <c r="CO51" s="183">
        <f t="shared" si="52"/>
        <v>3.631283555661229E-5</v>
      </c>
      <c r="CP51" s="183">
        <f t="shared" si="53"/>
        <v>7.3407208230295132E-5</v>
      </c>
      <c r="CQ51" s="183">
        <f t="shared" si="54"/>
        <v>5.6089133859689471E-5</v>
      </c>
      <c r="CR51" s="183">
        <f t="shared" si="55"/>
        <v>5.4665111500404917E-6</v>
      </c>
      <c r="CS51" s="183">
        <f t="shared" si="56"/>
        <v>4.7825137459925572E-6</v>
      </c>
      <c r="CT51" s="183">
        <f t="shared" si="57"/>
        <v>5.8427885703189926E-6</v>
      </c>
      <c r="CU51" s="183">
        <f t="shared" si="58"/>
        <v>1.2100788840005872E-5</v>
      </c>
      <c r="CV51" s="183">
        <f t="shared" si="59"/>
        <v>1.1882995637097529E-4</v>
      </c>
      <c r="CW51" s="183">
        <f t="shared" si="60"/>
        <v>5.2297333691243268E-5</v>
      </c>
      <c r="CX51" s="193">
        <f t="shared" si="36"/>
        <v>0</v>
      </c>
      <c r="CY51" s="193">
        <f t="shared" si="37"/>
        <v>0</v>
      </c>
      <c r="CZ51" s="193">
        <f t="shared" si="38"/>
        <v>0</v>
      </c>
      <c r="DA51" s="193">
        <f t="shared" si="39"/>
        <v>0</v>
      </c>
      <c r="DB51" s="193">
        <f t="shared" si="40"/>
        <v>0</v>
      </c>
      <c r="DC51" s="193">
        <f t="shared" si="41"/>
        <v>0</v>
      </c>
      <c r="DD51" s="193">
        <f t="shared" si="42"/>
        <v>0</v>
      </c>
      <c r="DE51" s="193">
        <f t="shared" si="43"/>
        <v>0</v>
      </c>
      <c r="DF51" s="193">
        <f t="shared" si="44"/>
        <v>0</v>
      </c>
      <c r="DG51" s="193">
        <f t="shared" si="45"/>
        <v>0</v>
      </c>
      <c r="DI51" s="83"/>
      <c r="DJ51" s="55"/>
    </row>
    <row r="52" spans="1:114" s="173" customFormat="1">
      <c r="A52" s="150">
        <f t="shared" si="17"/>
        <v>43941</v>
      </c>
      <c r="B52" s="165">
        <v>310</v>
      </c>
      <c r="C52" s="165">
        <v>105</v>
      </c>
      <c r="D52" s="165">
        <v>1170</v>
      </c>
      <c r="E52" s="165">
        <v>639</v>
      </c>
      <c r="F52" s="165">
        <v>32</v>
      </c>
      <c r="G52" s="165">
        <v>23</v>
      </c>
      <c r="H52" s="165">
        <v>25</v>
      </c>
      <c r="I52" s="165">
        <v>18</v>
      </c>
      <c r="J52" s="165">
        <v>948</v>
      </c>
      <c r="K52" s="165">
        <f t="shared" si="20"/>
        <v>3270</v>
      </c>
      <c r="L52" s="166"/>
      <c r="M52" s="166"/>
      <c r="N52" s="166"/>
      <c r="O52" s="166"/>
      <c r="P52" s="166"/>
      <c r="Q52" s="166"/>
      <c r="R52" s="166"/>
      <c r="S52" s="166"/>
      <c r="T52" s="166"/>
      <c r="U52" s="166">
        <f t="shared" si="21"/>
        <v>0</v>
      </c>
      <c r="V52" s="167"/>
      <c r="W52" s="167"/>
      <c r="X52" s="167"/>
      <c r="Y52" s="167"/>
      <c r="Z52" s="167"/>
      <c r="AA52" s="167"/>
      <c r="AB52" s="167"/>
      <c r="AC52" s="167"/>
      <c r="AD52" s="167"/>
      <c r="AE52" s="167">
        <f t="shared" si="22"/>
        <v>0</v>
      </c>
      <c r="AF52" s="168"/>
      <c r="AG52" s="168"/>
      <c r="AH52" s="168"/>
      <c r="AI52" s="168"/>
      <c r="AJ52" s="168"/>
      <c r="AK52" s="168"/>
      <c r="AL52" s="168"/>
      <c r="AM52" s="168"/>
      <c r="AN52" s="168"/>
      <c r="AO52" s="168">
        <f t="shared" si="23"/>
        <v>0</v>
      </c>
      <c r="AP52" s="57">
        <f t="shared" si="71"/>
        <v>17</v>
      </c>
      <c r="AQ52" s="57">
        <f t="shared" si="72"/>
        <v>3</v>
      </c>
      <c r="AR52" s="57">
        <f t="shared" si="73"/>
        <v>22</v>
      </c>
      <c r="AS52" s="57">
        <f t="shared" si="74"/>
        <v>22</v>
      </c>
      <c r="AT52" s="57">
        <f t="shared" si="75"/>
        <v>0</v>
      </c>
      <c r="AU52" s="57">
        <f t="shared" si="76"/>
        <v>0</v>
      </c>
      <c r="AV52" s="57">
        <f t="shared" si="70"/>
        <v>1</v>
      </c>
      <c r="AW52" s="57">
        <f t="shared" si="70"/>
        <v>2</v>
      </c>
      <c r="AX52" s="57">
        <f t="shared" si="70"/>
        <v>80</v>
      </c>
      <c r="AY52" s="57">
        <f t="shared" si="47"/>
        <v>147</v>
      </c>
      <c r="AZ52" s="170"/>
      <c r="BA52" s="170"/>
      <c r="BB52" s="170"/>
      <c r="BC52" s="170"/>
      <c r="BD52" s="170"/>
      <c r="BE52" s="170"/>
      <c r="BF52" s="170"/>
      <c r="BG52" s="170"/>
      <c r="BH52" s="170"/>
      <c r="BI52" s="152">
        <f t="shared" si="48"/>
        <v>0</v>
      </c>
      <c r="BJ52" s="171"/>
      <c r="BK52" s="171"/>
      <c r="BL52" s="171"/>
      <c r="BM52" s="171"/>
      <c r="BN52" s="171"/>
      <c r="BO52" s="171"/>
      <c r="BP52" s="171"/>
      <c r="BQ52" s="171"/>
      <c r="BR52" s="171"/>
      <c r="BS52" s="163">
        <f t="shared" si="49"/>
        <v>0</v>
      </c>
      <c r="BT52" s="172"/>
      <c r="BU52" s="172"/>
      <c r="BV52" s="172"/>
      <c r="BW52" s="172"/>
      <c r="BX52" s="172"/>
      <c r="BY52" s="172"/>
      <c r="BZ52" s="172"/>
      <c r="CA52" s="172"/>
      <c r="CB52" s="172"/>
      <c r="CC52" s="164">
        <f t="shared" si="25"/>
        <v>0</v>
      </c>
      <c r="CD52" s="180">
        <f t="shared" si="61"/>
        <v>278</v>
      </c>
      <c r="CE52" s="180">
        <f t="shared" si="62"/>
        <v>16</v>
      </c>
      <c r="CF52" s="180">
        <f t="shared" si="63"/>
        <v>457</v>
      </c>
      <c r="CG52" s="180">
        <f t="shared" si="64"/>
        <v>382</v>
      </c>
      <c r="CH52" s="180">
        <f t="shared" si="65"/>
        <v>13</v>
      </c>
      <c r="CI52" s="180">
        <f t="shared" si="66"/>
        <v>5</v>
      </c>
      <c r="CJ52" s="180">
        <f t="shared" si="67"/>
        <v>14</v>
      </c>
      <c r="CK52" s="180">
        <f t="shared" si="68"/>
        <v>10</v>
      </c>
      <c r="CL52" s="180">
        <f t="shared" si="69"/>
        <v>486</v>
      </c>
      <c r="CM52" s="180">
        <f t="shared" si="69"/>
        <v>1661</v>
      </c>
      <c r="CN52" s="183">
        <f t="shared" si="51"/>
        <v>4.5118789658691013E-5</v>
      </c>
      <c r="CO52" s="183">
        <f t="shared" si="52"/>
        <v>3.7380860131806767E-5</v>
      </c>
      <c r="CP52" s="183">
        <f t="shared" si="53"/>
        <v>7.4813966576171861E-5</v>
      </c>
      <c r="CQ52" s="183">
        <f t="shared" si="54"/>
        <v>5.8089070561331564E-5</v>
      </c>
      <c r="CR52" s="183">
        <f t="shared" si="55"/>
        <v>5.4665111500404917E-6</v>
      </c>
      <c r="CS52" s="183">
        <f t="shared" si="56"/>
        <v>4.7825137459925572E-6</v>
      </c>
      <c r="CT52" s="183">
        <f t="shared" si="57"/>
        <v>6.0862380940822839E-6</v>
      </c>
      <c r="CU52" s="183">
        <f t="shared" si="58"/>
        <v>1.3613387445006608E-5</v>
      </c>
      <c r="CV52" s="183">
        <f t="shared" si="59"/>
        <v>1.2978202608258593E-4</v>
      </c>
      <c r="CW52" s="183">
        <f t="shared" si="60"/>
        <v>5.4758975718977097E-5</v>
      </c>
      <c r="CX52" s="193">
        <f t="shared" si="36"/>
        <v>0</v>
      </c>
      <c r="CY52" s="193">
        <f t="shared" si="37"/>
        <v>0</v>
      </c>
      <c r="CZ52" s="193">
        <f t="shared" si="38"/>
        <v>0</v>
      </c>
      <c r="DA52" s="193">
        <f t="shared" si="39"/>
        <v>0</v>
      </c>
      <c r="DB52" s="193">
        <f t="shared" si="40"/>
        <v>0</v>
      </c>
      <c r="DC52" s="193">
        <f t="shared" si="41"/>
        <v>0</v>
      </c>
      <c r="DD52" s="193">
        <f t="shared" si="42"/>
        <v>0</v>
      </c>
      <c r="DE52" s="193">
        <f t="shared" si="43"/>
        <v>0</v>
      </c>
      <c r="DF52" s="193">
        <f t="shared" si="44"/>
        <v>0</v>
      </c>
      <c r="DG52" s="193">
        <f t="shared" si="45"/>
        <v>0</v>
      </c>
      <c r="DI52" s="83"/>
      <c r="DJ52" s="55"/>
    </row>
    <row r="53" spans="1:114" s="173" customFormat="1">
      <c r="A53" s="150">
        <f t="shared" si="17"/>
        <v>43942</v>
      </c>
      <c r="B53" s="165">
        <v>345</v>
      </c>
      <c r="C53" s="165">
        <v>106</v>
      </c>
      <c r="D53" s="165">
        <v>1199</v>
      </c>
      <c r="E53" s="165">
        <v>671</v>
      </c>
      <c r="F53" s="165">
        <v>32</v>
      </c>
      <c r="G53" s="165">
        <v>24</v>
      </c>
      <c r="H53" s="165">
        <v>24</v>
      </c>
      <c r="I53" s="165">
        <v>16</v>
      </c>
      <c r="J53" s="165">
        <v>1015</v>
      </c>
      <c r="K53" s="165">
        <f t="shared" si="20"/>
        <v>3432</v>
      </c>
      <c r="L53" s="166"/>
      <c r="M53" s="166"/>
      <c r="N53" s="166"/>
      <c r="O53" s="166"/>
      <c r="P53" s="166"/>
      <c r="Q53" s="166"/>
      <c r="R53" s="166"/>
      <c r="S53" s="166"/>
      <c r="T53" s="166"/>
      <c r="U53" s="166">
        <f t="shared" si="21"/>
        <v>0</v>
      </c>
      <c r="V53" s="167"/>
      <c r="W53" s="167"/>
      <c r="X53" s="167"/>
      <c r="Y53" s="167"/>
      <c r="Z53" s="167"/>
      <c r="AA53" s="167"/>
      <c r="AB53" s="167"/>
      <c r="AC53" s="167"/>
      <c r="AD53" s="167"/>
      <c r="AE53" s="167">
        <f t="shared" si="22"/>
        <v>0</v>
      </c>
      <c r="AF53" s="168"/>
      <c r="AG53" s="168"/>
      <c r="AH53" s="168"/>
      <c r="AI53" s="168"/>
      <c r="AJ53" s="168"/>
      <c r="AK53" s="168"/>
      <c r="AL53" s="168"/>
      <c r="AM53" s="168"/>
      <c r="AN53" s="168"/>
      <c r="AO53" s="168">
        <f t="shared" si="23"/>
        <v>0</v>
      </c>
      <c r="AP53" s="57">
        <f t="shared" si="71"/>
        <v>35</v>
      </c>
      <c r="AQ53" s="57">
        <f t="shared" si="72"/>
        <v>1</v>
      </c>
      <c r="AR53" s="57">
        <f t="shared" si="73"/>
        <v>29</v>
      </c>
      <c r="AS53" s="57">
        <f t="shared" si="74"/>
        <v>32</v>
      </c>
      <c r="AT53" s="57">
        <f t="shared" si="75"/>
        <v>0</v>
      </c>
      <c r="AU53" s="57">
        <f t="shared" si="76"/>
        <v>1</v>
      </c>
      <c r="AV53" s="57">
        <f t="shared" si="70"/>
        <v>-1</v>
      </c>
      <c r="AW53" s="57">
        <f t="shared" si="70"/>
        <v>-2</v>
      </c>
      <c r="AX53" s="57">
        <f t="shared" si="70"/>
        <v>67</v>
      </c>
      <c r="AY53" s="57">
        <f t="shared" si="47"/>
        <v>162</v>
      </c>
      <c r="AZ53" s="170"/>
      <c r="BA53" s="170"/>
      <c r="BB53" s="170"/>
      <c r="BC53" s="170"/>
      <c r="BD53" s="170"/>
      <c r="BE53" s="170"/>
      <c r="BF53" s="170"/>
      <c r="BG53" s="170"/>
      <c r="BH53" s="170"/>
      <c r="BI53" s="152">
        <f t="shared" si="48"/>
        <v>0</v>
      </c>
      <c r="BJ53" s="171"/>
      <c r="BK53" s="171"/>
      <c r="BL53" s="171"/>
      <c r="BM53" s="171"/>
      <c r="BN53" s="171"/>
      <c r="BO53" s="171"/>
      <c r="BP53" s="171"/>
      <c r="BQ53" s="171"/>
      <c r="BR53" s="171"/>
      <c r="BS53" s="163">
        <f t="shared" si="49"/>
        <v>0</v>
      </c>
      <c r="BT53" s="172"/>
      <c r="BU53" s="172"/>
      <c r="BV53" s="172"/>
      <c r="BW53" s="172"/>
      <c r="BX53" s="172"/>
      <c r="BY53" s="172"/>
      <c r="BZ53" s="172"/>
      <c r="CA53" s="172"/>
      <c r="CB53" s="172"/>
      <c r="CC53" s="164">
        <f t="shared" si="25"/>
        <v>0</v>
      </c>
      <c r="CD53" s="180">
        <f t="shared" si="61"/>
        <v>305</v>
      </c>
      <c r="CE53" s="180">
        <f t="shared" si="62"/>
        <v>17.5</v>
      </c>
      <c r="CF53" s="180">
        <f t="shared" si="63"/>
        <v>451.5</v>
      </c>
      <c r="CG53" s="180">
        <f t="shared" si="64"/>
        <v>365.5</v>
      </c>
      <c r="CH53" s="180">
        <f t="shared" si="65"/>
        <v>12</v>
      </c>
      <c r="CI53" s="180">
        <f t="shared" si="66"/>
        <v>4.5</v>
      </c>
      <c r="CJ53" s="180">
        <f t="shared" si="67"/>
        <v>11</v>
      </c>
      <c r="CK53" s="180">
        <f t="shared" si="68"/>
        <v>5.5</v>
      </c>
      <c r="CL53" s="180">
        <f t="shared" si="69"/>
        <v>536.5</v>
      </c>
      <c r="CM53" s="180">
        <f t="shared" si="69"/>
        <v>1709</v>
      </c>
      <c r="CN53" s="183">
        <f t="shared" si="51"/>
        <v>5.0212846555639994E-5</v>
      </c>
      <c r="CO53" s="183">
        <f t="shared" si="52"/>
        <v>3.7736868323538261E-5</v>
      </c>
      <c r="CP53" s="183">
        <f t="shared" si="53"/>
        <v>7.6668329850282103E-5</v>
      </c>
      <c r="CQ53" s="183">
        <f t="shared" si="54"/>
        <v>6.099806940008369E-5</v>
      </c>
      <c r="CR53" s="183">
        <f t="shared" si="55"/>
        <v>5.4665111500404917E-6</v>
      </c>
      <c r="CS53" s="183">
        <f t="shared" si="56"/>
        <v>4.9904491262531038E-6</v>
      </c>
      <c r="CT53" s="183">
        <f t="shared" si="57"/>
        <v>5.8427885703189926E-6</v>
      </c>
      <c r="CU53" s="183">
        <f t="shared" si="58"/>
        <v>1.2100788840005872E-5</v>
      </c>
      <c r="CV53" s="183">
        <f t="shared" si="59"/>
        <v>1.3895438446605982E-4</v>
      </c>
      <c r="CW53" s="183">
        <f t="shared" si="60"/>
        <v>5.7471805708724591E-5</v>
      </c>
      <c r="CX53" s="193">
        <f t="shared" si="36"/>
        <v>0</v>
      </c>
      <c r="CY53" s="193">
        <f t="shared" si="37"/>
        <v>0</v>
      </c>
      <c r="CZ53" s="193">
        <f t="shared" si="38"/>
        <v>0</v>
      </c>
      <c r="DA53" s="193">
        <f t="shared" si="39"/>
        <v>0</v>
      </c>
      <c r="DB53" s="193">
        <f t="shared" si="40"/>
        <v>0</v>
      </c>
      <c r="DC53" s="193">
        <f t="shared" si="41"/>
        <v>0</v>
      </c>
      <c r="DD53" s="193">
        <f t="shared" si="42"/>
        <v>0</v>
      </c>
      <c r="DE53" s="193">
        <f t="shared" si="43"/>
        <v>0</v>
      </c>
      <c r="DF53" s="193">
        <f t="shared" si="44"/>
        <v>0</v>
      </c>
      <c r="DG53" s="193">
        <f t="shared" si="45"/>
        <v>0</v>
      </c>
      <c r="DI53" s="83"/>
      <c r="DJ53" s="55"/>
    </row>
    <row r="54" spans="1:114" s="173" customFormat="1">
      <c r="A54" s="150">
        <f t="shared" si="17"/>
        <v>43943</v>
      </c>
      <c r="B54" s="165">
        <v>377</v>
      </c>
      <c r="C54" s="165">
        <v>106</v>
      </c>
      <c r="D54" s="165">
        <v>1224</v>
      </c>
      <c r="E54" s="165">
        <v>758</v>
      </c>
      <c r="F54" s="165">
        <v>32</v>
      </c>
      <c r="G54" s="165">
        <v>23</v>
      </c>
      <c r="H54" s="165">
        <v>23</v>
      </c>
      <c r="I54" s="165">
        <v>16</v>
      </c>
      <c r="J54" s="165">
        <v>1125</v>
      </c>
      <c r="K54" s="165">
        <f t="shared" si="20"/>
        <v>3684</v>
      </c>
      <c r="L54" s="166"/>
      <c r="M54" s="166"/>
      <c r="N54" s="166"/>
      <c r="O54" s="166"/>
      <c r="P54" s="166"/>
      <c r="Q54" s="166"/>
      <c r="R54" s="166"/>
      <c r="S54" s="166"/>
      <c r="T54" s="166"/>
      <c r="U54" s="166">
        <f t="shared" si="21"/>
        <v>0</v>
      </c>
      <c r="V54" s="167"/>
      <c r="W54" s="167"/>
      <c r="X54" s="167"/>
      <c r="Y54" s="167"/>
      <c r="Z54" s="167"/>
      <c r="AA54" s="167"/>
      <c r="AB54" s="167"/>
      <c r="AC54" s="167"/>
      <c r="AD54" s="167"/>
      <c r="AE54" s="167">
        <f t="shared" si="22"/>
        <v>0</v>
      </c>
      <c r="AF54" s="168"/>
      <c r="AG54" s="168"/>
      <c r="AH54" s="168"/>
      <c r="AI54" s="168"/>
      <c r="AJ54" s="168"/>
      <c r="AK54" s="168"/>
      <c r="AL54" s="168"/>
      <c r="AM54" s="168"/>
      <c r="AN54" s="168"/>
      <c r="AO54" s="168">
        <f t="shared" si="23"/>
        <v>0</v>
      </c>
      <c r="AP54" s="57">
        <f t="shared" si="71"/>
        <v>32</v>
      </c>
      <c r="AQ54" s="57">
        <f t="shared" si="72"/>
        <v>0</v>
      </c>
      <c r="AR54" s="57">
        <f t="shared" si="73"/>
        <v>25</v>
      </c>
      <c r="AS54" s="57">
        <f t="shared" si="74"/>
        <v>87</v>
      </c>
      <c r="AT54" s="57">
        <f t="shared" si="75"/>
        <v>0</v>
      </c>
      <c r="AU54" s="57">
        <f t="shared" si="76"/>
        <v>-1</v>
      </c>
      <c r="AV54" s="57">
        <f t="shared" si="70"/>
        <v>-1</v>
      </c>
      <c r="AW54" s="57">
        <f t="shared" si="70"/>
        <v>0</v>
      </c>
      <c r="AX54" s="57">
        <f t="shared" si="70"/>
        <v>110</v>
      </c>
      <c r="AY54" s="57">
        <f t="shared" si="47"/>
        <v>252</v>
      </c>
      <c r="AZ54" s="170"/>
      <c r="BA54" s="170"/>
      <c r="BB54" s="170"/>
      <c r="BC54" s="170"/>
      <c r="BD54" s="170"/>
      <c r="BE54" s="170"/>
      <c r="BF54" s="170"/>
      <c r="BG54" s="170"/>
      <c r="BH54" s="170"/>
      <c r="BI54" s="152">
        <f t="shared" si="48"/>
        <v>0</v>
      </c>
      <c r="BJ54" s="171"/>
      <c r="BK54" s="171"/>
      <c r="BL54" s="171"/>
      <c r="BM54" s="171"/>
      <c r="BN54" s="171"/>
      <c r="BO54" s="171"/>
      <c r="BP54" s="171"/>
      <c r="BQ54" s="171"/>
      <c r="BR54" s="171"/>
      <c r="BS54" s="163">
        <f t="shared" si="49"/>
        <v>0</v>
      </c>
      <c r="BT54" s="172"/>
      <c r="BU54" s="172"/>
      <c r="BV54" s="172"/>
      <c r="BW54" s="172"/>
      <c r="BX54" s="172"/>
      <c r="BY54" s="172"/>
      <c r="BZ54" s="172"/>
      <c r="CA54" s="172"/>
      <c r="CB54" s="172"/>
      <c r="CC54" s="164">
        <f t="shared" si="25"/>
        <v>0</v>
      </c>
      <c r="CD54" s="180">
        <f t="shared" si="61"/>
        <v>332</v>
      </c>
      <c r="CE54" s="180">
        <f t="shared" si="62"/>
        <v>18</v>
      </c>
      <c r="CF54" s="180">
        <f t="shared" si="63"/>
        <v>442</v>
      </c>
      <c r="CG54" s="180">
        <f t="shared" si="64"/>
        <v>404</v>
      </c>
      <c r="CH54" s="180">
        <f t="shared" si="65"/>
        <v>11</v>
      </c>
      <c r="CI54" s="180">
        <f t="shared" si="66"/>
        <v>2</v>
      </c>
      <c r="CJ54" s="180">
        <f t="shared" si="67"/>
        <v>8</v>
      </c>
      <c r="CK54" s="180">
        <f t="shared" si="68"/>
        <v>3</v>
      </c>
      <c r="CL54" s="180">
        <f t="shared" si="69"/>
        <v>630</v>
      </c>
      <c r="CM54" s="180">
        <f t="shared" si="69"/>
        <v>1850</v>
      </c>
      <c r="CN54" s="183">
        <f t="shared" si="51"/>
        <v>5.4870270004279068E-5</v>
      </c>
      <c r="CO54" s="183">
        <f t="shared" si="52"/>
        <v>3.7736868323538261E-5</v>
      </c>
      <c r="CP54" s="183">
        <f t="shared" si="53"/>
        <v>7.8266918879687481E-5</v>
      </c>
      <c r="CQ54" s="183">
        <f t="shared" si="54"/>
        <v>6.8906909992941034E-5</v>
      </c>
      <c r="CR54" s="183">
        <f t="shared" si="55"/>
        <v>5.4665111500404917E-6</v>
      </c>
      <c r="CS54" s="183">
        <f t="shared" si="56"/>
        <v>4.7825137459925572E-6</v>
      </c>
      <c r="CT54" s="183">
        <f t="shared" si="57"/>
        <v>5.5993390465557013E-6</v>
      </c>
      <c r="CU54" s="183">
        <f t="shared" si="58"/>
        <v>1.2100788840005872E-5</v>
      </c>
      <c r="CV54" s="183">
        <f t="shared" si="59"/>
        <v>1.5401348031952443E-4</v>
      </c>
      <c r="CW54" s="183">
        <f t="shared" si="60"/>
        <v>6.1691763470554019E-5</v>
      </c>
      <c r="CX54" s="193">
        <f t="shared" si="36"/>
        <v>0</v>
      </c>
      <c r="CY54" s="193">
        <f t="shared" si="37"/>
        <v>0</v>
      </c>
      <c r="CZ54" s="193">
        <f t="shared" si="38"/>
        <v>0</v>
      </c>
      <c r="DA54" s="193">
        <f t="shared" si="39"/>
        <v>0</v>
      </c>
      <c r="DB54" s="193">
        <f t="shared" si="40"/>
        <v>0</v>
      </c>
      <c r="DC54" s="193">
        <f t="shared" si="41"/>
        <v>0</v>
      </c>
      <c r="DD54" s="193">
        <f t="shared" si="42"/>
        <v>0</v>
      </c>
      <c r="DE54" s="193">
        <f t="shared" si="43"/>
        <v>0</v>
      </c>
      <c r="DF54" s="193">
        <f t="shared" si="44"/>
        <v>0</v>
      </c>
      <c r="DG54" s="193">
        <f t="shared" si="45"/>
        <v>0</v>
      </c>
      <c r="DI54" s="83"/>
      <c r="DJ54" s="55"/>
    </row>
    <row r="55" spans="1:114" s="173" customFormat="1">
      <c r="A55" s="150">
        <f t="shared" si="17"/>
        <v>43944</v>
      </c>
      <c r="B55" s="165">
        <v>417</v>
      </c>
      <c r="C55" s="165">
        <v>106</v>
      </c>
      <c r="D55" s="165">
        <v>1252</v>
      </c>
      <c r="E55" s="165">
        <v>807</v>
      </c>
      <c r="F55" s="165">
        <v>32</v>
      </c>
      <c r="G55" s="165">
        <v>23</v>
      </c>
      <c r="H55" s="165">
        <v>25</v>
      </c>
      <c r="I55" s="165">
        <v>16</v>
      </c>
      <c r="J55" s="165">
        <v>1299</v>
      </c>
      <c r="K55" s="165">
        <f t="shared" si="20"/>
        <v>3977</v>
      </c>
      <c r="L55" s="166"/>
      <c r="M55" s="166"/>
      <c r="N55" s="166"/>
      <c r="O55" s="166"/>
      <c r="P55" s="166"/>
      <c r="Q55" s="166"/>
      <c r="R55" s="166"/>
      <c r="S55" s="166"/>
      <c r="T55" s="166"/>
      <c r="U55" s="166">
        <f t="shared" si="21"/>
        <v>0</v>
      </c>
      <c r="V55" s="167"/>
      <c r="W55" s="167"/>
      <c r="X55" s="167"/>
      <c r="Y55" s="167"/>
      <c r="Z55" s="167"/>
      <c r="AA55" s="167"/>
      <c r="AB55" s="167"/>
      <c r="AC55" s="167"/>
      <c r="AD55" s="167"/>
      <c r="AE55" s="167">
        <f t="shared" si="22"/>
        <v>0</v>
      </c>
      <c r="AF55" s="168"/>
      <c r="AG55" s="168"/>
      <c r="AH55" s="168"/>
      <c r="AI55" s="168"/>
      <c r="AJ55" s="168"/>
      <c r="AK55" s="168"/>
      <c r="AL55" s="168"/>
      <c r="AM55" s="168"/>
      <c r="AN55" s="168"/>
      <c r="AO55" s="168">
        <f t="shared" si="23"/>
        <v>0</v>
      </c>
      <c r="AP55" s="57">
        <f t="shared" si="71"/>
        <v>40</v>
      </c>
      <c r="AQ55" s="57">
        <f t="shared" si="72"/>
        <v>0</v>
      </c>
      <c r="AR55" s="57">
        <f t="shared" si="73"/>
        <v>28</v>
      </c>
      <c r="AS55" s="57">
        <f t="shared" si="74"/>
        <v>49</v>
      </c>
      <c r="AT55" s="57">
        <f t="shared" si="75"/>
        <v>0</v>
      </c>
      <c r="AU55" s="57">
        <f t="shared" si="76"/>
        <v>0</v>
      </c>
      <c r="AV55" s="57">
        <f t="shared" si="70"/>
        <v>2</v>
      </c>
      <c r="AW55" s="57">
        <f t="shared" si="70"/>
        <v>0</v>
      </c>
      <c r="AX55" s="57">
        <f t="shared" si="70"/>
        <v>174</v>
      </c>
      <c r="AY55" s="57">
        <f t="shared" si="47"/>
        <v>293</v>
      </c>
      <c r="AZ55" s="170"/>
      <c r="BA55" s="170"/>
      <c r="BB55" s="170"/>
      <c r="BC55" s="170"/>
      <c r="BD55" s="170"/>
      <c r="BE55" s="170"/>
      <c r="BF55" s="170"/>
      <c r="BG55" s="170"/>
      <c r="BH55" s="170"/>
      <c r="BI55" s="152">
        <f t="shared" si="48"/>
        <v>0</v>
      </c>
      <c r="BJ55" s="171"/>
      <c r="BK55" s="171"/>
      <c r="BL55" s="171"/>
      <c r="BM55" s="171"/>
      <c r="BN55" s="171"/>
      <c r="BO55" s="171"/>
      <c r="BP55" s="171"/>
      <c r="BQ55" s="171"/>
      <c r="BR55" s="171"/>
      <c r="BS55" s="163">
        <f t="shared" si="49"/>
        <v>0</v>
      </c>
      <c r="BT55" s="172"/>
      <c r="BU55" s="172"/>
      <c r="BV55" s="172"/>
      <c r="BW55" s="172"/>
      <c r="BX55" s="172"/>
      <c r="BY55" s="172"/>
      <c r="BZ55" s="172"/>
      <c r="CA55" s="172"/>
      <c r="CB55" s="172"/>
      <c r="CC55" s="164">
        <f t="shared" si="25"/>
        <v>0</v>
      </c>
      <c r="CD55" s="180">
        <f t="shared" si="61"/>
        <v>356</v>
      </c>
      <c r="CE55" s="180">
        <f t="shared" si="62"/>
        <v>13</v>
      </c>
      <c r="CF55" s="180">
        <f t="shared" si="63"/>
        <v>457</v>
      </c>
      <c r="CG55" s="180">
        <f t="shared" si="64"/>
        <v>420</v>
      </c>
      <c r="CH55" s="180">
        <f t="shared" si="65"/>
        <v>10</v>
      </c>
      <c r="CI55" s="180">
        <f t="shared" si="66"/>
        <v>3</v>
      </c>
      <c r="CJ55" s="180">
        <f t="shared" si="67"/>
        <v>10</v>
      </c>
      <c r="CK55" s="180">
        <f t="shared" si="68"/>
        <v>1</v>
      </c>
      <c r="CL55" s="180">
        <f t="shared" si="69"/>
        <v>784</v>
      </c>
      <c r="CM55" s="180">
        <f t="shared" si="69"/>
        <v>2054</v>
      </c>
      <c r="CN55" s="183">
        <f t="shared" si="51"/>
        <v>6.0692049315077908E-5</v>
      </c>
      <c r="CO55" s="183">
        <f t="shared" si="52"/>
        <v>3.7736868323538261E-5</v>
      </c>
      <c r="CP55" s="183">
        <f t="shared" si="53"/>
        <v>8.005733859262152E-5</v>
      </c>
      <c r="CQ55" s="183">
        <f t="shared" si="54"/>
        <v>7.3361314464780229E-5</v>
      </c>
      <c r="CR55" s="183">
        <f t="shared" si="55"/>
        <v>5.4665111500404917E-6</v>
      </c>
      <c r="CS55" s="183">
        <f t="shared" si="56"/>
        <v>4.7825137459925572E-6</v>
      </c>
      <c r="CT55" s="183">
        <f t="shared" si="57"/>
        <v>6.0862380940822839E-6</v>
      </c>
      <c r="CU55" s="183">
        <f t="shared" si="58"/>
        <v>1.2100788840005872E-5</v>
      </c>
      <c r="CV55" s="183">
        <f t="shared" si="59"/>
        <v>1.7783423194227754E-4</v>
      </c>
      <c r="CW55" s="183">
        <f t="shared" si="60"/>
        <v>6.6598301661887434E-5</v>
      </c>
      <c r="CX55" s="193">
        <f t="shared" si="36"/>
        <v>0</v>
      </c>
      <c r="CY55" s="193">
        <f t="shared" si="37"/>
        <v>0</v>
      </c>
      <c r="CZ55" s="193">
        <f t="shared" si="38"/>
        <v>0</v>
      </c>
      <c r="DA55" s="193">
        <f t="shared" si="39"/>
        <v>0</v>
      </c>
      <c r="DB55" s="193">
        <f t="shared" si="40"/>
        <v>0</v>
      </c>
      <c r="DC55" s="193">
        <f t="shared" si="41"/>
        <v>0</v>
      </c>
      <c r="DD55" s="193">
        <f t="shared" si="42"/>
        <v>0</v>
      </c>
      <c r="DE55" s="193">
        <f t="shared" si="43"/>
        <v>0</v>
      </c>
      <c r="DF55" s="193">
        <f t="shared" si="44"/>
        <v>0</v>
      </c>
      <c r="DG55" s="193">
        <f t="shared" si="45"/>
        <v>0</v>
      </c>
      <c r="DI55" s="83"/>
      <c r="DJ55" s="55"/>
    </row>
    <row r="56" spans="1:114" s="173" customFormat="1">
      <c r="A56" s="150">
        <f t="shared" si="17"/>
        <v>43945</v>
      </c>
      <c r="B56" s="165">
        <v>480</v>
      </c>
      <c r="C56" s="165">
        <v>111</v>
      </c>
      <c r="D56" s="165">
        <v>1281</v>
      </c>
      <c r="E56" s="165">
        <v>841</v>
      </c>
      <c r="F56" s="165">
        <v>34</v>
      </c>
      <c r="G56" s="165">
        <v>24</v>
      </c>
      <c r="H56" s="165">
        <v>25</v>
      </c>
      <c r="I56" s="165">
        <v>16</v>
      </c>
      <c r="J56" s="165">
        <v>1435</v>
      </c>
      <c r="K56" s="165">
        <f t="shared" si="20"/>
        <v>4247</v>
      </c>
      <c r="L56" s="166"/>
      <c r="M56" s="166"/>
      <c r="N56" s="166"/>
      <c r="O56" s="166"/>
      <c r="P56" s="166"/>
      <c r="Q56" s="166"/>
      <c r="R56" s="166"/>
      <c r="S56" s="166"/>
      <c r="T56" s="166"/>
      <c r="U56" s="166">
        <f t="shared" si="21"/>
        <v>0</v>
      </c>
      <c r="V56" s="167"/>
      <c r="W56" s="167"/>
      <c r="X56" s="167"/>
      <c r="Y56" s="167"/>
      <c r="Z56" s="167"/>
      <c r="AA56" s="167"/>
      <c r="AB56" s="167"/>
      <c r="AC56" s="167"/>
      <c r="AD56" s="167"/>
      <c r="AE56" s="167">
        <f t="shared" si="22"/>
        <v>0</v>
      </c>
      <c r="AF56" s="168"/>
      <c r="AG56" s="168"/>
      <c r="AH56" s="168"/>
      <c r="AI56" s="168"/>
      <c r="AJ56" s="168"/>
      <c r="AK56" s="168"/>
      <c r="AL56" s="168"/>
      <c r="AM56" s="168"/>
      <c r="AN56" s="168"/>
      <c r="AO56" s="168">
        <f t="shared" si="23"/>
        <v>0</v>
      </c>
      <c r="AP56" s="57">
        <f t="shared" si="71"/>
        <v>63</v>
      </c>
      <c r="AQ56" s="57">
        <f t="shared" si="72"/>
        <v>5</v>
      </c>
      <c r="AR56" s="57">
        <f t="shared" si="73"/>
        <v>29</v>
      </c>
      <c r="AS56" s="57">
        <f t="shared" si="74"/>
        <v>34</v>
      </c>
      <c r="AT56" s="57">
        <f t="shared" si="75"/>
        <v>2</v>
      </c>
      <c r="AU56" s="57">
        <f t="shared" si="76"/>
        <v>1</v>
      </c>
      <c r="AV56" s="57">
        <f t="shared" si="70"/>
        <v>0</v>
      </c>
      <c r="AW56" s="57">
        <f t="shared" si="70"/>
        <v>0</v>
      </c>
      <c r="AX56" s="57">
        <f t="shared" si="70"/>
        <v>136</v>
      </c>
      <c r="AY56" s="57">
        <f t="shared" si="47"/>
        <v>270</v>
      </c>
      <c r="AZ56" s="170"/>
      <c r="BA56" s="170"/>
      <c r="BB56" s="170"/>
      <c r="BC56" s="170"/>
      <c r="BD56" s="170"/>
      <c r="BE56" s="170"/>
      <c r="BF56" s="170"/>
      <c r="BG56" s="170"/>
      <c r="BH56" s="170"/>
      <c r="BI56" s="152">
        <f t="shared" si="48"/>
        <v>0</v>
      </c>
      <c r="BJ56" s="171"/>
      <c r="BK56" s="171"/>
      <c r="BL56" s="171"/>
      <c r="BM56" s="171"/>
      <c r="BN56" s="171"/>
      <c r="BO56" s="171"/>
      <c r="BP56" s="171"/>
      <c r="BQ56" s="171"/>
      <c r="BR56" s="171"/>
      <c r="BS56" s="163">
        <f t="shared" si="49"/>
        <v>0</v>
      </c>
      <c r="BT56" s="172"/>
      <c r="BU56" s="172"/>
      <c r="BV56" s="172"/>
      <c r="BW56" s="172"/>
      <c r="BX56" s="172"/>
      <c r="BY56" s="172"/>
      <c r="BZ56" s="172"/>
      <c r="CA56" s="172"/>
      <c r="CB56" s="172"/>
      <c r="CC56" s="164">
        <f t="shared" si="25"/>
        <v>0</v>
      </c>
      <c r="CD56" s="180">
        <f t="shared" si="61"/>
        <v>412</v>
      </c>
      <c r="CE56" s="180">
        <f t="shared" si="62"/>
        <v>17</v>
      </c>
      <c r="CF56" s="180">
        <f t="shared" si="63"/>
        <v>480</v>
      </c>
      <c r="CG56" s="180">
        <f t="shared" si="64"/>
        <v>429</v>
      </c>
      <c r="CH56" s="180">
        <f t="shared" si="65"/>
        <v>10</v>
      </c>
      <c r="CI56" s="180">
        <f t="shared" si="66"/>
        <v>4</v>
      </c>
      <c r="CJ56" s="180">
        <f t="shared" si="67"/>
        <v>7</v>
      </c>
      <c r="CK56" s="180">
        <f t="shared" si="68"/>
        <v>1</v>
      </c>
      <c r="CL56" s="180">
        <f t="shared" si="69"/>
        <v>894</v>
      </c>
      <c r="CM56" s="180">
        <f t="shared" si="69"/>
        <v>2254</v>
      </c>
      <c r="CN56" s="183">
        <f t="shared" si="51"/>
        <v>6.9861351729586077E-5</v>
      </c>
      <c r="CO56" s="183">
        <f t="shared" si="52"/>
        <v>3.9516909282195727E-5</v>
      </c>
      <c r="CP56" s="183">
        <f t="shared" si="53"/>
        <v>8.1911701866731762E-5</v>
      </c>
      <c r="CQ56" s="183">
        <f t="shared" si="54"/>
        <v>7.6452125730954367E-5</v>
      </c>
      <c r="CR56" s="183">
        <f t="shared" si="55"/>
        <v>5.808168096918022E-6</v>
      </c>
      <c r="CS56" s="183">
        <f t="shared" si="56"/>
        <v>4.9904491262531038E-6</v>
      </c>
      <c r="CT56" s="183">
        <f t="shared" si="57"/>
        <v>6.0862380940822839E-6</v>
      </c>
      <c r="CU56" s="183">
        <f t="shared" si="58"/>
        <v>1.2100788840005872E-5</v>
      </c>
      <c r="CV56" s="183">
        <f t="shared" si="59"/>
        <v>1.9645275045201562E-4</v>
      </c>
      <c r="CW56" s="183">
        <f t="shared" si="60"/>
        <v>7.111968497813325E-5</v>
      </c>
      <c r="CX56" s="193">
        <f t="shared" si="36"/>
        <v>0</v>
      </c>
      <c r="CY56" s="193">
        <f t="shared" si="37"/>
        <v>0</v>
      </c>
      <c r="CZ56" s="193">
        <f t="shared" si="38"/>
        <v>0</v>
      </c>
      <c r="DA56" s="193">
        <f t="shared" si="39"/>
        <v>0</v>
      </c>
      <c r="DB56" s="193">
        <f t="shared" si="40"/>
        <v>0</v>
      </c>
      <c r="DC56" s="193">
        <f t="shared" si="41"/>
        <v>0</v>
      </c>
      <c r="DD56" s="193">
        <f t="shared" si="42"/>
        <v>0</v>
      </c>
      <c r="DE56" s="193">
        <f t="shared" si="43"/>
        <v>0</v>
      </c>
      <c r="DF56" s="193">
        <f t="shared" si="44"/>
        <v>0</v>
      </c>
      <c r="DG56" s="193">
        <f t="shared" si="45"/>
        <v>0</v>
      </c>
      <c r="DI56" s="83"/>
      <c r="DJ56" s="55"/>
    </row>
    <row r="57" spans="1:114" s="173" customFormat="1">
      <c r="A57" s="150">
        <f t="shared" si="17"/>
        <v>43946</v>
      </c>
      <c r="B57" s="165">
        <v>481</v>
      </c>
      <c r="C57" s="165">
        <v>111</v>
      </c>
      <c r="D57" s="165">
        <v>1304</v>
      </c>
      <c r="E57" s="165">
        <v>847</v>
      </c>
      <c r="F57" s="165">
        <v>35</v>
      </c>
      <c r="G57" s="165">
        <v>23</v>
      </c>
      <c r="H57" s="165">
        <v>28</v>
      </c>
      <c r="I57" s="165">
        <v>16</v>
      </c>
      <c r="J57" s="165">
        <v>1514</v>
      </c>
      <c r="K57" s="165">
        <f t="shared" si="20"/>
        <v>4359</v>
      </c>
      <c r="L57" s="166"/>
      <c r="M57" s="166"/>
      <c r="N57" s="166"/>
      <c r="O57" s="166"/>
      <c r="P57" s="166"/>
      <c r="Q57" s="166"/>
      <c r="R57" s="166"/>
      <c r="S57" s="166"/>
      <c r="T57" s="166"/>
      <c r="U57" s="166">
        <f t="shared" si="21"/>
        <v>0</v>
      </c>
      <c r="V57" s="167"/>
      <c r="W57" s="167"/>
      <c r="X57" s="167"/>
      <c r="Y57" s="167"/>
      <c r="Z57" s="167"/>
      <c r="AA57" s="167"/>
      <c r="AB57" s="167"/>
      <c r="AC57" s="167"/>
      <c r="AD57" s="167"/>
      <c r="AE57" s="167">
        <f t="shared" si="22"/>
        <v>0</v>
      </c>
      <c r="AF57" s="168"/>
      <c r="AG57" s="168"/>
      <c r="AH57" s="168"/>
      <c r="AI57" s="168"/>
      <c r="AJ57" s="168"/>
      <c r="AK57" s="168"/>
      <c r="AL57" s="168"/>
      <c r="AM57" s="168"/>
      <c r="AN57" s="168"/>
      <c r="AO57" s="168">
        <f t="shared" si="23"/>
        <v>0</v>
      </c>
      <c r="AP57" s="57">
        <f t="shared" si="71"/>
        <v>1</v>
      </c>
      <c r="AQ57" s="57">
        <f t="shared" si="72"/>
        <v>0</v>
      </c>
      <c r="AR57" s="57">
        <f t="shared" si="73"/>
        <v>23</v>
      </c>
      <c r="AS57" s="57">
        <f t="shared" si="74"/>
        <v>6</v>
      </c>
      <c r="AT57" s="57">
        <f t="shared" si="75"/>
        <v>1</v>
      </c>
      <c r="AU57" s="57">
        <f t="shared" si="76"/>
        <v>-1</v>
      </c>
      <c r="AV57" s="57">
        <f t="shared" si="70"/>
        <v>3</v>
      </c>
      <c r="AW57" s="57">
        <f t="shared" si="70"/>
        <v>0</v>
      </c>
      <c r="AX57" s="57">
        <f t="shared" si="70"/>
        <v>79</v>
      </c>
      <c r="AY57" s="57">
        <f t="shared" si="47"/>
        <v>112</v>
      </c>
      <c r="AZ57" s="170"/>
      <c r="BA57" s="170"/>
      <c r="BB57" s="170"/>
      <c r="BC57" s="170"/>
      <c r="BD57" s="170"/>
      <c r="BE57" s="170"/>
      <c r="BF57" s="170"/>
      <c r="BG57" s="170"/>
      <c r="BH57" s="170"/>
      <c r="BI57" s="152">
        <f t="shared" si="48"/>
        <v>0</v>
      </c>
      <c r="BJ57" s="171"/>
      <c r="BK57" s="171"/>
      <c r="BL57" s="171"/>
      <c r="BM57" s="171"/>
      <c r="BN57" s="171"/>
      <c r="BO57" s="171"/>
      <c r="BP57" s="171"/>
      <c r="BQ57" s="171"/>
      <c r="BR57" s="171"/>
      <c r="BS57" s="163">
        <f t="shared" si="49"/>
        <v>0</v>
      </c>
      <c r="BT57" s="172"/>
      <c r="BU57" s="172"/>
      <c r="BV57" s="172"/>
      <c r="BW57" s="172"/>
      <c r="BX57" s="172"/>
      <c r="BY57" s="172"/>
      <c r="BZ57" s="172"/>
      <c r="CA57" s="172"/>
      <c r="CB57" s="172"/>
      <c r="CC57" s="164">
        <f t="shared" si="25"/>
        <v>0</v>
      </c>
      <c r="CD57" s="180">
        <f t="shared" si="61"/>
        <v>412</v>
      </c>
      <c r="CE57" s="180">
        <f t="shared" si="62"/>
        <v>17</v>
      </c>
      <c r="CF57" s="180">
        <f t="shared" si="63"/>
        <v>491</v>
      </c>
      <c r="CG57" s="180">
        <f t="shared" si="64"/>
        <v>429</v>
      </c>
      <c r="CH57" s="180">
        <f t="shared" si="65"/>
        <v>12</v>
      </c>
      <c r="CI57" s="180">
        <f t="shared" si="66"/>
        <v>3</v>
      </c>
      <c r="CJ57" s="180">
        <f t="shared" si="67"/>
        <v>9</v>
      </c>
      <c r="CK57" s="180">
        <f t="shared" si="68"/>
        <v>0</v>
      </c>
      <c r="CL57" s="180">
        <f t="shared" si="69"/>
        <v>968</v>
      </c>
      <c r="CM57" s="180">
        <f t="shared" si="69"/>
        <v>2341</v>
      </c>
      <c r="CN57" s="183">
        <f t="shared" si="51"/>
        <v>7.0006896212356057E-5</v>
      </c>
      <c r="CO57" s="183">
        <f t="shared" si="52"/>
        <v>3.9516909282195727E-5</v>
      </c>
      <c r="CP57" s="183">
        <f t="shared" si="53"/>
        <v>8.3382403773784707E-5</v>
      </c>
      <c r="CQ57" s="183">
        <f t="shared" si="54"/>
        <v>7.699756301322039E-5</v>
      </c>
      <c r="CR57" s="183">
        <f t="shared" si="55"/>
        <v>5.9789965703567871E-6</v>
      </c>
      <c r="CS57" s="183">
        <f t="shared" si="56"/>
        <v>4.7825137459925572E-6</v>
      </c>
      <c r="CT57" s="183">
        <f t="shared" si="57"/>
        <v>6.8165866653721586E-6</v>
      </c>
      <c r="CU57" s="183">
        <f t="shared" si="58"/>
        <v>1.2100788840005872E-5</v>
      </c>
      <c r="CV57" s="183">
        <f t="shared" si="59"/>
        <v>2.0726791929223109E-4</v>
      </c>
      <c r="CW57" s="183">
        <f t="shared" si="60"/>
        <v>7.2995221761168553E-5</v>
      </c>
      <c r="CX57" s="193">
        <f t="shared" si="36"/>
        <v>0</v>
      </c>
      <c r="CY57" s="193">
        <f t="shared" si="37"/>
        <v>0</v>
      </c>
      <c r="CZ57" s="193">
        <f t="shared" si="38"/>
        <v>0</v>
      </c>
      <c r="DA57" s="193">
        <f t="shared" si="39"/>
        <v>0</v>
      </c>
      <c r="DB57" s="193">
        <f t="shared" si="40"/>
        <v>0</v>
      </c>
      <c r="DC57" s="193">
        <f t="shared" si="41"/>
        <v>0</v>
      </c>
      <c r="DD57" s="193">
        <f t="shared" si="42"/>
        <v>0</v>
      </c>
      <c r="DE57" s="193">
        <f t="shared" si="43"/>
        <v>0</v>
      </c>
      <c r="DF57" s="193">
        <f t="shared" si="44"/>
        <v>0</v>
      </c>
      <c r="DG57" s="193">
        <f t="shared" si="45"/>
        <v>0</v>
      </c>
      <c r="DI57" s="83"/>
      <c r="DJ57" s="55"/>
    </row>
    <row r="58" spans="1:114" s="173" customFormat="1">
      <c r="A58" s="150">
        <f t="shared" si="17"/>
        <v>43947</v>
      </c>
      <c r="B58" s="165">
        <v>482</v>
      </c>
      <c r="C58" s="165">
        <v>111</v>
      </c>
      <c r="D58" s="165">
        <v>1331</v>
      </c>
      <c r="E58" s="165">
        <v>863</v>
      </c>
      <c r="F58" s="165">
        <v>36</v>
      </c>
      <c r="G58" s="165">
        <v>23</v>
      </c>
      <c r="H58" s="165">
        <v>28</v>
      </c>
      <c r="I58" s="165">
        <v>17</v>
      </c>
      <c r="J58" s="165">
        <v>1608</v>
      </c>
      <c r="K58" s="165">
        <f t="shared" si="20"/>
        <v>4499</v>
      </c>
      <c r="L58" s="166"/>
      <c r="M58" s="166"/>
      <c r="N58" s="166"/>
      <c r="O58" s="166"/>
      <c r="P58" s="166"/>
      <c r="Q58" s="166"/>
      <c r="R58" s="166"/>
      <c r="S58" s="166"/>
      <c r="T58" s="166"/>
      <c r="U58" s="166">
        <f t="shared" si="21"/>
        <v>0</v>
      </c>
      <c r="V58" s="167"/>
      <c r="W58" s="167"/>
      <c r="X58" s="167"/>
      <c r="Y58" s="167"/>
      <c r="Z58" s="167"/>
      <c r="AA58" s="167"/>
      <c r="AB58" s="167"/>
      <c r="AC58" s="167"/>
      <c r="AD58" s="167"/>
      <c r="AE58" s="167">
        <f t="shared" si="22"/>
        <v>0</v>
      </c>
      <c r="AF58" s="168"/>
      <c r="AG58" s="168"/>
      <c r="AH58" s="168"/>
      <c r="AI58" s="168"/>
      <c r="AJ58" s="168"/>
      <c r="AK58" s="168"/>
      <c r="AL58" s="168"/>
      <c r="AM58" s="168"/>
      <c r="AN58" s="168"/>
      <c r="AO58" s="168">
        <f t="shared" si="23"/>
        <v>0</v>
      </c>
      <c r="AP58" s="57">
        <f t="shared" si="71"/>
        <v>1</v>
      </c>
      <c r="AQ58" s="57">
        <f t="shared" si="72"/>
        <v>0</v>
      </c>
      <c r="AR58" s="57">
        <f t="shared" si="73"/>
        <v>27</v>
      </c>
      <c r="AS58" s="57">
        <f t="shared" si="74"/>
        <v>16</v>
      </c>
      <c r="AT58" s="57">
        <f t="shared" si="75"/>
        <v>1</v>
      </c>
      <c r="AU58" s="57">
        <f t="shared" si="76"/>
        <v>0</v>
      </c>
      <c r="AV58" s="57">
        <f t="shared" si="70"/>
        <v>0</v>
      </c>
      <c r="AW58" s="57">
        <f t="shared" si="70"/>
        <v>1</v>
      </c>
      <c r="AX58" s="57">
        <f t="shared" si="70"/>
        <v>94</v>
      </c>
      <c r="AY58" s="57">
        <f t="shared" si="47"/>
        <v>140</v>
      </c>
      <c r="AZ58" s="170"/>
      <c r="BA58" s="170"/>
      <c r="BB58" s="170"/>
      <c r="BC58" s="170"/>
      <c r="BD58" s="170"/>
      <c r="BE58" s="170"/>
      <c r="BF58" s="170"/>
      <c r="BG58" s="170"/>
      <c r="BH58" s="170"/>
      <c r="BI58" s="152">
        <f t="shared" si="48"/>
        <v>0</v>
      </c>
      <c r="BJ58" s="171"/>
      <c r="BK58" s="171"/>
      <c r="BL58" s="171"/>
      <c r="BM58" s="171"/>
      <c r="BN58" s="171"/>
      <c r="BO58" s="171"/>
      <c r="BP58" s="171"/>
      <c r="BQ58" s="171"/>
      <c r="BR58" s="171"/>
      <c r="BS58" s="163">
        <f t="shared" si="49"/>
        <v>0</v>
      </c>
      <c r="BT58" s="172"/>
      <c r="BU58" s="172"/>
      <c r="BV58" s="172"/>
      <c r="BW58" s="172"/>
      <c r="BX58" s="172"/>
      <c r="BY58" s="172"/>
      <c r="BZ58" s="172"/>
      <c r="CA58" s="172"/>
      <c r="CB58" s="172"/>
      <c r="CC58" s="164">
        <f t="shared" si="25"/>
        <v>0</v>
      </c>
      <c r="CD58" s="180">
        <f t="shared" si="61"/>
        <v>394</v>
      </c>
      <c r="CE58" s="180">
        <f t="shared" si="62"/>
        <v>15</v>
      </c>
      <c r="CF58" s="180">
        <f t="shared" si="63"/>
        <v>466</v>
      </c>
      <c r="CG58" s="180">
        <f t="shared" si="64"/>
        <v>420</v>
      </c>
      <c r="CH58" s="180">
        <f t="shared" si="65"/>
        <v>13</v>
      </c>
      <c r="CI58" s="180">
        <f t="shared" si="66"/>
        <v>2</v>
      </c>
      <c r="CJ58" s="180">
        <f t="shared" si="67"/>
        <v>9</v>
      </c>
      <c r="CK58" s="180">
        <f t="shared" si="68"/>
        <v>1</v>
      </c>
      <c r="CL58" s="180">
        <f t="shared" si="69"/>
        <v>1021</v>
      </c>
      <c r="CM58" s="180">
        <f t="shared" si="69"/>
        <v>2341</v>
      </c>
      <c r="CN58" s="183">
        <f t="shared" si="51"/>
        <v>7.0152440695126023E-5</v>
      </c>
      <c r="CO58" s="183">
        <f t="shared" si="52"/>
        <v>3.9516909282195727E-5</v>
      </c>
      <c r="CP58" s="183">
        <f t="shared" si="53"/>
        <v>8.5108879925542517E-5</v>
      </c>
      <c r="CQ58" s="183">
        <f t="shared" si="54"/>
        <v>7.845206243259646E-5</v>
      </c>
      <c r="CR58" s="183">
        <f t="shared" si="55"/>
        <v>6.1498250437955523E-6</v>
      </c>
      <c r="CS58" s="183">
        <f t="shared" si="56"/>
        <v>4.7825137459925572E-6</v>
      </c>
      <c r="CT58" s="183">
        <f t="shared" si="57"/>
        <v>6.8165866653721586E-6</v>
      </c>
      <c r="CU58" s="183">
        <f t="shared" si="58"/>
        <v>1.2857088142506239E-5</v>
      </c>
      <c r="CV58" s="183">
        <f t="shared" si="59"/>
        <v>2.2013660120337358E-4</v>
      </c>
      <c r="CW58" s="183">
        <f t="shared" si="60"/>
        <v>7.5339642739962685E-5</v>
      </c>
      <c r="CX58" s="193">
        <f t="shared" si="36"/>
        <v>0</v>
      </c>
      <c r="CY58" s="193">
        <f t="shared" si="37"/>
        <v>0</v>
      </c>
      <c r="CZ58" s="193">
        <f t="shared" si="38"/>
        <v>0</v>
      </c>
      <c r="DA58" s="193">
        <f t="shared" si="39"/>
        <v>0</v>
      </c>
      <c r="DB58" s="193">
        <f t="shared" si="40"/>
        <v>0</v>
      </c>
      <c r="DC58" s="193">
        <f t="shared" si="41"/>
        <v>0</v>
      </c>
      <c r="DD58" s="193">
        <f t="shared" si="42"/>
        <v>0</v>
      </c>
      <c r="DE58" s="193">
        <f t="shared" si="43"/>
        <v>0</v>
      </c>
      <c r="DF58" s="193">
        <f t="shared" si="44"/>
        <v>0</v>
      </c>
      <c r="DG58" s="193">
        <f t="shared" si="45"/>
        <v>0</v>
      </c>
      <c r="DI58" s="83"/>
      <c r="DJ58" s="55"/>
    </row>
    <row r="59" spans="1:114" s="173" customFormat="1">
      <c r="A59" s="150">
        <f t="shared" si="17"/>
        <v>43948</v>
      </c>
      <c r="B59" s="165">
        <v>588</v>
      </c>
      <c r="C59" s="165">
        <v>111</v>
      </c>
      <c r="D59" s="165">
        <v>1353</v>
      </c>
      <c r="E59" s="165">
        <v>902</v>
      </c>
      <c r="F59" s="165">
        <v>36</v>
      </c>
      <c r="G59" s="165">
        <v>26</v>
      </c>
      <c r="H59" s="165">
        <v>28</v>
      </c>
      <c r="I59" s="165">
        <v>17</v>
      </c>
      <c r="J59" s="165">
        <v>1737</v>
      </c>
      <c r="K59" s="165">
        <f t="shared" si="20"/>
        <v>4798</v>
      </c>
      <c r="L59" s="166"/>
      <c r="M59" s="166"/>
      <c r="N59" s="166"/>
      <c r="O59" s="166"/>
      <c r="P59" s="166"/>
      <c r="Q59" s="166"/>
      <c r="R59" s="166"/>
      <c r="S59" s="166"/>
      <c r="T59" s="166"/>
      <c r="U59" s="166">
        <f t="shared" si="21"/>
        <v>0</v>
      </c>
      <c r="V59" s="167"/>
      <c r="W59" s="167"/>
      <c r="X59" s="167"/>
      <c r="Y59" s="167"/>
      <c r="Z59" s="167"/>
      <c r="AA59" s="167"/>
      <c r="AB59" s="167"/>
      <c r="AC59" s="167"/>
      <c r="AD59" s="167"/>
      <c r="AE59" s="167">
        <f t="shared" si="22"/>
        <v>0</v>
      </c>
      <c r="AF59" s="168"/>
      <c r="AG59" s="168"/>
      <c r="AH59" s="168"/>
      <c r="AI59" s="168"/>
      <c r="AJ59" s="168"/>
      <c r="AK59" s="168"/>
      <c r="AL59" s="168"/>
      <c r="AM59" s="168"/>
      <c r="AN59" s="168"/>
      <c r="AO59" s="168">
        <f t="shared" si="23"/>
        <v>0</v>
      </c>
      <c r="AP59" s="57">
        <f t="shared" si="71"/>
        <v>106</v>
      </c>
      <c r="AQ59" s="57">
        <f t="shared" si="72"/>
        <v>0</v>
      </c>
      <c r="AR59" s="57">
        <f t="shared" si="73"/>
        <v>22</v>
      </c>
      <c r="AS59" s="57">
        <f t="shared" si="74"/>
        <v>39</v>
      </c>
      <c r="AT59" s="57">
        <f t="shared" si="75"/>
        <v>0</v>
      </c>
      <c r="AU59" s="57">
        <f t="shared" si="76"/>
        <v>3</v>
      </c>
      <c r="AV59" s="57">
        <f t="shared" si="70"/>
        <v>0</v>
      </c>
      <c r="AW59" s="57">
        <f t="shared" si="70"/>
        <v>0</v>
      </c>
      <c r="AX59" s="57">
        <f t="shared" si="70"/>
        <v>129</v>
      </c>
      <c r="AY59" s="57">
        <f t="shared" si="47"/>
        <v>299</v>
      </c>
      <c r="AZ59" s="170"/>
      <c r="BA59" s="170"/>
      <c r="BB59" s="170"/>
      <c r="BC59" s="170"/>
      <c r="BD59" s="170"/>
      <c r="BE59" s="170"/>
      <c r="BF59" s="170"/>
      <c r="BG59" s="170"/>
      <c r="BH59" s="170"/>
      <c r="BI59" s="152">
        <f t="shared" si="48"/>
        <v>0</v>
      </c>
      <c r="BJ59" s="171"/>
      <c r="BK59" s="171"/>
      <c r="BL59" s="171"/>
      <c r="BM59" s="171"/>
      <c r="BN59" s="171"/>
      <c r="BO59" s="171"/>
      <c r="BP59" s="171"/>
      <c r="BQ59" s="171"/>
      <c r="BR59" s="171"/>
      <c r="BS59" s="163">
        <f t="shared" si="49"/>
        <v>0</v>
      </c>
      <c r="BT59" s="172"/>
      <c r="BU59" s="172"/>
      <c r="BV59" s="172"/>
      <c r="BW59" s="172"/>
      <c r="BX59" s="172"/>
      <c r="BY59" s="172"/>
      <c r="BZ59" s="172"/>
      <c r="CA59" s="172"/>
      <c r="CB59" s="172"/>
      <c r="CC59" s="164">
        <f t="shared" si="25"/>
        <v>0</v>
      </c>
      <c r="CD59" s="180">
        <f t="shared" si="61"/>
        <v>484</v>
      </c>
      <c r="CE59" s="180">
        <f t="shared" si="62"/>
        <v>15</v>
      </c>
      <c r="CF59" s="180">
        <f t="shared" si="63"/>
        <v>463</v>
      </c>
      <c r="CG59" s="180">
        <f t="shared" si="64"/>
        <v>437</v>
      </c>
      <c r="CH59" s="180">
        <f t="shared" si="65"/>
        <v>13</v>
      </c>
      <c r="CI59" s="180">
        <f t="shared" si="66"/>
        <v>4</v>
      </c>
      <c r="CJ59" s="180">
        <f t="shared" si="67"/>
        <v>6</v>
      </c>
      <c r="CK59" s="180">
        <f t="shared" si="68"/>
        <v>1</v>
      </c>
      <c r="CL59" s="180">
        <f t="shared" si="69"/>
        <v>1120</v>
      </c>
      <c r="CM59" s="180">
        <f t="shared" si="69"/>
        <v>2543</v>
      </c>
      <c r="CN59" s="183">
        <f t="shared" si="51"/>
        <v>8.5580155868742952E-5</v>
      </c>
      <c r="CO59" s="183">
        <f t="shared" si="52"/>
        <v>3.9516909282195727E-5</v>
      </c>
      <c r="CP59" s="183">
        <f t="shared" si="53"/>
        <v>8.6515638271419259E-5</v>
      </c>
      <c r="CQ59" s="183">
        <f t="shared" si="54"/>
        <v>8.1997404767325608E-5</v>
      </c>
      <c r="CR59" s="183">
        <f t="shared" si="55"/>
        <v>6.1498250437955523E-6</v>
      </c>
      <c r="CS59" s="183">
        <f t="shared" si="56"/>
        <v>5.4063198867741955E-6</v>
      </c>
      <c r="CT59" s="183">
        <f t="shared" si="57"/>
        <v>6.8165866653721586E-6</v>
      </c>
      <c r="CU59" s="183">
        <f t="shared" si="58"/>
        <v>1.2857088142506239E-5</v>
      </c>
      <c r="CV59" s="183">
        <f t="shared" si="59"/>
        <v>2.3779681361334572E-4</v>
      </c>
      <c r="CW59" s="183">
        <f t="shared" si="60"/>
        <v>8.0346656116101573E-5</v>
      </c>
      <c r="CX59" s="193">
        <f t="shared" si="36"/>
        <v>0</v>
      </c>
      <c r="CY59" s="193">
        <f t="shared" si="37"/>
        <v>0</v>
      </c>
      <c r="CZ59" s="193">
        <f t="shared" si="38"/>
        <v>0</v>
      </c>
      <c r="DA59" s="193">
        <f t="shared" si="39"/>
        <v>0</v>
      </c>
      <c r="DB59" s="193">
        <f t="shared" si="40"/>
        <v>0</v>
      </c>
      <c r="DC59" s="193">
        <f t="shared" si="41"/>
        <v>0</v>
      </c>
      <c r="DD59" s="193">
        <f t="shared" si="42"/>
        <v>0</v>
      </c>
      <c r="DE59" s="193">
        <f t="shared" si="43"/>
        <v>0</v>
      </c>
      <c r="DF59" s="193">
        <f t="shared" si="44"/>
        <v>0</v>
      </c>
      <c r="DG59" s="193">
        <f t="shared" si="45"/>
        <v>0</v>
      </c>
      <c r="DI59" s="83"/>
      <c r="DJ59" s="55"/>
    </row>
    <row r="60" spans="1:114" s="173" customFormat="1">
      <c r="A60" s="150">
        <f t="shared" si="17"/>
        <v>43949</v>
      </c>
      <c r="B60" s="165">
        <v>616</v>
      </c>
      <c r="C60" s="165">
        <v>113</v>
      </c>
      <c r="D60" s="165">
        <v>1377</v>
      </c>
      <c r="E60" s="165">
        <v>919</v>
      </c>
      <c r="F60" s="165">
        <v>36</v>
      </c>
      <c r="G60" s="165">
        <v>26</v>
      </c>
      <c r="H60" s="165">
        <v>29</v>
      </c>
      <c r="I60" s="165">
        <v>17</v>
      </c>
      <c r="J60" s="165">
        <v>1870</v>
      </c>
      <c r="K60" s="165">
        <f t="shared" si="20"/>
        <v>5003</v>
      </c>
      <c r="L60" s="166"/>
      <c r="M60" s="166"/>
      <c r="N60" s="166"/>
      <c r="O60" s="166"/>
      <c r="P60" s="166"/>
      <c r="Q60" s="166"/>
      <c r="R60" s="166"/>
      <c r="S60" s="166"/>
      <c r="T60" s="166"/>
      <c r="U60" s="166">
        <f t="shared" si="21"/>
        <v>0</v>
      </c>
      <c r="V60" s="167"/>
      <c r="W60" s="167"/>
      <c r="X60" s="167"/>
      <c r="Y60" s="167"/>
      <c r="Z60" s="167"/>
      <c r="AA60" s="167"/>
      <c r="AB60" s="167"/>
      <c r="AC60" s="167"/>
      <c r="AD60" s="167"/>
      <c r="AE60" s="167">
        <f t="shared" si="22"/>
        <v>0</v>
      </c>
      <c r="AF60" s="168"/>
      <c r="AG60" s="168"/>
      <c r="AH60" s="168"/>
      <c r="AI60" s="168"/>
      <c r="AJ60" s="168"/>
      <c r="AK60" s="168"/>
      <c r="AL60" s="168"/>
      <c r="AM60" s="168"/>
      <c r="AN60" s="168"/>
      <c r="AO60" s="168">
        <f t="shared" si="23"/>
        <v>0</v>
      </c>
      <c r="AP60" s="57">
        <f t="shared" si="71"/>
        <v>28</v>
      </c>
      <c r="AQ60" s="57">
        <f t="shared" si="72"/>
        <v>2</v>
      </c>
      <c r="AR60" s="57">
        <f t="shared" si="73"/>
        <v>24</v>
      </c>
      <c r="AS60" s="57">
        <f t="shared" si="74"/>
        <v>17</v>
      </c>
      <c r="AT60" s="57">
        <f t="shared" si="75"/>
        <v>0</v>
      </c>
      <c r="AU60" s="57">
        <f t="shared" si="76"/>
        <v>0</v>
      </c>
      <c r="AV60" s="57">
        <f t="shared" si="70"/>
        <v>1</v>
      </c>
      <c r="AW60" s="57">
        <f t="shared" si="70"/>
        <v>0</v>
      </c>
      <c r="AX60" s="57">
        <f t="shared" si="70"/>
        <v>133</v>
      </c>
      <c r="AY60" s="57">
        <f t="shared" si="47"/>
        <v>205</v>
      </c>
      <c r="AZ60" s="170"/>
      <c r="BA60" s="170"/>
      <c r="BB60" s="170"/>
      <c r="BC60" s="170"/>
      <c r="BD60" s="170"/>
      <c r="BE60" s="170"/>
      <c r="BF60" s="170"/>
      <c r="BG60" s="170"/>
      <c r="BH60" s="170"/>
      <c r="BI60" s="152">
        <f t="shared" si="48"/>
        <v>0</v>
      </c>
      <c r="BJ60" s="171"/>
      <c r="BK60" s="171"/>
      <c r="BL60" s="171"/>
      <c r="BM60" s="171"/>
      <c r="BN60" s="171"/>
      <c r="BO60" s="171"/>
      <c r="BP60" s="171"/>
      <c r="BQ60" s="171"/>
      <c r="BR60" s="171"/>
      <c r="BS60" s="163">
        <f t="shared" si="49"/>
        <v>0</v>
      </c>
      <c r="BT60" s="172"/>
      <c r="BU60" s="172"/>
      <c r="BV60" s="172"/>
      <c r="BW60" s="172"/>
      <c r="BX60" s="172"/>
      <c r="BY60" s="172"/>
      <c r="BZ60" s="172"/>
      <c r="CA60" s="172"/>
      <c r="CB60" s="172"/>
      <c r="CC60" s="164">
        <f t="shared" si="25"/>
        <v>0</v>
      </c>
      <c r="CD60" s="180">
        <f t="shared" si="61"/>
        <v>442</v>
      </c>
      <c r="CE60" s="180">
        <f t="shared" si="62"/>
        <v>15</v>
      </c>
      <c r="CF60" s="180">
        <f t="shared" si="63"/>
        <v>468</v>
      </c>
      <c r="CG60" s="180">
        <f t="shared" si="64"/>
        <v>430</v>
      </c>
      <c r="CH60" s="180">
        <f t="shared" si="65"/>
        <v>12</v>
      </c>
      <c r="CI60" s="180">
        <f t="shared" si="66"/>
        <v>4</v>
      </c>
      <c r="CJ60" s="180">
        <f t="shared" si="67"/>
        <v>7</v>
      </c>
      <c r="CK60" s="180">
        <f t="shared" si="68"/>
        <v>1</v>
      </c>
      <c r="CL60" s="180">
        <f t="shared" si="69"/>
        <v>1227</v>
      </c>
      <c r="CM60" s="180">
        <f t="shared" si="69"/>
        <v>2606</v>
      </c>
      <c r="CN60" s="183">
        <f t="shared" si="51"/>
        <v>8.9655401386302134E-5</v>
      </c>
      <c r="CO60" s="183">
        <f t="shared" si="52"/>
        <v>4.0228925665658709E-5</v>
      </c>
      <c r="CP60" s="183">
        <f t="shared" si="53"/>
        <v>8.8050283739648421E-5</v>
      </c>
      <c r="CQ60" s="183">
        <f t="shared" si="54"/>
        <v>8.3542810400412677E-5</v>
      </c>
      <c r="CR60" s="183">
        <f t="shared" si="55"/>
        <v>6.1498250437955523E-6</v>
      </c>
      <c r="CS60" s="183">
        <f t="shared" si="56"/>
        <v>5.4063198867741955E-6</v>
      </c>
      <c r="CT60" s="183">
        <f t="shared" si="57"/>
        <v>7.0600361891354499E-6</v>
      </c>
      <c r="CU60" s="183">
        <f t="shared" si="58"/>
        <v>1.2857088142506239E-5</v>
      </c>
      <c r="CV60" s="183">
        <f t="shared" si="59"/>
        <v>2.560046295088984E-4</v>
      </c>
      <c r="CW60" s="183">
        <f t="shared" si="60"/>
        <v>8.3779558263621541E-5</v>
      </c>
      <c r="CX60" s="193">
        <f t="shared" si="36"/>
        <v>0</v>
      </c>
      <c r="CY60" s="193">
        <f t="shared" si="37"/>
        <v>0</v>
      </c>
      <c r="CZ60" s="193">
        <f t="shared" si="38"/>
        <v>0</v>
      </c>
      <c r="DA60" s="193">
        <f t="shared" si="39"/>
        <v>0</v>
      </c>
      <c r="DB60" s="193">
        <f t="shared" si="40"/>
        <v>0</v>
      </c>
      <c r="DC60" s="193">
        <f t="shared" si="41"/>
        <v>0</v>
      </c>
      <c r="DD60" s="193">
        <f t="shared" si="42"/>
        <v>0</v>
      </c>
      <c r="DE60" s="193">
        <f t="shared" si="43"/>
        <v>0</v>
      </c>
      <c r="DF60" s="193">
        <f t="shared" si="44"/>
        <v>0</v>
      </c>
      <c r="DG60" s="193">
        <f t="shared" si="45"/>
        <v>0</v>
      </c>
      <c r="DI60" s="83"/>
      <c r="DJ60" s="55"/>
    </row>
    <row r="61" spans="1:114" s="173" customFormat="1">
      <c r="A61" s="150">
        <f t="shared" si="17"/>
        <v>43950</v>
      </c>
      <c r="B61" s="165">
        <v>630</v>
      </c>
      <c r="C61" s="165">
        <v>113</v>
      </c>
      <c r="D61" s="165">
        <v>1408</v>
      </c>
      <c r="E61" s="165">
        <v>956</v>
      </c>
      <c r="F61" s="165">
        <v>36</v>
      </c>
      <c r="G61" s="165">
        <v>31</v>
      </c>
      <c r="H61" s="165">
        <v>29</v>
      </c>
      <c r="I61" s="165">
        <v>17</v>
      </c>
      <c r="J61" s="165">
        <v>2135</v>
      </c>
      <c r="K61" s="165">
        <f t="shared" si="20"/>
        <v>5355</v>
      </c>
      <c r="L61" s="166"/>
      <c r="M61" s="166"/>
      <c r="N61" s="166"/>
      <c r="O61" s="166"/>
      <c r="P61" s="166"/>
      <c r="Q61" s="166"/>
      <c r="R61" s="166"/>
      <c r="S61" s="166"/>
      <c r="T61" s="166"/>
      <c r="U61" s="166">
        <f t="shared" si="21"/>
        <v>0</v>
      </c>
      <c r="V61" s="167"/>
      <c r="W61" s="167"/>
      <c r="X61" s="167"/>
      <c r="Y61" s="167"/>
      <c r="Z61" s="167"/>
      <c r="AA61" s="167"/>
      <c r="AB61" s="167"/>
      <c r="AC61" s="167"/>
      <c r="AD61" s="167"/>
      <c r="AE61" s="167">
        <f t="shared" si="22"/>
        <v>0</v>
      </c>
      <c r="AF61" s="168"/>
      <c r="AG61" s="168"/>
      <c r="AH61" s="168"/>
      <c r="AI61" s="168"/>
      <c r="AJ61" s="168"/>
      <c r="AK61" s="168"/>
      <c r="AL61" s="168"/>
      <c r="AM61" s="168"/>
      <c r="AN61" s="168"/>
      <c r="AO61" s="168">
        <f t="shared" si="23"/>
        <v>0</v>
      </c>
      <c r="AP61" s="57">
        <f t="shared" si="71"/>
        <v>14</v>
      </c>
      <c r="AQ61" s="57">
        <f t="shared" si="72"/>
        <v>0</v>
      </c>
      <c r="AR61" s="57">
        <f t="shared" si="73"/>
        <v>31</v>
      </c>
      <c r="AS61" s="57">
        <f t="shared" si="74"/>
        <v>37</v>
      </c>
      <c r="AT61" s="57">
        <f t="shared" si="75"/>
        <v>0</v>
      </c>
      <c r="AU61" s="57">
        <f t="shared" si="76"/>
        <v>5</v>
      </c>
      <c r="AV61" s="57">
        <f t="shared" si="70"/>
        <v>0</v>
      </c>
      <c r="AW61" s="57">
        <f t="shared" si="70"/>
        <v>0</v>
      </c>
      <c r="AX61" s="57">
        <f t="shared" si="70"/>
        <v>265</v>
      </c>
      <c r="AY61" s="57">
        <f t="shared" si="47"/>
        <v>352</v>
      </c>
      <c r="AZ61" s="170"/>
      <c r="BA61" s="170"/>
      <c r="BB61" s="170"/>
      <c r="BC61" s="170"/>
      <c r="BD61" s="170"/>
      <c r="BE61" s="170"/>
      <c r="BF61" s="170"/>
      <c r="BG61" s="170"/>
      <c r="BH61" s="170"/>
      <c r="BI61" s="152">
        <f t="shared" si="48"/>
        <v>0</v>
      </c>
      <c r="BJ61" s="171"/>
      <c r="BK61" s="171"/>
      <c r="BL61" s="171"/>
      <c r="BM61" s="171"/>
      <c r="BN61" s="171"/>
      <c r="BO61" s="171"/>
      <c r="BP61" s="171"/>
      <c r="BQ61" s="171"/>
      <c r="BR61" s="171"/>
      <c r="BS61" s="163">
        <f t="shared" si="49"/>
        <v>0</v>
      </c>
      <c r="BT61" s="172"/>
      <c r="BU61" s="172"/>
      <c r="BV61" s="172"/>
      <c r="BW61" s="172"/>
      <c r="BX61" s="172"/>
      <c r="BY61" s="172"/>
      <c r="BZ61" s="172"/>
      <c r="CA61" s="172"/>
      <c r="CB61" s="172"/>
      <c r="CC61" s="164">
        <f t="shared" si="25"/>
        <v>0</v>
      </c>
      <c r="CD61" s="180">
        <f t="shared" si="61"/>
        <v>431</v>
      </c>
      <c r="CE61" s="180">
        <f t="shared" si="62"/>
        <v>16</v>
      </c>
      <c r="CF61" s="180">
        <f t="shared" si="63"/>
        <v>478</v>
      </c>
      <c r="CG61" s="180">
        <f t="shared" si="64"/>
        <v>437</v>
      </c>
      <c r="CH61" s="180">
        <f t="shared" si="65"/>
        <v>11</v>
      </c>
      <c r="CI61" s="180">
        <f t="shared" si="66"/>
        <v>9</v>
      </c>
      <c r="CJ61" s="180">
        <f t="shared" si="67"/>
        <v>6</v>
      </c>
      <c r="CK61" s="180">
        <f t="shared" si="68"/>
        <v>1</v>
      </c>
      <c r="CL61" s="180">
        <f t="shared" si="69"/>
        <v>1478</v>
      </c>
      <c r="CM61" s="180">
        <f t="shared" si="69"/>
        <v>2867</v>
      </c>
      <c r="CN61" s="183">
        <f t="shared" si="51"/>
        <v>9.1693024145081731E-5</v>
      </c>
      <c r="CO61" s="183">
        <f t="shared" si="52"/>
        <v>4.0228925665658709E-5</v>
      </c>
      <c r="CP61" s="183">
        <f t="shared" si="53"/>
        <v>9.0032534136111095E-5</v>
      </c>
      <c r="CQ61" s="183">
        <f t="shared" si="54"/>
        <v>8.6906340307719827E-5</v>
      </c>
      <c r="CR61" s="183">
        <f t="shared" si="55"/>
        <v>6.1498250437955523E-6</v>
      </c>
      <c r="CS61" s="183">
        <f t="shared" si="56"/>
        <v>6.4459967880769254E-6</v>
      </c>
      <c r="CT61" s="183">
        <f t="shared" si="57"/>
        <v>7.0600361891354499E-6</v>
      </c>
      <c r="CU61" s="183">
        <f t="shared" si="58"/>
        <v>1.2857088142506239E-5</v>
      </c>
      <c r="CV61" s="183">
        <f t="shared" si="59"/>
        <v>2.9228336042860857E-4</v>
      </c>
      <c r="CW61" s="183">
        <f t="shared" si="60"/>
        <v>8.9674102438875344E-5</v>
      </c>
      <c r="CX61" s="193">
        <f t="shared" si="36"/>
        <v>0</v>
      </c>
      <c r="CY61" s="193">
        <f t="shared" si="37"/>
        <v>0</v>
      </c>
      <c r="CZ61" s="193">
        <f t="shared" si="38"/>
        <v>0</v>
      </c>
      <c r="DA61" s="193">
        <f t="shared" si="39"/>
        <v>0</v>
      </c>
      <c r="DB61" s="193">
        <f t="shared" si="40"/>
        <v>0</v>
      </c>
      <c r="DC61" s="193">
        <f t="shared" si="41"/>
        <v>0</v>
      </c>
      <c r="DD61" s="193">
        <f t="shared" si="42"/>
        <v>0</v>
      </c>
      <c r="DE61" s="193">
        <f t="shared" si="43"/>
        <v>0</v>
      </c>
      <c r="DF61" s="193">
        <f t="shared" si="44"/>
        <v>0</v>
      </c>
      <c r="DG61" s="193">
        <f t="shared" si="45"/>
        <v>0</v>
      </c>
      <c r="DI61" s="83"/>
      <c r="DJ61" s="55"/>
    </row>
    <row r="62" spans="1:114" s="173" customFormat="1">
      <c r="A62" s="150">
        <f t="shared" si="17"/>
        <v>43951</v>
      </c>
      <c r="B62" s="165">
        <v>647</v>
      </c>
      <c r="C62" s="165">
        <v>116</v>
      </c>
      <c r="D62" s="165">
        <v>1446</v>
      </c>
      <c r="E62" s="165">
        <v>980</v>
      </c>
      <c r="F62" s="165">
        <v>32</v>
      </c>
      <c r="G62" s="165">
        <v>36</v>
      </c>
      <c r="H62" s="165">
        <v>31</v>
      </c>
      <c r="I62" s="165">
        <v>17</v>
      </c>
      <c r="J62" s="165">
        <v>2342</v>
      </c>
      <c r="K62" s="165">
        <f t="shared" si="20"/>
        <v>5647</v>
      </c>
      <c r="L62" s="166"/>
      <c r="M62" s="166"/>
      <c r="N62" s="166"/>
      <c r="O62" s="166"/>
      <c r="P62" s="166"/>
      <c r="Q62" s="166"/>
      <c r="R62" s="166"/>
      <c r="S62" s="166"/>
      <c r="T62" s="166"/>
      <c r="U62" s="166">
        <f t="shared" si="21"/>
        <v>0</v>
      </c>
      <c r="V62" s="167"/>
      <c r="W62" s="167"/>
      <c r="X62" s="167"/>
      <c r="Y62" s="167"/>
      <c r="Z62" s="167"/>
      <c r="AA62" s="167"/>
      <c r="AB62" s="167"/>
      <c r="AC62" s="167"/>
      <c r="AD62" s="167"/>
      <c r="AE62" s="167">
        <f t="shared" si="22"/>
        <v>0</v>
      </c>
      <c r="AF62" s="168"/>
      <c r="AG62" s="168"/>
      <c r="AH62" s="168"/>
      <c r="AI62" s="168"/>
      <c r="AJ62" s="168"/>
      <c r="AK62" s="168"/>
      <c r="AL62" s="168"/>
      <c r="AM62" s="168"/>
      <c r="AN62" s="168"/>
      <c r="AO62" s="168">
        <f t="shared" si="23"/>
        <v>0</v>
      </c>
      <c r="AP62" s="57">
        <f t="shared" si="71"/>
        <v>17</v>
      </c>
      <c r="AQ62" s="57">
        <f t="shared" si="72"/>
        <v>3</v>
      </c>
      <c r="AR62" s="57">
        <f t="shared" si="73"/>
        <v>38</v>
      </c>
      <c r="AS62" s="57">
        <f t="shared" si="74"/>
        <v>24</v>
      </c>
      <c r="AT62" s="57">
        <f t="shared" si="75"/>
        <v>-4</v>
      </c>
      <c r="AU62" s="57">
        <f t="shared" si="76"/>
        <v>5</v>
      </c>
      <c r="AV62" s="57">
        <f t="shared" si="70"/>
        <v>2</v>
      </c>
      <c r="AW62" s="57">
        <f t="shared" si="70"/>
        <v>0</v>
      </c>
      <c r="AX62" s="57">
        <f t="shared" si="70"/>
        <v>207</v>
      </c>
      <c r="AY62" s="57">
        <f t="shared" si="47"/>
        <v>292</v>
      </c>
      <c r="AZ62" s="170"/>
      <c r="BA62" s="170"/>
      <c r="BB62" s="170"/>
      <c r="BC62" s="170"/>
      <c r="BD62" s="170"/>
      <c r="BE62" s="170"/>
      <c r="BF62" s="170"/>
      <c r="BG62" s="170"/>
      <c r="BH62" s="170"/>
      <c r="BI62" s="152">
        <f t="shared" si="48"/>
        <v>0</v>
      </c>
      <c r="BJ62" s="171"/>
      <c r="BK62" s="171"/>
      <c r="BL62" s="171"/>
      <c r="BM62" s="171"/>
      <c r="BN62" s="171"/>
      <c r="BO62" s="171"/>
      <c r="BP62" s="171"/>
      <c r="BQ62" s="171"/>
      <c r="BR62" s="171"/>
      <c r="BS62" s="163">
        <f t="shared" si="49"/>
        <v>0</v>
      </c>
      <c r="BT62" s="172"/>
      <c r="BU62" s="172"/>
      <c r="BV62" s="172"/>
      <c r="BW62" s="172"/>
      <c r="BX62" s="172"/>
      <c r="BY62" s="172"/>
      <c r="BZ62" s="172"/>
      <c r="CA62" s="172"/>
      <c r="CB62" s="172"/>
      <c r="CC62" s="164">
        <f t="shared" si="25"/>
        <v>0</v>
      </c>
      <c r="CD62" s="180">
        <f t="shared" si="61"/>
        <v>427</v>
      </c>
      <c r="CE62" s="180">
        <f t="shared" si="62"/>
        <v>18</v>
      </c>
      <c r="CF62" s="180">
        <f t="shared" si="63"/>
        <v>477</v>
      </c>
      <c r="CG62" s="180">
        <f t="shared" si="64"/>
        <v>441</v>
      </c>
      <c r="CH62" s="180">
        <f t="shared" si="65"/>
        <v>6</v>
      </c>
      <c r="CI62" s="180">
        <f t="shared" si="66"/>
        <v>14</v>
      </c>
      <c r="CJ62" s="180">
        <f t="shared" si="67"/>
        <v>7</v>
      </c>
      <c r="CK62" s="180">
        <f t="shared" si="68"/>
        <v>1</v>
      </c>
      <c r="CL62" s="180">
        <f t="shared" si="69"/>
        <v>1667</v>
      </c>
      <c r="CM62" s="180">
        <f t="shared" si="69"/>
        <v>3058</v>
      </c>
      <c r="CN62" s="183">
        <f t="shared" si="51"/>
        <v>9.4167280352171242E-5</v>
      </c>
      <c r="CO62" s="183">
        <f t="shared" si="52"/>
        <v>4.1296950240853193E-5</v>
      </c>
      <c r="CP62" s="183">
        <f t="shared" si="53"/>
        <v>9.2462389460807269E-5</v>
      </c>
      <c r="CQ62" s="183">
        <f t="shared" si="54"/>
        <v>8.9088089436783932E-5</v>
      </c>
      <c r="CR62" s="183">
        <f t="shared" si="55"/>
        <v>5.4665111500404917E-6</v>
      </c>
      <c r="CS62" s="183">
        <f t="shared" si="56"/>
        <v>7.4856736893796553E-6</v>
      </c>
      <c r="CT62" s="183">
        <f t="shared" si="57"/>
        <v>7.5469352366620325E-6</v>
      </c>
      <c r="CU62" s="183">
        <f t="shared" si="58"/>
        <v>1.2857088142506239E-5</v>
      </c>
      <c r="CV62" s="183">
        <f t="shared" si="59"/>
        <v>3.2062184080740107E-4</v>
      </c>
      <c r="CW62" s="183">
        <f t="shared" si="60"/>
        <v>9.4563894766074515E-5</v>
      </c>
      <c r="CX62" s="193">
        <f t="shared" si="36"/>
        <v>0</v>
      </c>
      <c r="CY62" s="193">
        <f t="shared" si="37"/>
        <v>0</v>
      </c>
      <c r="CZ62" s="193">
        <f t="shared" si="38"/>
        <v>0</v>
      </c>
      <c r="DA62" s="193">
        <f t="shared" si="39"/>
        <v>0</v>
      </c>
      <c r="DB62" s="193">
        <f t="shared" si="40"/>
        <v>0</v>
      </c>
      <c r="DC62" s="193">
        <f t="shared" si="41"/>
        <v>0</v>
      </c>
      <c r="DD62" s="193">
        <f t="shared" si="42"/>
        <v>0</v>
      </c>
      <c r="DE62" s="193">
        <f t="shared" si="43"/>
        <v>0</v>
      </c>
      <c r="DF62" s="193">
        <f t="shared" si="44"/>
        <v>0</v>
      </c>
      <c r="DG62" s="193">
        <f t="shared" si="45"/>
        <v>0</v>
      </c>
      <c r="DI62" s="83"/>
      <c r="DJ62" s="55"/>
    </row>
    <row r="63" spans="1:114" s="173" customFormat="1">
      <c r="A63" s="150">
        <f t="shared" si="17"/>
        <v>43952</v>
      </c>
      <c r="B63" s="165">
        <v>691</v>
      </c>
      <c r="C63" s="165">
        <v>118</v>
      </c>
      <c r="D63" s="165">
        <v>1507</v>
      </c>
      <c r="E63" s="165">
        <v>1006</v>
      </c>
      <c r="F63" s="165">
        <v>34</v>
      </c>
      <c r="G63" s="165">
        <v>35</v>
      </c>
      <c r="H63" s="165">
        <v>35</v>
      </c>
      <c r="I63" s="165">
        <v>18</v>
      </c>
      <c r="J63" s="165">
        <v>2507</v>
      </c>
      <c r="K63" s="165">
        <f t="shared" si="20"/>
        <v>5951</v>
      </c>
      <c r="L63" s="166"/>
      <c r="M63" s="166"/>
      <c r="N63" s="166"/>
      <c r="O63" s="166"/>
      <c r="P63" s="166"/>
      <c r="Q63" s="166"/>
      <c r="R63" s="166"/>
      <c r="S63" s="166"/>
      <c r="T63" s="166"/>
      <c r="U63" s="166">
        <f t="shared" si="21"/>
        <v>0</v>
      </c>
      <c r="V63" s="167"/>
      <c r="W63" s="167"/>
      <c r="X63" s="167"/>
      <c r="Y63" s="167"/>
      <c r="Z63" s="167"/>
      <c r="AA63" s="167"/>
      <c r="AB63" s="167"/>
      <c r="AC63" s="167"/>
      <c r="AD63" s="167"/>
      <c r="AE63" s="167">
        <f t="shared" si="22"/>
        <v>0</v>
      </c>
      <c r="AF63" s="168"/>
      <c r="AG63" s="168"/>
      <c r="AH63" s="168"/>
      <c r="AI63" s="168"/>
      <c r="AJ63" s="168"/>
      <c r="AK63" s="168"/>
      <c r="AL63" s="168"/>
      <c r="AM63" s="168"/>
      <c r="AN63" s="168"/>
      <c r="AO63" s="168">
        <f t="shared" si="23"/>
        <v>0</v>
      </c>
      <c r="AP63" s="57">
        <f t="shared" si="71"/>
        <v>44</v>
      </c>
      <c r="AQ63" s="57">
        <f t="shared" si="72"/>
        <v>2</v>
      </c>
      <c r="AR63" s="57">
        <f t="shared" si="73"/>
        <v>61</v>
      </c>
      <c r="AS63" s="57">
        <f t="shared" si="74"/>
        <v>26</v>
      </c>
      <c r="AT63" s="57">
        <f t="shared" si="75"/>
        <v>2</v>
      </c>
      <c r="AU63" s="57">
        <f t="shared" si="76"/>
        <v>-1</v>
      </c>
      <c r="AV63" s="57">
        <f t="shared" si="70"/>
        <v>4</v>
      </c>
      <c r="AW63" s="57">
        <f t="shared" si="70"/>
        <v>1</v>
      </c>
      <c r="AX63" s="57">
        <f t="shared" si="70"/>
        <v>165</v>
      </c>
      <c r="AY63" s="57">
        <f t="shared" si="47"/>
        <v>304</v>
      </c>
      <c r="AZ63" s="170"/>
      <c r="BA63" s="170"/>
      <c r="BB63" s="170"/>
      <c r="BC63" s="170"/>
      <c r="BD63" s="170"/>
      <c r="BE63" s="170"/>
      <c r="BF63" s="170"/>
      <c r="BG63" s="170"/>
      <c r="BH63" s="170"/>
      <c r="BI63" s="152">
        <f t="shared" si="48"/>
        <v>0</v>
      </c>
      <c r="BJ63" s="171"/>
      <c r="BK63" s="171"/>
      <c r="BL63" s="171"/>
      <c r="BM63" s="171"/>
      <c r="BN63" s="171"/>
      <c r="BO63" s="171"/>
      <c r="BP63" s="171"/>
      <c r="BQ63" s="171"/>
      <c r="BR63" s="171"/>
      <c r="BS63" s="163">
        <f t="shared" si="49"/>
        <v>0</v>
      </c>
      <c r="BT63" s="172"/>
      <c r="BU63" s="172"/>
      <c r="BV63" s="172"/>
      <c r="BW63" s="172"/>
      <c r="BX63" s="172"/>
      <c r="BY63" s="172"/>
      <c r="BZ63" s="172"/>
      <c r="CA63" s="172"/>
      <c r="CB63" s="172"/>
      <c r="CC63" s="164">
        <f t="shared" si="25"/>
        <v>0</v>
      </c>
      <c r="CD63" s="180">
        <f t="shared" si="61"/>
        <v>445</v>
      </c>
      <c r="CE63" s="180">
        <f t="shared" si="62"/>
        <v>18</v>
      </c>
      <c r="CF63" s="180">
        <f t="shared" si="63"/>
        <v>489</v>
      </c>
      <c r="CG63" s="180">
        <f t="shared" si="64"/>
        <v>415</v>
      </c>
      <c r="CH63" s="180">
        <f t="shared" si="65"/>
        <v>8</v>
      </c>
      <c r="CI63" s="180">
        <f t="shared" si="66"/>
        <v>12</v>
      </c>
      <c r="CJ63" s="180">
        <f t="shared" si="67"/>
        <v>11</v>
      </c>
      <c r="CK63" s="180">
        <f t="shared" si="68"/>
        <v>2</v>
      </c>
      <c r="CL63" s="180">
        <f t="shared" si="69"/>
        <v>1790</v>
      </c>
      <c r="CM63" s="180">
        <f t="shared" si="69"/>
        <v>3190</v>
      </c>
      <c r="CN63" s="183">
        <f t="shared" si="51"/>
        <v>1.0057123759404997E-4</v>
      </c>
      <c r="CO63" s="183">
        <f t="shared" si="52"/>
        <v>4.2008966624316175E-5</v>
      </c>
      <c r="CP63" s="183">
        <f t="shared" si="53"/>
        <v>9.6362946692556402E-5</v>
      </c>
      <c r="CQ63" s="183">
        <f t="shared" si="54"/>
        <v>9.1451650993270035E-5</v>
      </c>
      <c r="CR63" s="183">
        <f t="shared" si="55"/>
        <v>5.808168096918022E-6</v>
      </c>
      <c r="CS63" s="183">
        <f t="shared" si="56"/>
        <v>7.2777383091191095E-6</v>
      </c>
      <c r="CT63" s="183">
        <f t="shared" si="57"/>
        <v>8.5207333317151985E-6</v>
      </c>
      <c r="CU63" s="183">
        <f t="shared" si="58"/>
        <v>1.3613387445006608E-5</v>
      </c>
      <c r="CV63" s="183">
        <f t="shared" si="59"/>
        <v>3.4321048458759801E-4</v>
      </c>
      <c r="CW63" s="183">
        <f t="shared" si="60"/>
        <v>9.9654637462884621E-5</v>
      </c>
      <c r="CX63" s="193">
        <f t="shared" si="36"/>
        <v>0</v>
      </c>
      <c r="CY63" s="193">
        <f t="shared" si="37"/>
        <v>0</v>
      </c>
      <c r="CZ63" s="193">
        <f t="shared" si="38"/>
        <v>0</v>
      </c>
      <c r="DA63" s="193">
        <f t="shared" si="39"/>
        <v>0</v>
      </c>
      <c r="DB63" s="193">
        <f t="shared" si="40"/>
        <v>0</v>
      </c>
      <c r="DC63" s="193">
        <f t="shared" si="41"/>
        <v>0</v>
      </c>
      <c r="DD63" s="193">
        <f t="shared" si="42"/>
        <v>0</v>
      </c>
      <c r="DE63" s="193">
        <f t="shared" si="43"/>
        <v>0</v>
      </c>
      <c r="DF63" s="193">
        <f t="shared" si="44"/>
        <v>0</v>
      </c>
      <c r="DG63" s="193">
        <f t="shared" si="45"/>
        <v>0</v>
      </c>
      <c r="DI63" s="83"/>
      <c r="DJ63" s="55"/>
    </row>
    <row r="64" spans="1:114" s="173" customFormat="1">
      <c r="A64" s="150">
        <f t="shared" si="17"/>
        <v>43953</v>
      </c>
      <c r="B64" s="165">
        <v>732</v>
      </c>
      <c r="C64" s="165">
        <v>121</v>
      </c>
      <c r="D64" s="165">
        <v>1598</v>
      </c>
      <c r="E64" s="165">
        <v>1051</v>
      </c>
      <c r="F64" s="165">
        <v>36</v>
      </c>
      <c r="G64" s="165">
        <v>40</v>
      </c>
      <c r="H64" s="165">
        <v>35</v>
      </c>
      <c r="I64" s="165">
        <v>23</v>
      </c>
      <c r="J64" s="165">
        <v>2700</v>
      </c>
      <c r="K64" s="165">
        <f t="shared" si="20"/>
        <v>6336</v>
      </c>
      <c r="L64" s="166"/>
      <c r="M64" s="166"/>
      <c r="N64" s="166"/>
      <c r="O64" s="166"/>
      <c r="P64" s="166"/>
      <c r="Q64" s="166"/>
      <c r="R64" s="166"/>
      <c r="S64" s="166"/>
      <c r="T64" s="166"/>
      <c r="U64" s="166">
        <f t="shared" si="21"/>
        <v>0</v>
      </c>
      <c r="V64" s="167"/>
      <c r="W64" s="167"/>
      <c r="X64" s="167"/>
      <c r="Y64" s="167"/>
      <c r="Z64" s="167"/>
      <c r="AA64" s="167"/>
      <c r="AB64" s="167"/>
      <c r="AC64" s="167"/>
      <c r="AD64" s="167"/>
      <c r="AE64" s="167">
        <f t="shared" si="22"/>
        <v>0</v>
      </c>
      <c r="AF64" s="168"/>
      <c r="AG64" s="168"/>
      <c r="AH64" s="168"/>
      <c r="AI64" s="168"/>
      <c r="AJ64" s="168"/>
      <c r="AK64" s="168"/>
      <c r="AL64" s="168"/>
      <c r="AM64" s="168"/>
      <c r="AN64" s="168"/>
      <c r="AO64" s="168">
        <f t="shared" si="23"/>
        <v>0</v>
      </c>
      <c r="AP64" s="57">
        <f t="shared" si="71"/>
        <v>41</v>
      </c>
      <c r="AQ64" s="57">
        <f t="shared" si="72"/>
        <v>3</v>
      </c>
      <c r="AR64" s="57">
        <f t="shared" si="73"/>
        <v>91</v>
      </c>
      <c r="AS64" s="57">
        <f t="shared" si="74"/>
        <v>45</v>
      </c>
      <c r="AT64" s="57">
        <f t="shared" si="75"/>
        <v>2</v>
      </c>
      <c r="AU64" s="57">
        <f t="shared" si="76"/>
        <v>5</v>
      </c>
      <c r="AV64" s="57">
        <f t="shared" si="70"/>
        <v>0</v>
      </c>
      <c r="AW64" s="57">
        <f t="shared" si="70"/>
        <v>5</v>
      </c>
      <c r="AX64" s="57">
        <f t="shared" si="70"/>
        <v>193</v>
      </c>
      <c r="AY64" s="57">
        <f t="shared" si="47"/>
        <v>385</v>
      </c>
      <c r="AZ64" s="170"/>
      <c r="BA64" s="170"/>
      <c r="BB64" s="170"/>
      <c r="BC64" s="170"/>
      <c r="BD64" s="170"/>
      <c r="BE64" s="170"/>
      <c r="BF64" s="170"/>
      <c r="BG64" s="170"/>
      <c r="BH64" s="170"/>
      <c r="BI64" s="152">
        <f t="shared" si="48"/>
        <v>0</v>
      </c>
      <c r="BJ64" s="171"/>
      <c r="BK64" s="171"/>
      <c r="BL64" s="171"/>
      <c r="BM64" s="171"/>
      <c r="BN64" s="171"/>
      <c r="BO64" s="171"/>
      <c r="BP64" s="171"/>
      <c r="BQ64" s="171"/>
      <c r="BR64" s="171"/>
      <c r="BS64" s="163">
        <f t="shared" si="49"/>
        <v>0</v>
      </c>
      <c r="BT64" s="172"/>
      <c r="BU64" s="172"/>
      <c r="BV64" s="172"/>
      <c r="BW64" s="172"/>
      <c r="BX64" s="172"/>
      <c r="BY64" s="172"/>
      <c r="BZ64" s="172"/>
      <c r="CA64" s="172"/>
      <c r="CB64" s="172"/>
      <c r="CC64" s="164">
        <f t="shared" si="25"/>
        <v>0</v>
      </c>
      <c r="CD64" s="180">
        <f t="shared" si="61"/>
        <v>462</v>
      </c>
      <c r="CE64" s="180">
        <f t="shared" si="62"/>
        <v>21</v>
      </c>
      <c r="CF64" s="180">
        <f t="shared" si="63"/>
        <v>497</v>
      </c>
      <c r="CG64" s="180">
        <f t="shared" si="64"/>
        <v>447</v>
      </c>
      <c r="CH64" s="180">
        <f t="shared" si="65"/>
        <v>5</v>
      </c>
      <c r="CI64" s="180">
        <f t="shared" si="66"/>
        <v>15</v>
      </c>
      <c r="CJ64" s="180">
        <f t="shared" si="67"/>
        <v>11</v>
      </c>
      <c r="CK64" s="180">
        <f t="shared" si="68"/>
        <v>7</v>
      </c>
      <c r="CL64" s="180">
        <f t="shared" si="69"/>
        <v>1862</v>
      </c>
      <c r="CM64" s="180">
        <f t="shared" si="69"/>
        <v>3327</v>
      </c>
      <c r="CN64" s="183">
        <f t="shared" si="51"/>
        <v>1.0653856138761878E-4</v>
      </c>
      <c r="CO64" s="183">
        <f t="shared" si="52"/>
        <v>4.3076991199510659E-5</v>
      </c>
      <c r="CP64" s="183">
        <f t="shared" si="53"/>
        <v>1.0218181075959199E-4</v>
      </c>
      <c r="CQ64" s="183">
        <f t="shared" si="54"/>
        <v>9.5542430610265206E-5</v>
      </c>
      <c r="CR64" s="183">
        <f t="shared" si="55"/>
        <v>6.1498250437955523E-6</v>
      </c>
      <c r="CS64" s="183">
        <f t="shared" si="56"/>
        <v>8.3174152104218394E-6</v>
      </c>
      <c r="CT64" s="183">
        <f t="shared" si="57"/>
        <v>8.5207333317151985E-6</v>
      </c>
      <c r="CU64" s="183">
        <f t="shared" si="58"/>
        <v>1.7394883957508441E-5</v>
      </c>
      <c r="CV64" s="183">
        <f t="shared" si="59"/>
        <v>3.6963235276685864E-4</v>
      </c>
      <c r="CW64" s="183">
        <f t="shared" si="60"/>
        <v>1.0610179515456847E-4</v>
      </c>
      <c r="CX64" s="193">
        <f t="shared" si="36"/>
        <v>0</v>
      </c>
      <c r="CY64" s="193">
        <f t="shared" si="37"/>
        <v>0</v>
      </c>
      <c r="CZ64" s="193">
        <f t="shared" si="38"/>
        <v>0</v>
      </c>
      <c r="DA64" s="193">
        <f t="shared" si="39"/>
        <v>0</v>
      </c>
      <c r="DB64" s="193">
        <f t="shared" si="40"/>
        <v>0</v>
      </c>
      <c r="DC64" s="193">
        <f t="shared" si="41"/>
        <v>0</v>
      </c>
      <c r="DD64" s="193">
        <f t="shared" si="42"/>
        <v>0</v>
      </c>
      <c r="DE64" s="193">
        <f t="shared" si="43"/>
        <v>0</v>
      </c>
      <c r="DF64" s="193">
        <f t="shared" si="44"/>
        <v>0</v>
      </c>
      <c r="DG64" s="193">
        <f t="shared" si="45"/>
        <v>0</v>
      </c>
      <c r="DI64" s="83"/>
      <c r="DJ64" s="55"/>
    </row>
    <row r="65" spans="1:114" s="173" customFormat="1">
      <c r="A65" s="150">
        <f t="shared" si="17"/>
        <v>43954</v>
      </c>
      <c r="B65" s="165">
        <v>774</v>
      </c>
      <c r="C65" s="165">
        <v>122</v>
      </c>
      <c r="D65" s="165">
        <v>1624</v>
      </c>
      <c r="E65" s="165">
        <v>1076</v>
      </c>
      <c r="F65" s="165">
        <v>37</v>
      </c>
      <c r="G65" s="165">
        <v>46</v>
      </c>
      <c r="H65" s="165">
        <v>36</v>
      </c>
      <c r="I65" s="165">
        <v>24</v>
      </c>
      <c r="J65" s="165">
        <v>3044</v>
      </c>
      <c r="K65" s="165">
        <f t="shared" si="20"/>
        <v>6783</v>
      </c>
      <c r="L65" s="166"/>
      <c r="M65" s="166"/>
      <c r="N65" s="166"/>
      <c r="O65" s="166"/>
      <c r="P65" s="166"/>
      <c r="Q65" s="166"/>
      <c r="R65" s="166"/>
      <c r="S65" s="166"/>
      <c r="T65" s="166"/>
      <c r="U65" s="166">
        <f t="shared" si="21"/>
        <v>0</v>
      </c>
      <c r="V65" s="167"/>
      <c r="W65" s="167"/>
      <c r="X65" s="167"/>
      <c r="Y65" s="167"/>
      <c r="Z65" s="167"/>
      <c r="AA65" s="167"/>
      <c r="AB65" s="167"/>
      <c r="AC65" s="167"/>
      <c r="AD65" s="167"/>
      <c r="AE65" s="167">
        <f t="shared" si="22"/>
        <v>0</v>
      </c>
      <c r="AF65" s="168"/>
      <c r="AG65" s="168"/>
      <c r="AH65" s="168"/>
      <c r="AI65" s="168"/>
      <c r="AJ65" s="168"/>
      <c r="AK65" s="168"/>
      <c r="AL65" s="168"/>
      <c r="AM65" s="168"/>
      <c r="AN65" s="168"/>
      <c r="AO65" s="168">
        <f t="shared" si="23"/>
        <v>0</v>
      </c>
      <c r="AP65" s="57">
        <f t="shared" si="71"/>
        <v>42</v>
      </c>
      <c r="AQ65" s="57">
        <f t="shared" si="72"/>
        <v>1</v>
      </c>
      <c r="AR65" s="57">
        <f t="shared" si="73"/>
        <v>26</v>
      </c>
      <c r="AS65" s="57">
        <f t="shared" si="74"/>
        <v>25</v>
      </c>
      <c r="AT65" s="57">
        <f t="shared" si="75"/>
        <v>1</v>
      </c>
      <c r="AU65" s="57">
        <f t="shared" si="76"/>
        <v>6</v>
      </c>
      <c r="AV65" s="57">
        <f t="shared" si="70"/>
        <v>1</v>
      </c>
      <c r="AW65" s="57">
        <f t="shared" si="70"/>
        <v>1</v>
      </c>
      <c r="AX65" s="57">
        <f t="shared" si="70"/>
        <v>344</v>
      </c>
      <c r="AY65" s="57">
        <f t="shared" si="47"/>
        <v>447</v>
      </c>
      <c r="AZ65" s="170"/>
      <c r="BA65" s="170"/>
      <c r="BB65" s="170"/>
      <c r="BC65" s="170"/>
      <c r="BD65" s="170"/>
      <c r="BE65" s="170"/>
      <c r="BF65" s="170"/>
      <c r="BG65" s="170"/>
      <c r="BH65" s="170"/>
      <c r="BI65" s="152">
        <f t="shared" si="48"/>
        <v>0</v>
      </c>
      <c r="BJ65" s="171"/>
      <c r="BK65" s="171"/>
      <c r="BL65" s="171"/>
      <c r="BM65" s="171"/>
      <c r="BN65" s="171"/>
      <c r="BO65" s="171"/>
      <c r="BP65" s="171"/>
      <c r="BQ65" s="171"/>
      <c r="BR65" s="171"/>
      <c r="BS65" s="163">
        <f t="shared" si="49"/>
        <v>0</v>
      </c>
      <c r="BT65" s="172"/>
      <c r="BU65" s="172"/>
      <c r="BV65" s="172"/>
      <c r="BW65" s="172"/>
      <c r="BX65" s="172"/>
      <c r="BY65" s="172"/>
      <c r="BZ65" s="172"/>
      <c r="CA65" s="172"/>
      <c r="CB65" s="172"/>
      <c r="CC65" s="164">
        <f t="shared" si="25"/>
        <v>0</v>
      </c>
      <c r="CD65" s="180">
        <f t="shared" si="61"/>
        <v>481</v>
      </c>
      <c r="CE65" s="180">
        <f t="shared" si="62"/>
        <v>20</v>
      </c>
      <c r="CF65" s="180">
        <f t="shared" si="63"/>
        <v>476</v>
      </c>
      <c r="CG65" s="180">
        <f t="shared" si="64"/>
        <v>459</v>
      </c>
      <c r="CH65" s="180">
        <f t="shared" si="65"/>
        <v>5</v>
      </c>
      <c r="CI65" s="180">
        <f t="shared" si="66"/>
        <v>23</v>
      </c>
      <c r="CJ65" s="180">
        <f t="shared" si="67"/>
        <v>12</v>
      </c>
      <c r="CK65" s="180">
        <f t="shared" si="68"/>
        <v>8</v>
      </c>
      <c r="CL65" s="180">
        <f t="shared" si="69"/>
        <v>2176</v>
      </c>
      <c r="CM65" s="180">
        <f t="shared" si="69"/>
        <v>3660</v>
      </c>
      <c r="CN65" s="183">
        <f t="shared" si="51"/>
        <v>1.1265142966395756E-4</v>
      </c>
      <c r="CO65" s="183">
        <f t="shared" si="52"/>
        <v>4.3432999391242146E-5</v>
      </c>
      <c r="CP65" s="183">
        <f t="shared" si="53"/>
        <v>1.0384434335017359E-4</v>
      </c>
      <c r="CQ65" s="183">
        <f t="shared" si="54"/>
        <v>9.781508595304031E-5</v>
      </c>
      <c r="CR65" s="183">
        <f t="shared" si="55"/>
        <v>6.3206535172343183E-6</v>
      </c>
      <c r="CS65" s="183">
        <f t="shared" si="56"/>
        <v>9.5650274919851143E-6</v>
      </c>
      <c r="CT65" s="183">
        <f t="shared" si="57"/>
        <v>8.7641828554784898E-6</v>
      </c>
      <c r="CU65" s="183">
        <f t="shared" si="58"/>
        <v>1.8151183260008808E-5</v>
      </c>
      <c r="CV65" s="183">
        <f t="shared" si="59"/>
        <v>4.1672625252678434E-4</v>
      </c>
      <c r="CW65" s="183">
        <f t="shared" si="60"/>
        <v>1.1358719642257544E-4</v>
      </c>
      <c r="CX65" s="193">
        <f t="shared" si="36"/>
        <v>0</v>
      </c>
      <c r="CY65" s="193">
        <f t="shared" si="37"/>
        <v>0</v>
      </c>
      <c r="CZ65" s="193">
        <f t="shared" si="38"/>
        <v>0</v>
      </c>
      <c r="DA65" s="193">
        <f t="shared" si="39"/>
        <v>0</v>
      </c>
      <c r="DB65" s="193">
        <f t="shared" si="40"/>
        <v>0</v>
      </c>
      <c r="DC65" s="193">
        <f t="shared" si="41"/>
        <v>0</v>
      </c>
      <c r="DD65" s="193">
        <f t="shared" si="42"/>
        <v>0</v>
      </c>
      <c r="DE65" s="193">
        <f t="shared" si="43"/>
        <v>0</v>
      </c>
      <c r="DF65" s="193">
        <f t="shared" si="44"/>
        <v>0</v>
      </c>
      <c r="DG65" s="193">
        <f t="shared" si="45"/>
        <v>0</v>
      </c>
      <c r="DI65" s="83"/>
      <c r="DJ65" s="55"/>
    </row>
    <row r="66" spans="1:114" s="173" customFormat="1">
      <c r="A66" s="150">
        <f t="shared" si="17"/>
        <v>43955</v>
      </c>
      <c r="B66" s="165">
        <v>814</v>
      </c>
      <c r="C66" s="165">
        <v>125</v>
      </c>
      <c r="D66" s="165">
        <v>1661</v>
      </c>
      <c r="E66" s="165">
        <v>1106</v>
      </c>
      <c r="F66" s="165">
        <v>39</v>
      </c>
      <c r="G66" s="165">
        <v>53</v>
      </c>
      <c r="H66" s="165">
        <v>35</v>
      </c>
      <c r="I66" s="165">
        <v>25</v>
      </c>
      <c r="J66" s="165">
        <v>3362</v>
      </c>
      <c r="K66" s="165">
        <f t="shared" si="20"/>
        <v>7220</v>
      </c>
      <c r="L66" s="166"/>
      <c r="M66" s="166"/>
      <c r="N66" s="166"/>
      <c r="O66" s="166"/>
      <c r="P66" s="166"/>
      <c r="Q66" s="166"/>
      <c r="R66" s="166"/>
      <c r="S66" s="166"/>
      <c r="T66" s="166"/>
      <c r="U66" s="166">
        <f t="shared" si="21"/>
        <v>0</v>
      </c>
      <c r="V66" s="167"/>
      <c r="W66" s="167"/>
      <c r="X66" s="167"/>
      <c r="Y66" s="167"/>
      <c r="Z66" s="167"/>
      <c r="AA66" s="167"/>
      <c r="AB66" s="167"/>
      <c r="AC66" s="167"/>
      <c r="AD66" s="167"/>
      <c r="AE66" s="167">
        <f t="shared" si="22"/>
        <v>0</v>
      </c>
      <c r="AF66" s="168"/>
      <c r="AG66" s="168"/>
      <c r="AH66" s="168"/>
      <c r="AI66" s="168"/>
      <c r="AJ66" s="168"/>
      <c r="AK66" s="168"/>
      <c r="AL66" s="168"/>
      <c r="AM66" s="168"/>
      <c r="AN66" s="168"/>
      <c r="AO66" s="168">
        <f t="shared" si="23"/>
        <v>0</v>
      </c>
      <c r="AP66" s="57">
        <f t="shared" si="71"/>
        <v>40</v>
      </c>
      <c r="AQ66" s="57">
        <f t="shared" si="72"/>
        <v>3</v>
      </c>
      <c r="AR66" s="57">
        <f t="shared" si="73"/>
        <v>37</v>
      </c>
      <c r="AS66" s="57">
        <f t="shared" si="74"/>
        <v>30</v>
      </c>
      <c r="AT66" s="57">
        <f t="shared" si="75"/>
        <v>2</v>
      </c>
      <c r="AU66" s="57">
        <f t="shared" si="76"/>
        <v>7</v>
      </c>
      <c r="AV66" s="57">
        <f t="shared" si="70"/>
        <v>-1</v>
      </c>
      <c r="AW66" s="57">
        <f t="shared" si="70"/>
        <v>1</v>
      </c>
      <c r="AX66" s="57">
        <f t="shared" si="70"/>
        <v>318</v>
      </c>
      <c r="AY66" s="57">
        <f t="shared" si="47"/>
        <v>437</v>
      </c>
      <c r="AZ66" s="170"/>
      <c r="BA66" s="170"/>
      <c r="BB66" s="170"/>
      <c r="BC66" s="170"/>
      <c r="BD66" s="170"/>
      <c r="BE66" s="170"/>
      <c r="BF66" s="170"/>
      <c r="BG66" s="170"/>
      <c r="BH66" s="170"/>
      <c r="BI66" s="152">
        <f t="shared" si="48"/>
        <v>0</v>
      </c>
      <c r="BJ66" s="171"/>
      <c r="BK66" s="171"/>
      <c r="BL66" s="171"/>
      <c r="BM66" s="171"/>
      <c r="BN66" s="171"/>
      <c r="BO66" s="171"/>
      <c r="BP66" s="171"/>
      <c r="BQ66" s="171"/>
      <c r="BR66" s="171"/>
      <c r="BS66" s="163">
        <f t="shared" si="49"/>
        <v>0</v>
      </c>
      <c r="BT66" s="172"/>
      <c r="BU66" s="172"/>
      <c r="BV66" s="172"/>
      <c r="BW66" s="172"/>
      <c r="BX66" s="172"/>
      <c r="BY66" s="172"/>
      <c r="BZ66" s="172"/>
      <c r="CA66" s="172"/>
      <c r="CB66" s="172"/>
      <c r="CC66" s="164">
        <f t="shared" si="25"/>
        <v>0</v>
      </c>
      <c r="CD66" s="180">
        <f t="shared" si="61"/>
        <v>504</v>
      </c>
      <c r="CE66" s="180">
        <f t="shared" si="62"/>
        <v>20</v>
      </c>
      <c r="CF66" s="180">
        <f t="shared" si="63"/>
        <v>491</v>
      </c>
      <c r="CG66" s="180">
        <f t="shared" si="64"/>
        <v>467</v>
      </c>
      <c r="CH66" s="180">
        <f t="shared" si="65"/>
        <v>7</v>
      </c>
      <c r="CI66" s="180">
        <f t="shared" si="66"/>
        <v>30</v>
      </c>
      <c r="CJ66" s="180">
        <f t="shared" si="67"/>
        <v>10</v>
      </c>
      <c r="CK66" s="180">
        <f t="shared" si="68"/>
        <v>7</v>
      </c>
      <c r="CL66" s="180">
        <f t="shared" si="69"/>
        <v>2414</v>
      </c>
      <c r="CM66" s="180">
        <f t="shared" si="69"/>
        <v>3950</v>
      </c>
      <c r="CN66" s="183">
        <f t="shared" si="51"/>
        <v>1.1847320897475639E-4</v>
      </c>
      <c r="CO66" s="183">
        <f t="shared" si="52"/>
        <v>4.450102396643663E-5</v>
      </c>
      <c r="CP66" s="183">
        <f t="shared" si="53"/>
        <v>1.0621025511369356E-4</v>
      </c>
      <c r="CQ66" s="183">
        <f t="shared" si="54"/>
        <v>1.0054227236437044E-4</v>
      </c>
      <c r="CR66" s="183">
        <f t="shared" si="55"/>
        <v>6.6623104641118486E-6</v>
      </c>
      <c r="CS66" s="183">
        <f t="shared" si="56"/>
        <v>1.1020575153808938E-5</v>
      </c>
      <c r="CT66" s="183">
        <f t="shared" si="57"/>
        <v>8.5207333317151985E-6</v>
      </c>
      <c r="CU66" s="183">
        <f t="shared" si="58"/>
        <v>1.8907482562509175E-5</v>
      </c>
      <c r="CV66" s="183">
        <f t="shared" si="59"/>
        <v>4.6026072963043657E-4</v>
      </c>
      <c r="CW66" s="183">
        <f t="shared" si="60"/>
        <v>1.2090513904923996E-4</v>
      </c>
      <c r="CX66" s="193">
        <f t="shared" si="36"/>
        <v>0</v>
      </c>
      <c r="CY66" s="193">
        <f t="shared" si="37"/>
        <v>0</v>
      </c>
      <c r="CZ66" s="193">
        <f t="shared" si="38"/>
        <v>0</v>
      </c>
      <c r="DA66" s="193">
        <f t="shared" si="39"/>
        <v>0</v>
      </c>
      <c r="DB66" s="193">
        <f t="shared" si="40"/>
        <v>0</v>
      </c>
      <c r="DC66" s="193">
        <f t="shared" si="41"/>
        <v>0</v>
      </c>
      <c r="DD66" s="193">
        <f t="shared" si="42"/>
        <v>0</v>
      </c>
      <c r="DE66" s="193">
        <f t="shared" si="43"/>
        <v>0</v>
      </c>
      <c r="DF66" s="193">
        <f t="shared" si="44"/>
        <v>0</v>
      </c>
      <c r="DG66" s="193">
        <f t="shared" si="45"/>
        <v>0</v>
      </c>
      <c r="DI66" s="83"/>
      <c r="DJ66" s="55"/>
    </row>
    <row r="67" spans="1:114" s="173" customFormat="1">
      <c r="A67" s="150">
        <f t="shared" si="17"/>
        <v>43956</v>
      </c>
      <c r="B67" s="165">
        <v>838</v>
      </c>
      <c r="C67" s="165">
        <v>128</v>
      </c>
      <c r="D67" s="165">
        <v>1697</v>
      </c>
      <c r="E67" s="165">
        <v>1142</v>
      </c>
      <c r="F67" s="165">
        <v>40</v>
      </c>
      <c r="G67" s="165">
        <v>57</v>
      </c>
      <c r="H67" s="165">
        <v>35</v>
      </c>
      <c r="I67" s="165">
        <v>26</v>
      </c>
      <c r="J67" s="165">
        <v>3609</v>
      </c>
      <c r="K67" s="165">
        <f t="shared" si="20"/>
        <v>7572</v>
      </c>
      <c r="L67" s="166"/>
      <c r="M67" s="166"/>
      <c r="N67" s="166"/>
      <c r="O67" s="166"/>
      <c r="P67" s="166"/>
      <c r="Q67" s="166"/>
      <c r="R67" s="166"/>
      <c r="S67" s="166"/>
      <c r="T67" s="166"/>
      <c r="U67" s="166">
        <f t="shared" si="21"/>
        <v>0</v>
      </c>
      <c r="V67" s="167"/>
      <c r="W67" s="167"/>
      <c r="X67" s="167"/>
      <c r="Y67" s="167"/>
      <c r="Z67" s="167"/>
      <c r="AA67" s="167"/>
      <c r="AB67" s="167"/>
      <c r="AC67" s="167"/>
      <c r="AD67" s="167"/>
      <c r="AE67" s="167">
        <f t="shared" si="22"/>
        <v>0</v>
      </c>
      <c r="AF67" s="168"/>
      <c r="AG67" s="168"/>
      <c r="AH67" s="168"/>
      <c r="AI67" s="168"/>
      <c r="AJ67" s="168"/>
      <c r="AK67" s="168"/>
      <c r="AL67" s="168"/>
      <c r="AM67" s="168"/>
      <c r="AN67" s="168"/>
      <c r="AO67" s="168">
        <f t="shared" si="23"/>
        <v>0</v>
      </c>
      <c r="AP67" s="57">
        <f t="shared" si="71"/>
        <v>24</v>
      </c>
      <c r="AQ67" s="57">
        <f t="shared" si="72"/>
        <v>3</v>
      </c>
      <c r="AR67" s="57">
        <f t="shared" si="73"/>
        <v>36</v>
      </c>
      <c r="AS67" s="57">
        <f t="shared" si="74"/>
        <v>36</v>
      </c>
      <c r="AT67" s="57">
        <f t="shared" si="75"/>
        <v>1</v>
      </c>
      <c r="AU67" s="57">
        <f t="shared" si="76"/>
        <v>4</v>
      </c>
      <c r="AV67" s="57">
        <f t="shared" si="70"/>
        <v>0</v>
      </c>
      <c r="AW67" s="57">
        <f t="shared" si="70"/>
        <v>1</v>
      </c>
      <c r="AX67" s="57">
        <f t="shared" si="70"/>
        <v>247</v>
      </c>
      <c r="AY67" s="57">
        <f t="shared" si="47"/>
        <v>352</v>
      </c>
      <c r="AZ67" s="170"/>
      <c r="BA67" s="170"/>
      <c r="BB67" s="170"/>
      <c r="BC67" s="170"/>
      <c r="BD67" s="170"/>
      <c r="BE67" s="170"/>
      <c r="BF67" s="170"/>
      <c r="BG67" s="170"/>
      <c r="BH67" s="170"/>
      <c r="BI67" s="152">
        <f t="shared" si="48"/>
        <v>0</v>
      </c>
      <c r="BJ67" s="171"/>
      <c r="BK67" s="171"/>
      <c r="BL67" s="171"/>
      <c r="BM67" s="171"/>
      <c r="BN67" s="171"/>
      <c r="BO67" s="171"/>
      <c r="BP67" s="171"/>
      <c r="BQ67" s="171"/>
      <c r="BR67" s="171"/>
      <c r="BS67" s="163">
        <f t="shared" si="49"/>
        <v>0</v>
      </c>
      <c r="BT67" s="172"/>
      <c r="BU67" s="172"/>
      <c r="BV67" s="172"/>
      <c r="BW67" s="172"/>
      <c r="BX67" s="172"/>
      <c r="BY67" s="172"/>
      <c r="BZ67" s="172"/>
      <c r="CA67" s="172"/>
      <c r="CB67" s="172"/>
      <c r="CC67" s="164">
        <f t="shared" si="25"/>
        <v>0</v>
      </c>
      <c r="CD67" s="180">
        <f t="shared" si="61"/>
        <v>493</v>
      </c>
      <c r="CE67" s="180">
        <f t="shared" si="62"/>
        <v>22</v>
      </c>
      <c r="CF67" s="180">
        <f t="shared" si="63"/>
        <v>498</v>
      </c>
      <c r="CG67" s="180">
        <f t="shared" si="64"/>
        <v>471</v>
      </c>
      <c r="CH67" s="180">
        <f t="shared" si="65"/>
        <v>8</v>
      </c>
      <c r="CI67" s="180">
        <f t="shared" si="66"/>
        <v>33</v>
      </c>
      <c r="CJ67" s="180">
        <f t="shared" si="67"/>
        <v>11</v>
      </c>
      <c r="CK67" s="180">
        <f t="shared" si="68"/>
        <v>10</v>
      </c>
      <c r="CL67" s="180">
        <f t="shared" si="69"/>
        <v>2594</v>
      </c>
      <c r="CM67" s="180">
        <f t="shared" si="69"/>
        <v>4140</v>
      </c>
      <c r="CN67" s="183">
        <f t="shared" si="51"/>
        <v>1.219662765612357E-4</v>
      </c>
      <c r="CO67" s="183">
        <f t="shared" si="52"/>
        <v>4.5569048541631107E-5</v>
      </c>
      <c r="CP67" s="183">
        <f t="shared" si="53"/>
        <v>1.0851222331603731E-4</v>
      </c>
      <c r="CQ67" s="183">
        <f t="shared" si="54"/>
        <v>1.0381489605796657E-4</v>
      </c>
      <c r="CR67" s="183">
        <f t="shared" si="55"/>
        <v>6.8331389375506137E-6</v>
      </c>
      <c r="CS67" s="183">
        <f t="shared" si="56"/>
        <v>1.1852316674851121E-5</v>
      </c>
      <c r="CT67" s="183">
        <f t="shared" si="57"/>
        <v>8.5207333317151985E-6</v>
      </c>
      <c r="CU67" s="183">
        <f t="shared" si="58"/>
        <v>1.9663781865009542E-5</v>
      </c>
      <c r="CV67" s="183">
        <f t="shared" si="59"/>
        <v>4.9407524486503435E-4</v>
      </c>
      <c r="CW67" s="183">
        <f t="shared" si="60"/>
        <v>1.2679968322449375E-4</v>
      </c>
      <c r="CX67" s="193">
        <f t="shared" si="36"/>
        <v>0</v>
      </c>
      <c r="CY67" s="193">
        <f t="shared" si="37"/>
        <v>0</v>
      </c>
      <c r="CZ67" s="193">
        <f t="shared" si="38"/>
        <v>0</v>
      </c>
      <c r="DA67" s="193">
        <f t="shared" si="39"/>
        <v>0</v>
      </c>
      <c r="DB67" s="193">
        <f t="shared" si="40"/>
        <v>0</v>
      </c>
      <c r="DC67" s="193">
        <f t="shared" si="41"/>
        <v>0</v>
      </c>
      <c r="DD67" s="193">
        <f t="shared" si="42"/>
        <v>0</v>
      </c>
      <c r="DE67" s="193">
        <f t="shared" si="43"/>
        <v>0</v>
      </c>
      <c r="DF67" s="193">
        <f t="shared" si="44"/>
        <v>0</v>
      </c>
      <c r="DG67" s="193">
        <f t="shared" si="45"/>
        <v>0</v>
      </c>
      <c r="DI67" s="83"/>
      <c r="DJ67" s="55"/>
    </row>
    <row r="68" spans="1:114" s="173" customFormat="1">
      <c r="A68" s="150">
        <f t="shared" si="17"/>
        <v>43957</v>
      </c>
      <c r="B68" s="165">
        <v>849</v>
      </c>
      <c r="C68" s="165">
        <v>130</v>
      </c>
      <c r="D68" s="165">
        <v>1720</v>
      </c>
      <c r="E68" s="165">
        <v>1189</v>
      </c>
      <c r="F68" s="165">
        <v>40</v>
      </c>
      <c r="G68" s="165">
        <v>57</v>
      </c>
      <c r="H68" s="165">
        <v>37</v>
      </c>
      <c r="I68" s="165">
        <v>26</v>
      </c>
      <c r="J68" s="165">
        <v>3760</v>
      </c>
      <c r="K68" s="165">
        <f t="shared" si="20"/>
        <v>7808</v>
      </c>
      <c r="L68" s="166"/>
      <c r="M68" s="166"/>
      <c r="N68" s="166"/>
      <c r="O68" s="166"/>
      <c r="P68" s="166"/>
      <c r="Q68" s="166"/>
      <c r="R68" s="166"/>
      <c r="S68" s="166"/>
      <c r="T68" s="166"/>
      <c r="U68" s="166">
        <f t="shared" si="21"/>
        <v>0</v>
      </c>
      <c r="V68" s="167"/>
      <c r="W68" s="167"/>
      <c r="X68" s="167"/>
      <c r="Y68" s="167"/>
      <c r="Z68" s="167"/>
      <c r="AA68" s="167"/>
      <c r="AB68" s="167"/>
      <c r="AC68" s="167"/>
      <c r="AD68" s="167"/>
      <c r="AE68" s="167">
        <f t="shared" si="22"/>
        <v>0</v>
      </c>
      <c r="AF68" s="168"/>
      <c r="AG68" s="168"/>
      <c r="AH68" s="168"/>
      <c r="AI68" s="168"/>
      <c r="AJ68" s="168"/>
      <c r="AK68" s="168"/>
      <c r="AL68" s="168"/>
      <c r="AM68" s="168"/>
      <c r="AN68" s="168"/>
      <c r="AO68" s="168">
        <f t="shared" si="23"/>
        <v>0</v>
      </c>
      <c r="AP68" s="57">
        <f t="shared" si="71"/>
        <v>11</v>
      </c>
      <c r="AQ68" s="57">
        <f t="shared" si="72"/>
        <v>2</v>
      </c>
      <c r="AR68" s="57">
        <f t="shared" si="73"/>
        <v>23</v>
      </c>
      <c r="AS68" s="57">
        <f t="shared" si="74"/>
        <v>47</v>
      </c>
      <c r="AT68" s="57">
        <f t="shared" si="75"/>
        <v>0</v>
      </c>
      <c r="AU68" s="57">
        <f t="shared" si="76"/>
        <v>0</v>
      </c>
      <c r="AV68" s="57">
        <f t="shared" si="70"/>
        <v>2</v>
      </c>
      <c r="AW68" s="57">
        <f t="shared" si="70"/>
        <v>0</v>
      </c>
      <c r="AX68" s="57">
        <f t="shared" si="70"/>
        <v>151</v>
      </c>
      <c r="AY68" s="57">
        <f t="shared" si="47"/>
        <v>236</v>
      </c>
      <c r="AZ68" s="170"/>
      <c r="BA68" s="170"/>
      <c r="BB68" s="170"/>
      <c r="BC68" s="170"/>
      <c r="BD68" s="170"/>
      <c r="BE68" s="170"/>
      <c r="BF68" s="170"/>
      <c r="BG68" s="170"/>
      <c r="BH68" s="170"/>
      <c r="BI68" s="152">
        <f t="shared" si="48"/>
        <v>0</v>
      </c>
      <c r="BJ68" s="171"/>
      <c r="BK68" s="171"/>
      <c r="BL68" s="171"/>
      <c r="BM68" s="171"/>
      <c r="BN68" s="171"/>
      <c r="BO68" s="171"/>
      <c r="BP68" s="171"/>
      <c r="BQ68" s="171"/>
      <c r="BR68" s="171"/>
      <c r="BS68" s="163">
        <f t="shared" si="49"/>
        <v>0</v>
      </c>
      <c r="BT68" s="172"/>
      <c r="BU68" s="172"/>
      <c r="BV68" s="172"/>
      <c r="BW68" s="172"/>
      <c r="BX68" s="172"/>
      <c r="BY68" s="172"/>
      <c r="BZ68" s="172"/>
      <c r="CA68" s="172"/>
      <c r="CB68" s="172"/>
      <c r="CC68" s="164">
        <f t="shared" si="25"/>
        <v>0</v>
      </c>
      <c r="CD68" s="180">
        <f t="shared" si="61"/>
        <v>472</v>
      </c>
      <c r="CE68" s="180">
        <f t="shared" si="62"/>
        <v>24</v>
      </c>
      <c r="CF68" s="180">
        <f t="shared" si="63"/>
        <v>496</v>
      </c>
      <c r="CG68" s="180">
        <f t="shared" si="64"/>
        <v>431</v>
      </c>
      <c r="CH68" s="180">
        <f t="shared" si="65"/>
        <v>8</v>
      </c>
      <c r="CI68" s="180">
        <f t="shared" si="66"/>
        <v>34</v>
      </c>
      <c r="CJ68" s="180">
        <f t="shared" si="67"/>
        <v>14</v>
      </c>
      <c r="CK68" s="180">
        <f t="shared" si="68"/>
        <v>10</v>
      </c>
      <c r="CL68" s="180">
        <f t="shared" si="69"/>
        <v>2635</v>
      </c>
      <c r="CM68" s="180">
        <f t="shared" si="69"/>
        <v>4124</v>
      </c>
      <c r="CN68" s="183">
        <f t="shared" si="51"/>
        <v>1.2356726587170539E-4</v>
      </c>
      <c r="CO68" s="183">
        <f t="shared" si="52"/>
        <v>4.6281064925094096E-5</v>
      </c>
      <c r="CP68" s="183">
        <f t="shared" si="53"/>
        <v>1.0998292522309026E-4</v>
      </c>
      <c r="CQ68" s="183">
        <f t="shared" si="54"/>
        <v>1.0808748810238376E-4</v>
      </c>
      <c r="CR68" s="183">
        <f t="shared" si="55"/>
        <v>6.8331389375506137E-6</v>
      </c>
      <c r="CS68" s="183">
        <f t="shared" si="56"/>
        <v>1.1852316674851121E-5</v>
      </c>
      <c r="CT68" s="183">
        <f t="shared" si="57"/>
        <v>9.0076323792417811E-6</v>
      </c>
      <c r="CU68" s="183">
        <f t="shared" si="58"/>
        <v>1.9663781865009542E-5</v>
      </c>
      <c r="CV68" s="183">
        <f t="shared" si="59"/>
        <v>5.1474727644569942E-4</v>
      </c>
      <c r="CW68" s="183">
        <f t="shared" si="60"/>
        <v>1.307517071601753E-4</v>
      </c>
      <c r="CX68" s="193">
        <f t="shared" si="36"/>
        <v>0</v>
      </c>
      <c r="CY68" s="193">
        <f t="shared" si="37"/>
        <v>0</v>
      </c>
      <c r="CZ68" s="193">
        <f t="shared" si="38"/>
        <v>0</v>
      </c>
      <c r="DA68" s="193">
        <f t="shared" si="39"/>
        <v>0</v>
      </c>
      <c r="DB68" s="193">
        <f t="shared" si="40"/>
        <v>0</v>
      </c>
      <c r="DC68" s="193">
        <f t="shared" si="41"/>
        <v>0</v>
      </c>
      <c r="DD68" s="193">
        <f t="shared" si="42"/>
        <v>0</v>
      </c>
      <c r="DE68" s="193">
        <f t="shared" si="43"/>
        <v>0</v>
      </c>
      <c r="DF68" s="193">
        <f t="shared" si="44"/>
        <v>0</v>
      </c>
      <c r="DG68" s="193">
        <f t="shared" si="45"/>
        <v>0</v>
      </c>
      <c r="DI68" s="83"/>
      <c r="DJ68" s="55"/>
    </row>
    <row r="69" spans="1:114" s="173" customFormat="1">
      <c r="A69" s="150">
        <f t="shared" si="17"/>
        <v>43958</v>
      </c>
      <c r="B69" s="165">
        <v>929</v>
      </c>
      <c r="C69" s="165">
        <v>134</v>
      </c>
      <c r="D69" s="165">
        <v>1804</v>
      </c>
      <c r="E69" s="165">
        <v>1204</v>
      </c>
      <c r="F69" s="165">
        <v>41</v>
      </c>
      <c r="G69" s="165">
        <v>59</v>
      </c>
      <c r="H69" s="165">
        <v>40</v>
      </c>
      <c r="I69" s="165">
        <v>27</v>
      </c>
      <c r="J69" s="165">
        <v>3994</v>
      </c>
      <c r="K69" s="165">
        <f t="shared" si="20"/>
        <v>8232</v>
      </c>
      <c r="L69" s="166"/>
      <c r="M69" s="166"/>
      <c r="N69" s="166"/>
      <c r="O69" s="166"/>
      <c r="P69" s="166"/>
      <c r="Q69" s="166"/>
      <c r="R69" s="166"/>
      <c r="S69" s="166"/>
      <c r="T69" s="166"/>
      <c r="U69" s="166">
        <f t="shared" si="21"/>
        <v>0</v>
      </c>
      <c r="V69" s="167"/>
      <c r="W69" s="167"/>
      <c r="X69" s="167"/>
      <c r="Y69" s="167"/>
      <c r="Z69" s="167"/>
      <c r="AA69" s="167"/>
      <c r="AB69" s="167"/>
      <c r="AC69" s="167"/>
      <c r="AD69" s="167"/>
      <c r="AE69" s="167">
        <f t="shared" si="22"/>
        <v>0</v>
      </c>
      <c r="AF69" s="168"/>
      <c r="AG69" s="168"/>
      <c r="AH69" s="168"/>
      <c r="AI69" s="168"/>
      <c r="AJ69" s="168"/>
      <c r="AK69" s="168"/>
      <c r="AL69" s="168"/>
      <c r="AM69" s="168"/>
      <c r="AN69" s="168"/>
      <c r="AO69" s="168">
        <f t="shared" si="23"/>
        <v>0</v>
      </c>
      <c r="AP69" s="57">
        <f t="shared" si="71"/>
        <v>80</v>
      </c>
      <c r="AQ69" s="57">
        <f t="shared" si="72"/>
        <v>4</v>
      </c>
      <c r="AR69" s="57">
        <f t="shared" si="73"/>
        <v>84</v>
      </c>
      <c r="AS69" s="57">
        <f t="shared" si="74"/>
        <v>15</v>
      </c>
      <c r="AT69" s="57">
        <f t="shared" si="75"/>
        <v>1</v>
      </c>
      <c r="AU69" s="57">
        <f t="shared" si="76"/>
        <v>2</v>
      </c>
      <c r="AV69" s="57">
        <f t="shared" si="70"/>
        <v>3</v>
      </c>
      <c r="AW69" s="57">
        <f t="shared" si="70"/>
        <v>1</v>
      </c>
      <c r="AX69" s="57">
        <f t="shared" si="70"/>
        <v>234</v>
      </c>
      <c r="AY69" s="57">
        <f t="shared" si="47"/>
        <v>424</v>
      </c>
      <c r="AZ69" s="170"/>
      <c r="BA69" s="170"/>
      <c r="BB69" s="170"/>
      <c r="BC69" s="170"/>
      <c r="BD69" s="170"/>
      <c r="BE69" s="170"/>
      <c r="BF69" s="170"/>
      <c r="BG69" s="170"/>
      <c r="BH69" s="170"/>
      <c r="BI69" s="152">
        <f t="shared" si="48"/>
        <v>0</v>
      </c>
      <c r="BJ69" s="171"/>
      <c r="BK69" s="171"/>
      <c r="BL69" s="171"/>
      <c r="BM69" s="171"/>
      <c r="BN69" s="171"/>
      <c r="BO69" s="171"/>
      <c r="BP69" s="171"/>
      <c r="BQ69" s="171"/>
      <c r="BR69" s="171"/>
      <c r="BS69" s="163">
        <f t="shared" si="49"/>
        <v>0</v>
      </c>
      <c r="BT69" s="172"/>
      <c r="BU69" s="172"/>
      <c r="BV69" s="172"/>
      <c r="BW69" s="172"/>
      <c r="BX69" s="172"/>
      <c r="BY69" s="172"/>
      <c r="BZ69" s="172"/>
      <c r="CA69" s="172"/>
      <c r="CB69" s="172"/>
      <c r="CC69" s="164">
        <f t="shared" si="25"/>
        <v>0</v>
      </c>
      <c r="CD69" s="180">
        <f t="shared" si="61"/>
        <v>512</v>
      </c>
      <c r="CE69" s="180">
        <f t="shared" si="62"/>
        <v>28</v>
      </c>
      <c r="CF69" s="180">
        <f t="shared" si="63"/>
        <v>552</v>
      </c>
      <c r="CG69" s="180">
        <f t="shared" si="64"/>
        <v>397</v>
      </c>
      <c r="CH69" s="180">
        <f t="shared" si="65"/>
        <v>9</v>
      </c>
      <c r="CI69" s="180">
        <f t="shared" si="66"/>
        <v>36</v>
      </c>
      <c r="CJ69" s="180">
        <f t="shared" si="67"/>
        <v>15</v>
      </c>
      <c r="CK69" s="180">
        <f t="shared" si="68"/>
        <v>11</v>
      </c>
      <c r="CL69" s="180">
        <f t="shared" si="69"/>
        <v>2695</v>
      </c>
      <c r="CM69" s="180">
        <f t="shared" si="69"/>
        <v>4255</v>
      </c>
      <c r="CN69" s="183">
        <f t="shared" si="51"/>
        <v>1.3521082449330306E-4</v>
      </c>
      <c r="CO69" s="183">
        <f t="shared" si="52"/>
        <v>4.7705097692020067E-5</v>
      </c>
      <c r="CP69" s="183">
        <f t="shared" si="53"/>
        <v>1.1535418436189234E-4</v>
      </c>
      <c r="CQ69" s="183">
        <f t="shared" si="54"/>
        <v>1.0945108130804883E-4</v>
      </c>
      <c r="CR69" s="183">
        <f t="shared" si="55"/>
        <v>7.0039674109893797E-6</v>
      </c>
      <c r="CS69" s="183">
        <f t="shared" si="56"/>
        <v>1.2268187435372213E-5</v>
      </c>
      <c r="CT69" s="183">
        <f t="shared" si="57"/>
        <v>9.737980950531655E-6</v>
      </c>
      <c r="CU69" s="183">
        <f t="shared" si="58"/>
        <v>2.0420081167509909E-5</v>
      </c>
      <c r="CV69" s="183">
        <f t="shared" si="59"/>
        <v>5.4678208035216047E-4</v>
      </c>
      <c r="CW69" s="183">
        <f t="shared" si="60"/>
        <v>1.3785195355309464E-4</v>
      </c>
      <c r="CX69" s="193">
        <f t="shared" si="36"/>
        <v>0</v>
      </c>
      <c r="CY69" s="193">
        <f t="shared" si="37"/>
        <v>0</v>
      </c>
      <c r="CZ69" s="193">
        <f t="shared" si="38"/>
        <v>0</v>
      </c>
      <c r="DA69" s="193">
        <f t="shared" si="39"/>
        <v>0</v>
      </c>
      <c r="DB69" s="193">
        <f t="shared" si="40"/>
        <v>0</v>
      </c>
      <c r="DC69" s="193">
        <f t="shared" si="41"/>
        <v>0</v>
      </c>
      <c r="DD69" s="193">
        <f t="shared" si="42"/>
        <v>0</v>
      </c>
      <c r="DE69" s="193">
        <f t="shared" si="43"/>
        <v>0</v>
      </c>
      <c r="DF69" s="193">
        <f t="shared" si="44"/>
        <v>0</v>
      </c>
      <c r="DG69" s="193">
        <f t="shared" si="45"/>
        <v>0</v>
      </c>
      <c r="DI69" s="83"/>
      <c r="DJ69" s="55"/>
    </row>
    <row r="70" spans="1:114" s="173" customFormat="1">
      <c r="A70" s="150">
        <f t="shared" si="17"/>
        <v>43959</v>
      </c>
      <c r="B70" s="165">
        <v>989</v>
      </c>
      <c r="C70" s="165">
        <v>133</v>
      </c>
      <c r="D70" s="165">
        <v>1851</v>
      </c>
      <c r="E70" s="165">
        <v>1253</v>
      </c>
      <c r="F70" s="165">
        <v>43</v>
      </c>
      <c r="G70" s="165">
        <v>60</v>
      </c>
      <c r="H70" s="165">
        <v>42</v>
      </c>
      <c r="I70" s="165">
        <v>27</v>
      </c>
      <c r="J70" s="165">
        <v>4497</v>
      </c>
      <c r="K70" s="165">
        <f t="shared" si="20"/>
        <v>8895</v>
      </c>
      <c r="L70" s="166"/>
      <c r="M70" s="166"/>
      <c r="N70" s="166"/>
      <c r="O70" s="166"/>
      <c r="P70" s="166"/>
      <c r="Q70" s="166"/>
      <c r="R70" s="166"/>
      <c r="S70" s="166"/>
      <c r="T70" s="166"/>
      <c r="U70" s="166">
        <f t="shared" si="21"/>
        <v>0</v>
      </c>
      <c r="V70" s="167"/>
      <c r="W70" s="167"/>
      <c r="X70" s="167"/>
      <c r="Y70" s="167"/>
      <c r="Z70" s="167"/>
      <c r="AA70" s="167"/>
      <c r="AB70" s="167"/>
      <c r="AC70" s="167"/>
      <c r="AD70" s="167"/>
      <c r="AE70" s="167">
        <f t="shared" si="22"/>
        <v>0</v>
      </c>
      <c r="AF70" s="168"/>
      <c r="AG70" s="168"/>
      <c r="AH70" s="168"/>
      <c r="AI70" s="168"/>
      <c r="AJ70" s="168"/>
      <c r="AK70" s="168"/>
      <c r="AL70" s="168"/>
      <c r="AM70" s="168"/>
      <c r="AN70" s="168"/>
      <c r="AO70" s="168">
        <f t="shared" si="23"/>
        <v>0</v>
      </c>
      <c r="AP70" s="57">
        <f t="shared" si="71"/>
        <v>60</v>
      </c>
      <c r="AQ70" s="57">
        <f t="shared" si="72"/>
        <v>-1</v>
      </c>
      <c r="AR70" s="57">
        <f t="shared" si="73"/>
        <v>47</v>
      </c>
      <c r="AS70" s="57">
        <f t="shared" si="74"/>
        <v>49</v>
      </c>
      <c r="AT70" s="57">
        <f t="shared" si="75"/>
        <v>2</v>
      </c>
      <c r="AU70" s="57">
        <f t="shared" si="76"/>
        <v>1</v>
      </c>
      <c r="AV70" s="57">
        <f t="shared" si="70"/>
        <v>2</v>
      </c>
      <c r="AW70" s="57">
        <f t="shared" si="70"/>
        <v>0</v>
      </c>
      <c r="AX70" s="57">
        <f t="shared" si="70"/>
        <v>503</v>
      </c>
      <c r="AY70" s="57">
        <f t="shared" si="47"/>
        <v>663</v>
      </c>
      <c r="AZ70" s="170"/>
      <c r="BA70" s="170"/>
      <c r="BB70" s="170"/>
      <c r="BC70" s="170"/>
      <c r="BD70" s="170"/>
      <c r="BE70" s="170"/>
      <c r="BF70" s="170"/>
      <c r="BG70" s="170"/>
      <c r="BH70" s="170"/>
      <c r="BI70" s="152">
        <f t="shared" si="48"/>
        <v>0</v>
      </c>
      <c r="BJ70" s="171"/>
      <c r="BK70" s="171"/>
      <c r="BL70" s="171"/>
      <c r="BM70" s="171"/>
      <c r="BN70" s="171"/>
      <c r="BO70" s="171"/>
      <c r="BP70" s="171"/>
      <c r="BQ70" s="171"/>
      <c r="BR70" s="171"/>
      <c r="BS70" s="163">
        <f t="shared" si="49"/>
        <v>0</v>
      </c>
      <c r="BT70" s="172"/>
      <c r="BU70" s="172"/>
      <c r="BV70" s="172"/>
      <c r="BW70" s="172"/>
      <c r="BX70" s="172"/>
      <c r="BY70" s="172"/>
      <c r="BZ70" s="172"/>
      <c r="CA70" s="172"/>
      <c r="CB70" s="172"/>
      <c r="CC70" s="164">
        <f t="shared" si="25"/>
        <v>0</v>
      </c>
      <c r="CD70" s="180">
        <f t="shared" si="61"/>
        <v>509</v>
      </c>
      <c r="CE70" s="180">
        <f t="shared" si="62"/>
        <v>22</v>
      </c>
      <c r="CF70" s="180">
        <f t="shared" si="63"/>
        <v>570</v>
      </c>
      <c r="CG70" s="180">
        <f t="shared" si="64"/>
        <v>412</v>
      </c>
      <c r="CH70" s="180">
        <f t="shared" si="65"/>
        <v>9</v>
      </c>
      <c r="CI70" s="180">
        <f t="shared" si="66"/>
        <v>36</v>
      </c>
      <c r="CJ70" s="180">
        <f t="shared" si="67"/>
        <v>17</v>
      </c>
      <c r="CK70" s="180">
        <f t="shared" si="68"/>
        <v>11</v>
      </c>
      <c r="CL70" s="180">
        <f t="shared" si="69"/>
        <v>3062</v>
      </c>
      <c r="CM70" s="180">
        <f t="shared" si="69"/>
        <v>4648</v>
      </c>
      <c r="CN70" s="183">
        <f t="shared" si="51"/>
        <v>1.4394349345950132E-4</v>
      </c>
      <c r="CO70" s="183">
        <f t="shared" si="52"/>
        <v>4.7349089500288572E-5</v>
      </c>
      <c r="CP70" s="183">
        <f t="shared" si="53"/>
        <v>1.1835953173717446E-4</v>
      </c>
      <c r="CQ70" s="183">
        <f t="shared" si="54"/>
        <v>1.1390548577988802E-4</v>
      </c>
      <c r="CR70" s="183">
        <f t="shared" si="55"/>
        <v>7.34562435786691E-6</v>
      </c>
      <c r="CS70" s="183">
        <f t="shared" si="56"/>
        <v>1.2476122815632759E-5</v>
      </c>
      <c r="CT70" s="183">
        <f t="shared" si="57"/>
        <v>1.0224879998058238E-5</v>
      </c>
      <c r="CU70" s="183">
        <f t="shared" si="58"/>
        <v>2.0420081167509909E-5</v>
      </c>
      <c r="CV70" s="183">
        <f t="shared" si="59"/>
        <v>6.1564321866391231E-4</v>
      </c>
      <c r="CW70" s="183">
        <f t="shared" si="60"/>
        <v>1.4895446147409824E-4</v>
      </c>
      <c r="CX70" s="193">
        <f t="shared" si="36"/>
        <v>0</v>
      </c>
      <c r="CY70" s="193">
        <f t="shared" si="37"/>
        <v>0</v>
      </c>
      <c r="CZ70" s="193">
        <f t="shared" si="38"/>
        <v>0</v>
      </c>
      <c r="DA70" s="193">
        <f t="shared" si="39"/>
        <v>0</v>
      </c>
      <c r="DB70" s="193">
        <f t="shared" si="40"/>
        <v>0</v>
      </c>
      <c r="DC70" s="193">
        <f t="shared" si="41"/>
        <v>0</v>
      </c>
      <c r="DD70" s="193">
        <f t="shared" si="42"/>
        <v>0</v>
      </c>
      <c r="DE70" s="193">
        <f t="shared" si="43"/>
        <v>0</v>
      </c>
      <c r="DF70" s="193">
        <f t="shared" si="44"/>
        <v>0</v>
      </c>
      <c r="DG70" s="193">
        <f t="shared" si="45"/>
        <v>0</v>
      </c>
      <c r="DI70" s="83"/>
      <c r="DJ70" s="55"/>
    </row>
    <row r="71" spans="1:114" s="173" customFormat="1">
      <c r="A71" s="150">
        <f t="shared" ref="A71:A78" si="77">A72-1</f>
        <v>43960</v>
      </c>
      <c r="B71" s="165">
        <v>1078</v>
      </c>
      <c r="C71" s="165">
        <v>134</v>
      </c>
      <c r="D71" s="165">
        <v>1910</v>
      </c>
      <c r="E71" s="165">
        <v>1308</v>
      </c>
      <c r="F71" s="165">
        <v>51</v>
      </c>
      <c r="G71" s="165">
        <v>61</v>
      </c>
      <c r="H71" s="165">
        <v>41</v>
      </c>
      <c r="I71" s="165">
        <v>28</v>
      </c>
      <c r="J71" s="165">
        <v>4809</v>
      </c>
      <c r="K71" s="165">
        <f t="shared" si="20"/>
        <v>9420</v>
      </c>
      <c r="L71" s="166"/>
      <c r="M71" s="166"/>
      <c r="N71" s="166"/>
      <c r="O71" s="166"/>
      <c r="P71" s="166"/>
      <c r="Q71" s="166"/>
      <c r="R71" s="166"/>
      <c r="S71" s="166"/>
      <c r="T71" s="166"/>
      <c r="U71" s="166">
        <f t="shared" si="21"/>
        <v>0</v>
      </c>
      <c r="V71" s="167"/>
      <c r="W71" s="167"/>
      <c r="X71" s="167"/>
      <c r="Y71" s="167"/>
      <c r="Z71" s="167"/>
      <c r="AA71" s="167"/>
      <c r="AB71" s="167"/>
      <c r="AC71" s="167"/>
      <c r="AD71" s="167"/>
      <c r="AE71" s="167">
        <f t="shared" si="22"/>
        <v>0</v>
      </c>
      <c r="AF71" s="168"/>
      <c r="AG71" s="168"/>
      <c r="AH71" s="168"/>
      <c r="AI71" s="168"/>
      <c r="AJ71" s="168"/>
      <c r="AK71" s="168"/>
      <c r="AL71" s="168"/>
      <c r="AM71" s="168"/>
      <c r="AN71" s="168"/>
      <c r="AO71" s="168">
        <f t="shared" si="23"/>
        <v>0</v>
      </c>
      <c r="AP71" s="57">
        <f t="shared" si="71"/>
        <v>89</v>
      </c>
      <c r="AQ71" s="57">
        <f t="shared" si="72"/>
        <v>1</v>
      </c>
      <c r="AR71" s="57">
        <f t="shared" si="73"/>
        <v>59</v>
      </c>
      <c r="AS71" s="57">
        <f t="shared" si="74"/>
        <v>55</v>
      </c>
      <c r="AT71" s="57">
        <f t="shared" si="75"/>
        <v>8</v>
      </c>
      <c r="AU71" s="57">
        <f t="shared" si="76"/>
        <v>1</v>
      </c>
      <c r="AV71" s="57">
        <f t="shared" si="70"/>
        <v>-1</v>
      </c>
      <c r="AW71" s="57">
        <f t="shared" si="70"/>
        <v>1</v>
      </c>
      <c r="AX71" s="57">
        <f t="shared" si="70"/>
        <v>312</v>
      </c>
      <c r="AY71" s="57">
        <f t="shared" si="47"/>
        <v>525</v>
      </c>
      <c r="AZ71" s="170"/>
      <c r="BA71" s="170"/>
      <c r="BB71" s="170"/>
      <c r="BC71" s="170"/>
      <c r="BD71" s="170"/>
      <c r="BE71" s="170"/>
      <c r="BF71" s="170"/>
      <c r="BG71" s="170"/>
      <c r="BH71" s="170"/>
      <c r="BI71" s="152">
        <f t="shared" si="48"/>
        <v>0</v>
      </c>
      <c r="BJ71" s="171"/>
      <c r="BK71" s="171"/>
      <c r="BL71" s="171"/>
      <c r="BM71" s="171"/>
      <c r="BN71" s="171"/>
      <c r="BO71" s="171"/>
      <c r="BP71" s="171"/>
      <c r="BQ71" s="171"/>
      <c r="BR71" s="171"/>
      <c r="BS71" s="163">
        <f t="shared" si="49"/>
        <v>0</v>
      </c>
      <c r="BT71" s="172"/>
      <c r="BU71" s="172"/>
      <c r="BV71" s="172"/>
      <c r="BW71" s="172"/>
      <c r="BX71" s="172"/>
      <c r="BY71" s="172"/>
      <c r="BZ71" s="172"/>
      <c r="CA71" s="172"/>
      <c r="CB71" s="172"/>
      <c r="CC71" s="164">
        <f t="shared" si="25"/>
        <v>0</v>
      </c>
      <c r="CD71" s="180">
        <f t="shared" si="61"/>
        <v>597</v>
      </c>
      <c r="CE71" s="180">
        <f t="shared" si="62"/>
        <v>23</v>
      </c>
      <c r="CF71" s="180">
        <f t="shared" si="63"/>
        <v>606</v>
      </c>
      <c r="CG71" s="180">
        <f t="shared" si="64"/>
        <v>461</v>
      </c>
      <c r="CH71" s="180">
        <f t="shared" si="65"/>
        <v>16</v>
      </c>
      <c r="CI71" s="180">
        <f t="shared" si="66"/>
        <v>38</v>
      </c>
      <c r="CJ71" s="180">
        <f t="shared" si="67"/>
        <v>13</v>
      </c>
      <c r="CK71" s="180">
        <f t="shared" si="68"/>
        <v>12</v>
      </c>
      <c r="CL71" s="180">
        <f t="shared" si="69"/>
        <v>3295</v>
      </c>
      <c r="CM71" s="180">
        <f t="shared" si="69"/>
        <v>5061</v>
      </c>
      <c r="CN71" s="183">
        <f t="shared" si="51"/>
        <v>1.5689695242602873E-4</v>
      </c>
      <c r="CO71" s="183">
        <f t="shared" si="52"/>
        <v>4.7705097692020067E-5</v>
      </c>
      <c r="CP71" s="183">
        <f t="shared" si="53"/>
        <v>1.2213220184657117E-4</v>
      </c>
      <c r="CQ71" s="183">
        <f t="shared" si="54"/>
        <v>1.1890532753399324E-4</v>
      </c>
      <c r="CR71" s="183">
        <f t="shared" si="55"/>
        <v>8.7122521453770338E-6</v>
      </c>
      <c r="CS71" s="183">
        <f t="shared" si="56"/>
        <v>1.2684058195893304E-5</v>
      </c>
      <c r="CT71" s="183">
        <f t="shared" si="57"/>
        <v>9.9814304742949463E-6</v>
      </c>
      <c r="CU71" s="183">
        <f t="shared" si="58"/>
        <v>2.1176380470010276E-5</v>
      </c>
      <c r="CV71" s="183">
        <f t="shared" si="59"/>
        <v>6.5835629053919375E-4</v>
      </c>
      <c r="CW71" s="183">
        <f t="shared" si="60"/>
        <v>1.5774604014457623E-4</v>
      </c>
      <c r="CX71" s="193">
        <f t="shared" si="36"/>
        <v>0</v>
      </c>
      <c r="CY71" s="193">
        <f t="shared" si="37"/>
        <v>0</v>
      </c>
      <c r="CZ71" s="193">
        <f t="shared" si="38"/>
        <v>0</v>
      </c>
      <c r="DA71" s="193">
        <f t="shared" si="39"/>
        <v>0</v>
      </c>
      <c r="DB71" s="193">
        <f t="shared" si="40"/>
        <v>0</v>
      </c>
      <c r="DC71" s="193">
        <f t="shared" si="41"/>
        <v>0</v>
      </c>
      <c r="DD71" s="193">
        <f t="shared" si="42"/>
        <v>0</v>
      </c>
      <c r="DE71" s="193">
        <f t="shared" si="43"/>
        <v>0</v>
      </c>
      <c r="DF71" s="193">
        <f t="shared" si="44"/>
        <v>0</v>
      </c>
      <c r="DG71" s="193">
        <f t="shared" si="45"/>
        <v>0</v>
      </c>
      <c r="DI71" s="83"/>
      <c r="DJ71" s="55"/>
    </row>
    <row r="72" spans="1:114" s="173" customFormat="1">
      <c r="A72" s="150">
        <f t="shared" si="77"/>
        <v>43961</v>
      </c>
      <c r="B72" s="165">
        <v>1218</v>
      </c>
      <c r="C72" s="165">
        <v>135</v>
      </c>
      <c r="D72" s="165">
        <v>1952</v>
      </c>
      <c r="E72" s="165">
        <v>1353</v>
      </c>
      <c r="F72" s="165">
        <v>54</v>
      </c>
      <c r="G72" s="165">
        <v>61</v>
      </c>
      <c r="H72" s="165">
        <v>45</v>
      </c>
      <c r="I72" s="165">
        <v>29</v>
      </c>
      <c r="J72" s="165">
        <v>5168</v>
      </c>
      <c r="K72" s="165">
        <f t="shared" ref="K72:K135" si="78">SUM(B72:J72)</f>
        <v>10015</v>
      </c>
      <c r="L72" s="166"/>
      <c r="M72" s="166"/>
      <c r="N72" s="166"/>
      <c r="O72" s="166"/>
      <c r="P72" s="166"/>
      <c r="Q72" s="166"/>
      <c r="R72" s="166"/>
      <c r="S72" s="166"/>
      <c r="T72" s="166"/>
      <c r="U72" s="166">
        <f t="shared" ref="U72:U135" si="79">SUM(L72:T72)</f>
        <v>0</v>
      </c>
      <c r="V72" s="167"/>
      <c r="W72" s="167"/>
      <c r="X72" s="167"/>
      <c r="Y72" s="167"/>
      <c r="Z72" s="167"/>
      <c r="AA72" s="167"/>
      <c r="AB72" s="167"/>
      <c r="AC72" s="167"/>
      <c r="AD72" s="167"/>
      <c r="AE72" s="167">
        <f t="shared" ref="AE72:AE135" si="80">SUM(V72:AD72)</f>
        <v>0</v>
      </c>
      <c r="AF72" s="168"/>
      <c r="AG72" s="168"/>
      <c r="AH72" s="168"/>
      <c r="AI72" s="168"/>
      <c r="AJ72" s="168"/>
      <c r="AK72" s="168"/>
      <c r="AL72" s="168"/>
      <c r="AM72" s="168"/>
      <c r="AN72" s="168"/>
      <c r="AO72" s="168">
        <f t="shared" ref="AO72:AO135" si="81">SUM(AF72:AN72)</f>
        <v>0</v>
      </c>
      <c r="AP72" s="57">
        <f t="shared" si="71"/>
        <v>140</v>
      </c>
      <c r="AQ72" s="57">
        <f t="shared" si="72"/>
        <v>1</v>
      </c>
      <c r="AR72" s="57">
        <f t="shared" si="73"/>
        <v>42</v>
      </c>
      <c r="AS72" s="57">
        <f t="shared" si="74"/>
        <v>45</v>
      </c>
      <c r="AT72" s="57">
        <f t="shared" si="75"/>
        <v>3</v>
      </c>
      <c r="AU72" s="57">
        <f t="shared" si="76"/>
        <v>0</v>
      </c>
      <c r="AV72" s="57">
        <f t="shared" si="70"/>
        <v>4</v>
      </c>
      <c r="AW72" s="57">
        <f t="shared" si="70"/>
        <v>1</v>
      </c>
      <c r="AX72" s="57">
        <f t="shared" si="70"/>
        <v>359</v>
      </c>
      <c r="AY72" s="57">
        <f t="shared" ref="AY72:AY135" si="82">SUM(AP72:AX72)</f>
        <v>595</v>
      </c>
      <c r="AZ72" s="170"/>
      <c r="BA72" s="170"/>
      <c r="BB72" s="170"/>
      <c r="BC72" s="170"/>
      <c r="BD72" s="170"/>
      <c r="BE72" s="170"/>
      <c r="BF72" s="170"/>
      <c r="BG72" s="170"/>
      <c r="BH72" s="170"/>
      <c r="BI72" s="152">
        <f t="shared" si="48"/>
        <v>0</v>
      </c>
      <c r="BJ72" s="171"/>
      <c r="BK72" s="171"/>
      <c r="BL72" s="171"/>
      <c r="BM72" s="171"/>
      <c r="BN72" s="171"/>
      <c r="BO72" s="171"/>
      <c r="BP72" s="171"/>
      <c r="BQ72" s="171"/>
      <c r="BR72" s="171"/>
      <c r="BS72" s="163">
        <f t="shared" si="49"/>
        <v>0</v>
      </c>
      <c r="BT72" s="172"/>
      <c r="BU72" s="172"/>
      <c r="BV72" s="172"/>
      <c r="BW72" s="172"/>
      <c r="BX72" s="172"/>
      <c r="BY72" s="172"/>
      <c r="BZ72" s="172"/>
      <c r="CA72" s="172"/>
      <c r="CB72" s="172"/>
      <c r="CC72" s="164">
        <f t="shared" ref="CC72:CC79" si="83">U72/(K72)</f>
        <v>0</v>
      </c>
      <c r="CD72" s="180">
        <f t="shared" si="61"/>
        <v>736</v>
      </c>
      <c r="CE72" s="180">
        <f t="shared" si="62"/>
        <v>24</v>
      </c>
      <c r="CF72" s="180">
        <f t="shared" si="63"/>
        <v>621</v>
      </c>
      <c r="CG72" s="180">
        <f t="shared" si="64"/>
        <v>490</v>
      </c>
      <c r="CH72" s="180">
        <f t="shared" si="65"/>
        <v>18</v>
      </c>
      <c r="CI72" s="180">
        <f t="shared" si="66"/>
        <v>38</v>
      </c>
      <c r="CJ72" s="180">
        <f t="shared" si="67"/>
        <v>17</v>
      </c>
      <c r="CK72" s="180">
        <f t="shared" si="68"/>
        <v>12</v>
      </c>
      <c r="CL72" s="180">
        <f t="shared" si="69"/>
        <v>3560</v>
      </c>
      <c r="CM72" s="180">
        <f t="shared" si="69"/>
        <v>5516</v>
      </c>
      <c r="CN72" s="183">
        <f t="shared" si="51"/>
        <v>1.7727318001382468E-4</v>
      </c>
      <c r="CO72" s="183">
        <f t="shared" si="52"/>
        <v>4.8061105883751561E-5</v>
      </c>
      <c r="CP72" s="183">
        <f t="shared" si="53"/>
        <v>1.248178314159722E-4</v>
      </c>
      <c r="CQ72" s="183">
        <f t="shared" si="54"/>
        <v>1.2299610715098841E-4</v>
      </c>
      <c r="CR72" s="183">
        <f t="shared" si="55"/>
        <v>9.2247375656933284E-6</v>
      </c>
      <c r="CS72" s="183">
        <f t="shared" si="56"/>
        <v>1.2684058195893304E-5</v>
      </c>
      <c r="CT72" s="183">
        <f t="shared" si="57"/>
        <v>1.0955228569348111E-5</v>
      </c>
      <c r="CU72" s="183">
        <f t="shared" si="58"/>
        <v>2.1932679772510643E-5</v>
      </c>
      <c r="CV72" s="183">
        <f t="shared" si="59"/>
        <v>7.0750370337004651E-4</v>
      </c>
      <c r="CW72" s="183">
        <f t="shared" si="60"/>
        <v>1.6770982930445127E-4</v>
      </c>
      <c r="CX72" s="193">
        <f t="shared" ref="CX72:CX135" si="84">AF72/AF$5</f>
        <v>0</v>
      </c>
      <c r="CY72" s="193">
        <f t="shared" ref="CY72:CY135" si="85">AG72/AG$5</f>
        <v>0</v>
      </c>
      <c r="CZ72" s="193">
        <f t="shared" ref="CZ72:CZ135" si="86">AH72/AH$5</f>
        <v>0</v>
      </c>
      <c r="DA72" s="193">
        <f t="shared" ref="DA72:DA135" si="87">AI72/AI$5</f>
        <v>0</v>
      </c>
      <c r="DB72" s="193">
        <f t="shared" ref="DB72:DB135" si="88">AJ72/AJ$5</f>
        <v>0</v>
      </c>
      <c r="DC72" s="193">
        <f t="shared" ref="DC72:DC135" si="89">AK72/AK$5</f>
        <v>0</v>
      </c>
      <c r="DD72" s="193">
        <f t="shared" ref="DD72:DD135" si="90">AL72/AL$5</f>
        <v>0</v>
      </c>
      <c r="DE72" s="193">
        <f t="shared" ref="DE72:DE135" si="91">AM72/AM$5</f>
        <v>0</v>
      </c>
      <c r="DF72" s="193">
        <f t="shared" ref="DF72:DF135" si="92">AN72/AN$5</f>
        <v>0</v>
      </c>
      <c r="DG72" s="193">
        <f t="shared" ref="DG72:DG135" si="93">AO72/AO$5</f>
        <v>0</v>
      </c>
      <c r="DI72" s="83"/>
      <c r="DJ72" s="55"/>
    </row>
    <row r="73" spans="1:114" s="173" customFormat="1">
      <c r="A73" s="150">
        <f t="shared" si="77"/>
        <v>43962</v>
      </c>
      <c r="B73" s="165">
        <v>1356</v>
      </c>
      <c r="C73" s="165">
        <v>135</v>
      </c>
      <c r="D73" s="165">
        <v>1971</v>
      </c>
      <c r="E73" s="165">
        <v>1372</v>
      </c>
      <c r="F73" s="165">
        <v>54</v>
      </c>
      <c r="G73" s="165">
        <v>63</v>
      </c>
      <c r="H73" s="165">
        <v>50</v>
      </c>
      <c r="I73" s="165">
        <v>30</v>
      </c>
      <c r="J73" s="165">
        <v>5621</v>
      </c>
      <c r="K73" s="165">
        <f t="shared" si="78"/>
        <v>10652</v>
      </c>
      <c r="L73" s="166"/>
      <c r="M73" s="166"/>
      <c r="N73" s="166"/>
      <c r="O73" s="166"/>
      <c r="P73" s="166"/>
      <c r="Q73" s="166"/>
      <c r="R73" s="166"/>
      <c r="S73" s="166"/>
      <c r="T73" s="166"/>
      <c r="U73" s="166">
        <f t="shared" si="79"/>
        <v>0</v>
      </c>
      <c r="V73" s="167"/>
      <c r="W73" s="167"/>
      <c r="X73" s="167"/>
      <c r="Y73" s="167"/>
      <c r="Z73" s="167"/>
      <c r="AA73" s="167"/>
      <c r="AB73" s="167"/>
      <c r="AC73" s="167"/>
      <c r="AD73" s="167"/>
      <c r="AE73" s="167">
        <f t="shared" si="80"/>
        <v>0</v>
      </c>
      <c r="AF73" s="168"/>
      <c r="AG73" s="168"/>
      <c r="AH73" s="168"/>
      <c r="AI73" s="168"/>
      <c r="AJ73" s="168"/>
      <c r="AK73" s="168"/>
      <c r="AL73" s="168"/>
      <c r="AM73" s="168"/>
      <c r="AN73" s="168"/>
      <c r="AO73" s="168">
        <f t="shared" si="81"/>
        <v>0</v>
      </c>
      <c r="AP73" s="57">
        <f t="shared" si="71"/>
        <v>138</v>
      </c>
      <c r="AQ73" s="57">
        <f t="shared" si="72"/>
        <v>0</v>
      </c>
      <c r="AR73" s="57">
        <f t="shared" si="73"/>
        <v>19</v>
      </c>
      <c r="AS73" s="57">
        <f t="shared" si="74"/>
        <v>19</v>
      </c>
      <c r="AT73" s="57">
        <f t="shared" si="75"/>
        <v>0</v>
      </c>
      <c r="AU73" s="57">
        <f t="shared" si="76"/>
        <v>2</v>
      </c>
      <c r="AV73" s="57">
        <f t="shared" si="70"/>
        <v>5</v>
      </c>
      <c r="AW73" s="57">
        <f t="shared" si="70"/>
        <v>1</v>
      </c>
      <c r="AX73" s="57">
        <f t="shared" si="70"/>
        <v>453</v>
      </c>
      <c r="AY73" s="57">
        <f t="shared" si="82"/>
        <v>637</v>
      </c>
      <c r="AZ73" s="170"/>
      <c r="BA73" s="170"/>
      <c r="BB73" s="170"/>
      <c r="BC73" s="170"/>
      <c r="BD73" s="170"/>
      <c r="BE73" s="170"/>
      <c r="BF73" s="170"/>
      <c r="BG73" s="170"/>
      <c r="BH73" s="170"/>
      <c r="BI73" s="152">
        <f t="shared" ref="BI73:BI136" si="94">SUM(AZ73:BH73)</f>
        <v>0</v>
      </c>
      <c r="BJ73" s="171"/>
      <c r="BK73" s="171"/>
      <c r="BL73" s="171"/>
      <c r="BM73" s="171"/>
      <c r="BN73" s="171"/>
      <c r="BO73" s="171"/>
      <c r="BP73" s="171"/>
      <c r="BQ73" s="171"/>
      <c r="BR73" s="171"/>
      <c r="BS73" s="163">
        <f t="shared" ref="BS73:BS136" si="95">SUM(BJ73:BR73)</f>
        <v>0</v>
      </c>
      <c r="BT73" s="172"/>
      <c r="BU73" s="172"/>
      <c r="BV73" s="172"/>
      <c r="BW73" s="172"/>
      <c r="BX73" s="172"/>
      <c r="BY73" s="172"/>
      <c r="BZ73" s="172"/>
      <c r="CA73" s="172"/>
      <c r="CB73" s="172"/>
      <c r="CC73" s="164">
        <f t="shared" si="83"/>
        <v>0</v>
      </c>
      <c r="CD73" s="180">
        <f t="shared" si="61"/>
        <v>768</v>
      </c>
      <c r="CE73" s="180">
        <f t="shared" si="62"/>
        <v>24</v>
      </c>
      <c r="CF73" s="180">
        <f t="shared" si="63"/>
        <v>618</v>
      </c>
      <c r="CG73" s="180">
        <f t="shared" si="64"/>
        <v>470</v>
      </c>
      <c r="CH73" s="180">
        <f t="shared" si="65"/>
        <v>18</v>
      </c>
      <c r="CI73" s="180">
        <f t="shared" si="66"/>
        <v>37</v>
      </c>
      <c r="CJ73" s="180">
        <f t="shared" si="67"/>
        <v>22</v>
      </c>
      <c r="CK73" s="180">
        <f t="shared" si="68"/>
        <v>13</v>
      </c>
      <c r="CL73" s="180">
        <f t="shared" si="69"/>
        <v>3884</v>
      </c>
      <c r="CM73" s="180">
        <f t="shared" si="69"/>
        <v>5854</v>
      </c>
      <c r="CN73" s="183">
        <f t="shared" si="51"/>
        <v>1.9735831863608067E-4</v>
      </c>
      <c r="CO73" s="183">
        <f t="shared" si="52"/>
        <v>4.8061105883751561E-5</v>
      </c>
      <c r="CP73" s="183">
        <f t="shared" si="53"/>
        <v>1.2603275907832029E-4</v>
      </c>
      <c r="CQ73" s="183">
        <f t="shared" si="54"/>
        <v>1.2472332521149749E-4</v>
      </c>
      <c r="CR73" s="183">
        <f t="shared" si="55"/>
        <v>9.2247375656933284E-6</v>
      </c>
      <c r="CS73" s="183">
        <f t="shared" si="56"/>
        <v>1.3099928956414397E-5</v>
      </c>
      <c r="CT73" s="183">
        <f t="shared" si="57"/>
        <v>1.2172476188164568E-5</v>
      </c>
      <c r="CU73" s="183">
        <f t="shared" si="58"/>
        <v>2.268897907501101E-5</v>
      </c>
      <c r="CV73" s="183">
        <f t="shared" si="59"/>
        <v>7.695197981120416E-4</v>
      </c>
      <c r="CW73" s="183">
        <f t="shared" si="60"/>
        <v>1.7837694475796454E-4</v>
      </c>
      <c r="CX73" s="193">
        <f t="shared" si="84"/>
        <v>0</v>
      </c>
      <c r="CY73" s="193">
        <f t="shared" si="85"/>
        <v>0</v>
      </c>
      <c r="CZ73" s="193">
        <f t="shared" si="86"/>
        <v>0</v>
      </c>
      <c r="DA73" s="193">
        <f t="shared" si="87"/>
        <v>0</v>
      </c>
      <c r="DB73" s="193">
        <f t="shared" si="88"/>
        <v>0</v>
      </c>
      <c r="DC73" s="193">
        <f t="shared" si="89"/>
        <v>0</v>
      </c>
      <c r="DD73" s="193">
        <f t="shared" si="90"/>
        <v>0</v>
      </c>
      <c r="DE73" s="193">
        <f t="shared" si="91"/>
        <v>0</v>
      </c>
      <c r="DF73" s="193">
        <f t="shared" si="92"/>
        <v>0</v>
      </c>
      <c r="DG73" s="193">
        <f t="shared" si="93"/>
        <v>0</v>
      </c>
      <c r="DI73" s="83"/>
      <c r="DJ73" s="55"/>
    </row>
    <row r="74" spans="1:114" s="173" customFormat="1">
      <c r="A74" s="150">
        <f t="shared" si="77"/>
        <v>43963</v>
      </c>
      <c r="B74" s="165">
        <v>1504</v>
      </c>
      <c r="C74" s="165">
        <v>135</v>
      </c>
      <c r="D74" s="165">
        <v>2014</v>
      </c>
      <c r="E74" s="165">
        <v>1394</v>
      </c>
      <c r="F74" s="165">
        <v>54</v>
      </c>
      <c r="G74" s="165">
        <v>63</v>
      </c>
      <c r="H74" s="165">
        <v>51</v>
      </c>
      <c r="I74" s="165">
        <v>30</v>
      </c>
      <c r="J74" s="165">
        <v>6105</v>
      </c>
      <c r="K74" s="165">
        <f t="shared" si="78"/>
        <v>11350</v>
      </c>
      <c r="L74" s="166"/>
      <c r="M74" s="166"/>
      <c r="N74" s="166"/>
      <c r="O74" s="166"/>
      <c r="P74" s="166"/>
      <c r="Q74" s="166"/>
      <c r="R74" s="166"/>
      <c r="S74" s="166"/>
      <c r="T74" s="166"/>
      <c r="U74" s="166">
        <f t="shared" si="79"/>
        <v>0</v>
      </c>
      <c r="V74" s="167"/>
      <c r="W74" s="167"/>
      <c r="X74" s="167"/>
      <c r="Y74" s="167"/>
      <c r="Z74" s="167"/>
      <c r="AA74" s="167"/>
      <c r="AB74" s="167"/>
      <c r="AC74" s="167"/>
      <c r="AD74" s="167"/>
      <c r="AE74" s="167">
        <f t="shared" si="80"/>
        <v>0</v>
      </c>
      <c r="AF74" s="168"/>
      <c r="AG74" s="168"/>
      <c r="AH74" s="168"/>
      <c r="AI74" s="168"/>
      <c r="AJ74" s="168"/>
      <c r="AK74" s="168"/>
      <c r="AL74" s="168"/>
      <c r="AM74" s="168"/>
      <c r="AN74" s="168"/>
      <c r="AO74" s="168">
        <f t="shared" si="81"/>
        <v>0</v>
      </c>
      <c r="AP74" s="57">
        <f t="shared" si="71"/>
        <v>148</v>
      </c>
      <c r="AQ74" s="57">
        <f t="shared" si="72"/>
        <v>0</v>
      </c>
      <c r="AR74" s="57">
        <f t="shared" si="73"/>
        <v>43</v>
      </c>
      <c r="AS74" s="57">
        <f t="shared" si="74"/>
        <v>22</v>
      </c>
      <c r="AT74" s="57">
        <f t="shared" si="75"/>
        <v>0</v>
      </c>
      <c r="AU74" s="57">
        <f t="shared" si="76"/>
        <v>0</v>
      </c>
      <c r="AV74" s="57">
        <f t="shared" si="70"/>
        <v>1</v>
      </c>
      <c r="AW74" s="57">
        <f t="shared" si="70"/>
        <v>0</v>
      </c>
      <c r="AX74" s="57">
        <f t="shared" si="70"/>
        <v>484</v>
      </c>
      <c r="AY74" s="57">
        <f t="shared" si="82"/>
        <v>698</v>
      </c>
      <c r="AZ74" s="170"/>
      <c r="BA74" s="170"/>
      <c r="BB74" s="170"/>
      <c r="BC74" s="170"/>
      <c r="BD74" s="170"/>
      <c r="BE74" s="170"/>
      <c r="BF74" s="170"/>
      <c r="BG74" s="170"/>
      <c r="BH74" s="170"/>
      <c r="BI74" s="152">
        <f t="shared" si="94"/>
        <v>0</v>
      </c>
      <c r="BJ74" s="171"/>
      <c r="BK74" s="171"/>
      <c r="BL74" s="171"/>
      <c r="BM74" s="171"/>
      <c r="BN74" s="171"/>
      <c r="BO74" s="171"/>
      <c r="BP74" s="171"/>
      <c r="BQ74" s="171"/>
      <c r="BR74" s="171"/>
      <c r="BS74" s="163">
        <f t="shared" si="95"/>
        <v>0</v>
      </c>
      <c r="BT74" s="172"/>
      <c r="BU74" s="172"/>
      <c r="BV74" s="172"/>
      <c r="BW74" s="172"/>
      <c r="BX74" s="172"/>
      <c r="BY74" s="172"/>
      <c r="BZ74" s="172"/>
      <c r="CA74" s="172"/>
      <c r="CB74" s="172"/>
      <c r="CC74" s="164">
        <f t="shared" si="83"/>
        <v>0</v>
      </c>
      <c r="CD74" s="180">
        <f t="shared" si="61"/>
        <v>888</v>
      </c>
      <c r="CE74" s="180">
        <f t="shared" si="62"/>
        <v>22</v>
      </c>
      <c r="CF74" s="180">
        <f t="shared" si="63"/>
        <v>637</v>
      </c>
      <c r="CG74" s="180">
        <f t="shared" si="64"/>
        <v>475</v>
      </c>
      <c r="CH74" s="180">
        <f t="shared" si="65"/>
        <v>18</v>
      </c>
      <c r="CI74" s="180">
        <f t="shared" si="66"/>
        <v>37</v>
      </c>
      <c r="CJ74" s="180">
        <f t="shared" si="67"/>
        <v>22</v>
      </c>
      <c r="CK74" s="180">
        <f t="shared" si="68"/>
        <v>13</v>
      </c>
      <c r="CL74" s="180">
        <f t="shared" si="69"/>
        <v>4235</v>
      </c>
      <c r="CM74" s="180">
        <f t="shared" si="69"/>
        <v>6347</v>
      </c>
      <c r="CN74" s="183">
        <f t="shared" si="51"/>
        <v>2.1889890208603638E-4</v>
      </c>
      <c r="CO74" s="183">
        <f t="shared" si="52"/>
        <v>4.8061105883751561E-5</v>
      </c>
      <c r="CP74" s="183">
        <f t="shared" si="53"/>
        <v>1.2878233220889755E-4</v>
      </c>
      <c r="CQ74" s="183">
        <f t="shared" si="54"/>
        <v>1.2672326191313959E-4</v>
      </c>
      <c r="CR74" s="183">
        <f t="shared" si="55"/>
        <v>9.2247375656933284E-6</v>
      </c>
      <c r="CS74" s="183">
        <f t="shared" si="56"/>
        <v>1.3099928956414397E-5</v>
      </c>
      <c r="CT74" s="183">
        <f t="shared" si="57"/>
        <v>1.2415925711927859E-5</v>
      </c>
      <c r="CU74" s="183">
        <f t="shared" si="58"/>
        <v>2.268897907501101E-5</v>
      </c>
      <c r="CV74" s="183">
        <f t="shared" si="59"/>
        <v>8.3577981986728597E-4</v>
      </c>
      <c r="CW74" s="183">
        <f t="shared" si="60"/>
        <v>1.9006555792366669E-4</v>
      </c>
      <c r="CX74" s="193">
        <f t="shared" si="84"/>
        <v>0</v>
      </c>
      <c r="CY74" s="193">
        <f t="shared" si="85"/>
        <v>0</v>
      </c>
      <c r="CZ74" s="193">
        <f t="shared" si="86"/>
        <v>0</v>
      </c>
      <c r="DA74" s="193">
        <f t="shared" si="87"/>
        <v>0</v>
      </c>
      <c r="DB74" s="193">
        <f t="shared" si="88"/>
        <v>0</v>
      </c>
      <c r="DC74" s="193">
        <f t="shared" si="89"/>
        <v>0</v>
      </c>
      <c r="DD74" s="193">
        <f t="shared" si="90"/>
        <v>0</v>
      </c>
      <c r="DE74" s="193">
        <f t="shared" si="91"/>
        <v>0</v>
      </c>
      <c r="DF74" s="193">
        <f t="shared" si="92"/>
        <v>0</v>
      </c>
      <c r="DG74" s="193">
        <f t="shared" si="93"/>
        <v>0</v>
      </c>
      <c r="DI74" s="83"/>
      <c r="DJ74" s="55"/>
    </row>
    <row r="75" spans="1:114" s="173" customFormat="1">
      <c r="A75" s="150">
        <f t="shared" si="77"/>
        <v>43964</v>
      </c>
      <c r="B75" s="165">
        <v>1534</v>
      </c>
      <c r="C75" s="165">
        <v>138</v>
      </c>
      <c r="D75" s="165">
        <v>2074</v>
      </c>
      <c r="E75" s="165">
        <v>1413</v>
      </c>
      <c r="F75" s="165">
        <v>54</v>
      </c>
      <c r="G75" s="165">
        <v>66</v>
      </c>
      <c r="H75" s="165">
        <v>52</v>
      </c>
      <c r="I75" s="165">
        <v>30</v>
      </c>
      <c r="J75" s="165">
        <v>6713</v>
      </c>
      <c r="K75" s="165">
        <f t="shared" si="78"/>
        <v>12074</v>
      </c>
      <c r="L75" s="166"/>
      <c r="M75" s="166"/>
      <c r="N75" s="166"/>
      <c r="O75" s="166"/>
      <c r="P75" s="166"/>
      <c r="Q75" s="166"/>
      <c r="R75" s="166"/>
      <c r="S75" s="166"/>
      <c r="T75" s="166"/>
      <c r="U75" s="166">
        <f t="shared" si="79"/>
        <v>0</v>
      </c>
      <c r="V75" s="167"/>
      <c r="W75" s="167"/>
      <c r="X75" s="167"/>
      <c r="Y75" s="167"/>
      <c r="Z75" s="167"/>
      <c r="AA75" s="167"/>
      <c r="AB75" s="167"/>
      <c r="AC75" s="167"/>
      <c r="AD75" s="167"/>
      <c r="AE75" s="167">
        <f t="shared" si="80"/>
        <v>0</v>
      </c>
      <c r="AF75" s="168"/>
      <c r="AG75" s="168"/>
      <c r="AH75" s="168"/>
      <c r="AI75" s="168"/>
      <c r="AJ75" s="168"/>
      <c r="AK75" s="168"/>
      <c r="AL75" s="168"/>
      <c r="AM75" s="168"/>
      <c r="AN75" s="168"/>
      <c r="AO75" s="168">
        <f t="shared" si="81"/>
        <v>0</v>
      </c>
      <c r="AP75" s="57">
        <f t="shared" si="71"/>
        <v>30</v>
      </c>
      <c r="AQ75" s="57">
        <f t="shared" si="72"/>
        <v>3</v>
      </c>
      <c r="AR75" s="57">
        <f t="shared" si="73"/>
        <v>60</v>
      </c>
      <c r="AS75" s="57">
        <f t="shared" si="74"/>
        <v>19</v>
      </c>
      <c r="AT75" s="57">
        <f t="shared" si="75"/>
        <v>0</v>
      </c>
      <c r="AU75" s="57">
        <f t="shared" si="76"/>
        <v>3</v>
      </c>
      <c r="AV75" s="57">
        <f t="shared" si="70"/>
        <v>1</v>
      </c>
      <c r="AW75" s="57">
        <f t="shared" si="70"/>
        <v>0</v>
      </c>
      <c r="AX75" s="57">
        <f t="shared" si="70"/>
        <v>608</v>
      </c>
      <c r="AY75" s="57">
        <f t="shared" si="82"/>
        <v>724</v>
      </c>
      <c r="AZ75" s="170"/>
      <c r="BA75" s="170"/>
      <c r="BB75" s="170"/>
      <c r="BC75" s="170"/>
      <c r="BD75" s="170"/>
      <c r="BE75" s="170"/>
      <c r="BF75" s="170"/>
      <c r="BG75" s="170"/>
      <c r="BH75" s="170"/>
      <c r="BI75" s="152">
        <f t="shared" si="94"/>
        <v>0</v>
      </c>
      <c r="BJ75" s="171"/>
      <c r="BK75" s="171"/>
      <c r="BL75" s="171"/>
      <c r="BM75" s="171"/>
      <c r="BN75" s="171"/>
      <c r="BO75" s="171"/>
      <c r="BP75" s="171"/>
      <c r="BQ75" s="171"/>
      <c r="BR75" s="171"/>
      <c r="BS75" s="163">
        <f t="shared" si="95"/>
        <v>0</v>
      </c>
      <c r="BT75" s="172"/>
      <c r="BU75" s="172"/>
      <c r="BV75" s="172"/>
      <c r="BW75" s="172"/>
      <c r="BX75" s="172"/>
      <c r="BY75" s="172"/>
      <c r="BZ75" s="172"/>
      <c r="CA75" s="172"/>
      <c r="CB75" s="172"/>
      <c r="CC75" s="164">
        <f t="shared" si="83"/>
        <v>0</v>
      </c>
      <c r="CD75" s="180">
        <f t="shared" si="61"/>
        <v>904</v>
      </c>
      <c r="CE75" s="180">
        <f t="shared" si="62"/>
        <v>25</v>
      </c>
      <c r="CF75" s="180">
        <f t="shared" si="63"/>
        <v>666</v>
      </c>
      <c r="CG75" s="180">
        <f t="shared" si="64"/>
        <v>457</v>
      </c>
      <c r="CH75" s="180">
        <f t="shared" si="65"/>
        <v>18</v>
      </c>
      <c r="CI75" s="180">
        <f t="shared" si="66"/>
        <v>35</v>
      </c>
      <c r="CJ75" s="180">
        <f t="shared" si="67"/>
        <v>23</v>
      </c>
      <c r="CK75" s="180">
        <f t="shared" si="68"/>
        <v>13</v>
      </c>
      <c r="CL75" s="180">
        <f t="shared" si="69"/>
        <v>4578</v>
      </c>
      <c r="CM75" s="180">
        <f t="shared" si="69"/>
        <v>6719</v>
      </c>
      <c r="CN75" s="183">
        <f t="shared" si="51"/>
        <v>2.2326523656913551E-4</v>
      </c>
      <c r="CO75" s="183">
        <f t="shared" si="52"/>
        <v>4.9129130458946038E-5</v>
      </c>
      <c r="CP75" s="183">
        <f t="shared" si="53"/>
        <v>1.3261894587947046E-4</v>
      </c>
      <c r="CQ75" s="183">
        <f t="shared" si="54"/>
        <v>1.2845047997364867E-4</v>
      </c>
      <c r="CR75" s="183">
        <f t="shared" si="55"/>
        <v>9.2247375656933284E-6</v>
      </c>
      <c r="CS75" s="183">
        <f t="shared" si="56"/>
        <v>1.3723735097196034E-5</v>
      </c>
      <c r="CT75" s="183">
        <f t="shared" si="57"/>
        <v>1.265937523569115E-5</v>
      </c>
      <c r="CU75" s="183">
        <f t="shared" si="58"/>
        <v>2.268897907501101E-5</v>
      </c>
      <c r="CV75" s="183">
        <f t="shared" si="59"/>
        <v>9.1901554967552669E-4</v>
      </c>
      <c r="CW75" s="183">
        <f t="shared" si="60"/>
        <v>2.0218956355685916E-4</v>
      </c>
      <c r="CX75" s="193">
        <f t="shared" si="84"/>
        <v>0</v>
      </c>
      <c r="CY75" s="193">
        <f t="shared" si="85"/>
        <v>0</v>
      </c>
      <c r="CZ75" s="193">
        <f t="shared" si="86"/>
        <v>0</v>
      </c>
      <c r="DA75" s="193">
        <f t="shared" si="87"/>
        <v>0</v>
      </c>
      <c r="DB75" s="193">
        <f t="shared" si="88"/>
        <v>0</v>
      </c>
      <c r="DC75" s="193">
        <f t="shared" si="89"/>
        <v>0</v>
      </c>
      <c r="DD75" s="193">
        <f t="shared" si="90"/>
        <v>0</v>
      </c>
      <c r="DE75" s="193">
        <f t="shared" si="91"/>
        <v>0</v>
      </c>
      <c r="DF75" s="193">
        <f t="shared" si="92"/>
        <v>0</v>
      </c>
      <c r="DG75" s="193">
        <f t="shared" si="93"/>
        <v>0</v>
      </c>
      <c r="DI75" s="83"/>
      <c r="DJ75" s="55"/>
    </row>
    <row r="76" spans="1:114" s="173" customFormat="1">
      <c r="A76" s="150">
        <f t="shared" si="77"/>
        <v>43965</v>
      </c>
      <c r="B76" s="165">
        <v>1569</v>
      </c>
      <c r="C76" s="165">
        <v>145</v>
      </c>
      <c r="D76" s="165">
        <v>2135</v>
      </c>
      <c r="E76" s="165">
        <v>1444</v>
      </c>
      <c r="F76" s="165">
        <v>55</v>
      </c>
      <c r="G76" s="165">
        <v>67</v>
      </c>
      <c r="H76" s="165">
        <v>58</v>
      </c>
      <c r="I76" s="165">
        <v>31</v>
      </c>
      <c r="J76" s="165">
        <v>7235</v>
      </c>
      <c r="K76" s="165">
        <f t="shared" si="78"/>
        <v>12739</v>
      </c>
      <c r="L76" s="166"/>
      <c r="M76" s="166"/>
      <c r="N76" s="166"/>
      <c r="O76" s="166"/>
      <c r="P76" s="166"/>
      <c r="Q76" s="166"/>
      <c r="R76" s="166"/>
      <c r="S76" s="166"/>
      <c r="T76" s="166"/>
      <c r="U76" s="166">
        <f t="shared" si="79"/>
        <v>0</v>
      </c>
      <c r="V76" s="167"/>
      <c r="W76" s="167"/>
      <c r="X76" s="167"/>
      <c r="Y76" s="167"/>
      <c r="Z76" s="167"/>
      <c r="AA76" s="167"/>
      <c r="AB76" s="167"/>
      <c r="AC76" s="167"/>
      <c r="AD76" s="167"/>
      <c r="AE76" s="167">
        <f t="shared" si="80"/>
        <v>0</v>
      </c>
      <c r="AF76" s="168"/>
      <c r="AG76" s="168"/>
      <c r="AH76" s="168"/>
      <c r="AI76" s="168"/>
      <c r="AJ76" s="168"/>
      <c r="AK76" s="168"/>
      <c r="AL76" s="168"/>
      <c r="AM76" s="168"/>
      <c r="AN76" s="168"/>
      <c r="AO76" s="168">
        <f t="shared" si="81"/>
        <v>0</v>
      </c>
      <c r="AP76" s="57">
        <f t="shared" si="71"/>
        <v>35</v>
      </c>
      <c r="AQ76" s="57">
        <f t="shared" si="72"/>
        <v>7</v>
      </c>
      <c r="AR76" s="57">
        <f t="shared" si="73"/>
        <v>61</v>
      </c>
      <c r="AS76" s="57">
        <f t="shared" si="74"/>
        <v>31</v>
      </c>
      <c r="AT76" s="57">
        <f t="shared" si="75"/>
        <v>1</v>
      </c>
      <c r="AU76" s="57">
        <f t="shared" si="76"/>
        <v>1</v>
      </c>
      <c r="AV76" s="57">
        <f t="shared" si="70"/>
        <v>6</v>
      </c>
      <c r="AW76" s="57">
        <f t="shared" si="70"/>
        <v>1</v>
      </c>
      <c r="AX76" s="57">
        <f t="shared" si="70"/>
        <v>522</v>
      </c>
      <c r="AY76" s="57">
        <f t="shared" si="82"/>
        <v>665</v>
      </c>
      <c r="AZ76" s="170"/>
      <c r="BA76" s="170"/>
      <c r="BB76" s="170"/>
      <c r="BC76" s="170"/>
      <c r="BD76" s="170"/>
      <c r="BE76" s="170"/>
      <c r="BF76" s="170"/>
      <c r="BG76" s="170"/>
      <c r="BH76" s="170"/>
      <c r="BI76" s="152">
        <f t="shared" si="94"/>
        <v>0</v>
      </c>
      <c r="BJ76" s="171"/>
      <c r="BK76" s="171"/>
      <c r="BL76" s="171"/>
      <c r="BM76" s="171"/>
      <c r="BN76" s="171"/>
      <c r="BO76" s="171"/>
      <c r="BP76" s="171"/>
      <c r="BQ76" s="171"/>
      <c r="BR76" s="171"/>
      <c r="BS76" s="163">
        <f t="shared" si="95"/>
        <v>0</v>
      </c>
      <c r="BT76" s="172"/>
      <c r="BU76" s="172"/>
      <c r="BV76" s="172"/>
      <c r="BW76" s="172"/>
      <c r="BX76" s="172"/>
      <c r="BY76" s="172"/>
      <c r="BZ76" s="172"/>
      <c r="CA76" s="172"/>
      <c r="CB76" s="172"/>
      <c r="CC76" s="164">
        <f t="shared" si="83"/>
        <v>0</v>
      </c>
      <c r="CD76" s="180">
        <f t="shared" si="61"/>
        <v>922</v>
      </c>
      <c r="CE76" s="180">
        <f t="shared" si="62"/>
        <v>29</v>
      </c>
      <c r="CF76" s="180">
        <f t="shared" si="63"/>
        <v>689</v>
      </c>
      <c r="CG76" s="180">
        <f t="shared" si="64"/>
        <v>464</v>
      </c>
      <c r="CH76" s="180">
        <f t="shared" si="65"/>
        <v>23</v>
      </c>
      <c r="CI76" s="180">
        <f t="shared" si="66"/>
        <v>31</v>
      </c>
      <c r="CJ76" s="180">
        <f t="shared" si="67"/>
        <v>27</v>
      </c>
      <c r="CK76" s="180">
        <f t="shared" si="68"/>
        <v>14</v>
      </c>
      <c r="CL76" s="180">
        <f t="shared" si="69"/>
        <v>4893</v>
      </c>
      <c r="CM76" s="180">
        <f t="shared" si="69"/>
        <v>7092</v>
      </c>
      <c r="CN76" s="183">
        <f t="shared" si="51"/>
        <v>2.283592934660845E-4</v>
      </c>
      <c r="CO76" s="183">
        <f t="shared" si="52"/>
        <v>5.1621187801066486E-5</v>
      </c>
      <c r="CP76" s="183">
        <f t="shared" si="53"/>
        <v>1.3651950311121958E-4</v>
      </c>
      <c r="CQ76" s="183">
        <f t="shared" si="54"/>
        <v>1.3126857259868979E-4</v>
      </c>
      <c r="CR76" s="183">
        <f t="shared" si="55"/>
        <v>9.3955660391320944E-6</v>
      </c>
      <c r="CS76" s="183">
        <f t="shared" si="56"/>
        <v>1.3931670477456581E-5</v>
      </c>
      <c r="CT76" s="183">
        <f t="shared" si="57"/>
        <v>1.41200723782709E-5</v>
      </c>
      <c r="CU76" s="183">
        <f t="shared" si="58"/>
        <v>2.3445278377511377E-5</v>
      </c>
      <c r="CV76" s="183">
        <f t="shared" si="59"/>
        <v>9.90477804543786E-4</v>
      </c>
      <c r="CW76" s="183">
        <f t="shared" si="60"/>
        <v>2.1332556320613128E-4</v>
      </c>
      <c r="CX76" s="193">
        <f t="shared" si="84"/>
        <v>0</v>
      </c>
      <c r="CY76" s="193">
        <f t="shared" si="85"/>
        <v>0</v>
      </c>
      <c r="CZ76" s="193">
        <f t="shared" si="86"/>
        <v>0</v>
      </c>
      <c r="DA76" s="193">
        <f t="shared" si="87"/>
        <v>0</v>
      </c>
      <c r="DB76" s="193">
        <f t="shared" si="88"/>
        <v>0</v>
      </c>
      <c r="DC76" s="193">
        <f t="shared" si="89"/>
        <v>0</v>
      </c>
      <c r="DD76" s="193">
        <f t="shared" si="90"/>
        <v>0</v>
      </c>
      <c r="DE76" s="193">
        <f t="shared" si="91"/>
        <v>0</v>
      </c>
      <c r="DF76" s="193">
        <f t="shared" si="92"/>
        <v>0</v>
      </c>
      <c r="DG76" s="193">
        <f t="shared" si="93"/>
        <v>0</v>
      </c>
      <c r="DI76" s="83"/>
      <c r="DJ76" s="55"/>
    </row>
    <row r="77" spans="1:114" s="173" customFormat="1">
      <c r="A77" s="150">
        <f t="shared" si="77"/>
        <v>43966</v>
      </c>
      <c r="B77" s="165">
        <v>1662</v>
      </c>
      <c r="C77" s="165">
        <v>151</v>
      </c>
      <c r="D77" s="165">
        <v>2210</v>
      </c>
      <c r="E77" s="165">
        <v>1482</v>
      </c>
      <c r="F77" s="165">
        <v>57</v>
      </c>
      <c r="G77" s="165">
        <v>67</v>
      </c>
      <c r="H77" s="165">
        <v>63</v>
      </c>
      <c r="I77" s="165">
        <v>34</v>
      </c>
      <c r="J77" s="165">
        <v>7798</v>
      </c>
      <c r="K77" s="165">
        <f t="shared" si="78"/>
        <v>13524</v>
      </c>
      <c r="L77" s="166"/>
      <c r="M77" s="166"/>
      <c r="N77" s="166"/>
      <c r="O77" s="166"/>
      <c r="P77" s="166"/>
      <c r="Q77" s="166"/>
      <c r="R77" s="166"/>
      <c r="S77" s="166"/>
      <c r="T77" s="166"/>
      <c r="U77" s="166">
        <f t="shared" si="79"/>
        <v>0</v>
      </c>
      <c r="V77" s="167"/>
      <c r="W77" s="167"/>
      <c r="X77" s="167"/>
      <c r="Y77" s="167"/>
      <c r="Z77" s="167"/>
      <c r="AA77" s="167"/>
      <c r="AB77" s="167"/>
      <c r="AC77" s="167"/>
      <c r="AD77" s="167"/>
      <c r="AE77" s="167">
        <f t="shared" si="80"/>
        <v>0</v>
      </c>
      <c r="AF77" s="168"/>
      <c r="AG77" s="168"/>
      <c r="AH77" s="168"/>
      <c r="AI77" s="168"/>
      <c r="AJ77" s="168"/>
      <c r="AK77" s="168"/>
      <c r="AL77" s="168"/>
      <c r="AM77" s="168"/>
      <c r="AN77" s="168"/>
      <c r="AO77" s="168">
        <f t="shared" si="81"/>
        <v>0</v>
      </c>
      <c r="AP77" s="57">
        <f t="shared" si="71"/>
        <v>93</v>
      </c>
      <c r="AQ77" s="57">
        <f t="shared" si="72"/>
        <v>6</v>
      </c>
      <c r="AR77" s="57">
        <f t="shared" si="73"/>
        <v>75</v>
      </c>
      <c r="AS77" s="57">
        <f t="shared" si="74"/>
        <v>38</v>
      </c>
      <c r="AT77" s="57">
        <f t="shared" si="75"/>
        <v>2</v>
      </c>
      <c r="AU77" s="57">
        <f t="shared" si="76"/>
        <v>0</v>
      </c>
      <c r="AV77" s="57">
        <f t="shared" si="70"/>
        <v>5</v>
      </c>
      <c r="AW77" s="57">
        <f t="shared" si="70"/>
        <v>3</v>
      </c>
      <c r="AX77" s="57">
        <f t="shared" si="70"/>
        <v>563</v>
      </c>
      <c r="AY77" s="57">
        <f t="shared" si="82"/>
        <v>785</v>
      </c>
      <c r="AZ77" s="170"/>
      <c r="BA77" s="170"/>
      <c r="BB77" s="170"/>
      <c r="BC77" s="170"/>
      <c r="BD77" s="170"/>
      <c r="BE77" s="170"/>
      <c r="BF77" s="170"/>
      <c r="BG77" s="170"/>
      <c r="BH77" s="170"/>
      <c r="BI77" s="152">
        <f t="shared" si="94"/>
        <v>0</v>
      </c>
      <c r="BJ77" s="171"/>
      <c r="BK77" s="171"/>
      <c r="BL77" s="171"/>
      <c r="BM77" s="171"/>
      <c r="BN77" s="171"/>
      <c r="BO77" s="171"/>
      <c r="BP77" s="171"/>
      <c r="BQ77" s="171"/>
      <c r="BR77" s="171"/>
      <c r="BS77" s="163">
        <f t="shared" si="95"/>
        <v>0</v>
      </c>
      <c r="BT77" s="172"/>
      <c r="BU77" s="172"/>
      <c r="BV77" s="172"/>
      <c r="BW77" s="172"/>
      <c r="BX77" s="172"/>
      <c r="BY77" s="172"/>
      <c r="BZ77" s="172"/>
      <c r="CA77" s="172"/>
      <c r="CB77" s="172"/>
      <c r="CC77" s="164">
        <f t="shared" si="83"/>
        <v>0</v>
      </c>
      <c r="CD77" s="180">
        <f t="shared" si="61"/>
        <v>971</v>
      </c>
      <c r="CE77" s="180">
        <f t="shared" si="62"/>
        <v>33</v>
      </c>
      <c r="CF77" s="180">
        <f t="shared" si="63"/>
        <v>703</v>
      </c>
      <c r="CG77" s="180">
        <f t="shared" si="64"/>
        <v>476</v>
      </c>
      <c r="CH77" s="180">
        <f t="shared" si="65"/>
        <v>23</v>
      </c>
      <c r="CI77" s="180">
        <f t="shared" si="66"/>
        <v>32</v>
      </c>
      <c r="CJ77" s="180">
        <f t="shared" si="67"/>
        <v>28</v>
      </c>
      <c r="CK77" s="180">
        <f t="shared" si="68"/>
        <v>16</v>
      </c>
      <c r="CL77" s="180">
        <f t="shared" si="69"/>
        <v>5291</v>
      </c>
      <c r="CM77" s="180">
        <f t="shared" si="69"/>
        <v>7573</v>
      </c>
      <c r="CN77" s="183">
        <f t="shared" si="51"/>
        <v>2.4189493036369181E-4</v>
      </c>
      <c r="CO77" s="183">
        <f t="shared" si="52"/>
        <v>5.3757236951455446E-5</v>
      </c>
      <c r="CP77" s="183">
        <f t="shared" si="53"/>
        <v>1.4131527019943573E-4</v>
      </c>
      <c r="CQ77" s="183">
        <f t="shared" si="54"/>
        <v>1.3472300871970793E-4</v>
      </c>
      <c r="CR77" s="183">
        <f t="shared" si="55"/>
        <v>9.7372229860096247E-6</v>
      </c>
      <c r="CS77" s="183">
        <f t="shared" si="56"/>
        <v>1.3931670477456581E-5</v>
      </c>
      <c r="CT77" s="183">
        <f t="shared" si="57"/>
        <v>1.5337319997087356E-5</v>
      </c>
      <c r="CU77" s="183">
        <f t="shared" si="58"/>
        <v>2.5714176285012478E-5</v>
      </c>
      <c r="CV77" s="183">
        <f t="shared" si="59"/>
        <v>1.0675529951392458E-3</v>
      </c>
      <c r="CW77" s="183">
        <f t="shared" si="60"/>
        <v>2.2647106655151263E-4</v>
      </c>
      <c r="CX77" s="193">
        <f t="shared" si="84"/>
        <v>0</v>
      </c>
      <c r="CY77" s="193">
        <f t="shared" si="85"/>
        <v>0</v>
      </c>
      <c r="CZ77" s="193">
        <f t="shared" si="86"/>
        <v>0</v>
      </c>
      <c r="DA77" s="193">
        <f t="shared" si="87"/>
        <v>0</v>
      </c>
      <c r="DB77" s="193">
        <f t="shared" si="88"/>
        <v>0</v>
      </c>
      <c r="DC77" s="193">
        <f t="shared" si="89"/>
        <v>0</v>
      </c>
      <c r="DD77" s="193">
        <f t="shared" si="90"/>
        <v>0</v>
      </c>
      <c r="DE77" s="193">
        <f t="shared" si="91"/>
        <v>0</v>
      </c>
      <c r="DF77" s="193">
        <f t="shared" si="92"/>
        <v>0</v>
      </c>
      <c r="DG77" s="193">
        <f t="shared" si="93"/>
        <v>0</v>
      </c>
      <c r="DI77" s="83"/>
      <c r="DJ77" s="55"/>
    </row>
    <row r="78" spans="1:114" s="173" customFormat="1">
      <c r="A78" s="150">
        <f t="shared" si="77"/>
        <v>43967</v>
      </c>
      <c r="B78" s="165">
        <v>1812</v>
      </c>
      <c r="C78" s="165">
        <v>153</v>
      </c>
      <c r="D78" s="165">
        <v>2262</v>
      </c>
      <c r="E78" s="165">
        <v>1498</v>
      </c>
      <c r="F78" s="165">
        <v>59</v>
      </c>
      <c r="G78" s="165">
        <v>68</v>
      </c>
      <c r="H78" s="165">
        <v>64</v>
      </c>
      <c r="I78" s="165">
        <v>35</v>
      </c>
      <c r="J78" s="165">
        <v>8404</v>
      </c>
      <c r="K78" s="165">
        <f t="shared" si="78"/>
        <v>14355</v>
      </c>
      <c r="L78" s="166"/>
      <c r="M78" s="166"/>
      <c r="N78" s="166"/>
      <c r="O78" s="166"/>
      <c r="P78" s="166"/>
      <c r="Q78" s="166"/>
      <c r="R78" s="166"/>
      <c r="S78" s="166"/>
      <c r="T78" s="166"/>
      <c r="U78" s="166">
        <f t="shared" si="79"/>
        <v>0</v>
      </c>
      <c r="V78" s="167"/>
      <c r="W78" s="167"/>
      <c r="X78" s="167"/>
      <c r="Y78" s="167"/>
      <c r="Z78" s="167"/>
      <c r="AA78" s="167"/>
      <c r="AB78" s="167"/>
      <c r="AC78" s="167"/>
      <c r="AD78" s="167"/>
      <c r="AE78" s="167">
        <f t="shared" si="80"/>
        <v>0</v>
      </c>
      <c r="AF78" s="168"/>
      <c r="AG78" s="168"/>
      <c r="AH78" s="168"/>
      <c r="AI78" s="168"/>
      <c r="AJ78" s="168"/>
      <c r="AK78" s="168"/>
      <c r="AL78" s="168"/>
      <c r="AM78" s="168"/>
      <c r="AN78" s="168"/>
      <c r="AO78" s="168">
        <f t="shared" si="81"/>
        <v>0</v>
      </c>
      <c r="AP78" s="57">
        <f t="shared" si="71"/>
        <v>150</v>
      </c>
      <c r="AQ78" s="57">
        <f t="shared" si="72"/>
        <v>2</v>
      </c>
      <c r="AR78" s="57">
        <f t="shared" si="73"/>
        <v>52</v>
      </c>
      <c r="AS78" s="57">
        <f t="shared" si="74"/>
        <v>16</v>
      </c>
      <c r="AT78" s="57">
        <f t="shared" si="75"/>
        <v>2</v>
      </c>
      <c r="AU78" s="57">
        <f t="shared" si="76"/>
        <v>1</v>
      </c>
      <c r="AV78" s="57">
        <f t="shared" si="70"/>
        <v>1</v>
      </c>
      <c r="AW78" s="57">
        <f t="shared" si="70"/>
        <v>1</v>
      </c>
      <c r="AX78" s="57">
        <f t="shared" si="70"/>
        <v>606</v>
      </c>
      <c r="AY78" s="57">
        <f t="shared" si="82"/>
        <v>831</v>
      </c>
      <c r="AZ78" s="170"/>
      <c r="BA78" s="170"/>
      <c r="BB78" s="170"/>
      <c r="BC78" s="170"/>
      <c r="BD78" s="170"/>
      <c r="BE78" s="170"/>
      <c r="BF78" s="170"/>
      <c r="BG78" s="170"/>
      <c r="BH78" s="170"/>
      <c r="BI78" s="152">
        <f t="shared" si="94"/>
        <v>0</v>
      </c>
      <c r="BJ78" s="171"/>
      <c r="BK78" s="171"/>
      <c r="BL78" s="171"/>
      <c r="BM78" s="171"/>
      <c r="BN78" s="171"/>
      <c r="BO78" s="171"/>
      <c r="BP78" s="171"/>
      <c r="BQ78" s="171"/>
      <c r="BR78" s="171"/>
      <c r="BS78" s="163">
        <f t="shared" si="95"/>
        <v>0</v>
      </c>
      <c r="BT78" s="172"/>
      <c r="BU78" s="172"/>
      <c r="BV78" s="172"/>
      <c r="BW78" s="172"/>
      <c r="BX78" s="172"/>
      <c r="BY78" s="172"/>
      <c r="BZ78" s="172"/>
      <c r="CA78" s="172"/>
      <c r="CB78" s="172"/>
      <c r="CC78" s="164">
        <f t="shared" si="83"/>
        <v>0</v>
      </c>
      <c r="CD78" s="180">
        <f t="shared" si="61"/>
        <v>1080</v>
      </c>
      <c r="CE78" s="180">
        <f t="shared" si="62"/>
        <v>32</v>
      </c>
      <c r="CF78" s="180">
        <f t="shared" si="63"/>
        <v>664</v>
      </c>
      <c r="CG78" s="180">
        <f t="shared" si="64"/>
        <v>447</v>
      </c>
      <c r="CH78" s="180">
        <f t="shared" si="65"/>
        <v>23</v>
      </c>
      <c r="CI78" s="180">
        <f t="shared" si="66"/>
        <v>28</v>
      </c>
      <c r="CJ78" s="180">
        <f t="shared" si="67"/>
        <v>29</v>
      </c>
      <c r="CK78" s="180">
        <f t="shared" si="68"/>
        <v>12</v>
      </c>
      <c r="CL78" s="180">
        <f t="shared" si="69"/>
        <v>5704</v>
      </c>
      <c r="CM78" s="180">
        <f t="shared" si="69"/>
        <v>8019</v>
      </c>
      <c r="CN78" s="183">
        <f t="shared" si="51"/>
        <v>2.6372660277918745E-4</v>
      </c>
      <c r="CO78" s="183">
        <f t="shared" si="52"/>
        <v>5.4469253334918435E-5</v>
      </c>
      <c r="CP78" s="183">
        <f t="shared" si="53"/>
        <v>1.4464033538059894E-4</v>
      </c>
      <c r="CQ78" s="183">
        <f t="shared" si="54"/>
        <v>1.36177508139084E-4</v>
      </c>
      <c r="CR78" s="183">
        <f t="shared" si="55"/>
        <v>1.0078879932887155E-5</v>
      </c>
      <c r="CS78" s="183">
        <f t="shared" si="56"/>
        <v>1.4139605857717127E-5</v>
      </c>
      <c r="CT78" s="183">
        <f t="shared" si="57"/>
        <v>1.5580769520850646E-5</v>
      </c>
      <c r="CU78" s="183">
        <f t="shared" si="58"/>
        <v>2.6470475587512845E-5</v>
      </c>
      <c r="CV78" s="183">
        <f t="shared" si="59"/>
        <v>1.1505149232046963E-3</v>
      </c>
      <c r="CW78" s="183">
        <f t="shared" si="60"/>
        <v>2.403868796470692E-4</v>
      </c>
      <c r="CX78" s="193">
        <f t="shared" si="84"/>
        <v>0</v>
      </c>
      <c r="CY78" s="193">
        <f t="shared" si="85"/>
        <v>0</v>
      </c>
      <c r="CZ78" s="193">
        <f t="shared" si="86"/>
        <v>0</v>
      </c>
      <c r="DA78" s="193">
        <f t="shared" si="87"/>
        <v>0</v>
      </c>
      <c r="DB78" s="193">
        <f t="shared" si="88"/>
        <v>0</v>
      </c>
      <c r="DC78" s="193">
        <f t="shared" si="89"/>
        <v>0</v>
      </c>
      <c r="DD78" s="193">
        <f t="shared" si="90"/>
        <v>0</v>
      </c>
      <c r="DE78" s="193">
        <f t="shared" si="91"/>
        <v>0</v>
      </c>
      <c r="DF78" s="193">
        <f t="shared" si="92"/>
        <v>0</v>
      </c>
      <c r="DG78" s="193">
        <f t="shared" si="93"/>
        <v>0</v>
      </c>
      <c r="DI78" s="83"/>
      <c r="DJ78" s="55"/>
    </row>
    <row r="79" spans="1:114" s="173" customFormat="1">
      <c r="A79" s="150">
        <f>A80-1</f>
        <v>43968</v>
      </c>
      <c r="B79" s="165">
        <v>1936</v>
      </c>
      <c r="C79" s="165">
        <v>158</v>
      </c>
      <c r="D79" s="165">
        <v>2329</v>
      </c>
      <c r="E79" s="165">
        <v>1543</v>
      </c>
      <c r="F79" s="165">
        <v>77</v>
      </c>
      <c r="G79" s="165">
        <v>71</v>
      </c>
      <c r="H79" s="165">
        <v>70</v>
      </c>
      <c r="I79" s="165">
        <v>37</v>
      </c>
      <c r="J79" s="165">
        <v>9294</v>
      </c>
      <c r="K79" s="165">
        <f t="shared" si="78"/>
        <v>15515</v>
      </c>
      <c r="L79" s="166"/>
      <c r="M79" s="166"/>
      <c r="N79" s="166"/>
      <c r="O79" s="166"/>
      <c r="P79" s="166"/>
      <c r="Q79" s="166"/>
      <c r="R79" s="166"/>
      <c r="S79" s="166"/>
      <c r="T79" s="166"/>
      <c r="U79" s="166">
        <f t="shared" si="79"/>
        <v>0</v>
      </c>
      <c r="V79" s="167"/>
      <c r="W79" s="167"/>
      <c r="X79" s="167"/>
      <c r="Y79" s="167"/>
      <c r="Z79" s="167"/>
      <c r="AA79" s="167"/>
      <c r="AB79" s="167"/>
      <c r="AC79" s="167"/>
      <c r="AD79" s="167"/>
      <c r="AE79" s="167">
        <f t="shared" si="80"/>
        <v>0</v>
      </c>
      <c r="AF79" s="168"/>
      <c r="AG79" s="168"/>
      <c r="AH79" s="168"/>
      <c r="AI79" s="168"/>
      <c r="AJ79" s="168"/>
      <c r="AK79" s="168"/>
      <c r="AL79" s="168"/>
      <c r="AM79" s="168"/>
      <c r="AN79" s="168"/>
      <c r="AO79" s="168">
        <f t="shared" si="81"/>
        <v>0</v>
      </c>
      <c r="AP79" s="57">
        <f t="shared" si="71"/>
        <v>124</v>
      </c>
      <c r="AQ79" s="57">
        <f t="shared" si="72"/>
        <v>5</v>
      </c>
      <c r="AR79" s="57">
        <f t="shared" si="73"/>
        <v>67</v>
      </c>
      <c r="AS79" s="57">
        <f t="shared" si="74"/>
        <v>45</v>
      </c>
      <c r="AT79" s="57">
        <f t="shared" si="75"/>
        <v>18</v>
      </c>
      <c r="AU79" s="57">
        <f t="shared" si="76"/>
        <v>3</v>
      </c>
      <c r="AV79" s="57">
        <f t="shared" si="70"/>
        <v>6</v>
      </c>
      <c r="AW79" s="57">
        <f t="shared" si="70"/>
        <v>2</v>
      </c>
      <c r="AX79" s="57">
        <f t="shared" si="70"/>
        <v>890</v>
      </c>
      <c r="AY79" s="57">
        <f t="shared" si="82"/>
        <v>1160</v>
      </c>
      <c r="AZ79" s="170"/>
      <c r="BA79" s="170"/>
      <c r="BB79" s="170"/>
      <c r="BC79" s="170"/>
      <c r="BD79" s="170"/>
      <c r="BE79" s="170"/>
      <c r="BF79" s="170"/>
      <c r="BG79" s="170"/>
      <c r="BH79" s="170"/>
      <c r="BI79" s="152">
        <f t="shared" si="94"/>
        <v>0</v>
      </c>
      <c r="BJ79" s="171"/>
      <c r="BK79" s="171"/>
      <c r="BL79" s="171"/>
      <c r="BM79" s="171"/>
      <c r="BN79" s="171"/>
      <c r="BO79" s="171"/>
      <c r="BP79" s="171"/>
      <c r="BQ79" s="171"/>
      <c r="BR79" s="171"/>
      <c r="BS79" s="163">
        <f t="shared" si="95"/>
        <v>0</v>
      </c>
      <c r="BT79" s="172"/>
      <c r="BU79" s="172"/>
      <c r="BV79" s="172"/>
      <c r="BW79" s="172"/>
      <c r="BX79" s="172"/>
      <c r="BY79" s="172"/>
      <c r="BZ79" s="172"/>
      <c r="CA79" s="172"/>
      <c r="CB79" s="172"/>
      <c r="CC79" s="164">
        <f t="shared" si="83"/>
        <v>0</v>
      </c>
      <c r="CD79" s="180">
        <f t="shared" si="61"/>
        <v>1162</v>
      </c>
      <c r="CE79" s="180">
        <f t="shared" si="62"/>
        <v>36</v>
      </c>
      <c r="CF79" s="180">
        <f t="shared" si="63"/>
        <v>705</v>
      </c>
      <c r="CG79" s="180">
        <f t="shared" si="64"/>
        <v>467</v>
      </c>
      <c r="CH79" s="180">
        <f t="shared" si="65"/>
        <v>40</v>
      </c>
      <c r="CI79" s="180">
        <f t="shared" si="66"/>
        <v>25</v>
      </c>
      <c r="CJ79" s="180">
        <f t="shared" si="67"/>
        <v>34</v>
      </c>
      <c r="CK79" s="180">
        <f t="shared" si="68"/>
        <v>13</v>
      </c>
      <c r="CL79" s="180">
        <f t="shared" si="69"/>
        <v>6250</v>
      </c>
      <c r="CM79" s="180">
        <f t="shared" si="69"/>
        <v>8732</v>
      </c>
      <c r="CN79" s="183">
        <f t="shared" si="51"/>
        <v>2.8177411864266388E-4</v>
      </c>
      <c r="CO79" s="183">
        <f t="shared" si="52"/>
        <v>5.6249294293575901E-5</v>
      </c>
      <c r="CP79" s="183">
        <f t="shared" si="53"/>
        <v>1.4892455397940536E-4</v>
      </c>
      <c r="CQ79" s="183">
        <f t="shared" si="54"/>
        <v>1.4026828775607917E-4</v>
      </c>
      <c r="CR79" s="183">
        <f t="shared" si="55"/>
        <v>1.3153792454784933E-5</v>
      </c>
      <c r="CS79" s="183">
        <f t="shared" si="56"/>
        <v>1.4763411998498764E-5</v>
      </c>
      <c r="CT79" s="183">
        <f t="shared" si="57"/>
        <v>1.7041466663430397E-5</v>
      </c>
      <c r="CU79" s="183">
        <f t="shared" si="58"/>
        <v>2.7983074192513583E-5</v>
      </c>
      <c r="CV79" s="183">
        <f t="shared" si="59"/>
        <v>1.2723566987463645E-3</v>
      </c>
      <c r="CW79" s="183">
        <f t="shared" si="60"/>
        <v>2.5981208204279194E-4</v>
      </c>
      <c r="CX79" s="193">
        <f t="shared" si="84"/>
        <v>0</v>
      </c>
      <c r="CY79" s="193">
        <f t="shared" si="85"/>
        <v>0</v>
      </c>
      <c r="CZ79" s="193">
        <f t="shared" si="86"/>
        <v>0</v>
      </c>
      <c r="DA79" s="193">
        <f t="shared" si="87"/>
        <v>0</v>
      </c>
      <c r="DB79" s="193">
        <f t="shared" si="88"/>
        <v>0</v>
      </c>
      <c r="DC79" s="193">
        <f t="shared" si="89"/>
        <v>0</v>
      </c>
      <c r="DD79" s="193">
        <f t="shared" si="90"/>
        <v>0</v>
      </c>
      <c r="DE79" s="193">
        <f t="shared" si="91"/>
        <v>0</v>
      </c>
      <c r="DF79" s="193">
        <f t="shared" si="92"/>
        <v>0</v>
      </c>
      <c r="DG79" s="193">
        <f t="shared" si="93"/>
        <v>0</v>
      </c>
      <c r="DI79" s="83"/>
      <c r="DJ79" s="55"/>
    </row>
    <row r="80" spans="1:114">
      <c r="A80" s="150">
        <v>43969</v>
      </c>
      <c r="B80" s="129">
        <v>2052</v>
      </c>
      <c r="C80" s="129">
        <v>163</v>
      </c>
      <c r="D80" s="129">
        <v>2343</v>
      </c>
      <c r="E80" s="129">
        <v>1567</v>
      </c>
      <c r="F80" s="129">
        <v>88</v>
      </c>
      <c r="G80" s="129">
        <v>76</v>
      </c>
      <c r="H80" s="129">
        <v>72</v>
      </c>
      <c r="I80" s="129">
        <v>37</v>
      </c>
      <c r="J80" s="129">
        <v>10035</v>
      </c>
      <c r="K80" s="165">
        <f t="shared" si="78"/>
        <v>16433</v>
      </c>
      <c r="L80" s="80">
        <v>39</v>
      </c>
      <c r="M80" s="80">
        <v>6</v>
      </c>
      <c r="N80" s="80">
        <v>26</v>
      </c>
      <c r="O80" s="80">
        <v>45</v>
      </c>
      <c r="P80" s="80">
        <v>3</v>
      </c>
      <c r="Q80" s="80">
        <v>0</v>
      </c>
      <c r="R80" s="80">
        <v>1</v>
      </c>
      <c r="S80" s="80">
        <v>0</v>
      </c>
      <c r="T80" s="80">
        <v>166</v>
      </c>
      <c r="U80" s="80">
        <f t="shared" si="79"/>
        <v>286</v>
      </c>
      <c r="V80" s="130">
        <v>839</v>
      </c>
      <c r="W80" s="130">
        <v>108</v>
      </c>
      <c r="X80" s="130">
        <v>1657</v>
      </c>
      <c r="Y80" s="130">
        <v>818</v>
      </c>
      <c r="Z80" s="130">
        <v>37</v>
      </c>
      <c r="AA80" s="130">
        <v>53</v>
      </c>
      <c r="AB80" s="130">
        <v>28</v>
      </c>
      <c r="AC80" s="130">
        <v>27</v>
      </c>
      <c r="AD80" s="130">
        <v>3731</v>
      </c>
      <c r="AE80" s="130">
        <f>SUM(V80:AD80)</f>
        <v>7298</v>
      </c>
      <c r="AF80" s="151">
        <f t="shared" ref="AF80:AF111" si="96">B80-L80-V80</f>
        <v>1174</v>
      </c>
      <c r="AG80" s="151">
        <f t="shared" ref="AG80:AG111" si="97">C80-M80-W80</f>
        <v>49</v>
      </c>
      <c r="AH80" s="151">
        <f t="shared" ref="AH80:AH111" si="98">D80-N80-X80</f>
        <v>660</v>
      </c>
      <c r="AI80" s="151">
        <f t="shared" ref="AI80:AI111" si="99">E80-O80-Y80</f>
        <v>704</v>
      </c>
      <c r="AJ80" s="151">
        <f t="shared" ref="AJ80:AJ111" si="100">F80-P80-Z80</f>
        <v>48</v>
      </c>
      <c r="AK80" s="151">
        <f t="shared" ref="AK80:AK111" si="101">G80-Q80-AA80</f>
        <v>23</v>
      </c>
      <c r="AL80" s="151">
        <f t="shared" ref="AL80:AL111" si="102">H80-R80-AB80</f>
        <v>43</v>
      </c>
      <c r="AM80" s="151">
        <f t="shared" ref="AM80:AM111" si="103">I80-S80-AC80</f>
        <v>10</v>
      </c>
      <c r="AN80" s="151">
        <f t="shared" ref="AN80:AN111" si="104">J80-T80-AD80</f>
        <v>6138</v>
      </c>
      <c r="AO80" s="151">
        <f>SUM(AF80:AN80)</f>
        <v>8849</v>
      </c>
      <c r="AP80" s="57">
        <f t="shared" ref="AP80:AP143" si="105">B80-B79</f>
        <v>116</v>
      </c>
      <c r="AQ80" s="57">
        <f t="shared" ref="AQ80:AQ143" si="106">C80-C79</f>
        <v>5</v>
      </c>
      <c r="AR80" s="57">
        <f t="shared" ref="AR80:AR143" si="107">D80-D79</f>
        <v>14</v>
      </c>
      <c r="AS80" s="57">
        <f t="shared" ref="AS80:AS143" si="108">E80-E79</f>
        <v>24</v>
      </c>
      <c r="AT80" s="57">
        <f t="shared" ref="AT80:AT143" si="109">F80-F79</f>
        <v>11</v>
      </c>
      <c r="AU80" s="57">
        <f t="shared" ref="AU80:AU143" si="110">G80-G79</f>
        <v>5</v>
      </c>
      <c r="AV80" s="57">
        <f t="shared" ref="AV80:AV143" si="111">H80-H79</f>
        <v>2</v>
      </c>
      <c r="AW80" s="57">
        <f t="shared" ref="AW80:AW143" si="112">I80-I79</f>
        <v>0</v>
      </c>
      <c r="AX80" s="57">
        <f t="shared" ref="AX80:AX143" si="113">J80-J79</f>
        <v>741</v>
      </c>
      <c r="AY80" s="57">
        <f>SUM(AP80:AX80)</f>
        <v>918</v>
      </c>
      <c r="AZ80" s="152">
        <f t="shared" ref="AZ80:AZ111" ca="1" si="114">L80/AZ$6-B80</f>
        <v>7809.6973247708556</v>
      </c>
      <c r="BA80" s="152">
        <f t="shared" ref="BA80:BA111" ca="1" si="115">M80/BA$6-C80</f>
        <v>2105.3340800260507</v>
      </c>
      <c r="BB80" s="152">
        <f t="shared" ref="BB80:BB111" ca="1" si="116">N80/BB$6-D80</f>
        <v>6584.4601662806745</v>
      </c>
      <c r="BC80" s="152">
        <f t="shared" ref="BC80:BC111" ca="1" si="117">O80/BC$6-E80</f>
        <v>12969.816803799464</v>
      </c>
      <c r="BD80" s="152">
        <f t="shared" ref="BD80:BD111" ca="1" si="118">P80/BD$6-F80</f>
        <v>956.24861996460436</v>
      </c>
      <c r="BE80" s="152">
        <f t="shared" ref="BE80:BE111" ca="1" si="119">Q80/BE$6-G80</f>
        <v>-76</v>
      </c>
      <c r="BF80" s="152">
        <f t="shared" ref="BF80:BF111" ca="1" si="120">R80/BF$6-H80</f>
        <v>308.34460597397521</v>
      </c>
      <c r="BG80" s="152">
        <f t="shared" ref="BG80:BG111" ca="1" si="121">S80/BG$6-I80</f>
        <v>-37</v>
      </c>
      <c r="BH80" s="152">
        <f t="shared" ref="BH80:BH111" ca="1" si="122">T80/BH$6-J80</f>
        <v>35627.276829480041</v>
      </c>
      <c r="BI80" s="152">
        <f t="shared" ca="1" si="94"/>
        <v>66248.178430295666</v>
      </c>
      <c r="BJ80" s="163">
        <f t="shared" ref="BJ80:BJ137" ca="1" si="123">AZ80*AF80/B80</f>
        <v>4468.1211789868339</v>
      </c>
      <c r="BK80" s="163">
        <f t="shared" ref="BK80:BK137" ca="1" si="124">BA80*AG80/C80</f>
        <v>632.89184000783121</v>
      </c>
      <c r="BL80" s="163">
        <f t="shared" ref="BL80:BL137" ca="1" si="125">BB80*AH80/D80</f>
        <v>1854.777511628359</v>
      </c>
      <c r="BM80" s="163">
        <f t="shared" ref="BM80:BM137" ca="1" si="126">BC80*AI80/E80</f>
        <v>5826.8991894542578</v>
      </c>
      <c r="BN80" s="163">
        <f t="shared" ref="BN80:BN137" ca="1" si="127">BD80*AJ80/F80</f>
        <v>521.59015634432956</v>
      </c>
      <c r="BO80" s="163">
        <f t="shared" ref="BO80:BO137" ca="1" si="128">BE80*AK80/G80</f>
        <v>-23</v>
      </c>
      <c r="BP80" s="163">
        <f t="shared" ref="BP80:BP137" ca="1" si="129">BF80*AL80/H80</f>
        <v>184.15025079001296</v>
      </c>
      <c r="BQ80" s="163">
        <f t="shared" ref="BQ80:BQ137" ca="1" si="130">BG80*AM80/I80</f>
        <v>-10</v>
      </c>
      <c r="BR80" s="163">
        <f t="shared" ref="BR80:BR137" ca="1" si="131">BH80*AN80/J80</f>
        <v>21791.75138807658</v>
      </c>
      <c r="BS80" s="163">
        <f t="shared" ca="1" si="95"/>
        <v>35247.181515288205</v>
      </c>
      <c r="BT80" s="164">
        <f t="shared" ref="BT80:CC80" si="132">L80/(B80)</f>
        <v>1.9005847953216373E-2</v>
      </c>
      <c r="BU80" s="164">
        <f t="shared" si="132"/>
        <v>3.6809815950920248E-2</v>
      </c>
      <c r="BV80" s="164">
        <f t="shared" si="132"/>
        <v>1.1096884336320957E-2</v>
      </c>
      <c r="BW80" s="164">
        <f t="shared" si="132"/>
        <v>2.8717294192724951E-2</v>
      </c>
      <c r="BX80" s="164">
        <f t="shared" si="132"/>
        <v>3.4090909090909088E-2</v>
      </c>
      <c r="BY80" s="164">
        <f t="shared" si="132"/>
        <v>0</v>
      </c>
      <c r="BZ80" s="164">
        <f t="shared" si="132"/>
        <v>1.3888888888888888E-2</v>
      </c>
      <c r="CA80" s="164">
        <f t="shared" si="132"/>
        <v>0</v>
      </c>
      <c r="CB80" s="164">
        <f t="shared" si="132"/>
        <v>1.6542102640757349E-2</v>
      </c>
      <c r="CC80" s="164">
        <f t="shared" si="132"/>
        <v>1.7404004138014968E-2</v>
      </c>
      <c r="CD80" s="180">
        <f t="shared" si="61"/>
        <v>1238</v>
      </c>
      <c r="CE80" s="180">
        <f t="shared" si="62"/>
        <v>38</v>
      </c>
      <c r="CF80" s="180">
        <f t="shared" si="63"/>
        <v>682</v>
      </c>
      <c r="CG80" s="180">
        <f t="shared" si="64"/>
        <v>461</v>
      </c>
      <c r="CH80" s="180">
        <f t="shared" si="65"/>
        <v>49</v>
      </c>
      <c r="CI80" s="180">
        <f t="shared" si="66"/>
        <v>23</v>
      </c>
      <c r="CJ80" s="180">
        <f t="shared" si="67"/>
        <v>37</v>
      </c>
      <c r="CK80" s="180">
        <f t="shared" si="68"/>
        <v>12</v>
      </c>
      <c r="CL80" s="180">
        <f t="shared" si="69"/>
        <v>6673</v>
      </c>
      <c r="CM80" s="180">
        <f t="shared" si="69"/>
        <v>9213</v>
      </c>
      <c r="CN80" s="183">
        <f t="shared" si="51"/>
        <v>2.9865727864398053E-4</v>
      </c>
      <c r="CO80" s="183">
        <f t="shared" si="52"/>
        <v>5.8029335252233367E-5</v>
      </c>
      <c r="CP80" s="183">
        <f t="shared" si="53"/>
        <v>1.4981976383587236E-4</v>
      </c>
      <c r="CQ80" s="183">
        <f t="shared" si="54"/>
        <v>1.4245003688514329E-4</v>
      </c>
      <c r="CR80" s="183">
        <f t="shared" si="55"/>
        <v>1.503290566261135E-5</v>
      </c>
      <c r="CS80" s="183">
        <f t="shared" si="56"/>
        <v>1.5803088899801496E-5</v>
      </c>
      <c r="CT80" s="183">
        <f t="shared" si="57"/>
        <v>1.752836571095698E-5</v>
      </c>
      <c r="CU80" s="183">
        <f t="shared" si="58"/>
        <v>2.7983074192513583E-5</v>
      </c>
      <c r="CV80" s="183">
        <f t="shared" si="59"/>
        <v>1.3738002444501579E-3</v>
      </c>
      <c r="CW80" s="183">
        <f t="shared" si="60"/>
        <v>2.7518478531802772E-4</v>
      </c>
      <c r="CX80" s="193">
        <f t="shared" si="84"/>
        <v>1.7086922277194597E-4</v>
      </c>
      <c r="CY80" s="193">
        <f t="shared" si="85"/>
        <v>1.7444401394843159E-5</v>
      </c>
      <c r="CZ80" s="193">
        <f t="shared" si="86"/>
        <v>4.2202750376302076E-5</v>
      </c>
      <c r="DA80" s="193">
        <f t="shared" si="87"/>
        <v>6.3997974452546815E-5</v>
      </c>
      <c r="DB80" s="193">
        <f t="shared" si="88"/>
        <v>8.1997667250607375E-6</v>
      </c>
      <c r="DC80" s="193">
        <f t="shared" si="89"/>
        <v>4.7825137459925572E-6</v>
      </c>
      <c r="DD80" s="193">
        <f t="shared" si="90"/>
        <v>1.0468329521821529E-5</v>
      </c>
      <c r="DE80" s="193">
        <f t="shared" si="91"/>
        <v>7.5629930250036709E-6</v>
      </c>
      <c r="DF80" s="193">
        <f t="shared" si="92"/>
        <v>8.4029754862332531E-4</v>
      </c>
      <c r="DG80" s="193">
        <f t="shared" si="93"/>
        <v>1.4818415172392305E-4</v>
      </c>
      <c r="DI80" s="83"/>
    </row>
    <row r="81" spans="1:113">
      <c r="A81" s="150">
        <v>43970</v>
      </c>
      <c r="B81" s="129">
        <v>2135</v>
      </c>
      <c r="C81" s="129">
        <v>165</v>
      </c>
      <c r="D81" s="129">
        <v>2361</v>
      </c>
      <c r="E81" s="129">
        <v>1616</v>
      </c>
      <c r="F81" s="129">
        <v>94</v>
      </c>
      <c r="G81" s="129">
        <v>78</v>
      </c>
      <c r="H81" s="129">
        <v>72</v>
      </c>
      <c r="I81" s="129">
        <v>37</v>
      </c>
      <c r="J81" s="129">
        <v>10639</v>
      </c>
      <c r="K81" s="165">
        <f t="shared" si="78"/>
        <v>17197</v>
      </c>
      <c r="L81" s="80">
        <v>41</v>
      </c>
      <c r="M81" s="80">
        <v>6</v>
      </c>
      <c r="N81" s="80">
        <v>27</v>
      </c>
      <c r="O81" s="80">
        <v>46</v>
      </c>
      <c r="P81" s="80">
        <v>3</v>
      </c>
      <c r="Q81" s="80">
        <v>0</v>
      </c>
      <c r="R81" s="80">
        <v>1</v>
      </c>
      <c r="S81" s="80">
        <v>1</v>
      </c>
      <c r="T81" s="80">
        <v>187</v>
      </c>
      <c r="U81" s="80">
        <f t="shared" si="79"/>
        <v>312</v>
      </c>
      <c r="V81" s="130">
        <v>839</v>
      </c>
      <c r="W81" s="130">
        <v>118</v>
      </c>
      <c r="X81" s="130">
        <v>1694</v>
      </c>
      <c r="Y81" s="130">
        <v>818</v>
      </c>
      <c r="Z81" s="130">
        <v>39</v>
      </c>
      <c r="AA81" s="130">
        <v>57</v>
      </c>
      <c r="AB81" s="130">
        <v>28</v>
      </c>
      <c r="AC81" s="130">
        <v>27</v>
      </c>
      <c r="AD81" s="130">
        <v>4363</v>
      </c>
      <c r="AE81" s="130">
        <f t="shared" si="80"/>
        <v>7983</v>
      </c>
      <c r="AF81" s="151">
        <f t="shared" si="96"/>
        <v>1255</v>
      </c>
      <c r="AG81" s="151">
        <f t="shared" si="97"/>
        <v>41</v>
      </c>
      <c r="AH81" s="151">
        <f t="shared" si="98"/>
        <v>640</v>
      </c>
      <c r="AI81" s="151">
        <f t="shared" si="99"/>
        <v>752</v>
      </c>
      <c r="AJ81" s="151">
        <f t="shared" si="100"/>
        <v>52</v>
      </c>
      <c r="AK81" s="151">
        <f t="shared" si="101"/>
        <v>21</v>
      </c>
      <c r="AL81" s="151">
        <f t="shared" si="102"/>
        <v>43</v>
      </c>
      <c r="AM81" s="151">
        <f t="shared" si="103"/>
        <v>9</v>
      </c>
      <c r="AN81" s="151">
        <f t="shared" si="104"/>
        <v>6089</v>
      </c>
      <c r="AO81" s="151">
        <f t="shared" si="81"/>
        <v>8902</v>
      </c>
      <c r="AP81" s="57">
        <f t="shared" si="105"/>
        <v>83</v>
      </c>
      <c r="AQ81" s="57">
        <f t="shared" si="106"/>
        <v>2</v>
      </c>
      <c r="AR81" s="57">
        <f t="shared" si="107"/>
        <v>18</v>
      </c>
      <c r="AS81" s="57">
        <f t="shared" si="108"/>
        <v>49</v>
      </c>
      <c r="AT81" s="57">
        <f t="shared" si="109"/>
        <v>6</v>
      </c>
      <c r="AU81" s="57">
        <f t="shared" si="110"/>
        <v>2</v>
      </c>
      <c r="AV81" s="57">
        <f t="shared" si="111"/>
        <v>0</v>
      </c>
      <c r="AW81" s="57">
        <f t="shared" si="112"/>
        <v>0</v>
      </c>
      <c r="AX81" s="57">
        <f t="shared" si="113"/>
        <v>604</v>
      </c>
      <c r="AY81" s="57">
        <f t="shared" si="82"/>
        <v>764</v>
      </c>
      <c r="AZ81" s="152">
        <f t="shared" ca="1" si="114"/>
        <v>8232.4253927078225</v>
      </c>
      <c r="BA81" s="152">
        <f t="shared" ca="1" si="115"/>
        <v>2103.3340800260507</v>
      </c>
      <c r="BB81" s="152">
        <f t="shared" ca="1" si="116"/>
        <v>6909.8240188299314</v>
      </c>
      <c r="BC81" s="152">
        <f t="shared" ca="1" si="117"/>
        <v>13243.857177217229</v>
      </c>
      <c r="BD81" s="152">
        <f t="shared" ca="1" si="118"/>
        <v>950.24861996460436</v>
      </c>
      <c r="BE81" s="152">
        <f t="shared" ca="1" si="119"/>
        <v>-78</v>
      </c>
      <c r="BF81" s="152">
        <f t="shared" ca="1" si="120"/>
        <v>308.34460597397521</v>
      </c>
      <c r="BG81" s="152">
        <f t="shared" ca="1" si="121"/>
        <v>337.34733010847316</v>
      </c>
      <c r="BH81" s="152">
        <f t="shared" ca="1" si="122"/>
        <v>40799.829922366072</v>
      </c>
      <c r="BI81" s="152">
        <f t="shared" ca="1" si="94"/>
        <v>72807.211147194161</v>
      </c>
      <c r="BJ81" s="163">
        <f t="shared" ca="1" si="123"/>
        <v>4839.2008748704066</v>
      </c>
      <c r="BK81" s="163">
        <f t="shared" ca="1" si="124"/>
        <v>522.64665018829135</v>
      </c>
      <c r="BL81" s="163">
        <f t="shared" ca="1" si="125"/>
        <v>1873.0569131940517</v>
      </c>
      <c r="BM81" s="163">
        <f t="shared" ca="1" si="126"/>
        <v>6162.9830428634623</v>
      </c>
      <c r="BN81" s="163">
        <f t="shared" ca="1" si="127"/>
        <v>525.66944934212154</v>
      </c>
      <c r="BO81" s="163">
        <f t="shared" ca="1" si="128"/>
        <v>-21</v>
      </c>
      <c r="BP81" s="163">
        <f t="shared" ca="1" si="129"/>
        <v>184.15025079001296</v>
      </c>
      <c r="BQ81" s="163">
        <f t="shared" ca="1" si="130"/>
        <v>82.057458675034013</v>
      </c>
      <c r="BR81" s="163">
        <f t="shared" ca="1" si="131"/>
        <v>23350.894294321555</v>
      </c>
      <c r="BS81" s="163">
        <f t="shared" ca="1" si="95"/>
        <v>37519.658934244937</v>
      </c>
      <c r="BT81" s="164">
        <f t="shared" ref="BT81:BT112" si="133">L81/(B81)</f>
        <v>1.9203747072599531E-2</v>
      </c>
      <c r="BU81" s="164">
        <f t="shared" ref="BU81:BU112" si="134">M81/(C81)</f>
        <v>3.6363636363636362E-2</v>
      </c>
      <c r="BV81" s="164">
        <f t="shared" ref="BV81:BV112" si="135">N81/(D81)</f>
        <v>1.1435832274459974E-2</v>
      </c>
      <c r="BW81" s="164">
        <f t="shared" ref="BW81:BW112" si="136">O81/(E81)</f>
        <v>2.8465346534653466E-2</v>
      </c>
      <c r="BX81" s="164">
        <f t="shared" ref="BX81:BX112" si="137">P81/(F81)</f>
        <v>3.1914893617021274E-2</v>
      </c>
      <c r="BY81" s="164">
        <f t="shared" ref="BY81:BY112" si="138">Q81/(G81)</f>
        <v>0</v>
      </c>
      <c r="BZ81" s="164">
        <f t="shared" ref="BZ81:BZ112" si="139">R81/(H81)</f>
        <v>1.3888888888888888E-2</v>
      </c>
      <c r="CA81" s="164">
        <f t="shared" ref="CA81:CA112" si="140">S81/(I81)</f>
        <v>2.7027027027027029E-2</v>
      </c>
      <c r="CB81" s="164">
        <f t="shared" ref="CB81:CB112" si="141">T81/(J81)</f>
        <v>1.7576839928564715E-2</v>
      </c>
      <c r="CC81" s="164">
        <f t="shared" ref="CC81:CC144" si="142">U81/(K81)</f>
        <v>1.8142699308018841E-2</v>
      </c>
      <c r="CD81" s="180">
        <f t="shared" si="61"/>
        <v>1297</v>
      </c>
      <c r="CE81" s="180">
        <f t="shared" si="62"/>
        <v>37</v>
      </c>
      <c r="CF81" s="180">
        <f t="shared" si="63"/>
        <v>664</v>
      </c>
      <c r="CG81" s="180">
        <f t="shared" si="64"/>
        <v>474</v>
      </c>
      <c r="CH81" s="180">
        <f t="shared" si="65"/>
        <v>54</v>
      </c>
      <c r="CI81" s="180">
        <f t="shared" si="66"/>
        <v>21</v>
      </c>
      <c r="CJ81" s="180">
        <f t="shared" si="67"/>
        <v>37</v>
      </c>
      <c r="CK81" s="180">
        <f t="shared" si="68"/>
        <v>11</v>
      </c>
      <c r="CL81" s="180">
        <f t="shared" si="69"/>
        <v>7030</v>
      </c>
      <c r="CM81" s="180">
        <f t="shared" si="69"/>
        <v>9625</v>
      </c>
      <c r="CN81" s="183">
        <f t="shared" si="51"/>
        <v>3.1073747071388812E-4</v>
      </c>
      <c r="CO81" s="183">
        <f t="shared" si="52"/>
        <v>5.8741351635696349E-5</v>
      </c>
      <c r="CP81" s="183">
        <f t="shared" si="53"/>
        <v>1.5097074793704425E-4</v>
      </c>
      <c r="CQ81" s="183">
        <f t="shared" si="54"/>
        <v>1.4690444135698248E-4</v>
      </c>
      <c r="CR81" s="183">
        <f t="shared" si="55"/>
        <v>1.6057876503243943E-5</v>
      </c>
      <c r="CS81" s="183">
        <f t="shared" si="56"/>
        <v>1.6218959660322586E-5</v>
      </c>
      <c r="CT81" s="183">
        <f t="shared" si="57"/>
        <v>1.752836571095698E-5</v>
      </c>
      <c r="CU81" s="183">
        <f t="shared" si="58"/>
        <v>2.7983074192513583E-5</v>
      </c>
      <c r="CV81" s="183">
        <f t="shared" si="59"/>
        <v>1.4564883707728182E-3</v>
      </c>
      <c r="CW81" s="183">
        <f t="shared" si="60"/>
        <v>2.8797862551658995E-4</v>
      </c>
      <c r="CX81" s="193">
        <f t="shared" si="84"/>
        <v>1.826583258763136E-4</v>
      </c>
      <c r="CY81" s="193">
        <f t="shared" si="85"/>
        <v>1.4596335860991214E-5</v>
      </c>
      <c r="CZ81" s="193">
        <f t="shared" si="86"/>
        <v>4.0923879152777773E-5</v>
      </c>
      <c r="DA81" s="193">
        <f t="shared" si="87"/>
        <v>6.8361472710675011E-5</v>
      </c>
      <c r="DB81" s="193">
        <f t="shared" si="88"/>
        <v>8.8830806188157981E-6</v>
      </c>
      <c r="DC81" s="193">
        <f t="shared" si="89"/>
        <v>4.3666429854714655E-6</v>
      </c>
      <c r="DD81" s="193">
        <f t="shared" si="90"/>
        <v>1.0468329521821529E-5</v>
      </c>
      <c r="DE81" s="193">
        <f t="shared" si="91"/>
        <v>6.8066937225033039E-6</v>
      </c>
      <c r="DF81" s="193">
        <f t="shared" si="92"/>
        <v>8.3358940592496381E-4</v>
      </c>
      <c r="DG81" s="193">
        <f t="shared" si="93"/>
        <v>1.4907168252303797E-4</v>
      </c>
      <c r="DI81" s="83"/>
    </row>
    <row r="82" spans="1:113">
      <c r="A82" s="150">
        <v>43971</v>
      </c>
      <c r="B82" s="129">
        <v>2215</v>
      </c>
      <c r="C82" s="129">
        <v>180</v>
      </c>
      <c r="D82" s="129">
        <v>2400</v>
      </c>
      <c r="E82" s="129">
        <v>1650</v>
      </c>
      <c r="F82" s="129">
        <v>93</v>
      </c>
      <c r="G82" s="129">
        <v>93</v>
      </c>
      <c r="H82" s="129">
        <v>72</v>
      </c>
      <c r="I82" s="129">
        <v>38</v>
      </c>
      <c r="J82" s="129">
        <v>11072</v>
      </c>
      <c r="K82" s="165">
        <f t="shared" si="78"/>
        <v>17813</v>
      </c>
      <c r="L82" s="80">
        <v>45</v>
      </c>
      <c r="M82" s="80">
        <v>6</v>
      </c>
      <c r="N82" s="80">
        <v>27</v>
      </c>
      <c r="O82" s="80">
        <v>46</v>
      </c>
      <c r="P82" s="80">
        <v>3</v>
      </c>
      <c r="Q82" s="80">
        <v>0</v>
      </c>
      <c r="R82" s="80">
        <v>1</v>
      </c>
      <c r="S82" s="80">
        <v>1</v>
      </c>
      <c r="T82" s="80">
        <v>210</v>
      </c>
      <c r="U82" s="80">
        <f t="shared" si="79"/>
        <v>339</v>
      </c>
      <c r="V82" s="130">
        <v>1063</v>
      </c>
      <c r="W82" s="130">
        <v>118</v>
      </c>
      <c r="X82" s="130">
        <v>1694</v>
      </c>
      <c r="Y82" s="130">
        <v>842</v>
      </c>
      <c r="Z82" s="130">
        <v>42</v>
      </c>
      <c r="AA82" s="130">
        <v>58</v>
      </c>
      <c r="AB82" s="130">
        <v>28</v>
      </c>
      <c r="AC82" s="130">
        <v>27</v>
      </c>
      <c r="AD82" s="130">
        <v>5105</v>
      </c>
      <c r="AE82" s="130">
        <f t="shared" si="80"/>
        <v>8977</v>
      </c>
      <c r="AF82" s="151">
        <f t="shared" si="96"/>
        <v>1107</v>
      </c>
      <c r="AG82" s="151">
        <f t="shared" si="97"/>
        <v>56</v>
      </c>
      <c r="AH82" s="151">
        <f t="shared" si="98"/>
        <v>679</v>
      </c>
      <c r="AI82" s="151">
        <f t="shared" si="99"/>
        <v>762</v>
      </c>
      <c r="AJ82" s="151">
        <f t="shared" si="100"/>
        <v>48</v>
      </c>
      <c r="AK82" s="151">
        <f t="shared" si="101"/>
        <v>35</v>
      </c>
      <c r="AL82" s="151">
        <f t="shared" si="102"/>
        <v>43</v>
      </c>
      <c r="AM82" s="151">
        <f t="shared" si="103"/>
        <v>10</v>
      </c>
      <c r="AN82" s="151">
        <f t="shared" si="104"/>
        <v>5757</v>
      </c>
      <c r="AO82" s="151">
        <f t="shared" si="81"/>
        <v>8497</v>
      </c>
      <c r="AP82" s="57">
        <f t="shared" si="105"/>
        <v>80</v>
      </c>
      <c r="AQ82" s="57">
        <f t="shared" si="106"/>
        <v>15</v>
      </c>
      <c r="AR82" s="57">
        <f t="shared" si="107"/>
        <v>39</v>
      </c>
      <c r="AS82" s="57">
        <f t="shared" si="108"/>
        <v>34</v>
      </c>
      <c r="AT82" s="57">
        <f t="shared" si="109"/>
        <v>-1</v>
      </c>
      <c r="AU82" s="57">
        <f t="shared" si="110"/>
        <v>15</v>
      </c>
      <c r="AV82" s="57">
        <f t="shared" si="111"/>
        <v>0</v>
      </c>
      <c r="AW82" s="57">
        <f t="shared" si="112"/>
        <v>1</v>
      </c>
      <c r="AX82" s="57">
        <f t="shared" si="113"/>
        <v>433</v>
      </c>
      <c r="AY82" s="57">
        <f t="shared" si="82"/>
        <v>616</v>
      </c>
      <c r="AZ82" s="152">
        <f t="shared" ca="1" si="114"/>
        <v>9163.8815285817564</v>
      </c>
      <c r="BA82" s="152">
        <f t="shared" ca="1" si="115"/>
        <v>2088.3340800260507</v>
      </c>
      <c r="BB82" s="152">
        <f t="shared" ca="1" si="116"/>
        <v>6870.8240188299314</v>
      </c>
      <c r="BC82" s="152">
        <f t="shared" ca="1" si="117"/>
        <v>13209.857177217229</v>
      </c>
      <c r="BD82" s="152">
        <f t="shared" ca="1" si="118"/>
        <v>951.24861996460436</v>
      </c>
      <c r="BE82" s="152">
        <f t="shared" ca="1" si="119"/>
        <v>-93</v>
      </c>
      <c r="BF82" s="152">
        <f t="shared" ca="1" si="120"/>
        <v>308.34460597397521</v>
      </c>
      <c r="BG82" s="152">
        <f t="shared" ca="1" si="121"/>
        <v>336.34733010847316</v>
      </c>
      <c r="BH82" s="152">
        <f t="shared" ca="1" si="122"/>
        <v>46693.530928860295</v>
      </c>
      <c r="BI82" s="152">
        <f t="shared" ca="1" si="94"/>
        <v>79529.368289562321</v>
      </c>
      <c r="BJ82" s="163">
        <f t="shared" ca="1" si="123"/>
        <v>4579.8721680090312</v>
      </c>
      <c r="BK82" s="163">
        <f t="shared" ca="1" si="124"/>
        <v>649.70393600810473</v>
      </c>
      <c r="BL82" s="163">
        <f t="shared" ca="1" si="125"/>
        <v>1943.8706286606348</v>
      </c>
      <c r="BM82" s="163">
        <f t="shared" ca="1" si="126"/>
        <v>6100.5522236603201</v>
      </c>
      <c r="BN82" s="163">
        <f t="shared" ca="1" si="127"/>
        <v>490.96702965915063</v>
      </c>
      <c r="BO82" s="163">
        <f t="shared" ca="1" si="128"/>
        <v>-35</v>
      </c>
      <c r="BP82" s="163">
        <f t="shared" ca="1" si="129"/>
        <v>184.15025079001296</v>
      </c>
      <c r="BQ82" s="163">
        <f t="shared" ca="1" si="130"/>
        <v>88.512455291703461</v>
      </c>
      <c r="BR82" s="163">
        <f t="shared" ca="1" si="131"/>
        <v>24278.78048748634</v>
      </c>
      <c r="BS82" s="163">
        <f t="shared" ca="1" si="95"/>
        <v>38281.4091795653</v>
      </c>
      <c r="BT82" s="164">
        <f t="shared" si="133"/>
        <v>2.0316027088036117E-2</v>
      </c>
      <c r="BU82" s="164">
        <f t="shared" si="134"/>
        <v>3.3333333333333333E-2</v>
      </c>
      <c r="BV82" s="164">
        <f t="shared" si="135"/>
        <v>1.125E-2</v>
      </c>
      <c r="BW82" s="164">
        <f t="shared" si="136"/>
        <v>2.7878787878787878E-2</v>
      </c>
      <c r="BX82" s="164">
        <f t="shared" si="137"/>
        <v>3.2258064516129031E-2</v>
      </c>
      <c r="BY82" s="164">
        <f t="shared" si="138"/>
        <v>0</v>
      </c>
      <c r="BZ82" s="164">
        <f t="shared" si="139"/>
        <v>1.3888888888888888E-2</v>
      </c>
      <c r="CA82" s="164">
        <f t="shared" si="140"/>
        <v>2.6315789473684209E-2</v>
      </c>
      <c r="CB82" s="164">
        <f t="shared" si="141"/>
        <v>1.8966763005780346E-2</v>
      </c>
      <c r="CC82" s="164">
        <f t="shared" si="142"/>
        <v>1.9031044742603715E-2</v>
      </c>
      <c r="CD82" s="180">
        <f t="shared" si="61"/>
        <v>1366</v>
      </c>
      <c r="CE82" s="180">
        <f t="shared" si="62"/>
        <v>50</v>
      </c>
      <c r="CF82" s="180">
        <f t="shared" si="63"/>
        <v>680</v>
      </c>
      <c r="CG82" s="180">
        <f t="shared" si="64"/>
        <v>461</v>
      </c>
      <c r="CH82" s="180">
        <f t="shared" si="65"/>
        <v>53</v>
      </c>
      <c r="CI82" s="180">
        <f t="shared" si="66"/>
        <v>36</v>
      </c>
      <c r="CJ82" s="180">
        <f t="shared" si="67"/>
        <v>35</v>
      </c>
      <c r="CK82" s="180">
        <f t="shared" si="68"/>
        <v>12</v>
      </c>
      <c r="CL82" s="180">
        <f t="shared" si="69"/>
        <v>7312</v>
      </c>
      <c r="CM82" s="180">
        <f t="shared" si="69"/>
        <v>10005</v>
      </c>
      <c r="CN82" s="183">
        <f t="shared" si="51"/>
        <v>3.2238102933548576E-4</v>
      </c>
      <c r="CO82" s="183">
        <f t="shared" si="52"/>
        <v>6.4081474511668739E-5</v>
      </c>
      <c r="CP82" s="183">
        <f t="shared" si="53"/>
        <v>1.5346454682291664E-4</v>
      </c>
      <c r="CQ82" s="183">
        <f t="shared" si="54"/>
        <v>1.4999525262315662E-4</v>
      </c>
      <c r="CR82" s="183">
        <f t="shared" si="55"/>
        <v>1.5887048029805179E-5</v>
      </c>
      <c r="CS82" s="183">
        <f t="shared" si="56"/>
        <v>1.9337990364230777E-5</v>
      </c>
      <c r="CT82" s="183">
        <f t="shared" si="57"/>
        <v>1.752836571095698E-5</v>
      </c>
      <c r="CU82" s="183">
        <f t="shared" si="58"/>
        <v>2.873937349501395E-5</v>
      </c>
      <c r="CV82" s="183">
        <f t="shared" si="59"/>
        <v>1.5157664480869107E-3</v>
      </c>
      <c r="CW82" s="183">
        <f t="shared" si="60"/>
        <v>2.9829407782328411E-4</v>
      </c>
      <c r="CX82" s="193">
        <f t="shared" si="84"/>
        <v>1.611177424263579E-4</v>
      </c>
      <c r="CY82" s="193">
        <f t="shared" si="85"/>
        <v>1.9936458736963611E-5</v>
      </c>
      <c r="CZ82" s="193">
        <f t="shared" si="86"/>
        <v>4.3417678038650163E-5</v>
      </c>
      <c r="DA82" s="193">
        <f t="shared" si="87"/>
        <v>6.9270534847785058E-5</v>
      </c>
      <c r="DB82" s="193">
        <f t="shared" si="88"/>
        <v>8.1997667250607375E-6</v>
      </c>
      <c r="DC82" s="193">
        <f t="shared" si="89"/>
        <v>7.2777383091191095E-6</v>
      </c>
      <c r="DD82" s="193">
        <f t="shared" si="90"/>
        <v>1.0468329521821529E-5</v>
      </c>
      <c r="DE82" s="193">
        <f t="shared" si="91"/>
        <v>7.5629930250036709E-6</v>
      </c>
      <c r="DF82" s="193">
        <f t="shared" si="92"/>
        <v>7.8813831662177965E-4</v>
      </c>
      <c r="DG82" s="193">
        <f t="shared" si="93"/>
        <v>1.4228960754866923E-4</v>
      </c>
      <c r="DI82" s="83"/>
    </row>
    <row r="83" spans="1:113">
      <c r="A83" s="150">
        <v>43972</v>
      </c>
      <c r="B83" s="129">
        <v>2324</v>
      </c>
      <c r="C83" s="129">
        <v>183</v>
      </c>
      <c r="D83" s="129">
        <v>2453</v>
      </c>
      <c r="E83" s="129">
        <v>1693</v>
      </c>
      <c r="F83" s="129">
        <v>121</v>
      </c>
      <c r="G83" s="129">
        <v>95</v>
      </c>
      <c r="H83" s="129">
        <v>77</v>
      </c>
      <c r="I83" s="129">
        <v>37</v>
      </c>
      <c r="J83" s="129">
        <v>12153</v>
      </c>
      <c r="K83" s="165">
        <f t="shared" si="78"/>
        <v>19136</v>
      </c>
      <c r="L83" s="80">
        <v>50</v>
      </c>
      <c r="M83" s="80">
        <v>6</v>
      </c>
      <c r="N83" s="80">
        <v>27</v>
      </c>
      <c r="O83" s="80">
        <v>46</v>
      </c>
      <c r="P83" s="80">
        <v>3</v>
      </c>
      <c r="Q83" s="80">
        <v>0</v>
      </c>
      <c r="R83" s="80">
        <v>1</v>
      </c>
      <c r="S83" s="80">
        <v>1</v>
      </c>
      <c r="T83" s="80">
        <v>235</v>
      </c>
      <c r="U83" s="80">
        <f t="shared" si="79"/>
        <v>369</v>
      </c>
      <c r="V83" s="130">
        <v>1063</v>
      </c>
      <c r="W83" s="130">
        <v>118</v>
      </c>
      <c r="X83" s="130">
        <v>1694</v>
      </c>
      <c r="Y83" s="130">
        <v>842</v>
      </c>
      <c r="Z83" s="130">
        <v>42</v>
      </c>
      <c r="AA83" s="130">
        <v>58</v>
      </c>
      <c r="AB83" s="130">
        <v>28</v>
      </c>
      <c r="AC83" s="130">
        <v>27</v>
      </c>
      <c r="AD83" s="130">
        <v>5677</v>
      </c>
      <c r="AE83" s="130">
        <f t="shared" si="80"/>
        <v>9549</v>
      </c>
      <c r="AF83" s="151">
        <f t="shared" si="96"/>
        <v>1211</v>
      </c>
      <c r="AG83" s="151">
        <f t="shared" si="97"/>
        <v>59</v>
      </c>
      <c r="AH83" s="151">
        <f t="shared" si="98"/>
        <v>732</v>
      </c>
      <c r="AI83" s="151">
        <f t="shared" si="99"/>
        <v>805</v>
      </c>
      <c r="AJ83" s="151">
        <f t="shared" si="100"/>
        <v>76</v>
      </c>
      <c r="AK83" s="151">
        <f t="shared" si="101"/>
        <v>37</v>
      </c>
      <c r="AL83" s="151">
        <f t="shared" si="102"/>
        <v>48</v>
      </c>
      <c r="AM83" s="151">
        <f t="shared" si="103"/>
        <v>9</v>
      </c>
      <c r="AN83" s="151">
        <f t="shared" si="104"/>
        <v>6241</v>
      </c>
      <c r="AO83" s="151">
        <f t="shared" si="81"/>
        <v>9218</v>
      </c>
      <c r="AP83" s="57">
        <f t="shared" si="105"/>
        <v>109</v>
      </c>
      <c r="AQ83" s="57">
        <f t="shared" si="106"/>
        <v>3</v>
      </c>
      <c r="AR83" s="57">
        <f t="shared" si="107"/>
        <v>53</v>
      </c>
      <c r="AS83" s="57">
        <f t="shared" si="108"/>
        <v>43</v>
      </c>
      <c r="AT83" s="57">
        <f t="shared" si="109"/>
        <v>28</v>
      </c>
      <c r="AU83" s="57">
        <f t="shared" si="110"/>
        <v>2</v>
      </c>
      <c r="AV83" s="57">
        <f t="shared" si="111"/>
        <v>5</v>
      </c>
      <c r="AW83" s="57">
        <f t="shared" si="112"/>
        <v>-1</v>
      </c>
      <c r="AX83" s="57">
        <f t="shared" si="113"/>
        <v>1081</v>
      </c>
      <c r="AY83" s="57">
        <f t="shared" si="82"/>
        <v>1323</v>
      </c>
      <c r="AZ83" s="152">
        <f t="shared" ca="1" si="114"/>
        <v>10319.201698424173</v>
      </c>
      <c r="BA83" s="152">
        <f t="shared" ca="1" si="115"/>
        <v>2085.3340800260507</v>
      </c>
      <c r="BB83" s="152">
        <f t="shared" ca="1" si="116"/>
        <v>6817.8240188299314</v>
      </c>
      <c r="BC83" s="152">
        <f t="shared" ca="1" si="117"/>
        <v>13166.857177217229</v>
      </c>
      <c r="BD83" s="152">
        <f t="shared" ca="1" si="118"/>
        <v>923.24861996460436</v>
      </c>
      <c r="BE83" s="152">
        <f t="shared" ca="1" si="119"/>
        <v>-95</v>
      </c>
      <c r="BF83" s="152">
        <f t="shared" ca="1" si="120"/>
        <v>303.34460597397521</v>
      </c>
      <c r="BG83" s="152">
        <f t="shared" ca="1" si="121"/>
        <v>337.34733010847316</v>
      </c>
      <c r="BH83" s="152">
        <f t="shared" ca="1" si="122"/>
        <v>52489.379848962708</v>
      </c>
      <c r="BI83" s="152">
        <f t="shared" ca="1" si="94"/>
        <v>86347.53737950715</v>
      </c>
      <c r="BJ83" s="163">
        <f t="shared" ca="1" si="123"/>
        <v>5377.1743789981383</v>
      </c>
      <c r="BK83" s="163">
        <f t="shared" ca="1" si="124"/>
        <v>672.32082361495623</v>
      </c>
      <c r="BL83" s="163">
        <f t="shared" ca="1" si="125"/>
        <v>2034.5076158921768</v>
      </c>
      <c r="BM83" s="163">
        <f t="shared" ca="1" si="126"/>
        <v>6260.6733772355992</v>
      </c>
      <c r="BN83" s="163">
        <f t="shared" ca="1" si="127"/>
        <v>579.89169518437961</v>
      </c>
      <c r="BO83" s="163">
        <f t="shared" ca="1" si="128"/>
        <v>-37</v>
      </c>
      <c r="BP83" s="163">
        <f t="shared" ca="1" si="129"/>
        <v>189.09793619156898</v>
      </c>
      <c r="BQ83" s="163">
        <f t="shared" ca="1" si="130"/>
        <v>82.057458675034013</v>
      </c>
      <c r="BR83" s="163">
        <f t="shared" ca="1" si="131"/>
        <v>26955.173178423127</v>
      </c>
      <c r="BS83" s="163">
        <f t="shared" ca="1" si="95"/>
        <v>42113.89646421498</v>
      </c>
      <c r="BT83" s="164">
        <f t="shared" si="133"/>
        <v>2.1514629948364887E-2</v>
      </c>
      <c r="BU83" s="164">
        <f t="shared" si="134"/>
        <v>3.2786885245901641E-2</v>
      </c>
      <c r="BV83" s="164">
        <f t="shared" si="135"/>
        <v>1.10069302894415E-2</v>
      </c>
      <c r="BW83" s="164">
        <f t="shared" si="136"/>
        <v>2.7170702894270527E-2</v>
      </c>
      <c r="BX83" s="164">
        <f t="shared" si="137"/>
        <v>2.4793388429752067E-2</v>
      </c>
      <c r="BY83" s="164">
        <f t="shared" si="138"/>
        <v>0</v>
      </c>
      <c r="BZ83" s="164">
        <f t="shared" si="139"/>
        <v>1.2987012987012988E-2</v>
      </c>
      <c r="CA83" s="164">
        <f t="shared" si="140"/>
        <v>2.7027027027027029E-2</v>
      </c>
      <c r="CB83" s="164">
        <f t="shared" si="141"/>
        <v>1.933678927013906E-2</v>
      </c>
      <c r="CC83" s="164">
        <f t="shared" si="142"/>
        <v>1.9283026755852844E-2</v>
      </c>
      <c r="CD83" s="180">
        <f t="shared" si="61"/>
        <v>1395</v>
      </c>
      <c r="CE83" s="180">
        <f t="shared" si="62"/>
        <v>49</v>
      </c>
      <c r="CF83" s="180">
        <f t="shared" si="63"/>
        <v>649</v>
      </c>
      <c r="CG83" s="180">
        <f t="shared" si="64"/>
        <v>489</v>
      </c>
      <c r="CH83" s="180">
        <f t="shared" si="65"/>
        <v>80</v>
      </c>
      <c r="CI83" s="180">
        <f t="shared" si="66"/>
        <v>36</v>
      </c>
      <c r="CJ83" s="180">
        <f t="shared" si="67"/>
        <v>37</v>
      </c>
      <c r="CK83" s="180">
        <f t="shared" si="68"/>
        <v>10</v>
      </c>
      <c r="CL83" s="180">
        <f t="shared" si="69"/>
        <v>8159</v>
      </c>
      <c r="CM83" s="180">
        <f t="shared" si="69"/>
        <v>10904</v>
      </c>
      <c r="CN83" s="183">
        <f t="shared" si="51"/>
        <v>3.3824537795741264E-4</v>
      </c>
      <c r="CO83" s="183">
        <f t="shared" si="52"/>
        <v>6.5149499086863223E-5</v>
      </c>
      <c r="CP83" s="183">
        <f t="shared" si="53"/>
        <v>1.5685355556525606E-4</v>
      </c>
      <c r="CQ83" s="183">
        <f t="shared" si="54"/>
        <v>1.5390421981272979E-4</v>
      </c>
      <c r="CR83" s="183">
        <f t="shared" si="55"/>
        <v>2.0670245286090606E-5</v>
      </c>
      <c r="CS83" s="183">
        <f t="shared" si="56"/>
        <v>1.9753861124751867E-5</v>
      </c>
      <c r="CT83" s="183">
        <f t="shared" si="57"/>
        <v>1.8745613329773434E-5</v>
      </c>
      <c r="CU83" s="183">
        <f t="shared" si="58"/>
        <v>2.7983074192513583E-5</v>
      </c>
      <c r="CV83" s="183">
        <f t="shared" si="59"/>
        <v>1.6637562900650492E-3</v>
      </c>
      <c r="CW83" s="183">
        <f t="shared" si="60"/>
        <v>3.2044885607288861E-4</v>
      </c>
      <c r="CX83" s="193">
        <f t="shared" si="84"/>
        <v>1.7625436863443489E-4</v>
      </c>
      <c r="CY83" s="193">
        <f t="shared" si="85"/>
        <v>2.1004483312158088E-5</v>
      </c>
      <c r="CZ83" s="193">
        <f t="shared" si="86"/>
        <v>4.6806686780989574E-5</v>
      </c>
      <c r="DA83" s="193">
        <f t="shared" si="87"/>
        <v>7.3179502037358231E-5</v>
      </c>
      <c r="DB83" s="193">
        <f t="shared" si="88"/>
        <v>1.2982963981346167E-5</v>
      </c>
      <c r="DC83" s="193">
        <f t="shared" si="89"/>
        <v>7.6936090696402011E-6</v>
      </c>
      <c r="DD83" s="193">
        <f t="shared" si="90"/>
        <v>1.1685577140637985E-5</v>
      </c>
      <c r="DE83" s="193">
        <f t="shared" si="91"/>
        <v>6.8066937225033039E-6</v>
      </c>
      <c r="DF83" s="193">
        <f t="shared" si="92"/>
        <v>8.5439833837702402E-4</v>
      </c>
      <c r="DG83" s="193">
        <f t="shared" si="93"/>
        <v>1.54363375589459E-4</v>
      </c>
      <c r="DI83" s="83"/>
    </row>
    <row r="84" spans="1:113">
      <c r="A84" s="150">
        <v>43973</v>
      </c>
      <c r="B84" s="129">
        <v>2459</v>
      </c>
      <c r="C84" s="129">
        <v>185</v>
      </c>
      <c r="D84" s="129">
        <v>2521</v>
      </c>
      <c r="E84" s="129">
        <v>1735</v>
      </c>
      <c r="F84" s="129">
        <v>120</v>
      </c>
      <c r="G84" s="129">
        <v>98</v>
      </c>
      <c r="H84" s="129">
        <v>80</v>
      </c>
      <c r="I84" s="129">
        <v>39</v>
      </c>
      <c r="J84" s="129">
        <v>12888</v>
      </c>
      <c r="K84" s="165">
        <f t="shared" si="78"/>
        <v>20125</v>
      </c>
      <c r="L84" s="80">
        <v>53</v>
      </c>
      <c r="M84" s="80">
        <v>6</v>
      </c>
      <c r="N84" s="80">
        <v>29</v>
      </c>
      <c r="O84" s="80">
        <v>47</v>
      </c>
      <c r="P84" s="80">
        <v>3</v>
      </c>
      <c r="Q84" s="80">
        <v>0</v>
      </c>
      <c r="R84" s="80">
        <v>1</v>
      </c>
      <c r="S84" s="80">
        <v>1</v>
      </c>
      <c r="T84" s="80">
        <v>257</v>
      </c>
      <c r="U84" s="80">
        <f t="shared" si="79"/>
        <v>397</v>
      </c>
      <c r="V84" s="130">
        <v>1063</v>
      </c>
      <c r="W84" s="130">
        <v>121</v>
      </c>
      <c r="X84" s="130">
        <v>1776</v>
      </c>
      <c r="Y84" s="130">
        <v>880</v>
      </c>
      <c r="Z84" s="130">
        <v>51</v>
      </c>
      <c r="AA84" s="130">
        <v>58</v>
      </c>
      <c r="AB84" s="130">
        <v>29</v>
      </c>
      <c r="AC84" s="130">
        <v>27</v>
      </c>
      <c r="AD84" s="130">
        <v>6126</v>
      </c>
      <c r="AE84" s="130">
        <f t="shared" si="80"/>
        <v>10131</v>
      </c>
      <c r="AF84" s="151">
        <f t="shared" si="96"/>
        <v>1343</v>
      </c>
      <c r="AG84" s="151">
        <f t="shared" si="97"/>
        <v>58</v>
      </c>
      <c r="AH84" s="151">
        <f t="shared" si="98"/>
        <v>716</v>
      </c>
      <c r="AI84" s="151">
        <f t="shared" si="99"/>
        <v>808</v>
      </c>
      <c r="AJ84" s="151">
        <f t="shared" si="100"/>
        <v>66</v>
      </c>
      <c r="AK84" s="151">
        <f t="shared" si="101"/>
        <v>40</v>
      </c>
      <c r="AL84" s="151">
        <f t="shared" si="102"/>
        <v>50</v>
      </c>
      <c r="AM84" s="151">
        <f t="shared" si="103"/>
        <v>11</v>
      </c>
      <c r="AN84" s="151">
        <f t="shared" si="104"/>
        <v>6505</v>
      </c>
      <c r="AO84" s="151">
        <f t="shared" si="81"/>
        <v>9597</v>
      </c>
      <c r="AP84" s="57">
        <f t="shared" si="105"/>
        <v>135</v>
      </c>
      <c r="AQ84" s="57">
        <f t="shared" si="106"/>
        <v>2</v>
      </c>
      <c r="AR84" s="57">
        <f t="shared" si="107"/>
        <v>68</v>
      </c>
      <c r="AS84" s="57">
        <f t="shared" si="108"/>
        <v>42</v>
      </c>
      <c r="AT84" s="57">
        <f t="shared" si="109"/>
        <v>-1</v>
      </c>
      <c r="AU84" s="57">
        <f t="shared" si="110"/>
        <v>3</v>
      </c>
      <c r="AV84" s="57">
        <f t="shared" si="111"/>
        <v>3</v>
      </c>
      <c r="AW84" s="57">
        <f t="shared" si="112"/>
        <v>2</v>
      </c>
      <c r="AX84" s="57">
        <f t="shared" si="113"/>
        <v>735</v>
      </c>
      <c r="AY84" s="57">
        <f t="shared" si="82"/>
        <v>989</v>
      </c>
      <c r="AZ84" s="152">
        <f t="shared" ca="1" si="114"/>
        <v>10942.793800329624</v>
      </c>
      <c r="BA84" s="152">
        <f t="shared" ca="1" si="115"/>
        <v>2083.3340800260507</v>
      </c>
      <c r="BB84" s="152">
        <f t="shared" ca="1" si="116"/>
        <v>7436.5517239284454</v>
      </c>
      <c r="BC84" s="152">
        <f t="shared" ca="1" si="117"/>
        <v>13447.897550634994</v>
      </c>
      <c r="BD84" s="152">
        <f t="shared" ca="1" si="118"/>
        <v>924.24861996460436</v>
      </c>
      <c r="BE84" s="152">
        <f t="shared" ca="1" si="119"/>
        <v>-98</v>
      </c>
      <c r="BF84" s="152">
        <f t="shared" ca="1" si="120"/>
        <v>300.34460597397521</v>
      </c>
      <c r="BG84" s="152">
        <f t="shared" ca="1" si="121"/>
        <v>335.34733010847316</v>
      </c>
      <c r="BH84" s="152">
        <f t="shared" ca="1" si="122"/>
        <v>57806.006898652835</v>
      </c>
      <c r="BI84" s="152">
        <f t="shared" ca="1" si="94"/>
        <v>93178.524609618995</v>
      </c>
      <c r="BJ84" s="163">
        <f t="shared" ca="1" si="123"/>
        <v>5976.4831532503804</v>
      </c>
      <c r="BK84" s="163">
        <f t="shared" ca="1" si="124"/>
        <v>653.15338725141055</v>
      </c>
      <c r="BL84" s="163">
        <f t="shared" ca="1" si="125"/>
        <v>2112.0868839082773</v>
      </c>
      <c r="BM84" s="163">
        <f t="shared" ca="1" si="126"/>
        <v>6262.7672743014837</v>
      </c>
      <c r="BN84" s="163">
        <f t="shared" ca="1" si="127"/>
        <v>508.3367409805324</v>
      </c>
      <c r="BO84" s="163">
        <f t="shared" ca="1" si="128"/>
        <v>-40</v>
      </c>
      <c r="BP84" s="163">
        <f t="shared" ca="1" si="129"/>
        <v>187.7153787337345</v>
      </c>
      <c r="BQ84" s="163">
        <f t="shared" ca="1" si="130"/>
        <v>94.585144389569351</v>
      </c>
      <c r="BR84" s="163">
        <f t="shared" ca="1" si="131"/>
        <v>29176.604195820662</v>
      </c>
      <c r="BS84" s="163">
        <f t="shared" ca="1" si="95"/>
        <v>44931.732158636049</v>
      </c>
      <c r="BT84" s="164">
        <f t="shared" si="133"/>
        <v>2.1553477023180154E-2</v>
      </c>
      <c r="BU84" s="164">
        <f t="shared" si="134"/>
        <v>3.2432432432432434E-2</v>
      </c>
      <c r="BV84" s="164">
        <f t="shared" si="135"/>
        <v>1.1503371677905593E-2</v>
      </c>
      <c r="BW84" s="164">
        <f t="shared" si="136"/>
        <v>2.7089337175792507E-2</v>
      </c>
      <c r="BX84" s="164">
        <f t="shared" si="137"/>
        <v>2.5000000000000001E-2</v>
      </c>
      <c r="BY84" s="164">
        <f t="shared" si="138"/>
        <v>0</v>
      </c>
      <c r="BZ84" s="164">
        <f t="shared" si="139"/>
        <v>1.2500000000000001E-2</v>
      </c>
      <c r="CA84" s="164">
        <f t="shared" si="140"/>
        <v>2.564102564102564E-2</v>
      </c>
      <c r="CB84" s="164">
        <f t="shared" si="141"/>
        <v>1.9941030415890751E-2</v>
      </c>
      <c r="CC84" s="164">
        <f t="shared" si="142"/>
        <v>1.9726708074534163E-2</v>
      </c>
      <c r="CD84" s="180">
        <f t="shared" si="61"/>
        <v>1470</v>
      </c>
      <c r="CE84" s="180">
        <f t="shared" si="62"/>
        <v>52</v>
      </c>
      <c r="CF84" s="180">
        <f t="shared" si="63"/>
        <v>670</v>
      </c>
      <c r="CG84" s="180">
        <f t="shared" si="64"/>
        <v>482</v>
      </c>
      <c r="CH84" s="180">
        <f t="shared" si="65"/>
        <v>77</v>
      </c>
      <c r="CI84" s="180">
        <f t="shared" si="66"/>
        <v>38</v>
      </c>
      <c r="CJ84" s="180">
        <f t="shared" si="67"/>
        <v>38</v>
      </c>
      <c r="CK84" s="180">
        <f t="shared" si="68"/>
        <v>12</v>
      </c>
      <c r="CL84" s="180">
        <f t="shared" si="69"/>
        <v>8391</v>
      </c>
      <c r="CM84" s="180">
        <f t="shared" si="69"/>
        <v>11230</v>
      </c>
      <c r="CN84" s="183">
        <f t="shared" ref="CN84:CN147" si="143">B84/B$5</f>
        <v>3.578938831313587E-4</v>
      </c>
      <c r="CO84" s="183">
        <f t="shared" ref="CO84:CO147" si="144">C84/C$5</f>
        <v>6.5861515470326212E-5</v>
      </c>
      <c r="CP84" s="183">
        <f t="shared" ref="CP84:CP147" si="145">D84/D$5</f>
        <v>1.6120171772523867E-4</v>
      </c>
      <c r="CQ84" s="183">
        <f t="shared" ref="CQ84:CQ147" si="146">E84/E$5</f>
        <v>1.5772228078859195E-4</v>
      </c>
      <c r="CR84" s="183">
        <f t="shared" ref="CR84:CR147" si="147">F84/F$5</f>
        <v>2.0499416812651842E-5</v>
      </c>
      <c r="CS84" s="183">
        <f t="shared" ref="CS84:CS147" si="148">G84/G$5</f>
        <v>2.0377667265533505E-5</v>
      </c>
      <c r="CT84" s="183">
        <f t="shared" ref="CT84:CT147" si="149">H84/H$5</f>
        <v>1.947596190106331E-5</v>
      </c>
      <c r="CU84" s="183">
        <f t="shared" ref="CU84:CU147" si="150">I84/I$5</f>
        <v>2.9495672797514317E-5</v>
      </c>
      <c r="CV84" s="183">
        <f t="shared" ref="CV84:CV147" si="151">J84/J$5</f>
        <v>1.7643784305404718E-3</v>
      </c>
      <c r="CW84" s="183">
        <f t="shared" ref="CW84:CW147" si="152">K84/K$5</f>
        <v>3.370105157016557E-4</v>
      </c>
      <c r="CX84" s="193">
        <f t="shared" si="84"/>
        <v>1.9546624036007105E-4</v>
      </c>
      <c r="CY84" s="193">
        <f t="shared" si="85"/>
        <v>2.0648475120426596E-5</v>
      </c>
      <c r="CZ84" s="193">
        <f t="shared" si="86"/>
        <v>4.5783589802170128E-5</v>
      </c>
      <c r="DA84" s="193">
        <f t="shared" si="87"/>
        <v>7.3452220678491242E-5</v>
      </c>
      <c r="DB84" s="193">
        <f t="shared" si="88"/>
        <v>1.1274679246958514E-5</v>
      </c>
      <c r="DC84" s="193">
        <f t="shared" si="89"/>
        <v>8.3174152104218394E-6</v>
      </c>
      <c r="DD84" s="193">
        <f t="shared" si="90"/>
        <v>1.2172476188164568E-5</v>
      </c>
      <c r="DE84" s="193">
        <f t="shared" si="91"/>
        <v>8.319292327504037E-6</v>
      </c>
      <c r="DF84" s="193">
        <f t="shared" si="92"/>
        <v>8.905401684253391E-4</v>
      </c>
      <c r="DG84" s="193">
        <f t="shared" si="93"/>
        <v>1.6071005809633739E-4</v>
      </c>
      <c r="DI84" s="83"/>
    </row>
    <row r="85" spans="1:113">
      <c r="A85" s="150">
        <v>43974</v>
      </c>
      <c r="B85" s="129">
        <v>2569</v>
      </c>
      <c r="C85" s="129">
        <v>196</v>
      </c>
      <c r="D85" s="129">
        <v>2633</v>
      </c>
      <c r="E85" s="129">
        <v>1777</v>
      </c>
      <c r="F85" s="129">
        <v>124</v>
      </c>
      <c r="G85" s="129">
        <v>97</v>
      </c>
      <c r="H85" s="129">
        <v>81</v>
      </c>
      <c r="I85" s="129">
        <v>40</v>
      </c>
      <c r="J85" s="129">
        <v>13826</v>
      </c>
      <c r="K85" s="165">
        <f t="shared" si="78"/>
        <v>21343</v>
      </c>
      <c r="L85" s="80">
        <v>58</v>
      </c>
      <c r="M85" s="80">
        <v>6</v>
      </c>
      <c r="N85" s="80">
        <v>29</v>
      </c>
      <c r="O85" s="80">
        <v>48</v>
      </c>
      <c r="P85" s="80">
        <v>3</v>
      </c>
      <c r="Q85" s="80">
        <v>0</v>
      </c>
      <c r="R85" s="80">
        <v>1</v>
      </c>
      <c r="S85" s="80">
        <v>1</v>
      </c>
      <c r="T85" s="80">
        <v>261</v>
      </c>
      <c r="U85" s="80">
        <f t="shared" si="79"/>
        <v>407</v>
      </c>
      <c r="V85" s="130">
        <v>1063</v>
      </c>
      <c r="W85" s="130">
        <v>121</v>
      </c>
      <c r="X85" s="130">
        <v>1880</v>
      </c>
      <c r="Y85" s="130">
        <v>880</v>
      </c>
      <c r="Z85" s="130">
        <v>51</v>
      </c>
      <c r="AA85" s="130">
        <v>58</v>
      </c>
      <c r="AB85" s="130">
        <v>29</v>
      </c>
      <c r="AC85" s="130">
        <v>27</v>
      </c>
      <c r="AD85" s="130">
        <v>6126</v>
      </c>
      <c r="AE85" s="130">
        <f t="shared" si="80"/>
        <v>10235</v>
      </c>
      <c r="AF85" s="151">
        <f t="shared" si="96"/>
        <v>1448</v>
      </c>
      <c r="AG85" s="151">
        <f t="shared" si="97"/>
        <v>69</v>
      </c>
      <c r="AH85" s="151">
        <f t="shared" si="98"/>
        <v>724</v>
      </c>
      <c r="AI85" s="151">
        <f t="shared" si="99"/>
        <v>849</v>
      </c>
      <c r="AJ85" s="151">
        <f t="shared" si="100"/>
        <v>70</v>
      </c>
      <c r="AK85" s="151">
        <f t="shared" si="101"/>
        <v>39</v>
      </c>
      <c r="AL85" s="151">
        <f t="shared" si="102"/>
        <v>51</v>
      </c>
      <c r="AM85" s="151">
        <f t="shared" si="103"/>
        <v>12</v>
      </c>
      <c r="AN85" s="151">
        <f t="shared" si="104"/>
        <v>7439</v>
      </c>
      <c r="AO85" s="151">
        <f t="shared" si="81"/>
        <v>10701</v>
      </c>
      <c r="AP85" s="57">
        <f t="shared" si="105"/>
        <v>110</v>
      </c>
      <c r="AQ85" s="57">
        <f t="shared" si="106"/>
        <v>11</v>
      </c>
      <c r="AR85" s="57">
        <f t="shared" si="107"/>
        <v>112</v>
      </c>
      <c r="AS85" s="57">
        <f t="shared" si="108"/>
        <v>42</v>
      </c>
      <c r="AT85" s="57">
        <f t="shared" si="109"/>
        <v>4</v>
      </c>
      <c r="AU85" s="57">
        <f t="shared" si="110"/>
        <v>-1</v>
      </c>
      <c r="AV85" s="57">
        <f t="shared" si="111"/>
        <v>1</v>
      </c>
      <c r="AW85" s="57">
        <f t="shared" si="112"/>
        <v>1</v>
      </c>
      <c r="AX85" s="57">
        <f t="shared" si="113"/>
        <v>938</v>
      </c>
      <c r="AY85" s="57">
        <f t="shared" si="82"/>
        <v>1218</v>
      </c>
      <c r="AZ85" s="152">
        <f t="shared" ca="1" si="114"/>
        <v>12097.113970172042</v>
      </c>
      <c r="BA85" s="152">
        <f t="shared" ca="1" si="115"/>
        <v>2072.3340800260507</v>
      </c>
      <c r="BB85" s="152">
        <f t="shared" ca="1" si="116"/>
        <v>7324.5517239284454</v>
      </c>
      <c r="BC85" s="152">
        <f t="shared" ca="1" si="117"/>
        <v>13728.93792405276</v>
      </c>
      <c r="BD85" s="152">
        <f t="shared" ca="1" si="118"/>
        <v>920.24861996460436</v>
      </c>
      <c r="BE85" s="152">
        <f t="shared" ca="1" si="119"/>
        <v>-97</v>
      </c>
      <c r="BF85" s="152">
        <f t="shared" ca="1" si="120"/>
        <v>299.34460597397521</v>
      </c>
      <c r="BG85" s="152">
        <f t="shared" ca="1" si="121"/>
        <v>334.34733010847316</v>
      </c>
      <c r="BH85" s="152">
        <f t="shared" ca="1" si="122"/>
        <v>57968.302725869216</v>
      </c>
      <c r="BI85" s="152">
        <f t="shared" ca="1" si="94"/>
        <v>94648.180980095567</v>
      </c>
      <c r="BJ85" s="163">
        <f t="shared" ca="1" si="123"/>
        <v>6818.4589446512709</v>
      </c>
      <c r="BK85" s="163">
        <f t="shared" ca="1" si="124"/>
        <v>729.54618123366072</v>
      </c>
      <c r="BL85" s="163">
        <f t="shared" ca="1" si="125"/>
        <v>2014.0430870202031</v>
      </c>
      <c r="BM85" s="163">
        <f t="shared" ca="1" si="126"/>
        <v>6559.2956091844635</v>
      </c>
      <c r="BN85" s="163">
        <f t="shared" ca="1" si="127"/>
        <v>519.49518868969596</v>
      </c>
      <c r="BO85" s="163">
        <f t="shared" ca="1" si="128"/>
        <v>-39</v>
      </c>
      <c r="BP85" s="163">
        <f t="shared" ca="1" si="129"/>
        <v>188.47623339102142</v>
      </c>
      <c r="BQ85" s="163">
        <f t="shared" ca="1" si="130"/>
        <v>100.30419903254194</v>
      </c>
      <c r="BR85" s="163">
        <f t="shared" ca="1" si="131"/>
        <v>31189.512800357377</v>
      </c>
      <c r="BS85" s="163">
        <f t="shared" ca="1" si="95"/>
        <v>48080.132243560234</v>
      </c>
      <c r="BT85" s="164">
        <f t="shared" si="133"/>
        <v>2.2576878162709226E-2</v>
      </c>
      <c r="BU85" s="164">
        <f t="shared" si="134"/>
        <v>3.0612244897959183E-2</v>
      </c>
      <c r="BV85" s="164">
        <f t="shared" si="135"/>
        <v>1.1014052411697683E-2</v>
      </c>
      <c r="BW85" s="164">
        <f t="shared" si="136"/>
        <v>2.7011817670230726E-2</v>
      </c>
      <c r="BX85" s="164">
        <f t="shared" si="137"/>
        <v>2.4193548387096774E-2</v>
      </c>
      <c r="BY85" s="164">
        <f t="shared" si="138"/>
        <v>0</v>
      </c>
      <c r="BZ85" s="164">
        <f t="shared" si="139"/>
        <v>1.2345679012345678E-2</v>
      </c>
      <c r="CA85" s="164">
        <f t="shared" si="140"/>
        <v>2.5000000000000001E-2</v>
      </c>
      <c r="CB85" s="164">
        <f t="shared" si="141"/>
        <v>1.8877477216837843E-2</v>
      </c>
      <c r="CC85" s="164">
        <f t="shared" si="142"/>
        <v>1.9069484139999062E-2</v>
      </c>
      <c r="CD85" s="180">
        <f t="shared" ref="CD85:CD148" si="153">SUM(AP72:AP85)</f>
        <v>1491</v>
      </c>
      <c r="CE85" s="180">
        <f t="shared" ref="CE85:CE148" si="154">SUM(AQ72:AQ85)</f>
        <v>62</v>
      </c>
      <c r="CF85" s="180">
        <f t="shared" ref="CF85:CF148" si="155">SUM(AR72:AR85)</f>
        <v>723</v>
      </c>
      <c r="CG85" s="180">
        <f t="shared" ref="CG85:CG148" si="156">SUM(AS72:AS85)</f>
        <v>469</v>
      </c>
      <c r="CH85" s="180">
        <f t="shared" ref="CH85:CH148" si="157">SUM(AT72:AT85)</f>
        <v>73</v>
      </c>
      <c r="CI85" s="180">
        <f t="shared" ref="CI85:CI148" si="158">SUM(AU72:AU85)</f>
        <v>36</v>
      </c>
      <c r="CJ85" s="180">
        <f t="shared" ref="CJ85:CJ148" si="159">SUM(AV72:AV85)</f>
        <v>40</v>
      </c>
      <c r="CK85" s="180">
        <f t="shared" ref="CK85:CK148" si="160">SUM(AW72:AW85)</f>
        <v>12</v>
      </c>
      <c r="CL85" s="180">
        <f t="shared" ref="CL85:CM148" si="161">SUM(AX72:AX85)</f>
        <v>9017</v>
      </c>
      <c r="CM85" s="180">
        <f t="shared" si="161"/>
        <v>11923</v>
      </c>
      <c r="CN85" s="183">
        <f t="shared" si="143"/>
        <v>3.739037762360555E-4</v>
      </c>
      <c r="CO85" s="183">
        <f t="shared" si="144"/>
        <v>6.9777605579372638E-5</v>
      </c>
      <c r="CP85" s="183">
        <f t="shared" si="145"/>
        <v>1.6836339657697481E-4</v>
      </c>
      <c r="CQ85" s="183">
        <f t="shared" si="146"/>
        <v>1.6154034176445411E-4</v>
      </c>
      <c r="CR85" s="183">
        <f t="shared" si="147"/>
        <v>2.1182730706406903E-5</v>
      </c>
      <c r="CS85" s="183">
        <f t="shared" si="148"/>
        <v>2.016973188527296E-5</v>
      </c>
      <c r="CT85" s="183">
        <f t="shared" si="149"/>
        <v>1.97194114248266E-5</v>
      </c>
      <c r="CU85" s="183">
        <f t="shared" si="150"/>
        <v>3.0251972100014684E-5</v>
      </c>
      <c r="CV85" s="183">
        <f t="shared" si="151"/>
        <v>1.8927914479091065E-3</v>
      </c>
      <c r="CW85" s="183">
        <f t="shared" si="152"/>
        <v>3.5740697821716461E-4</v>
      </c>
      <c r="CX85" s="193">
        <f t="shared" si="84"/>
        <v>2.1074841105091802E-4</v>
      </c>
      <c r="CY85" s="193">
        <f t="shared" si="85"/>
        <v>2.4564565229473019E-5</v>
      </c>
      <c r="CZ85" s="193">
        <f t="shared" si="86"/>
        <v>4.6295138291579851E-5</v>
      </c>
      <c r="DA85" s="193">
        <f t="shared" si="87"/>
        <v>7.7179375440642402E-5</v>
      </c>
      <c r="DB85" s="193">
        <f t="shared" si="88"/>
        <v>1.1957993140713574E-5</v>
      </c>
      <c r="DC85" s="193">
        <f t="shared" si="89"/>
        <v>8.1094798301612928E-6</v>
      </c>
      <c r="DD85" s="193">
        <f t="shared" si="90"/>
        <v>1.2415925711927859E-5</v>
      </c>
      <c r="DE85" s="193">
        <f t="shared" si="91"/>
        <v>9.075591630004404E-6</v>
      </c>
      <c r="DF85" s="193">
        <f t="shared" si="92"/>
        <v>1.0184055823083931E-3</v>
      </c>
      <c r="DG85" s="193">
        <f t="shared" si="93"/>
        <v>1.791974921005425E-4</v>
      </c>
      <c r="DI85" s="83"/>
    </row>
    <row r="86" spans="1:113">
      <c r="A86" s="150">
        <v>43975</v>
      </c>
      <c r="B86" s="129">
        <v>2690</v>
      </c>
      <c r="C86" s="129">
        <v>202</v>
      </c>
      <c r="D86" s="129">
        <v>2772</v>
      </c>
      <c r="E86" s="129">
        <v>1815</v>
      </c>
      <c r="F86" s="129">
        <v>128</v>
      </c>
      <c r="G86" s="129">
        <v>101</v>
      </c>
      <c r="H86" s="129">
        <v>94</v>
      </c>
      <c r="I86" s="129">
        <v>40</v>
      </c>
      <c r="J86" s="129">
        <v>14740</v>
      </c>
      <c r="K86" s="165">
        <f t="shared" si="78"/>
        <v>22582</v>
      </c>
      <c r="L86" s="80">
        <v>59</v>
      </c>
      <c r="M86" s="80">
        <v>6</v>
      </c>
      <c r="N86" s="80">
        <v>29</v>
      </c>
      <c r="O86" s="80">
        <v>49</v>
      </c>
      <c r="P86" s="80">
        <v>3</v>
      </c>
      <c r="Q86" s="80">
        <v>0</v>
      </c>
      <c r="R86" s="80">
        <v>1</v>
      </c>
      <c r="S86" s="80">
        <v>1</v>
      </c>
      <c r="T86" s="80">
        <v>281</v>
      </c>
      <c r="U86" s="80">
        <f t="shared" si="79"/>
        <v>429</v>
      </c>
      <c r="V86" s="130">
        <v>1335</v>
      </c>
      <c r="W86" s="130">
        <v>121</v>
      </c>
      <c r="X86" s="130">
        <v>1840</v>
      </c>
      <c r="Y86" s="130">
        <v>1111</v>
      </c>
      <c r="Z86" s="130">
        <v>53</v>
      </c>
      <c r="AA86" s="130">
        <v>58</v>
      </c>
      <c r="AB86" s="130">
        <v>29</v>
      </c>
      <c r="AC86" s="130">
        <v>28</v>
      </c>
      <c r="AD86" s="130">
        <v>6525</v>
      </c>
      <c r="AE86" s="130">
        <f t="shared" si="80"/>
        <v>11100</v>
      </c>
      <c r="AF86" s="151">
        <f t="shared" si="96"/>
        <v>1296</v>
      </c>
      <c r="AG86" s="151">
        <f t="shared" si="97"/>
        <v>75</v>
      </c>
      <c r="AH86" s="151">
        <f t="shared" si="98"/>
        <v>903</v>
      </c>
      <c r="AI86" s="151">
        <f t="shared" si="99"/>
        <v>655</v>
      </c>
      <c r="AJ86" s="151">
        <f t="shared" si="100"/>
        <v>72</v>
      </c>
      <c r="AK86" s="151">
        <f t="shared" si="101"/>
        <v>43</v>
      </c>
      <c r="AL86" s="151">
        <f t="shared" si="102"/>
        <v>64</v>
      </c>
      <c r="AM86" s="151">
        <f t="shared" si="103"/>
        <v>11</v>
      </c>
      <c r="AN86" s="151">
        <f t="shared" si="104"/>
        <v>7934</v>
      </c>
      <c r="AO86" s="151">
        <f t="shared" si="81"/>
        <v>11053</v>
      </c>
      <c r="AP86" s="57">
        <f t="shared" si="105"/>
        <v>121</v>
      </c>
      <c r="AQ86" s="57">
        <f t="shared" si="106"/>
        <v>6</v>
      </c>
      <c r="AR86" s="57">
        <f t="shared" si="107"/>
        <v>139</v>
      </c>
      <c r="AS86" s="57">
        <f t="shared" si="108"/>
        <v>38</v>
      </c>
      <c r="AT86" s="57">
        <f t="shared" si="109"/>
        <v>4</v>
      </c>
      <c r="AU86" s="57">
        <f t="shared" si="110"/>
        <v>4</v>
      </c>
      <c r="AV86" s="57">
        <f t="shared" si="111"/>
        <v>13</v>
      </c>
      <c r="AW86" s="57">
        <f t="shared" si="112"/>
        <v>0</v>
      </c>
      <c r="AX86" s="57">
        <f t="shared" si="113"/>
        <v>914</v>
      </c>
      <c r="AY86" s="57">
        <f t="shared" si="82"/>
        <v>1239</v>
      </c>
      <c r="AZ86" s="152">
        <f t="shared" ca="1" si="114"/>
        <v>12228.978004140525</v>
      </c>
      <c r="BA86" s="152">
        <f t="shared" ca="1" si="115"/>
        <v>2066.3340800260507</v>
      </c>
      <c r="BB86" s="152">
        <f t="shared" ca="1" si="116"/>
        <v>7185.5517239284454</v>
      </c>
      <c r="BC86" s="152">
        <f t="shared" ca="1" si="117"/>
        <v>14013.978297470527</v>
      </c>
      <c r="BD86" s="152">
        <f t="shared" ca="1" si="118"/>
        <v>916.24861996460436</v>
      </c>
      <c r="BE86" s="152">
        <f t="shared" ca="1" si="119"/>
        <v>-101</v>
      </c>
      <c r="BF86" s="152">
        <f t="shared" ca="1" si="120"/>
        <v>286.34460597397521</v>
      </c>
      <c r="BG86" s="152">
        <f t="shared" ca="1" si="121"/>
        <v>334.34733010847316</v>
      </c>
      <c r="BH86" s="152">
        <f t="shared" ca="1" si="122"/>
        <v>62555.781861951153</v>
      </c>
      <c r="BI86" s="152">
        <f t="shared" ca="1" si="94"/>
        <v>99486.564523563749</v>
      </c>
      <c r="BJ86" s="163">
        <f t="shared" ca="1" si="123"/>
        <v>5891.7306666788554</v>
      </c>
      <c r="BK86" s="163">
        <f t="shared" ca="1" si="124"/>
        <v>767.2032475344248</v>
      </c>
      <c r="BL86" s="163">
        <f t="shared" ca="1" si="125"/>
        <v>2340.7479100675996</v>
      </c>
      <c r="BM86" s="163">
        <f t="shared" ca="1" si="126"/>
        <v>5057.3861073516227</v>
      </c>
      <c r="BN86" s="163">
        <f t="shared" ca="1" si="127"/>
        <v>515.38984873008997</v>
      </c>
      <c r="BO86" s="163">
        <f t="shared" ca="1" si="128"/>
        <v>-43</v>
      </c>
      <c r="BP86" s="163">
        <f t="shared" ca="1" si="129"/>
        <v>194.95802959930228</v>
      </c>
      <c r="BQ86" s="163">
        <f t="shared" ca="1" si="130"/>
        <v>91.945515779830117</v>
      </c>
      <c r="BR86" s="163">
        <f t="shared" ca="1" si="131"/>
        <v>33671.477156900983</v>
      </c>
      <c r="BS86" s="163">
        <f t="shared" ca="1" si="95"/>
        <v>48487.838482642706</v>
      </c>
      <c r="BT86" s="164">
        <f t="shared" si="133"/>
        <v>2.1933085501858737E-2</v>
      </c>
      <c r="BU86" s="164">
        <f t="shared" si="134"/>
        <v>2.9702970297029702E-2</v>
      </c>
      <c r="BV86" s="164">
        <f t="shared" si="135"/>
        <v>1.0461760461760462E-2</v>
      </c>
      <c r="BW86" s="164">
        <f t="shared" si="136"/>
        <v>2.6997245179063361E-2</v>
      </c>
      <c r="BX86" s="164">
        <f t="shared" si="137"/>
        <v>2.34375E-2</v>
      </c>
      <c r="BY86" s="164">
        <f t="shared" si="138"/>
        <v>0</v>
      </c>
      <c r="BZ86" s="164">
        <f t="shared" si="139"/>
        <v>1.0638297872340425E-2</v>
      </c>
      <c r="CA86" s="164">
        <f t="shared" si="140"/>
        <v>2.5000000000000001E-2</v>
      </c>
      <c r="CB86" s="164">
        <f t="shared" si="141"/>
        <v>1.9063772048846676E-2</v>
      </c>
      <c r="CC86" s="164">
        <f t="shared" si="142"/>
        <v>1.8997431582676468E-2</v>
      </c>
      <c r="CD86" s="180">
        <f t="shared" si="153"/>
        <v>1472</v>
      </c>
      <c r="CE86" s="180">
        <f t="shared" si="154"/>
        <v>67</v>
      </c>
      <c r="CF86" s="180">
        <f t="shared" si="155"/>
        <v>820</v>
      </c>
      <c r="CG86" s="180">
        <f t="shared" si="156"/>
        <v>462</v>
      </c>
      <c r="CH86" s="180">
        <f t="shared" si="157"/>
        <v>74</v>
      </c>
      <c r="CI86" s="180">
        <f t="shared" si="158"/>
        <v>40</v>
      </c>
      <c r="CJ86" s="180">
        <f t="shared" si="159"/>
        <v>49</v>
      </c>
      <c r="CK86" s="180">
        <f t="shared" si="160"/>
        <v>11</v>
      </c>
      <c r="CL86" s="180">
        <f t="shared" si="161"/>
        <v>9572</v>
      </c>
      <c r="CM86" s="180">
        <f t="shared" si="161"/>
        <v>12567</v>
      </c>
      <c r="CN86" s="183">
        <f t="shared" si="143"/>
        <v>3.9151465865122203E-4</v>
      </c>
      <c r="CO86" s="183">
        <f t="shared" si="144"/>
        <v>7.1913654729761591E-5</v>
      </c>
      <c r="CP86" s="183">
        <f t="shared" si="145"/>
        <v>1.7725155158046871E-4</v>
      </c>
      <c r="CQ86" s="183">
        <f t="shared" si="146"/>
        <v>1.6499477788547228E-4</v>
      </c>
      <c r="CR86" s="183">
        <f t="shared" si="147"/>
        <v>2.1866044600161967E-5</v>
      </c>
      <c r="CS86" s="183">
        <f t="shared" si="148"/>
        <v>2.1001473406315144E-5</v>
      </c>
      <c r="CT86" s="183">
        <f t="shared" si="149"/>
        <v>2.2884255233749388E-5</v>
      </c>
      <c r="CU86" s="183">
        <f t="shared" si="150"/>
        <v>3.0251972100014684E-5</v>
      </c>
      <c r="CV86" s="183">
        <f t="shared" si="151"/>
        <v>2.0179188443642578E-3</v>
      </c>
      <c r="CW86" s="183">
        <f t="shared" si="152"/>
        <v>3.781551038794926E-4</v>
      </c>
      <c r="CX86" s="193">
        <f t="shared" si="84"/>
        <v>1.8862564966988242E-4</v>
      </c>
      <c r="CY86" s="193">
        <f t="shared" si="85"/>
        <v>2.6700614379861976E-5</v>
      </c>
      <c r="CZ86" s="193">
        <f t="shared" si="86"/>
        <v>5.7741035742122385E-5</v>
      </c>
      <c r="DA86" s="193">
        <f t="shared" si="87"/>
        <v>5.9543569980707627E-5</v>
      </c>
      <c r="DB86" s="193">
        <f t="shared" si="88"/>
        <v>1.2299650087591105E-5</v>
      </c>
      <c r="DC86" s="193">
        <f t="shared" si="89"/>
        <v>8.9412213512034777E-6</v>
      </c>
      <c r="DD86" s="193">
        <f t="shared" si="90"/>
        <v>1.5580769520850646E-5</v>
      </c>
      <c r="DE86" s="193">
        <f t="shared" si="91"/>
        <v>8.319292327504037E-6</v>
      </c>
      <c r="DF86" s="193">
        <f t="shared" si="92"/>
        <v>1.0861715136489839E-3</v>
      </c>
      <c r="DG86" s="193">
        <f t="shared" si="93"/>
        <v>1.8509203627579629E-4</v>
      </c>
      <c r="DI86" s="83"/>
    </row>
    <row r="87" spans="1:113">
      <c r="A87" s="150">
        <v>43976</v>
      </c>
      <c r="B87" s="129">
        <v>2748</v>
      </c>
      <c r="C87" s="129">
        <v>208</v>
      </c>
      <c r="D87" s="129">
        <v>2993</v>
      </c>
      <c r="E87" s="129">
        <v>1882</v>
      </c>
      <c r="F87" s="129">
        <v>132</v>
      </c>
      <c r="G87" s="129">
        <v>102</v>
      </c>
      <c r="H87" s="129">
        <v>109</v>
      </c>
      <c r="I87" s="129">
        <v>45</v>
      </c>
      <c r="J87" s="129">
        <v>15396</v>
      </c>
      <c r="K87" s="165">
        <f t="shared" si="78"/>
        <v>23615</v>
      </c>
      <c r="L87" s="80">
        <v>61</v>
      </c>
      <c r="M87" s="80">
        <v>6</v>
      </c>
      <c r="N87" s="80">
        <v>30</v>
      </c>
      <c r="O87" s="80">
        <v>49</v>
      </c>
      <c r="P87" s="80">
        <v>3</v>
      </c>
      <c r="Q87" s="80">
        <v>0</v>
      </c>
      <c r="R87" s="80">
        <v>1</v>
      </c>
      <c r="S87" s="80">
        <v>1</v>
      </c>
      <c r="T87" s="80">
        <v>330</v>
      </c>
      <c r="U87" s="80">
        <f t="shared" si="79"/>
        <v>481</v>
      </c>
      <c r="V87" s="130">
        <v>1335</v>
      </c>
      <c r="W87" s="130">
        <v>121</v>
      </c>
      <c r="X87" s="130">
        <v>1919</v>
      </c>
      <c r="Y87" s="130">
        <v>1168</v>
      </c>
      <c r="Z87" s="130">
        <v>55</v>
      </c>
      <c r="AA87" s="130">
        <v>61</v>
      </c>
      <c r="AB87" s="130">
        <v>29</v>
      </c>
      <c r="AC87" s="130">
        <v>28</v>
      </c>
      <c r="AD87" s="130">
        <v>7221</v>
      </c>
      <c r="AE87" s="130">
        <f t="shared" si="80"/>
        <v>11937</v>
      </c>
      <c r="AF87" s="151">
        <f t="shared" si="96"/>
        <v>1352</v>
      </c>
      <c r="AG87" s="151">
        <f t="shared" si="97"/>
        <v>81</v>
      </c>
      <c r="AH87" s="151">
        <f t="shared" si="98"/>
        <v>1044</v>
      </c>
      <c r="AI87" s="151">
        <f t="shared" si="99"/>
        <v>665</v>
      </c>
      <c r="AJ87" s="151">
        <f t="shared" si="100"/>
        <v>74</v>
      </c>
      <c r="AK87" s="151">
        <f t="shared" si="101"/>
        <v>41</v>
      </c>
      <c r="AL87" s="151">
        <f t="shared" si="102"/>
        <v>79</v>
      </c>
      <c r="AM87" s="151">
        <f t="shared" si="103"/>
        <v>16</v>
      </c>
      <c r="AN87" s="151">
        <f t="shared" si="104"/>
        <v>7845</v>
      </c>
      <c r="AO87" s="151">
        <f t="shared" si="81"/>
        <v>11197</v>
      </c>
      <c r="AP87" s="57">
        <f t="shared" si="105"/>
        <v>58</v>
      </c>
      <c r="AQ87" s="57">
        <f t="shared" si="106"/>
        <v>6</v>
      </c>
      <c r="AR87" s="57">
        <f t="shared" si="107"/>
        <v>221</v>
      </c>
      <c r="AS87" s="57">
        <f t="shared" si="108"/>
        <v>67</v>
      </c>
      <c r="AT87" s="57">
        <f t="shared" si="109"/>
        <v>4</v>
      </c>
      <c r="AU87" s="57">
        <f t="shared" si="110"/>
        <v>1</v>
      </c>
      <c r="AV87" s="57">
        <f t="shared" si="111"/>
        <v>15</v>
      </c>
      <c r="AW87" s="57">
        <f t="shared" si="112"/>
        <v>5</v>
      </c>
      <c r="AX87" s="57">
        <f t="shared" si="113"/>
        <v>656</v>
      </c>
      <c r="AY87" s="57">
        <f t="shared" si="82"/>
        <v>1033</v>
      </c>
      <c r="AZ87" s="152">
        <f t="shared" ca="1" si="114"/>
        <v>12676.706072077492</v>
      </c>
      <c r="BA87" s="152">
        <f t="shared" ca="1" si="115"/>
        <v>2060.3340800260507</v>
      </c>
      <c r="BB87" s="152">
        <f t="shared" ca="1" si="116"/>
        <v>7307.9155764777024</v>
      </c>
      <c r="BC87" s="152">
        <f t="shared" ca="1" si="117"/>
        <v>13946.978297470527</v>
      </c>
      <c r="BD87" s="152">
        <f t="shared" ca="1" si="118"/>
        <v>912.24861996460436</v>
      </c>
      <c r="BE87" s="152">
        <f t="shared" ca="1" si="119"/>
        <v>-102</v>
      </c>
      <c r="BF87" s="152">
        <f t="shared" ca="1" si="120"/>
        <v>271.34460597397521</v>
      </c>
      <c r="BG87" s="152">
        <f t="shared" ca="1" si="121"/>
        <v>329.34733010847316</v>
      </c>
      <c r="BH87" s="152">
        <f t="shared" ca="1" si="122"/>
        <v>75378.405745351891</v>
      </c>
      <c r="BI87" s="152">
        <f t="shared" ca="1" si="94"/>
        <v>112781.28032745072</v>
      </c>
      <c r="BJ87" s="163">
        <f t="shared" ca="1" si="123"/>
        <v>6236.8655784020266</v>
      </c>
      <c r="BK87" s="163">
        <f t="shared" ca="1" si="124"/>
        <v>802.34163693322159</v>
      </c>
      <c r="BL87" s="163">
        <f t="shared" ca="1" si="125"/>
        <v>2549.102526509429</v>
      </c>
      <c r="BM87" s="163">
        <f t="shared" ca="1" si="126"/>
        <v>4928.1299510190756</v>
      </c>
      <c r="BN87" s="163">
        <f t="shared" ca="1" si="127"/>
        <v>511.41210513167209</v>
      </c>
      <c r="BO87" s="163">
        <f t="shared" ca="1" si="128"/>
        <v>-41</v>
      </c>
      <c r="BP87" s="163">
        <f t="shared" ca="1" si="129"/>
        <v>196.66260432976185</v>
      </c>
      <c r="BQ87" s="163">
        <f t="shared" ca="1" si="130"/>
        <v>117.10127292745712</v>
      </c>
      <c r="BR87" s="163">
        <f t="shared" ca="1" si="131"/>
        <v>38408.910955591426</v>
      </c>
      <c r="BS87" s="163">
        <f t="shared" ca="1" si="95"/>
        <v>53709.52663084407</v>
      </c>
      <c r="BT87" s="164">
        <f t="shared" si="133"/>
        <v>2.2197962154294031E-2</v>
      </c>
      <c r="BU87" s="164">
        <f t="shared" si="134"/>
        <v>2.8846153846153848E-2</v>
      </c>
      <c r="BV87" s="164">
        <f t="shared" si="135"/>
        <v>1.0023387905111928E-2</v>
      </c>
      <c r="BW87" s="164">
        <f t="shared" si="136"/>
        <v>2.6036131774707757E-2</v>
      </c>
      <c r="BX87" s="164">
        <f t="shared" si="137"/>
        <v>2.2727272727272728E-2</v>
      </c>
      <c r="BY87" s="164">
        <f t="shared" si="138"/>
        <v>0</v>
      </c>
      <c r="BZ87" s="164">
        <f t="shared" si="139"/>
        <v>9.1743119266055051E-3</v>
      </c>
      <c r="CA87" s="164">
        <f t="shared" si="140"/>
        <v>2.2222222222222223E-2</v>
      </c>
      <c r="CB87" s="164">
        <f t="shared" si="141"/>
        <v>2.1434138737334373E-2</v>
      </c>
      <c r="CC87" s="164">
        <f t="shared" si="142"/>
        <v>2.0368409908956171E-2</v>
      </c>
      <c r="CD87" s="180">
        <f t="shared" si="153"/>
        <v>1392</v>
      </c>
      <c r="CE87" s="180">
        <f t="shared" si="154"/>
        <v>73</v>
      </c>
      <c r="CF87" s="180">
        <f t="shared" si="155"/>
        <v>1022</v>
      </c>
      <c r="CG87" s="180">
        <f t="shared" si="156"/>
        <v>510</v>
      </c>
      <c r="CH87" s="180">
        <f t="shared" si="157"/>
        <v>78</v>
      </c>
      <c r="CI87" s="180">
        <f t="shared" si="158"/>
        <v>39</v>
      </c>
      <c r="CJ87" s="180">
        <f t="shared" si="159"/>
        <v>59</v>
      </c>
      <c r="CK87" s="180">
        <f t="shared" si="160"/>
        <v>15</v>
      </c>
      <c r="CL87" s="180">
        <f t="shared" si="161"/>
        <v>9775</v>
      </c>
      <c r="CM87" s="180">
        <f t="shared" si="161"/>
        <v>12963</v>
      </c>
      <c r="CN87" s="183">
        <f t="shared" si="143"/>
        <v>3.999562386518803E-4</v>
      </c>
      <c r="CO87" s="183">
        <f t="shared" si="144"/>
        <v>7.4049703880150545E-5</v>
      </c>
      <c r="CP87" s="183">
        <f t="shared" si="145"/>
        <v>1.9138307860041231E-4</v>
      </c>
      <c r="CQ87" s="183">
        <f t="shared" si="146"/>
        <v>1.7108549420410954E-4</v>
      </c>
      <c r="CR87" s="183">
        <f t="shared" si="147"/>
        <v>2.2549358493917027E-5</v>
      </c>
      <c r="CS87" s="183">
        <f t="shared" si="148"/>
        <v>2.1209408786575689E-5</v>
      </c>
      <c r="CT87" s="183">
        <f t="shared" si="149"/>
        <v>2.6535998090198759E-5</v>
      </c>
      <c r="CU87" s="183">
        <f t="shared" si="150"/>
        <v>3.4033468612516519E-5</v>
      </c>
      <c r="CV87" s="183">
        <f t="shared" si="151"/>
        <v>2.107725815999465E-3</v>
      </c>
      <c r="CW87" s="183">
        <f t="shared" si="152"/>
        <v>3.954535815301664E-4</v>
      </c>
      <c r="CX87" s="193">
        <f t="shared" si="84"/>
        <v>1.9677614070500081E-4</v>
      </c>
      <c r="CY87" s="193">
        <f t="shared" si="85"/>
        <v>2.8836663530250936E-5</v>
      </c>
      <c r="CZ87" s="193">
        <f t="shared" si="86"/>
        <v>6.6757077867968744E-5</v>
      </c>
      <c r="DA87" s="193">
        <f t="shared" si="87"/>
        <v>6.0452632117817667E-5</v>
      </c>
      <c r="DB87" s="193">
        <f t="shared" si="88"/>
        <v>1.2641307034468637E-5</v>
      </c>
      <c r="DC87" s="193">
        <f t="shared" si="89"/>
        <v>8.5253505906823844E-6</v>
      </c>
      <c r="DD87" s="193">
        <f t="shared" si="90"/>
        <v>1.9232512377300017E-5</v>
      </c>
      <c r="DE87" s="193">
        <f t="shared" si="91"/>
        <v>1.2100788840005872E-5</v>
      </c>
      <c r="DF87" s="193">
        <f t="shared" si="92"/>
        <v>1.0739873360948171E-3</v>
      </c>
      <c r="DG87" s="193">
        <f t="shared" si="93"/>
        <v>1.8750344071112739E-4</v>
      </c>
      <c r="DI87" s="83"/>
    </row>
    <row r="88" spans="1:113">
      <c r="A88" s="150">
        <v>43977</v>
      </c>
      <c r="B88" s="129">
        <v>2864</v>
      </c>
      <c r="C88" s="129">
        <v>206</v>
      </c>
      <c r="D88" s="129">
        <v>3043</v>
      </c>
      <c r="E88" s="129">
        <v>1927</v>
      </c>
      <c r="F88" s="129">
        <v>132</v>
      </c>
      <c r="G88" s="129">
        <v>103</v>
      </c>
      <c r="H88" s="129">
        <v>115</v>
      </c>
      <c r="I88" s="129">
        <v>45</v>
      </c>
      <c r="J88" s="129">
        <v>15829</v>
      </c>
      <c r="K88" s="165">
        <f t="shared" si="78"/>
        <v>24264</v>
      </c>
      <c r="L88" s="80">
        <v>70</v>
      </c>
      <c r="M88" s="80">
        <v>6</v>
      </c>
      <c r="N88" s="80">
        <v>30</v>
      </c>
      <c r="O88" s="80">
        <v>49</v>
      </c>
      <c r="P88" s="80">
        <v>3</v>
      </c>
      <c r="Q88" s="80">
        <v>0</v>
      </c>
      <c r="R88" s="80">
        <v>1</v>
      </c>
      <c r="S88" s="80">
        <v>1</v>
      </c>
      <c r="T88" s="80">
        <v>363</v>
      </c>
      <c r="U88" s="80">
        <f t="shared" si="79"/>
        <v>523</v>
      </c>
      <c r="V88" s="130">
        <v>1491</v>
      </c>
      <c r="W88" s="130">
        <v>123</v>
      </c>
      <c r="X88" s="130">
        <v>1919</v>
      </c>
      <c r="Y88" s="130">
        <v>1180</v>
      </c>
      <c r="Z88" s="130">
        <v>65</v>
      </c>
      <c r="AA88" s="130">
        <v>61</v>
      </c>
      <c r="AB88" s="130">
        <v>29</v>
      </c>
      <c r="AC88" s="130">
        <v>29</v>
      </c>
      <c r="AD88" s="130">
        <v>7844</v>
      </c>
      <c r="AE88" s="130">
        <f t="shared" si="80"/>
        <v>12741</v>
      </c>
      <c r="AF88" s="151">
        <f t="shared" si="96"/>
        <v>1303</v>
      </c>
      <c r="AG88" s="151">
        <f t="shared" si="97"/>
        <v>77</v>
      </c>
      <c r="AH88" s="151">
        <f t="shared" si="98"/>
        <v>1094</v>
      </c>
      <c r="AI88" s="151">
        <f t="shared" si="99"/>
        <v>698</v>
      </c>
      <c r="AJ88" s="151">
        <f t="shared" si="100"/>
        <v>64</v>
      </c>
      <c r="AK88" s="151">
        <f t="shared" si="101"/>
        <v>42</v>
      </c>
      <c r="AL88" s="151">
        <f t="shared" si="102"/>
        <v>85</v>
      </c>
      <c r="AM88" s="151">
        <f t="shared" si="103"/>
        <v>15</v>
      </c>
      <c r="AN88" s="151">
        <f t="shared" si="104"/>
        <v>7622</v>
      </c>
      <c r="AO88" s="151">
        <f t="shared" si="81"/>
        <v>11000</v>
      </c>
      <c r="AP88" s="57">
        <f t="shared" si="105"/>
        <v>116</v>
      </c>
      <c r="AQ88" s="57">
        <f t="shared" si="106"/>
        <v>-2</v>
      </c>
      <c r="AR88" s="57">
        <f t="shared" si="107"/>
        <v>50</v>
      </c>
      <c r="AS88" s="57">
        <f t="shared" si="108"/>
        <v>45</v>
      </c>
      <c r="AT88" s="57">
        <f t="shared" si="109"/>
        <v>0</v>
      </c>
      <c r="AU88" s="57">
        <f t="shared" si="110"/>
        <v>1</v>
      </c>
      <c r="AV88" s="57">
        <f t="shared" si="111"/>
        <v>6</v>
      </c>
      <c r="AW88" s="57">
        <f t="shared" si="112"/>
        <v>0</v>
      </c>
      <c r="AX88" s="57">
        <f t="shared" si="113"/>
        <v>433</v>
      </c>
      <c r="AY88" s="57">
        <f t="shared" si="82"/>
        <v>649</v>
      </c>
      <c r="AZ88" s="152">
        <f t="shared" ca="1" si="114"/>
        <v>14836.482377793844</v>
      </c>
      <c r="BA88" s="152">
        <f t="shared" ca="1" si="115"/>
        <v>2062.3340800260507</v>
      </c>
      <c r="BB88" s="152">
        <f t="shared" ca="1" si="116"/>
        <v>7257.9155764777024</v>
      </c>
      <c r="BC88" s="152">
        <f t="shared" ca="1" si="117"/>
        <v>13901.978297470527</v>
      </c>
      <c r="BD88" s="152">
        <f t="shared" ca="1" si="118"/>
        <v>912.24861996460436</v>
      </c>
      <c r="BE88" s="152">
        <f t="shared" ca="1" si="119"/>
        <v>-103</v>
      </c>
      <c r="BF88" s="152">
        <f t="shared" ca="1" si="120"/>
        <v>265.34460597397521</v>
      </c>
      <c r="BG88" s="152">
        <f t="shared" ca="1" si="121"/>
        <v>329.34733010847316</v>
      </c>
      <c r="BH88" s="152">
        <f t="shared" ca="1" si="122"/>
        <v>84022.846319887074</v>
      </c>
      <c r="BI88" s="152">
        <f t="shared" ca="1" si="94"/>
        <v>123485.49720770225</v>
      </c>
      <c r="BJ88" s="163">
        <f t="shared" ca="1" si="123"/>
        <v>6749.9778415731062</v>
      </c>
      <c r="BK88" s="163">
        <f t="shared" ca="1" si="124"/>
        <v>770.87244738837819</v>
      </c>
      <c r="BL88" s="163">
        <f t="shared" ca="1" si="125"/>
        <v>2609.3196321612249</v>
      </c>
      <c r="BM88" s="163">
        <f t="shared" ca="1" si="126"/>
        <v>5035.5894403915036</v>
      </c>
      <c r="BN88" s="163">
        <f t="shared" ca="1" si="127"/>
        <v>442.3023611949597</v>
      </c>
      <c r="BO88" s="163">
        <f t="shared" ca="1" si="128"/>
        <v>-42</v>
      </c>
      <c r="BP88" s="163">
        <f t="shared" ca="1" si="129"/>
        <v>196.12427398076429</v>
      </c>
      <c r="BQ88" s="163">
        <f t="shared" ca="1" si="130"/>
        <v>109.78244336949105</v>
      </c>
      <c r="BR88" s="163">
        <f t="shared" ca="1" si="131"/>
        <v>40458.786698476171</v>
      </c>
      <c r="BS88" s="163">
        <f t="shared" ca="1" si="95"/>
        <v>56330.755138535598</v>
      </c>
      <c r="BT88" s="164">
        <f t="shared" si="133"/>
        <v>2.4441340782122904E-2</v>
      </c>
      <c r="BU88" s="164">
        <f t="shared" si="134"/>
        <v>2.9126213592233011E-2</v>
      </c>
      <c r="BV88" s="164">
        <f t="shared" si="135"/>
        <v>9.8586920801840283E-3</v>
      </c>
      <c r="BW88" s="164">
        <f t="shared" si="136"/>
        <v>2.5428126621691749E-2</v>
      </c>
      <c r="BX88" s="164">
        <f t="shared" si="137"/>
        <v>2.2727272727272728E-2</v>
      </c>
      <c r="BY88" s="164">
        <f t="shared" si="138"/>
        <v>0</v>
      </c>
      <c r="BZ88" s="164">
        <f t="shared" si="139"/>
        <v>8.6956521739130436E-3</v>
      </c>
      <c r="CA88" s="164">
        <f t="shared" si="140"/>
        <v>2.2222222222222223E-2</v>
      </c>
      <c r="CB88" s="164">
        <f t="shared" si="141"/>
        <v>2.2932592077831826E-2</v>
      </c>
      <c r="CC88" s="164">
        <f t="shared" si="142"/>
        <v>2.1554566435872075E-2</v>
      </c>
      <c r="CD88" s="180">
        <f t="shared" si="153"/>
        <v>1360</v>
      </c>
      <c r="CE88" s="180">
        <f t="shared" si="154"/>
        <v>71</v>
      </c>
      <c r="CF88" s="180">
        <f t="shared" si="155"/>
        <v>1029</v>
      </c>
      <c r="CG88" s="180">
        <f t="shared" si="156"/>
        <v>533</v>
      </c>
      <c r="CH88" s="180">
        <f t="shared" si="157"/>
        <v>78</v>
      </c>
      <c r="CI88" s="180">
        <f t="shared" si="158"/>
        <v>40</v>
      </c>
      <c r="CJ88" s="180">
        <f t="shared" si="159"/>
        <v>64</v>
      </c>
      <c r="CK88" s="180">
        <f t="shared" si="160"/>
        <v>15</v>
      </c>
      <c r="CL88" s="180">
        <f t="shared" si="161"/>
        <v>9724</v>
      </c>
      <c r="CM88" s="180">
        <f t="shared" si="161"/>
        <v>12914</v>
      </c>
      <c r="CN88" s="183">
        <f t="shared" si="143"/>
        <v>4.1683939865319695E-4</v>
      </c>
      <c r="CO88" s="183">
        <f t="shared" si="144"/>
        <v>7.3337687496687569E-5</v>
      </c>
      <c r="CP88" s="183">
        <f t="shared" si="145"/>
        <v>1.9458025665922306E-4</v>
      </c>
      <c r="CQ88" s="183">
        <f t="shared" si="146"/>
        <v>1.7517627382110471E-4</v>
      </c>
      <c r="CR88" s="183">
        <f t="shared" si="147"/>
        <v>2.2549358493917027E-5</v>
      </c>
      <c r="CS88" s="183">
        <f t="shared" si="148"/>
        <v>2.1417344166836237E-5</v>
      </c>
      <c r="CT88" s="183">
        <f t="shared" si="149"/>
        <v>2.7996695232778507E-5</v>
      </c>
      <c r="CU88" s="183">
        <f t="shared" si="150"/>
        <v>3.4033468612516519E-5</v>
      </c>
      <c r="CV88" s="183">
        <f t="shared" si="151"/>
        <v>2.1670038933135575E-3</v>
      </c>
      <c r="CW88" s="183">
        <f t="shared" si="152"/>
        <v>4.0632164735329062E-4</v>
      </c>
      <c r="CX88" s="193">
        <f t="shared" si="84"/>
        <v>1.8964446104927221E-4</v>
      </c>
      <c r="CY88" s="193">
        <f t="shared" si="85"/>
        <v>2.7412630763324961E-5</v>
      </c>
      <c r="CZ88" s="193">
        <f t="shared" si="86"/>
        <v>6.9954255926779499E-5</v>
      </c>
      <c r="DA88" s="193">
        <f t="shared" si="87"/>
        <v>6.3452537170280792E-5</v>
      </c>
      <c r="DB88" s="193">
        <f t="shared" si="88"/>
        <v>1.0933022300080983E-5</v>
      </c>
      <c r="DC88" s="193">
        <f t="shared" si="89"/>
        <v>8.7332859709429311E-6</v>
      </c>
      <c r="DD88" s="193">
        <f t="shared" si="90"/>
        <v>2.0693209519879765E-5</v>
      </c>
      <c r="DE88" s="193">
        <f t="shared" si="91"/>
        <v>1.1344489537505505E-5</v>
      </c>
      <c r="DF88" s="193">
        <f t="shared" si="92"/>
        <v>1.0434584417737024E-3</v>
      </c>
      <c r="DG88" s="193">
        <f t="shared" si="93"/>
        <v>1.8420450547668139E-4</v>
      </c>
      <c r="DI88" s="83"/>
    </row>
    <row r="89" spans="1:113">
      <c r="A89" s="150">
        <v>43978</v>
      </c>
      <c r="B89" s="129">
        <v>3047</v>
      </c>
      <c r="C89" s="129">
        <v>221</v>
      </c>
      <c r="D89" s="129">
        <v>3167</v>
      </c>
      <c r="E89" s="129">
        <v>2186</v>
      </c>
      <c r="F89" s="129">
        <v>141</v>
      </c>
      <c r="G89" s="129">
        <v>106</v>
      </c>
      <c r="H89" s="129">
        <v>128</v>
      </c>
      <c r="I89" s="129">
        <v>48</v>
      </c>
      <c r="J89" s="129">
        <v>16983</v>
      </c>
      <c r="K89" s="165">
        <f t="shared" si="78"/>
        <v>26027</v>
      </c>
      <c r="L89" s="80">
        <v>70</v>
      </c>
      <c r="M89" s="80">
        <v>6</v>
      </c>
      <c r="N89" s="80">
        <v>31</v>
      </c>
      <c r="O89" s="80">
        <v>49</v>
      </c>
      <c r="P89" s="80">
        <v>3</v>
      </c>
      <c r="Q89" s="80">
        <v>0</v>
      </c>
      <c r="R89" s="80">
        <v>1</v>
      </c>
      <c r="S89" s="80">
        <v>1</v>
      </c>
      <c r="T89" s="80">
        <v>391</v>
      </c>
      <c r="U89" s="80">
        <f t="shared" si="79"/>
        <v>552</v>
      </c>
      <c r="V89" s="130">
        <v>1491</v>
      </c>
      <c r="W89" s="130">
        <v>123</v>
      </c>
      <c r="X89" s="130">
        <v>1955</v>
      </c>
      <c r="Y89" s="130">
        <v>1180</v>
      </c>
      <c r="Z89" s="130">
        <v>67</v>
      </c>
      <c r="AA89" s="130">
        <v>62</v>
      </c>
      <c r="AB89" s="130">
        <v>39</v>
      </c>
      <c r="AC89" s="130">
        <v>30</v>
      </c>
      <c r="AD89" s="130">
        <v>8504</v>
      </c>
      <c r="AE89" s="130">
        <f t="shared" si="80"/>
        <v>13451</v>
      </c>
      <c r="AF89" s="151">
        <f t="shared" si="96"/>
        <v>1486</v>
      </c>
      <c r="AG89" s="151">
        <f t="shared" si="97"/>
        <v>92</v>
      </c>
      <c r="AH89" s="151">
        <f t="shared" si="98"/>
        <v>1181</v>
      </c>
      <c r="AI89" s="151">
        <f t="shared" si="99"/>
        <v>957</v>
      </c>
      <c r="AJ89" s="151">
        <f t="shared" si="100"/>
        <v>71</v>
      </c>
      <c r="AK89" s="151">
        <f t="shared" si="101"/>
        <v>44</v>
      </c>
      <c r="AL89" s="151">
        <f t="shared" si="102"/>
        <v>88</v>
      </c>
      <c r="AM89" s="151">
        <f t="shared" si="103"/>
        <v>17</v>
      </c>
      <c r="AN89" s="151">
        <f t="shared" si="104"/>
        <v>8088</v>
      </c>
      <c r="AO89" s="151">
        <f t="shared" si="81"/>
        <v>12024</v>
      </c>
      <c r="AP89" s="57">
        <f t="shared" si="105"/>
        <v>183</v>
      </c>
      <c r="AQ89" s="57">
        <f t="shared" si="106"/>
        <v>15</v>
      </c>
      <c r="AR89" s="57">
        <f t="shared" si="107"/>
        <v>124</v>
      </c>
      <c r="AS89" s="57">
        <f t="shared" si="108"/>
        <v>259</v>
      </c>
      <c r="AT89" s="57">
        <f t="shared" si="109"/>
        <v>9</v>
      </c>
      <c r="AU89" s="57">
        <f t="shared" si="110"/>
        <v>3</v>
      </c>
      <c r="AV89" s="57">
        <f t="shared" si="111"/>
        <v>13</v>
      </c>
      <c r="AW89" s="57">
        <f t="shared" si="112"/>
        <v>3</v>
      </c>
      <c r="AX89" s="57">
        <f t="shared" si="113"/>
        <v>1154</v>
      </c>
      <c r="AY89" s="57">
        <f t="shared" si="82"/>
        <v>1763</v>
      </c>
      <c r="AZ89" s="152">
        <f t="shared" ca="1" si="114"/>
        <v>14653.482377793844</v>
      </c>
      <c r="BA89" s="152">
        <f t="shared" ca="1" si="115"/>
        <v>2047.3340800260507</v>
      </c>
      <c r="BB89" s="152">
        <f t="shared" ca="1" si="116"/>
        <v>7477.2794290269594</v>
      </c>
      <c r="BC89" s="152">
        <f t="shared" ca="1" si="117"/>
        <v>13642.978297470527</v>
      </c>
      <c r="BD89" s="152">
        <f t="shared" ca="1" si="118"/>
        <v>903.24861996460436</v>
      </c>
      <c r="BE89" s="152">
        <f t="shared" ca="1" si="119"/>
        <v>-106</v>
      </c>
      <c r="BF89" s="152">
        <f t="shared" ca="1" si="120"/>
        <v>252.34460597397521</v>
      </c>
      <c r="BG89" s="152">
        <f t="shared" ca="1" si="121"/>
        <v>326.34733010847316</v>
      </c>
      <c r="BH89" s="152">
        <f t="shared" ca="1" si="122"/>
        <v>90570.917110401788</v>
      </c>
      <c r="BI89" s="152">
        <f t="shared" ca="1" si="94"/>
        <v>129767.93185076621</v>
      </c>
      <c r="BJ89" s="163">
        <f t="shared" ca="1" si="123"/>
        <v>7146.3980352483268</v>
      </c>
      <c r="BK89" s="163">
        <f t="shared" ca="1" si="124"/>
        <v>852.28387041808446</v>
      </c>
      <c r="BL89" s="163">
        <f t="shared" ca="1" si="125"/>
        <v>2788.3381767227152</v>
      </c>
      <c r="BM89" s="163">
        <f t="shared" ca="1" si="126"/>
        <v>5972.7036736867767</v>
      </c>
      <c r="BN89" s="163">
        <f t="shared" ca="1" si="127"/>
        <v>454.8273192729568</v>
      </c>
      <c r="BO89" s="163">
        <f t="shared" ca="1" si="128"/>
        <v>-44</v>
      </c>
      <c r="BP89" s="163">
        <f t="shared" ca="1" si="129"/>
        <v>173.48691660710796</v>
      </c>
      <c r="BQ89" s="163">
        <f t="shared" ca="1" si="130"/>
        <v>115.58134608008424</v>
      </c>
      <c r="BR89" s="163">
        <f t="shared" ca="1" si="131"/>
        <v>43133.579319845121</v>
      </c>
      <c r="BS89" s="163">
        <f t="shared" ca="1" si="95"/>
        <v>60593.198657881177</v>
      </c>
      <c r="BT89" s="164">
        <f t="shared" si="133"/>
        <v>2.2973416475221529E-2</v>
      </c>
      <c r="BU89" s="164">
        <f t="shared" si="134"/>
        <v>2.7149321266968326E-2</v>
      </c>
      <c r="BV89" s="164">
        <f t="shared" si="135"/>
        <v>9.7884433217556039E-3</v>
      </c>
      <c r="BW89" s="164">
        <f t="shared" si="136"/>
        <v>2.241537053979872E-2</v>
      </c>
      <c r="BX89" s="164">
        <f t="shared" si="137"/>
        <v>2.1276595744680851E-2</v>
      </c>
      <c r="BY89" s="164">
        <f t="shared" si="138"/>
        <v>0</v>
      </c>
      <c r="BZ89" s="164">
        <f t="shared" si="139"/>
        <v>7.8125E-3</v>
      </c>
      <c r="CA89" s="164">
        <f t="shared" si="140"/>
        <v>2.0833333333333332E-2</v>
      </c>
      <c r="CB89" s="164">
        <f t="shared" si="141"/>
        <v>2.3023023023023025E-2</v>
      </c>
      <c r="CC89" s="164">
        <f t="shared" si="142"/>
        <v>2.1208744765051676E-2</v>
      </c>
      <c r="CD89" s="180">
        <f t="shared" si="153"/>
        <v>1513</v>
      </c>
      <c r="CE89" s="180">
        <f t="shared" si="154"/>
        <v>83</v>
      </c>
      <c r="CF89" s="180">
        <f t="shared" si="155"/>
        <v>1093</v>
      </c>
      <c r="CG89" s="180">
        <f t="shared" si="156"/>
        <v>773</v>
      </c>
      <c r="CH89" s="180">
        <f t="shared" si="157"/>
        <v>87</v>
      </c>
      <c r="CI89" s="180">
        <f t="shared" si="158"/>
        <v>40</v>
      </c>
      <c r="CJ89" s="180">
        <f t="shared" si="159"/>
        <v>76</v>
      </c>
      <c r="CK89" s="180">
        <f t="shared" si="160"/>
        <v>18</v>
      </c>
      <c r="CL89" s="180">
        <f t="shared" si="161"/>
        <v>10270</v>
      </c>
      <c r="CM89" s="180">
        <f t="shared" si="161"/>
        <v>13953</v>
      </c>
      <c r="CN89" s="183">
        <f t="shared" si="143"/>
        <v>4.4347403900010167E-4</v>
      </c>
      <c r="CO89" s="183">
        <f t="shared" si="144"/>
        <v>7.867781037265996E-5</v>
      </c>
      <c r="CP89" s="183">
        <f t="shared" si="145"/>
        <v>2.0250925824507376E-4</v>
      </c>
      <c r="CQ89" s="183">
        <f t="shared" si="146"/>
        <v>1.9872098317225476E-4</v>
      </c>
      <c r="CR89" s="183">
        <f t="shared" si="147"/>
        <v>2.4086814754865916E-5</v>
      </c>
      <c r="CS89" s="183">
        <f t="shared" si="148"/>
        <v>2.2041150307617875E-5</v>
      </c>
      <c r="CT89" s="183">
        <f t="shared" si="149"/>
        <v>3.1161539041701292E-5</v>
      </c>
      <c r="CU89" s="183">
        <f t="shared" si="150"/>
        <v>3.6302366520017616E-5</v>
      </c>
      <c r="CV89" s="183">
        <f t="shared" si="151"/>
        <v>2.324987498903541E-3</v>
      </c>
      <c r="CW89" s="183">
        <f t="shared" si="152"/>
        <v>4.3584460582196238E-4</v>
      </c>
      <c r="CX89" s="193">
        <f t="shared" si="84"/>
        <v>2.162791013961769E-4</v>
      </c>
      <c r="CY89" s="193">
        <f t="shared" si="85"/>
        <v>3.2752753639297359E-5</v>
      </c>
      <c r="CZ89" s="193">
        <f t="shared" si="86"/>
        <v>7.5517345749110225E-5</v>
      </c>
      <c r="DA89" s="193">
        <f t="shared" si="87"/>
        <v>8.699724652143084E-5</v>
      </c>
      <c r="DB89" s="193">
        <f t="shared" si="88"/>
        <v>1.212882161415234E-5</v>
      </c>
      <c r="DC89" s="193">
        <f t="shared" si="89"/>
        <v>9.1491567314640227E-6</v>
      </c>
      <c r="DD89" s="193">
        <f t="shared" si="90"/>
        <v>2.142355809116964E-5</v>
      </c>
      <c r="DE89" s="193">
        <f t="shared" si="91"/>
        <v>1.2857088142506239E-5</v>
      </c>
      <c r="DF89" s="193">
        <f t="shared" si="92"/>
        <v>1.1072542478438342E-3</v>
      </c>
      <c r="DG89" s="193">
        <f t="shared" si="93"/>
        <v>2.0135227035014699E-4</v>
      </c>
      <c r="DI89" s="83"/>
    </row>
    <row r="90" spans="1:113">
      <c r="A90" s="150">
        <v>43979</v>
      </c>
      <c r="B90" s="129">
        <v>3306</v>
      </c>
      <c r="C90" s="129">
        <v>225</v>
      </c>
      <c r="D90" s="129">
        <v>3329</v>
      </c>
      <c r="E90" s="129">
        <v>2349</v>
      </c>
      <c r="F90" s="129">
        <v>144</v>
      </c>
      <c r="G90" s="129">
        <v>111</v>
      </c>
      <c r="H90" s="129">
        <v>134</v>
      </c>
      <c r="I90" s="129">
        <v>51</v>
      </c>
      <c r="J90" s="129">
        <v>17754</v>
      </c>
      <c r="K90" s="165">
        <f t="shared" si="78"/>
        <v>27403</v>
      </c>
      <c r="L90" s="80">
        <v>77</v>
      </c>
      <c r="M90" s="80">
        <v>8</v>
      </c>
      <c r="N90" s="80">
        <v>31</v>
      </c>
      <c r="O90" s="80">
        <v>50</v>
      </c>
      <c r="P90" s="80">
        <v>3</v>
      </c>
      <c r="Q90" s="80">
        <v>0</v>
      </c>
      <c r="R90" s="80">
        <v>1</v>
      </c>
      <c r="S90" s="80">
        <v>1</v>
      </c>
      <c r="T90" s="80">
        <v>406</v>
      </c>
      <c r="U90" s="80">
        <f t="shared" si="79"/>
        <v>577</v>
      </c>
      <c r="V90" s="130">
        <v>1700</v>
      </c>
      <c r="W90" s="130">
        <v>123</v>
      </c>
      <c r="X90" s="130">
        <v>1993</v>
      </c>
      <c r="Y90" s="130">
        <v>1180</v>
      </c>
      <c r="Z90" s="130">
        <v>75</v>
      </c>
      <c r="AA90" s="130">
        <v>67</v>
      </c>
      <c r="AB90" s="130">
        <v>45</v>
      </c>
      <c r="AC90" s="130">
        <v>30</v>
      </c>
      <c r="AD90" s="130">
        <v>8504</v>
      </c>
      <c r="AE90" s="130">
        <f t="shared" si="80"/>
        <v>13717</v>
      </c>
      <c r="AF90" s="151">
        <f t="shared" si="96"/>
        <v>1529</v>
      </c>
      <c r="AG90" s="151">
        <f t="shared" si="97"/>
        <v>94</v>
      </c>
      <c r="AH90" s="151">
        <f t="shared" si="98"/>
        <v>1305</v>
      </c>
      <c r="AI90" s="151">
        <f t="shared" si="99"/>
        <v>1119</v>
      </c>
      <c r="AJ90" s="151">
        <f t="shared" si="100"/>
        <v>66</v>
      </c>
      <c r="AK90" s="151">
        <f t="shared" si="101"/>
        <v>44</v>
      </c>
      <c r="AL90" s="151">
        <f t="shared" si="102"/>
        <v>88</v>
      </c>
      <c r="AM90" s="151">
        <f t="shared" si="103"/>
        <v>20</v>
      </c>
      <c r="AN90" s="151">
        <f t="shared" si="104"/>
        <v>8844</v>
      </c>
      <c r="AO90" s="151">
        <f t="shared" si="81"/>
        <v>13109</v>
      </c>
      <c r="AP90" s="57">
        <f t="shared" si="105"/>
        <v>259</v>
      </c>
      <c r="AQ90" s="57">
        <f t="shared" si="106"/>
        <v>4</v>
      </c>
      <c r="AR90" s="57">
        <f t="shared" si="107"/>
        <v>162</v>
      </c>
      <c r="AS90" s="57">
        <f t="shared" si="108"/>
        <v>163</v>
      </c>
      <c r="AT90" s="57">
        <f t="shared" si="109"/>
        <v>3</v>
      </c>
      <c r="AU90" s="57">
        <f t="shared" si="110"/>
        <v>5</v>
      </c>
      <c r="AV90" s="57">
        <f t="shared" si="111"/>
        <v>6</v>
      </c>
      <c r="AW90" s="57">
        <f t="shared" si="112"/>
        <v>3</v>
      </c>
      <c r="AX90" s="57">
        <f t="shared" si="113"/>
        <v>771</v>
      </c>
      <c r="AY90" s="57">
        <f t="shared" si="82"/>
        <v>1376</v>
      </c>
      <c r="AZ90" s="152">
        <f t="shared" ca="1" si="114"/>
        <v>16164.530615573229</v>
      </c>
      <c r="BA90" s="152">
        <f t="shared" ca="1" si="115"/>
        <v>2799.4454400347345</v>
      </c>
      <c r="BB90" s="152">
        <f t="shared" ca="1" si="116"/>
        <v>7315.2794290269594</v>
      </c>
      <c r="BC90" s="152">
        <f t="shared" ca="1" si="117"/>
        <v>13803.018670888292</v>
      </c>
      <c r="BD90" s="152">
        <f t="shared" ca="1" si="118"/>
        <v>900.24861996460436</v>
      </c>
      <c r="BE90" s="152">
        <f t="shared" ca="1" si="119"/>
        <v>-111</v>
      </c>
      <c r="BF90" s="152">
        <f t="shared" ca="1" si="120"/>
        <v>246.34460597397521</v>
      </c>
      <c r="BG90" s="152">
        <f t="shared" ca="1" si="121"/>
        <v>323.34733010847316</v>
      </c>
      <c r="BH90" s="152">
        <f t="shared" ca="1" si="122"/>
        <v>93926.026462463225</v>
      </c>
      <c r="BI90" s="152">
        <f t="shared" ca="1" si="94"/>
        <v>135367.24117403349</v>
      </c>
      <c r="BJ90" s="163">
        <f t="shared" ca="1" si="123"/>
        <v>7475.9731733851986</v>
      </c>
      <c r="BK90" s="163">
        <f t="shared" ca="1" si="124"/>
        <v>1169.5460949478445</v>
      </c>
      <c r="BL90" s="163">
        <f t="shared" ca="1" si="125"/>
        <v>2867.6598542746119</v>
      </c>
      <c r="BM90" s="163">
        <f t="shared" ca="1" si="126"/>
        <v>6575.3843732328642</v>
      </c>
      <c r="BN90" s="163">
        <f t="shared" ca="1" si="127"/>
        <v>412.61395081711032</v>
      </c>
      <c r="BO90" s="163">
        <f t="shared" ca="1" si="128"/>
        <v>-44</v>
      </c>
      <c r="BP90" s="163">
        <f t="shared" ca="1" si="129"/>
        <v>161.77854720678968</v>
      </c>
      <c r="BQ90" s="163">
        <f t="shared" ca="1" si="130"/>
        <v>126.80287455234242</v>
      </c>
      <c r="BR90" s="163">
        <f t="shared" ca="1" si="131"/>
        <v>46788.429538922195</v>
      </c>
      <c r="BS90" s="163">
        <f t="shared" ca="1" si="95"/>
        <v>65534.188407338952</v>
      </c>
      <c r="BT90" s="164">
        <f t="shared" si="133"/>
        <v>2.3290986085904415E-2</v>
      </c>
      <c r="BU90" s="164">
        <f t="shared" si="134"/>
        <v>3.5555555555555556E-2</v>
      </c>
      <c r="BV90" s="164">
        <f t="shared" si="135"/>
        <v>9.3121057374586959E-3</v>
      </c>
      <c r="BW90" s="164">
        <f t="shared" si="136"/>
        <v>2.1285653469561516E-2</v>
      </c>
      <c r="BX90" s="164">
        <f t="shared" si="137"/>
        <v>2.0833333333333332E-2</v>
      </c>
      <c r="BY90" s="164">
        <f t="shared" si="138"/>
        <v>0</v>
      </c>
      <c r="BZ90" s="164">
        <f t="shared" si="139"/>
        <v>7.462686567164179E-3</v>
      </c>
      <c r="CA90" s="164">
        <f t="shared" si="140"/>
        <v>1.9607843137254902E-2</v>
      </c>
      <c r="CB90" s="164">
        <f t="shared" si="141"/>
        <v>2.2868086065112089E-2</v>
      </c>
      <c r="CC90" s="164">
        <f t="shared" si="142"/>
        <v>2.1056088749406999E-2</v>
      </c>
      <c r="CD90" s="180">
        <f t="shared" si="153"/>
        <v>1737</v>
      </c>
      <c r="CE90" s="180">
        <f t="shared" si="154"/>
        <v>80</v>
      </c>
      <c r="CF90" s="180">
        <f t="shared" si="155"/>
        <v>1194</v>
      </c>
      <c r="CG90" s="180">
        <f t="shared" si="156"/>
        <v>905</v>
      </c>
      <c r="CH90" s="180">
        <f t="shared" si="157"/>
        <v>89</v>
      </c>
      <c r="CI90" s="180">
        <f t="shared" si="158"/>
        <v>44</v>
      </c>
      <c r="CJ90" s="180">
        <f t="shared" si="159"/>
        <v>76</v>
      </c>
      <c r="CK90" s="180">
        <f t="shared" si="160"/>
        <v>20</v>
      </c>
      <c r="CL90" s="180">
        <f t="shared" si="161"/>
        <v>10519</v>
      </c>
      <c r="CM90" s="180">
        <f t="shared" si="161"/>
        <v>14664</v>
      </c>
      <c r="CN90" s="183">
        <f t="shared" si="143"/>
        <v>4.8117006003752416E-4</v>
      </c>
      <c r="CO90" s="183">
        <f t="shared" si="144"/>
        <v>8.0101843139585924E-5</v>
      </c>
      <c r="CP90" s="183">
        <f t="shared" si="145"/>
        <v>2.1286811515562062E-4</v>
      </c>
      <c r="CQ90" s="183">
        <f t="shared" si="146"/>
        <v>2.1353869600714841E-4</v>
      </c>
      <c r="CR90" s="183">
        <f t="shared" si="147"/>
        <v>2.4599300175182209E-5</v>
      </c>
      <c r="CS90" s="183">
        <f t="shared" si="148"/>
        <v>2.3080827208920603E-5</v>
      </c>
      <c r="CT90" s="183">
        <f t="shared" si="149"/>
        <v>3.2622236184281043E-5</v>
      </c>
      <c r="CU90" s="183">
        <f t="shared" si="150"/>
        <v>3.8571264427518721E-5</v>
      </c>
      <c r="CV90" s="183">
        <f t="shared" si="151"/>
        <v>2.4305380707491881E-3</v>
      </c>
      <c r="CW90" s="183">
        <f t="shared" si="152"/>
        <v>4.588869148706818E-4</v>
      </c>
      <c r="CX90" s="193">
        <f t="shared" si="84"/>
        <v>2.2253751415528568E-4</v>
      </c>
      <c r="CY90" s="193">
        <f t="shared" si="85"/>
        <v>3.3464770022760348E-5</v>
      </c>
      <c r="CZ90" s="193">
        <f t="shared" si="86"/>
        <v>8.3446347334960923E-5</v>
      </c>
      <c r="DA90" s="193">
        <f t="shared" si="87"/>
        <v>1.0172405314261348E-4</v>
      </c>
      <c r="DB90" s="193">
        <f t="shared" si="88"/>
        <v>1.1274679246958514E-5</v>
      </c>
      <c r="DC90" s="193">
        <f t="shared" si="89"/>
        <v>9.1491567314640227E-6</v>
      </c>
      <c r="DD90" s="193">
        <f t="shared" si="90"/>
        <v>2.142355809116964E-5</v>
      </c>
      <c r="DE90" s="193">
        <f t="shared" si="91"/>
        <v>1.5125986050007342E-5</v>
      </c>
      <c r="DF90" s="193">
        <f t="shared" si="92"/>
        <v>1.2107513066185547E-3</v>
      </c>
      <c r="DG90" s="193">
        <f t="shared" si="93"/>
        <v>2.1952153293580147E-4</v>
      </c>
      <c r="DI90" s="83"/>
    </row>
    <row r="91" spans="1:113">
      <c r="A91" s="150">
        <v>43980</v>
      </c>
      <c r="B91" s="129">
        <v>3583</v>
      </c>
      <c r="C91" s="129">
        <v>231</v>
      </c>
      <c r="D91" s="129">
        <v>3583</v>
      </c>
      <c r="E91" s="129">
        <v>2428</v>
      </c>
      <c r="F91" s="129">
        <v>170</v>
      </c>
      <c r="G91" s="129">
        <v>112</v>
      </c>
      <c r="H91" s="129">
        <v>143</v>
      </c>
      <c r="I91" s="129">
        <v>52</v>
      </c>
      <c r="J91" s="129">
        <v>18906</v>
      </c>
      <c r="K91" s="165">
        <f t="shared" si="78"/>
        <v>29208</v>
      </c>
      <c r="L91" s="80">
        <v>80</v>
      </c>
      <c r="M91" s="80">
        <v>8</v>
      </c>
      <c r="N91" s="80">
        <v>31</v>
      </c>
      <c r="O91" s="80">
        <v>50</v>
      </c>
      <c r="P91" s="80">
        <v>3</v>
      </c>
      <c r="Q91" s="80">
        <v>0</v>
      </c>
      <c r="R91" s="80">
        <v>1</v>
      </c>
      <c r="S91" s="80">
        <v>1</v>
      </c>
      <c r="T91" s="80">
        <v>437</v>
      </c>
      <c r="U91" s="80">
        <f t="shared" si="79"/>
        <v>611</v>
      </c>
      <c r="V91" s="130">
        <v>1700</v>
      </c>
      <c r="W91" s="130">
        <v>123</v>
      </c>
      <c r="X91" s="130">
        <v>2019</v>
      </c>
      <c r="Y91" s="130">
        <v>1180</v>
      </c>
      <c r="Z91" s="130">
        <v>67</v>
      </c>
      <c r="AA91" s="130">
        <v>62</v>
      </c>
      <c r="AB91" s="130">
        <v>39</v>
      </c>
      <c r="AC91" s="130">
        <v>30</v>
      </c>
      <c r="AD91" s="130">
        <v>9830</v>
      </c>
      <c r="AE91" s="130">
        <f t="shared" si="80"/>
        <v>15050</v>
      </c>
      <c r="AF91" s="151">
        <f t="shared" si="96"/>
        <v>1803</v>
      </c>
      <c r="AG91" s="151">
        <f t="shared" si="97"/>
        <v>100</v>
      </c>
      <c r="AH91" s="151">
        <f t="shared" si="98"/>
        <v>1533</v>
      </c>
      <c r="AI91" s="151">
        <f t="shared" si="99"/>
        <v>1198</v>
      </c>
      <c r="AJ91" s="151">
        <f t="shared" si="100"/>
        <v>100</v>
      </c>
      <c r="AK91" s="151">
        <f t="shared" si="101"/>
        <v>50</v>
      </c>
      <c r="AL91" s="151">
        <f t="shared" si="102"/>
        <v>103</v>
      </c>
      <c r="AM91" s="151">
        <f t="shared" si="103"/>
        <v>21</v>
      </c>
      <c r="AN91" s="151">
        <f t="shared" si="104"/>
        <v>8639</v>
      </c>
      <c r="AO91" s="151">
        <f t="shared" si="81"/>
        <v>13547</v>
      </c>
      <c r="AP91" s="57">
        <f t="shared" si="105"/>
        <v>277</v>
      </c>
      <c r="AQ91" s="57">
        <f t="shared" si="106"/>
        <v>6</v>
      </c>
      <c r="AR91" s="57">
        <f t="shared" si="107"/>
        <v>254</v>
      </c>
      <c r="AS91" s="57">
        <f t="shared" si="108"/>
        <v>79</v>
      </c>
      <c r="AT91" s="57">
        <f t="shared" si="109"/>
        <v>26</v>
      </c>
      <c r="AU91" s="57">
        <f t="shared" si="110"/>
        <v>1</v>
      </c>
      <c r="AV91" s="57">
        <f t="shared" si="111"/>
        <v>9</v>
      </c>
      <c r="AW91" s="57">
        <f t="shared" si="112"/>
        <v>1</v>
      </c>
      <c r="AX91" s="57">
        <f t="shared" si="113"/>
        <v>1152</v>
      </c>
      <c r="AY91" s="57">
        <f t="shared" si="82"/>
        <v>1805</v>
      </c>
      <c r="AZ91" s="152">
        <f t="shared" ca="1" si="114"/>
        <v>16646.122717478676</v>
      </c>
      <c r="BA91" s="152">
        <f t="shared" ca="1" si="115"/>
        <v>2793.4454400347345</v>
      </c>
      <c r="BB91" s="152">
        <f t="shared" ca="1" si="116"/>
        <v>7061.2794290269594</v>
      </c>
      <c r="BC91" s="152">
        <f t="shared" ca="1" si="117"/>
        <v>13724.018670888292</v>
      </c>
      <c r="BD91" s="152">
        <f t="shared" ca="1" si="118"/>
        <v>874.24861996460436</v>
      </c>
      <c r="BE91" s="152">
        <f t="shared" ca="1" si="119"/>
        <v>-112</v>
      </c>
      <c r="BF91" s="152">
        <f t="shared" ca="1" si="120"/>
        <v>237.34460597397521</v>
      </c>
      <c r="BG91" s="152">
        <f t="shared" ca="1" si="121"/>
        <v>322.34733010847316</v>
      </c>
      <c r="BH91" s="152">
        <f t="shared" ca="1" si="122"/>
        <v>101301.31912339023</v>
      </c>
      <c r="BI91" s="152">
        <f t="shared" ca="1" si="94"/>
        <v>142848.12593686595</v>
      </c>
      <c r="BJ91" s="163">
        <f t="shared" ca="1" si="123"/>
        <v>8376.4887690801152</v>
      </c>
      <c r="BK91" s="163">
        <f t="shared" ca="1" si="124"/>
        <v>1209.2837402747766</v>
      </c>
      <c r="BL91" s="163">
        <f t="shared" ca="1" si="125"/>
        <v>3021.1949106051711</v>
      </c>
      <c r="BM91" s="163">
        <f t="shared" ca="1" si="126"/>
        <v>6771.570991649166</v>
      </c>
      <c r="BN91" s="163">
        <f t="shared" ca="1" si="127"/>
        <v>514.26389409682611</v>
      </c>
      <c r="BO91" s="163">
        <f t="shared" ca="1" si="128"/>
        <v>-50</v>
      </c>
      <c r="BP91" s="163">
        <f t="shared" ca="1" si="129"/>
        <v>170.95450640083527</v>
      </c>
      <c r="BQ91" s="163">
        <f t="shared" ca="1" si="130"/>
        <v>130.1787294668834</v>
      </c>
      <c r="BR91" s="163">
        <f t="shared" ca="1" si="131"/>
        <v>46289.119639636527</v>
      </c>
      <c r="BS91" s="163">
        <f t="shared" ca="1" si="95"/>
        <v>66433.055181210293</v>
      </c>
      <c r="BT91" s="164">
        <f t="shared" si="133"/>
        <v>2.2327658386826682E-2</v>
      </c>
      <c r="BU91" s="164">
        <f t="shared" si="134"/>
        <v>3.4632034632034632E-2</v>
      </c>
      <c r="BV91" s="164">
        <f t="shared" si="135"/>
        <v>8.6519676248953386E-3</v>
      </c>
      <c r="BW91" s="164">
        <f t="shared" si="136"/>
        <v>2.059308072487644E-2</v>
      </c>
      <c r="BX91" s="164">
        <f t="shared" si="137"/>
        <v>1.7647058823529412E-2</v>
      </c>
      <c r="BY91" s="164">
        <f t="shared" si="138"/>
        <v>0</v>
      </c>
      <c r="BZ91" s="164">
        <f t="shared" si="139"/>
        <v>6.993006993006993E-3</v>
      </c>
      <c r="CA91" s="164">
        <f t="shared" si="140"/>
        <v>1.9230769230769232E-2</v>
      </c>
      <c r="CB91" s="164">
        <f t="shared" si="141"/>
        <v>2.3114355231143552E-2</v>
      </c>
      <c r="CC91" s="164">
        <f t="shared" si="142"/>
        <v>2.0918926321555738E-2</v>
      </c>
      <c r="CD91" s="180">
        <f t="shared" si="153"/>
        <v>1921</v>
      </c>
      <c r="CE91" s="180">
        <f t="shared" si="154"/>
        <v>80</v>
      </c>
      <c r="CF91" s="180">
        <f t="shared" si="155"/>
        <v>1373</v>
      </c>
      <c r="CG91" s="180">
        <f t="shared" si="156"/>
        <v>946</v>
      </c>
      <c r="CH91" s="180">
        <f t="shared" si="157"/>
        <v>113</v>
      </c>
      <c r="CI91" s="180">
        <f t="shared" si="158"/>
        <v>45</v>
      </c>
      <c r="CJ91" s="180">
        <f t="shared" si="159"/>
        <v>80</v>
      </c>
      <c r="CK91" s="180">
        <f t="shared" si="160"/>
        <v>18</v>
      </c>
      <c r="CL91" s="180">
        <f t="shared" si="161"/>
        <v>11108</v>
      </c>
      <c r="CM91" s="180">
        <f t="shared" si="161"/>
        <v>15684</v>
      </c>
      <c r="CN91" s="183">
        <f t="shared" si="143"/>
        <v>5.2148588176480616E-4</v>
      </c>
      <c r="CO91" s="183">
        <f t="shared" si="144"/>
        <v>8.2237892289974891E-5</v>
      </c>
      <c r="CP91" s="183">
        <f t="shared" si="145"/>
        <v>2.2910977969437931E-4</v>
      </c>
      <c r="CQ91" s="183">
        <f t="shared" si="146"/>
        <v>2.2072028689031772E-4</v>
      </c>
      <c r="CR91" s="183">
        <f t="shared" si="147"/>
        <v>2.9040840484590112E-5</v>
      </c>
      <c r="CS91" s="183">
        <f t="shared" si="148"/>
        <v>2.3288762589181148E-5</v>
      </c>
      <c r="CT91" s="183">
        <f t="shared" si="149"/>
        <v>3.4813281898150663E-5</v>
      </c>
      <c r="CU91" s="183">
        <f t="shared" si="150"/>
        <v>3.9327563730019084E-5</v>
      </c>
      <c r="CV91" s="183">
        <f t="shared" si="151"/>
        <v>2.5882478745963811E-3</v>
      </c>
      <c r="CW91" s="183">
        <f t="shared" si="152"/>
        <v>4.8911319963299178E-4</v>
      </c>
      <c r="CX91" s="193">
        <f t="shared" si="84"/>
        <v>2.6241670243425769E-4</v>
      </c>
      <c r="CY91" s="193">
        <f t="shared" si="85"/>
        <v>3.5600819173149301E-5</v>
      </c>
      <c r="CZ91" s="193">
        <f t="shared" si="86"/>
        <v>9.8025479283138009E-5</v>
      </c>
      <c r="DA91" s="193">
        <f t="shared" si="87"/>
        <v>1.0890564402578281E-4</v>
      </c>
      <c r="DB91" s="193">
        <f t="shared" si="88"/>
        <v>1.7082847343876536E-5</v>
      </c>
      <c r="DC91" s="193">
        <f t="shared" si="89"/>
        <v>1.0396769013027299E-5</v>
      </c>
      <c r="DD91" s="193">
        <f t="shared" si="90"/>
        <v>2.5075300947619011E-5</v>
      </c>
      <c r="DE91" s="193">
        <f t="shared" si="91"/>
        <v>1.5882285352507707E-5</v>
      </c>
      <c r="DF91" s="193">
        <f t="shared" si="92"/>
        <v>1.1826866279825525E-3</v>
      </c>
      <c r="DG91" s="193">
        <f t="shared" si="93"/>
        <v>2.2685622142660022E-4</v>
      </c>
      <c r="DI91" s="83"/>
    </row>
    <row r="92" spans="1:113">
      <c r="A92" s="150">
        <v>43981</v>
      </c>
      <c r="B92" s="129">
        <v>3759</v>
      </c>
      <c r="C92" s="129">
        <v>261</v>
      </c>
      <c r="D92" s="129">
        <v>3773</v>
      </c>
      <c r="E92" s="129">
        <v>2476</v>
      </c>
      <c r="F92" s="129">
        <v>173</v>
      </c>
      <c r="G92" s="129">
        <v>113</v>
      </c>
      <c r="H92" s="129">
        <v>162</v>
      </c>
      <c r="I92" s="129">
        <v>57</v>
      </c>
      <c r="J92" s="129">
        <v>20160</v>
      </c>
      <c r="K92" s="165">
        <f t="shared" si="78"/>
        <v>30934</v>
      </c>
      <c r="L92" s="80">
        <v>82</v>
      </c>
      <c r="M92" s="80">
        <v>8</v>
      </c>
      <c r="N92" s="80">
        <v>31</v>
      </c>
      <c r="O92" s="80">
        <v>52</v>
      </c>
      <c r="P92" s="80">
        <v>3</v>
      </c>
      <c r="Q92" s="80">
        <v>0</v>
      </c>
      <c r="R92" s="80">
        <v>1</v>
      </c>
      <c r="S92" s="80">
        <v>1</v>
      </c>
      <c r="T92" s="80">
        <v>465</v>
      </c>
      <c r="U92" s="80">
        <f t="shared" si="79"/>
        <v>643</v>
      </c>
      <c r="V92" s="130">
        <v>1987</v>
      </c>
      <c r="W92" s="130">
        <v>123</v>
      </c>
      <c r="X92" s="130">
        <v>2035</v>
      </c>
      <c r="Y92" s="130">
        <v>1180</v>
      </c>
      <c r="Z92" s="130">
        <v>140</v>
      </c>
      <c r="AA92" s="130">
        <v>67</v>
      </c>
      <c r="AB92" s="130">
        <v>45</v>
      </c>
      <c r="AC92" s="130">
        <v>31</v>
      </c>
      <c r="AD92" s="130">
        <v>10508</v>
      </c>
      <c r="AE92" s="130">
        <f t="shared" si="80"/>
        <v>16116</v>
      </c>
      <c r="AF92" s="151">
        <f t="shared" si="96"/>
        <v>1690</v>
      </c>
      <c r="AG92" s="151">
        <f t="shared" si="97"/>
        <v>130</v>
      </c>
      <c r="AH92" s="151">
        <f t="shared" si="98"/>
        <v>1707</v>
      </c>
      <c r="AI92" s="151">
        <f t="shared" si="99"/>
        <v>1244</v>
      </c>
      <c r="AJ92" s="151">
        <f t="shared" si="100"/>
        <v>30</v>
      </c>
      <c r="AK92" s="151">
        <f t="shared" si="101"/>
        <v>46</v>
      </c>
      <c r="AL92" s="151">
        <f t="shared" si="102"/>
        <v>116</v>
      </c>
      <c r="AM92" s="151">
        <f t="shared" si="103"/>
        <v>25</v>
      </c>
      <c r="AN92" s="151">
        <f t="shared" si="104"/>
        <v>9187</v>
      </c>
      <c r="AO92" s="151">
        <f t="shared" si="81"/>
        <v>14175</v>
      </c>
      <c r="AP92" s="57">
        <f t="shared" si="105"/>
        <v>176</v>
      </c>
      <c r="AQ92" s="57">
        <f t="shared" si="106"/>
        <v>30</v>
      </c>
      <c r="AR92" s="57">
        <f t="shared" si="107"/>
        <v>190</v>
      </c>
      <c r="AS92" s="57">
        <f t="shared" si="108"/>
        <v>48</v>
      </c>
      <c r="AT92" s="57">
        <f t="shared" si="109"/>
        <v>3</v>
      </c>
      <c r="AU92" s="57">
        <f t="shared" si="110"/>
        <v>1</v>
      </c>
      <c r="AV92" s="57">
        <f t="shared" si="111"/>
        <v>19</v>
      </c>
      <c r="AW92" s="57">
        <f t="shared" si="112"/>
        <v>5</v>
      </c>
      <c r="AX92" s="57">
        <f t="shared" si="113"/>
        <v>1254</v>
      </c>
      <c r="AY92" s="57">
        <f t="shared" si="82"/>
        <v>1726</v>
      </c>
      <c r="AZ92" s="152">
        <f t="shared" ca="1" si="114"/>
        <v>16975.850785415645</v>
      </c>
      <c r="BA92" s="152">
        <f t="shared" ca="1" si="115"/>
        <v>2763.4454400347345</v>
      </c>
      <c r="BB92" s="152">
        <f t="shared" ca="1" si="116"/>
        <v>6871.2794290269594</v>
      </c>
      <c r="BC92" s="152">
        <f t="shared" ca="1" si="117"/>
        <v>14322.099417723824</v>
      </c>
      <c r="BD92" s="152">
        <f t="shared" ca="1" si="118"/>
        <v>871.24861996460436</v>
      </c>
      <c r="BE92" s="152">
        <f t="shared" ca="1" si="119"/>
        <v>-113</v>
      </c>
      <c r="BF92" s="152">
        <f t="shared" ca="1" si="120"/>
        <v>218.34460597397521</v>
      </c>
      <c r="BG92" s="152">
        <f t="shared" ca="1" si="121"/>
        <v>317.34733010847316</v>
      </c>
      <c r="BH92" s="152">
        <f t="shared" ca="1" si="122"/>
        <v>107749.38991390493</v>
      </c>
      <c r="BI92" s="152">
        <f t="shared" ca="1" si="94"/>
        <v>149976.00554215314</v>
      </c>
      <c r="BJ92" s="163">
        <f t="shared" ca="1" si="123"/>
        <v>7632.1329681703755</v>
      </c>
      <c r="BK92" s="163">
        <f t="shared" ca="1" si="124"/>
        <v>1376.4287632356916</v>
      </c>
      <c r="BL92" s="163">
        <f t="shared" ca="1" si="125"/>
        <v>3108.7394607339043</v>
      </c>
      <c r="BM92" s="163">
        <f t="shared" ca="1" si="126"/>
        <v>7195.7559271601112</v>
      </c>
      <c r="BN92" s="163">
        <f t="shared" ca="1" si="127"/>
        <v>151.08357571640539</v>
      </c>
      <c r="BO92" s="163">
        <f t="shared" ca="1" si="128"/>
        <v>-46</v>
      </c>
      <c r="BP92" s="163">
        <f t="shared" ca="1" si="129"/>
        <v>156.34552032704397</v>
      </c>
      <c r="BQ92" s="163">
        <f t="shared" ca="1" si="130"/>
        <v>139.18742548617243</v>
      </c>
      <c r="BR92" s="163">
        <f t="shared" ca="1" si="131"/>
        <v>49101.867318404991</v>
      </c>
      <c r="BS92" s="163">
        <f t="shared" ca="1" si="95"/>
        <v>68815.540959234699</v>
      </c>
      <c r="BT92" s="164">
        <f t="shared" si="133"/>
        <v>2.1814312317105611E-2</v>
      </c>
      <c r="BU92" s="164">
        <f t="shared" si="134"/>
        <v>3.0651340996168581E-2</v>
      </c>
      <c r="BV92" s="164">
        <f t="shared" si="135"/>
        <v>8.2162735223959716E-3</v>
      </c>
      <c r="BW92" s="164">
        <f t="shared" si="136"/>
        <v>2.10016155088853E-2</v>
      </c>
      <c r="BX92" s="164">
        <f t="shared" si="137"/>
        <v>1.7341040462427744E-2</v>
      </c>
      <c r="BY92" s="164">
        <f t="shared" si="138"/>
        <v>0</v>
      </c>
      <c r="BZ92" s="164">
        <f t="shared" si="139"/>
        <v>6.1728395061728392E-3</v>
      </c>
      <c r="CA92" s="164">
        <f t="shared" si="140"/>
        <v>1.7543859649122806E-2</v>
      </c>
      <c r="CB92" s="164">
        <f t="shared" si="141"/>
        <v>2.3065476190476192E-2</v>
      </c>
      <c r="CC92" s="164">
        <f t="shared" si="142"/>
        <v>2.0786189952802743E-2</v>
      </c>
      <c r="CD92" s="180">
        <f t="shared" si="153"/>
        <v>1947</v>
      </c>
      <c r="CE92" s="180">
        <f t="shared" si="154"/>
        <v>108</v>
      </c>
      <c r="CF92" s="180">
        <f t="shared" si="155"/>
        <v>1511</v>
      </c>
      <c r="CG92" s="180">
        <f t="shared" si="156"/>
        <v>978</v>
      </c>
      <c r="CH92" s="180">
        <f t="shared" si="157"/>
        <v>114</v>
      </c>
      <c r="CI92" s="180">
        <f t="shared" si="158"/>
        <v>45</v>
      </c>
      <c r="CJ92" s="180">
        <f t="shared" si="159"/>
        <v>98</v>
      </c>
      <c r="CK92" s="180">
        <f t="shared" si="160"/>
        <v>22</v>
      </c>
      <c r="CL92" s="180">
        <f t="shared" si="161"/>
        <v>11756</v>
      </c>
      <c r="CM92" s="180">
        <f t="shared" si="161"/>
        <v>16579</v>
      </c>
      <c r="CN92" s="183">
        <f t="shared" si="143"/>
        <v>5.4710171073232101E-4</v>
      </c>
      <c r="CO92" s="183">
        <f t="shared" si="144"/>
        <v>9.2918138041919686E-5</v>
      </c>
      <c r="CP92" s="183">
        <f t="shared" si="145"/>
        <v>2.4125905631786019E-4</v>
      </c>
      <c r="CQ92" s="183">
        <f t="shared" si="146"/>
        <v>2.2508378514844593E-4</v>
      </c>
      <c r="CR92" s="183">
        <f t="shared" si="147"/>
        <v>2.9553325904906404E-5</v>
      </c>
      <c r="CS92" s="183">
        <f t="shared" si="148"/>
        <v>2.3496697969441697E-5</v>
      </c>
      <c r="CT92" s="183">
        <f t="shared" si="149"/>
        <v>3.9438822849653199E-5</v>
      </c>
      <c r="CU92" s="183">
        <f t="shared" si="150"/>
        <v>4.3109060242520923E-5</v>
      </c>
      <c r="CV92" s="183">
        <f t="shared" si="151"/>
        <v>2.7599215673258779E-3</v>
      </c>
      <c r="CW92" s="183">
        <f t="shared" si="152"/>
        <v>5.1801656112869651E-4</v>
      </c>
      <c r="CX92" s="193">
        <f t="shared" si="84"/>
        <v>2.45970175881251E-4</v>
      </c>
      <c r="CY92" s="193">
        <f t="shared" si="85"/>
        <v>4.6281064925094096E-5</v>
      </c>
      <c r="CZ92" s="193">
        <f t="shared" si="86"/>
        <v>1.0915165892779946E-4</v>
      </c>
      <c r="DA92" s="193">
        <f t="shared" si="87"/>
        <v>1.1308732985648899E-4</v>
      </c>
      <c r="DB92" s="193">
        <f t="shared" si="88"/>
        <v>5.1248542031629605E-6</v>
      </c>
      <c r="DC92" s="193">
        <f t="shared" si="89"/>
        <v>9.5650274919851143E-6</v>
      </c>
      <c r="DD92" s="193">
        <f t="shared" si="90"/>
        <v>2.82401447565418E-5</v>
      </c>
      <c r="DE92" s="193">
        <f t="shared" si="91"/>
        <v>1.8907482562509175E-5</v>
      </c>
      <c r="DF92" s="193">
        <f t="shared" si="92"/>
        <v>1.2577083055070853E-3</v>
      </c>
      <c r="DG92" s="193">
        <f t="shared" si="93"/>
        <v>2.373726241029053E-4</v>
      </c>
      <c r="DI92" s="83"/>
    </row>
    <row r="93" spans="1:113">
      <c r="A93" s="150">
        <v>43982</v>
      </c>
      <c r="B93" s="129">
        <v>3927</v>
      </c>
      <c r="C93" s="129">
        <v>278</v>
      </c>
      <c r="D93" s="129">
        <v>4003</v>
      </c>
      <c r="E93" s="129">
        <v>2545</v>
      </c>
      <c r="F93" s="129">
        <v>177</v>
      </c>
      <c r="G93" s="129">
        <v>121</v>
      </c>
      <c r="H93" s="129">
        <v>175</v>
      </c>
      <c r="I93" s="129">
        <v>69</v>
      </c>
      <c r="J93" s="129">
        <v>21382</v>
      </c>
      <c r="K93" s="165">
        <f t="shared" si="78"/>
        <v>32677</v>
      </c>
      <c r="L93" s="80">
        <v>82</v>
      </c>
      <c r="M93" s="80">
        <v>8</v>
      </c>
      <c r="N93" s="80">
        <v>31</v>
      </c>
      <c r="O93" s="80">
        <v>49</v>
      </c>
      <c r="P93" s="80">
        <v>3</v>
      </c>
      <c r="Q93" s="80">
        <v>0</v>
      </c>
      <c r="R93" s="80">
        <v>1</v>
      </c>
      <c r="S93" s="80">
        <v>1</v>
      </c>
      <c r="T93" s="80">
        <v>495</v>
      </c>
      <c r="U93" s="80">
        <f t="shared" si="79"/>
        <v>670</v>
      </c>
      <c r="V93" s="130">
        <v>1491</v>
      </c>
      <c r="W93" s="130">
        <v>123</v>
      </c>
      <c r="X93" s="130">
        <v>1955</v>
      </c>
      <c r="Y93" s="130">
        <v>1180</v>
      </c>
      <c r="Z93" s="130">
        <v>67</v>
      </c>
      <c r="AA93" s="130">
        <v>62</v>
      </c>
      <c r="AB93" s="130">
        <v>39</v>
      </c>
      <c r="AC93" s="130">
        <v>30</v>
      </c>
      <c r="AD93" s="130">
        <v>8504</v>
      </c>
      <c r="AE93" s="130">
        <f t="shared" si="80"/>
        <v>13451</v>
      </c>
      <c r="AF93" s="151">
        <f t="shared" si="96"/>
        <v>2354</v>
      </c>
      <c r="AG93" s="151">
        <f t="shared" si="97"/>
        <v>147</v>
      </c>
      <c r="AH93" s="151">
        <f t="shared" si="98"/>
        <v>2017</v>
      </c>
      <c r="AI93" s="151">
        <f t="shared" si="99"/>
        <v>1316</v>
      </c>
      <c r="AJ93" s="151">
        <f t="shared" si="100"/>
        <v>107</v>
      </c>
      <c r="AK93" s="151">
        <f t="shared" si="101"/>
        <v>59</v>
      </c>
      <c r="AL93" s="151">
        <f t="shared" si="102"/>
        <v>135</v>
      </c>
      <c r="AM93" s="151">
        <f t="shared" si="103"/>
        <v>38</v>
      </c>
      <c r="AN93" s="151">
        <f t="shared" si="104"/>
        <v>12383</v>
      </c>
      <c r="AO93" s="151">
        <f t="shared" si="81"/>
        <v>18556</v>
      </c>
      <c r="AP93" s="57">
        <f t="shared" si="105"/>
        <v>168</v>
      </c>
      <c r="AQ93" s="57">
        <f t="shared" si="106"/>
        <v>17</v>
      </c>
      <c r="AR93" s="57">
        <f t="shared" si="107"/>
        <v>230</v>
      </c>
      <c r="AS93" s="57">
        <f t="shared" si="108"/>
        <v>69</v>
      </c>
      <c r="AT93" s="57">
        <f t="shared" si="109"/>
        <v>4</v>
      </c>
      <c r="AU93" s="57">
        <f t="shared" si="110"/>
        <v>8</v>
      </c>
      <c r="AV93" s="57">
        <f t="shared" si="111"/>
        <v>13</v>
      </c>
      <c r="AW93" s="57">
        <f t="shared" si="112"/>
        <v>12</v>
      </c>
      <c r="AX93" s="57">
        <f t="shared" si="113"/>
        <v>1222</v>
      </c>
      <c r="AY93" s="57">
        <f t="shared" si="82"/>
        <v>1743</v>
      </c>
      <c r="AZ93" s="152">
        <f t="shared" ca="1" si="114"/>
        <v>16807.850785415645</v>
      </c>
      <c r="BA93" s="152">
        <f t="shared" ca="1" si="115"/>
        <v>2746.4454400347345</v>
      </c>
      <c r="BB93" s="152">
        <f t="shared" ca="1" si="116"/>
        <v>6641.2794290269594</v>
      </c>
      <c r="BC93" s="152">
        <f t="shared" ca="1" si="117"/>
        <v>13283.978297470527</v>
      </c>
      <c r="BD93" s="152">
        <f t="shared" ca="1" si="118"/>
        <v>867.24861996460436</v>
      </c>
      <c r="BE93" s="152">
        <f t="shared" ca="1" si="119"/>
        <v>-121</v>
      </c>
      <c r="BF93" s="152">
        <f t="shared" ca="1" si="120"/>
        <v>205.34460597397521</v>
      </c>
      <c r="BG93" s="152">
        <f t="shared" ca="1" si="121"/>
        <v>305.34733010847316</v>
      </c>
      <c r="BH93" s="152">
        <f t="shared" ca="1" si="122"/>
        <v>114779.60861802782</v>
      </c>
      <c r="BI93" s="152">
        <f t="shared" ca="1" si="94"/>
        <v>155516.10312602273</v>
      </c>
      <c r="BJ93" s="163">
        <f t="shared" ca="1" si="123"/>
        <v>10075.294308344392</v>
      </c>
      <c r="BK93" s="163">
        <f t="shared" ca="1" si="124"/>
        <v>1452.257121169446</v>
      </c>
      <c r="BL93" s="163">
        <f t="shared" ca="1" si="125"/>
        <v>3346.3553855476835</v>
      </c>
      <c r="BM93" s="163">
        <f t="shared" ca="1" si="126"/>
        <v>6869.0433946841713</v>
      </c>
      <c r="BN93" s="163">
        <f t="shared" ca="1" si="127"/>
        <v>524.26893975261396</v>
      </c>
      <c r="BO93" s="163">
        <f t="shared" ca="1" si="128"/>
        <v>-59</v>
      </c>
      <c r="BP93" s="163">
        <f t="shared" ca="1" si="129"/>
        <v>158.40869603706659</v>
      </c>
      <c r="BQ93" s="163">
        <f t="shared" ca="1" si="130"/>
        <v>168.16229774089825</v>
      </c>
      <c r="BR93" s="163">
        <f t="shared" ca="1" si="131"/>
        <v>66472.54202212322</v>
      </c>
      <c r="BS93" s="163">
        <f t="shared" ca="1" si="95"/>
        <v>89007.332165399494</v>
      </c>
      <c r="BT93" s="164">
        <f t="shared" si="133"/>
        <v>2.0881079704609118E-2</v>
      </c>
      <c r="BU93" s="164">
        <f t="shared" si="134"/>
        <v>2.8776978417266189E-2</v>
      </c>
      <c r="BV93" s="164">
        <f t="shared" si="135"/>
        <v>7.744191856107919E-3</v>
      </c>
      <c r="BW93" s="164">
        <f t="shared" si="136"/>
        <v>1.9253438113948921E-2</v>
      </c>
      <c r="BX93" s="164">
        <f t="shared" si="137"/>
        <v>1.6949152542372881E-2</v>
      </c>
      <c r="BY93" s="164">
        <f t="shared" si="138"/>
        <v>0</v>
      </c>
      <c r="BZ93" s="164">
        <f t="shared" si="139"/>
        <v>5.7142857142857143E-3</v>
      </c>
      <c r="CA93" s="164">
        <f t="shared" si="140"/>
        <v>1.4492753623188406E-2</v>
      </c>
      <c r="CB93" s="164">
        <f t="shared" si="141"/>
        <v>2.3150313347675616E-2</v>
      </c>
      <c r="CC93" s="164">
        <f t="shared" si="142"/>
        <v>2.0503718211586131E-2</v>
      </c>
      <c r="CD93" s="180">
        <f t="shared" si="153"/>
        <v>1991</v>
      </c>
      <c r="CE93" s="180">
        <f t="shared" si="154"/>
        <v>120</v>
      </c>
      <c r="CF93" s="180">
        <f t="shared" si="155"/>
        <v>1674</v>
      </c>
      <c r="CG93" s="180">
        <f t="shared" si="156"/>
        <v>1002</v>
      </c>
      <c r="CH93" s="180">
        <f t="shared" si="157"/>
        <v>100</v>
      </c>
      <c r="CI93" s="180">
        <f t="shared" si="158"/>
        <v>50</v>
      </c>
      <c r="CJ93" s="180">
        <f t="shared" si="159"/>
        <v>105</v>
      </c>
      <c r="CK93" s="180">
        <f t="shared" si="160"/>
        <v>32</v>
      </c>
      <c r="CL93" s="180">
        <f t="shared" si="161"/>
        <v>12088</v>
      </c>
      <c r="CM93" s="180">
        <f t="shared" si="161"/>
        <v>17162</v>
      </c>
      <c r="CN93" s="183">
        <f t="shared" si="143"/>
        <v>5.7155318383767613E-4</v>
      </c>
      <c r="CO93" s="183">
        <f t="shared" si="144"/>
        <v>9.8970277301355065E-5</v>
      </c>
      <c r="CP93" s="183">
        <f t="shared" si="145"/>
        <v>2.559660753883897E-4</v>
      </c>
      <c r="CQ93" s="183">
        <f t="shared" si="146"/>
        <v>2.313563138945052E-4</v>
      </c>
      <c r="CR93" s="183">
        <f t="shared" si="147"/>
        <v>3.0236639798661468E-5</v>
      </c>
      <c r="CS93" s="183">
        <f t="shared" si="148"/>
        <v>2.5160181011526063E-5</v>
      </c>
      <c r="CT93" s="183">
        <f t="shared" si="149"/>
        <v>4.2603666658575991E-5</v>
      </c>
      <c r="CU93" s="183">
        <f t="shared" si="150"/>
        <v>5.2184651872525327E-5</v>
      </c>
      <c r="CV93" s="183">
        <f t="shared" si="151"/>
        <v>2.9272144321707302E-3</v>
      </c>
      <c r="CW93" s="183">
        <f t="shared" si="152"/>
        <v>5.472046023146834E-4</v>
      </c>
      <c r="CX93" s="193">
        <f t="shared" si="84"/>
        <v>3.4261171244051174E-4</v>
      </c>
      <c r="CY93" s="193">
        <f t="shared" si="85"/>
        <v>5.2333204184529475E-5</v>
      </c>
      <c r="CZ93" s="193">
        <f t="shared" si="86"/>
        <v>1.2897416289242618E-4</v>
      </c>
      <c r="DA93" s="193">
        <f t="shared" si="87"/>
        <v>1.1963257724368128E-4</v>
      </c>
      <c r="DB93" s="193">
        <f t="shared" si="88"/>
        <v>1.8278646657947892E-5</v>
      </c>
      <c r="DC93" s="193">
        <f t="shared" si="89"/>
        <v>1.2268187435372213E-5</v>
      </c>
      <c r="DD93" s="193">
        <f t="shared" si="90"/>
        <v>3.2865685708044333E-5</v>
      </c>
      <c r="DE93" s="193">
        <f t="shared" si="91"/>
        <v>2.873937349501395E-5</v>
      </c>
      <c r="DF93" s="193">
        <f t="shared" si="92"/>
        <v>1.6952434904859298E-3</v>
      </c>
      <c r="DG93" s="193">
        <f t="shared" si="93"/>
        <v>3.1073625487502721E-4</v>
      </c>
      <c r="DI93" s="83"/>
    </row>
    <row r="94" spans="1:113">
      <c r="A94" s="150">
        <v>43983</v>
      </c>
      <c r="B94" s="129">
        <v>4111</v>
      </c>
      <c r="C94" s="129">
        <v>285</v>
      </c>
      <c r="D94" s="129">
        <v>4231</v>
      </c>
      <c r="E94" s="129">
        <v>2565</v>
      </c>
      <c r="F94" s="129">
        <v>192</v>
      </c>
      <c r="G94" s="129">
        <v>131</v>
      </c>
      <c r="H94" s="129">
        <v>187</v>
      </c>
      <c r="I94" s="129">
        <v>82</v>
      </c>
      <c r="J94" s="129">
        <v>22567</v>
      </c>
      <c r="K94" s="165">
        <f t="shared" si="78"/>
        <v>34351</v>
      </c>
      <c r="L94" s="80">
        <v>82</v>
      </c>
      <c r="M94" s="80">
        <v>8</v>
      </c>
      <c r="N94" s="80">
        <v>33</v>
      </c>
      <c r="O94" s="80">
        <v>52</v>
      </c>
      <c r="P94" s="80">
        <v>3</v>
      </c>
      <c r="Q94" s="80">
        <v>0</v>
      </c>
      <c r="R94" s="80">
        <v>1</v>
      </c>
      <c r="S94" s="80">
        <v>1</v>
      </c>
      <c r="T94" s="80">
        <v>525</v>
      </c>
      <c r="U94" s="80">
        <f t="shared" si="79"/>
        <v>705</v>
      </c>
      <c r="V94" s="130">
        <v>2123</v>
      </c>
      <c r="W94" s="130">
        <v>123</v>
      </c>
      <c r="X94" s="130">
        <v>2060</v>
      </c>
      <c r="Y94" s="130">
        <v>1248</v>
      </c>
      <c r="Z94" s="130">
        <v>144</v>
      </c>
      <c r="AA94" s="130">
        <v>86</v>
      </c>
      <c r="AB94" s="130">
        <v>45</v>
      </c>
      <c r="AC94" s="130">
        <v>31</v>
      </c>
      <c r="AD94" s="130">
        <v>11431</v>
      </c>
      <c r="AE94" s="130">
        <f t="shared" si="80"/>
        <v>17291</v>
      </c>
      <c r="AF94" s="151">
        <f t="shared" si="96"/>
        <v>1906</v>
      </c>
      <c r="AG94" s="151">
        <f t="shared" si="97"/>
        <v>154</v>
      </c>
      <c r="AH94" s="151">
        <f t="shared" si="98"/>
        <v>2138</v>
      </c>
      <c r="AI94" s="151">
        <f t="shared" si="99"/>
        <v>1265</v>
      </c>
      <c r="AJ94" s="151">
        <f t="shared" si="100"/>
        <v>45</v>
      </c>
      <c r="AK94" s="151">
        <f t="shared" si="101"/>
        <v>45</v>
      </c>
      <c r="AL94" s="151">
        <f t="shared" si="102"/>
        <v>141</v>
      </c>
      <c r="AM94" s="151">
        <f t="shared" si="103"/>
        <v>50</v>
      </c>
      <c r="AN94" s="151">
        <f t="shared" si="104"/>
        <v>10611</v>
      </c>
      <c r="AO94" s="151">
        <f t="shared" si="81"/>
        <v>16355</v>
      </c>
      <c r="AP94" s="57">
        <f t="shared" si="105"/>
        <v>184</v>
      </c>
      <c r="AQ94" s="57">
        <f t="shared" si="106"/>
        <v>7</v>
      </c>
      <c r="AR94" s="57">
        <f t="shared" si="107"/>
        <v>228</v>
      </c>
      <c r="AS94" s="57">
        <f t="shared" si="108"/>
        <v>20</v>
      </c>
      <c r="AT94" s="57">
        <f t="shared" si="109"/>
        <v>15</v>
      </c>
      <c r="AU94" s="57">
        <f t="shared" si="110"/>
        <v>10</v>
      </c>
      <c r="AV94" s="57">
        <f t="shared" si="111"/>
        <v>12</v>
      </c>
      <c r="AW94" s="57">
        <f t="shared" si="112"/>
        <v>13</v>
      </c>
      <c r="AX94" s="57">
        <f t="shared" si="113"/>
        <v>1185</v>
      </c>
      <c r="AY94" s="57">
        <f t="shared" si="82"/>
        <v>1674</v>
      </c>
      <c r="AZ94" s="152">
        <f t="shared" ca="1" si="114"/>
        <v>16623.850785415645</v>
      </c>
      <c r="BA94" s="152">
        <f t="shared" ca="1" si="115"/>
        <v>2739.4454400347345</v>
      </c>
      <c r="BB94" s="152">
        <f t="shared" ca="1" si="116"/>
        <v>7100.0071341254716</v>
      </c>
      <c r="BC94" s="152">
        <f t="shared" ca="1" si="117"/>
        <v>14233.099417723824</v>
      </c>
      <c r="BD94" s="152">
        <f t="shared" ca="1" si="118"/>
        <v>852.24861996460436</v>
      </c>
      <c r="BE94" s="152">
        <f t="shared" ca="1" si="119"/>
        <v>-131</v>
      </c>
      <c r="BF94" s="152">
        <f t="shared" ca="1" si="120"/>
        <v>193.34460597397521</v>
      </c>
      <c r="BG94" s="152">
        <f t="shared" ca="1" si="121"/>
        <v>292.34733010847316</v>
      </c>
      <c r="BH94" s="152">
        <f t="shared" ca="1" si="122"/>
        <v>121846.82732215073</v>
      </c>
      <c r="BI94" s="152">
        <f t="shared" ca="1" si="94"/>
        <v>163750.17065549747</v>
      </c>
      <c r="BJ94" s="163">
        <f t="shared" ca="1" si="123"/>
        <v>7707.3849664320651</v>
      </c>
      <c r="BK94" s="163">
        <f t="shared" ca="1" si="124"/>
        <v>1480.2617465450844</v>
      </c>
      <c r="BL94" s="163">
        <f t="shared" ca="1" si="125"/>
        <v>3587.7606364358917</v>
      </c>
      <c r="BM94" s="163">
        <f t="shared" ca="1" si="126"/>
        <v>7019.4427927565839</v>
      </c>
      <c r="BN94" s="163">
        <f t="shared" ca="1" si="127"/>
        <v>199.74577030420414</v>
      </c>
      <c r="BO94" s="163">
        <f t="shared" ca="1" si="128"/>
        <v>-45</v>
      </c>
      <c r="BP94" s="163">
        <f t="shared" ca="1" si="129"/>
        <v>145.78390076112569</v>
      </c>
      <c r="BQ94" s="163">
        <f t="shared" ca="1" si="130"/>
        <v>178.26056713931288</v>
      </c>
      <c r="BR94" s="163">
        <f t="shared" ca="1" si="131"/>
        <v>57292.359849131091</v>
      </c>
      <c r="BS94" s="163">
        <f t="shared" ca="1" si="95"/>
        <v>77566.000229505356</v>
      </c>
      <c r="BT94" s="164">
        <f t="shared" si="133"/>
        <v>1.9946485040136221E-2</v>
      </c>
      <c r="BU94" s="164">
        <f t="shared" si="134"/>
        <v>2.8070175438596492E-2</v>
      </c>
      <c r="BV94" s="164">
        <f t="shared" si="135"/>
        <v>7.799574568659891E-3</v>
      </c>
      <c r="BW94" s="164">
        <f t="shared" si="136"/>
        <v>2.02729044834308E-2</v>
      </c>
      <c r="BX94" s="164">
        <f t="shared" si="137"/>
        <v>1.5625E-2</v>
      </c>
      <c r="BY94" s="164">
        <f t="shared" si="138"/>
        <v>0</v>
      </c>
      <c r="BZ94" s="164">
        <f t="shared" si="139"/>
        <v>5.3475935828877002E-3</v>
      </c>
      <c r="CA94" s="164">
        <f t="shared" si="140"/>
        <v>1.2195121951219513E-2</v>
      </c>
      <c r="CB94" s="164">
        <f t="shared" si="141"/>
        <v>2.32640581379891E-2</v>
      </c>
      <c r="CC94" s="164">
        <f t="shared" si="142"/>
        <v>2.0523419987773281E-2</v>
      </c>
      <c r="CD94" s="180">
        <f t="shared" si="153"/>
        <v>2059</v>
      </c>
      <c r="CE94" s="180">
        <f t="shared" si="154"/>
        <v>122</v>
      </c>
      <c r="CF94" s="180">
        <f t="shared" si="155"/>
        <v>1888</v>
      </c>
      <c r="CG94" s="180">
        <f t="shared" si="156"/>
        <v>998</v>
      </c>
      <c r="CH94" s="180">
        <f t="shared" si="157"/>
        <v>104</v>
      </c>
      <c r="CI94" s="180">
        <f t="shared" si="158"/>
        <v>55</v>
      </c>
      <c r="CJ94" s="180">
        <f t="shared" si="159"/>
        <v>115</v>
      </c>
      <c r="CK94" s="180">
        <f t="shared" si="160"/>
        <v>45</v>
      </c>
      <c r="CL94" s="180">
        <f t="shared" si="161"/>
        <v>12532</v>
      </c>
      <c r="CM94" s="180">
        <f t="shared" si="161"/>
        <v>17918</v>
      </c>
      <c r="CN94" s="183">
        <f t="shared" si="143"/>
        <v>5.9833336866735082E-4</v>
      </c>
      <c r="CO94" s="183">
        <f t="shared" si="144"/>
        <v>1.0146233464347551E-4</v>
      </c>
      <c r="CP94" s="183">
        <f t="shared" si="145"/>
        <v>2.7054520733656677E-4</v>
      </c>
      <c r="CQ94" s="183">
        <f t="shared" si="146"/>
        <v>2.3317443816872529E-4</v>
      </c>
      <c r="CR94" s="183">
        <f t="shared" si="147"/>
        <v>3.279906690024295E-5</v>
      </c>
      <c r="CS94" s="183">
        <f t="shared" si="148"/>
        <v>2.7239534814131523E-5</v>
      </c>
      <c r="CT94" s="183">
        <f t="shared" si="149"/>
        <v>4.5525060943735486E-5</v>
      </c>
      <c r="CU94" s="183">
        <f t="shared" si="150"/>
        <v>6.2016542805030101E-5</v>
      </c>
      <c r="CV94" s="183">
        <f t="shared" si="151"/>
        <v>3.0894419647739626E-3</v>
      </c>
      <c r="CW94" s="183">
        <f t="shared" si="152"/>
        <v>5.7523717887540747E-4</v>
      </c>
      <c r="CX94" s="193">
        <f t="shared" si="84"/>
        <v>2.7740778415956472E-4</v>
      </c>
      <c r="CY94" s="193">
        <f t="shared" si="85"/>
        <v>5.4825261526649923E-5</v>
      </c>
      <c r="CZ94" s="193">
        <f t="shared" si="86"/>
        <v>1.3671133379474824E-4</v>
      </c>
      <c r="DA94" s="193">
        <f t="shared" si="87"/>
        <v>1.1499636034442007E-4</v>
      </c>
      <c r="DB94" s="193">
        <f t="shared" si="88"/>
        <v>7.6872813047444412E-6</v>
      </c>
      <c r="DC94" s="193">
        <f t="shared" si="89"/>
        <v>9.3570921117245694E-6</v>
      </c>
      <c r="DD94" s="193">
        <f t="shared" si="90"/>
        <v>3.4326382850624084E-5</v>
      </c>
      <c r="DE94" s="193">
        <f t="shared" si="91"/>
        <v>3.781496512501835E-5</v>
      </c>
      <c r="DF94" s="193">
        <f t="shared" si="92"/>
        <v>1.4526551463737544E-3</v>
      </c>
      <c r="DG94" s="193">
        <f t="shared" si="93"/>
        <v>2.7387860791555673E-4</v>
      </c>
      <c r="DI94" s="83"/>
    </row>
    <row r="95" spans="1:113">
      <c r="A95" s="150">
        <v>43984</v>
      </c>
      <c r="B95" s="129">
        <v>4324</v>
      </c>
      <c r="C95" s="129">
        <v>299</v>
      </c>
      <c r="D95" s="129">
        <v>4276</v>
      </c>
      <c r="E95" s="129">
        <v>2637</v>
      </c>
      <c r="F95" s="129">
        <v>193</v>
      </c>
      <c r="G95" s="129">
        <v>132</v>
      </c>
      <c r="H95" s="129">
        <v>271</v>
      </c>
      <c r="I95" s="129">
        <v>91</v>
      </c>
      <c r="J95" s="129">
        <v>23583</v>
      </c>
      <c r="K95" s="165">
        <f t="shared" si="78"/>
        <v>35806</v>
      </c>
      <c r="L95" s="80">
        <v>88</v>
      </c>
      <c r="M95" s="80">
        <v>8</v>
      </c>
      <c r="N95" s="80">
        <v>33</v>
      </c>
      <c r="O95" s="80">
        <v>53</v>
      </c>
      <c r="P95" s="80">
        <v>3</v>
      </c>
      <c r="Q95" s="80">
        <v>0</v>
      </c>
      <c r="R95" s="80">
        <v>1</v>
      </c>
      <c r="S95" s="80">
        <v>1</v>
      </c>
      <c r="T95" s="80">
        <v>568</v>
      </c>
      <c r="U95" s="80">
        <f t="shared" si="79"/>
        <v>755</v>
      </c>
      <c r="V95" s="130">
        <v>2123</v>
      </c>
      <c r="W95" s="130">
        <v>123</v>
      </c>
      <c r="X95" s="130">
        <v>2060</v>
      </c>
      <c r="Y95" s="130">
        <v>1248</v>
      </c>
      <c r="Z95" s="130">
        <v>145</v>
      </c>
      <c r="AA95" s="130">
        <v>86</v>
      </c>
      <c r="AB95" s="130">
        <v>59</v>
      </c>
      <c r="AC95" s="130">
        <v>33</v>
      </c>
      <c r="AD95" s="130">
        <v>12436</v>
      </c>
      <c r="AE95" s="130">
        <f t="shared" si="80"/>
        <v>18313</v>
      </c>
      <c r="AF95" s="151">
        <f t="shared" si="96"/>
        <v>2113</v>
      </c>
      <c r="AG95" s="151">
        <f t="shared" si="97"/>
        <v>168</v>
      </c>
      <c r="AH95" s="151">
        <f t="shared" si="98"/>
        <v>2183</v>
      </c>
      <c r="AI95" s="151">
        <f t="shared" si="99"/>
        <v>1336</v>
      </c>
      <c r="AJ95" s="151">
        <f t="shared" si="100"/>
        <v>45</v>
      </c>
      <c r="AK95" s="151">
        <f t="shared" si="101"/>
        <v>46</v>
      </c>
      <c r="AL95" s="151">
        <f t="shared" si="102"/>
        <v>211</v>
      </c>
      <c r="AM95" s="151">
        <f t="shared" si="103"/>
        <v>57</v>
      </c>
      <c r="AN95" s="151">
        <f t="shared" si="104"/>
        <v>10579</v>
      </c>
      <c r="AO95" s="151">
        <f t="shared" si="81"/>
        <v>16738</v>
      </c>
      <c r="AP95" s="57">
        <f t="shared" si="105"/>
        <v>213</v>
      </c>
      <c r="AQ95" s="57">
        <f t="shared" si="106"/>
        <v>14</v>
      </c>
      <c r="AR95" s="57">
        <f t="shared" si="107"/>
        <v>45</v>
      </c>
      <c r="AS95" s="57">
        <f t="shared" si="108"/>
        <v>72</v>
      </c>
      <c r="AT95" s="57">
        <f t="shared" si="109"/>
        <v>1</v>
      </c>
      <c r="AU95" s="57">
        <f t="shared" si="110"/>
        <v>1</v>
      </c>
      <c r="AV95" s="57">
        <f t="shared" si="111"/>
        <v>84</v>
      </c>
      <c r="AW95" s="57">
        <f t="shared" si="112"/>
        <v>9</v>
      </c>
      <c r="AX95" s="57">
        <f t="shared" si="113"/>
        <v>1016</v>
      </c>
      <c r="AY95" s="57">
        <f t="shared" si="82"/>
        <v>1455</v>
      </c>
      <c r="AZ95" s="152">
        <f t="shared" ca="1" si="114"/>
        <v>17928.034989226544</v>
      </c>
      <c r="BA95" s="152">
        <f t="shared" ca="1" si="115"/>
        <v>2725.4454400347345</v>
      </c>
      <c r="BB95" s="152">
        <f t="shared" ca="1" si="116"/>
        <v>7055.0071341254716</v>
      </c>
      <c r="BC95" s="152">
        <f t="shared" ca="1" si="117"/>
        <v>14484.139791141588</v>
      </c>
      <c r="BD95" s="152">
        <f t="shared" ca="1" si="118"/>
        <v>851.24861996460436</v>
      </c>
      <c r="BE95" s="152">
        <f t="shared" ca="1" si="119"/>
        <v>-132</v>
      </c>
      <c r="BF95" s="152">
        <f t="shared" ca="1" si="120"/>
        <v>109.34460597397521</v>
      </c>
      <c r="BG95" s="152">
        <f t="shared" ca="1" si="121"/>
        <v>283.34733010847316</v>
      </c>
      <c r="BH95" s="152">
        <f t="shared" ca="1" si="122"/>
        <v>132659.00746472689</v>
      </c>
      <c r="BI95" s="152">
        <f t="shared" ca="1" si="94"/>
        <v>175963.57537530229</v>
      </c>
      <c r="BJ95" s="163">
        <f t="shared" ca="1" si="123"/>
        <v>8760.8552109703251</v>
      </c>
      <c r="BK95" s="163">
        <f t="shared" ca="1" si="124"/>
        <v>1531.3539596181786</v>
      </c>
      <c r="BL95" s="163">
        <f t="shared" ca="1" si="125"/>
        <v>3601.7494325996036</v>
      </c>
      <c r="BM95" s="163">
        <f t="shared" ca="1" si="126"/>
        <v>7338.1914148521655</v>
      </c>
      <c r="BN95" s="163">
        <f t="shared" ca="1" si="127"/>
        <v>198.47765750470049</v>
      </c>
      <c r="BO95" s="163">
        <f t="shared" ca="1" si="128"/>
        <v>-46</v>
      </c>
      <c r="BP95" s="163">
        <f t="shared" ca="1" si="129"/>
        <v>85.135468119958546</v>
      </c>
      <c r="BQ95" s="163">
        <f t="shared" ca="1" si="130"/>
        <v>177.48129468332934</v>
      </c>
      <c r="BR95" s="163">
        <f t="shared" ca="1" si="131"/>
        <v>59508.953058107356</v>
      </c>
      <c r="BS95" s="163">
        <f t="shared" ca="1" si="95"/>
        <v>81156.197496455614</v>
      </c>
      <c r="BT95" s="164">
        <f t="shared" si="133"/>
        <v>2.0351526364477335E-2</v>
      </c>
      <c r="BU95" s="164">
        <f t="shared" si="134"/>
        <v>2.6755852842809364E-2</v>
      </c>
      <c r="BV95" s="164">
        <f t="shared" si="135"/>
        <v>7.7174929840972874E-3</v>
      </c>
      <c r="BW95" s="164">
        <f t="shared" si="136"/>
        <v>2.0098596890405763E-2</v>
      </c>
      <c r="BX95" s="164">
        <f t="shared" si="137"/>
        <v>1.5544041450777202E-2</v>
      </c>
      <c r="BY95" s="164">
        <f t="shared" si="138"/>
        <v>0</v>
      </c>
      <c r="BZ95" s="164">
        <f t="shared" si="139"/>
        <v>3.6900369003690036E-3</v>
      </c>
      <c r="CA95" s="164">
        <f t="shared" si="140"/>
        <v>1.098901098901099E-2</v>
      </c>
      <c r="CB95" s="164">
        <f t="shared" si="141"/>
        <v>2.4085146079803249E-2</v>
      </c>
      <c r="CC95" s="164">
        <f t="shared" si="142"/>
        <v>2.1085851533262583E-2</v>
      </c>
      <c r="CD95" s="180">
        <f t="shared" si="153"/>
        <v>2189</v>
      </c>
      <c r="CE95" s="180">
        <f t="shared" si="154"/>
        <v>134</v>
      </c>
      <c r="CF95" s="180">
        <f t="shared" si="155"/>
        <v>1915</v>
      </c>
      <c r="CG95" s="180">
        <f t="shared" si="156"/>
        <v>1021</v>
      </c>
      <c r="CH95" s="180">
        <f t="shared" si="157"/>
        <v>99</v>
      </c>
      <c r="CI95" s="180">
        <f t="shared" si="158"/>
        <v>54</v>
      </c>
      <c r="CJ95" s="180">
        <f t="shared" si="159"/>
        <v>199</v>
      </c>
      <c r="CK95" s="180">
        <f t="shared" si="160"/>
        <v>54</v>
      </c>
      <c r="CL95" s="180">
        <f t="shared" si="161"/>
        <v>12944</v>
      </c>
      <c r="CM95" s="180">
        <f t="shared" si="161"/>
        <v>18609</v>
      </c>
      <c r="CN95" s="183">
        <f t="shared" si="143"/>
        <v>6.2933434349735464E-4</v>
      </c>
      <c r="CO95" s="183">
        <f t="shared" si="144"/>
        <v>1.0644644932771641E-4</v>
      </c>
      <c r="CP95" s="183">
        <f t="shared" si="145"/>
        <v>2.7342266758949649E-4</v>
      </c>
      <c r="CQ95" s="183">
        <f t="shared" si="146"/>
        <v>2.3971968555591756E-4</v>
      </c>
      <c r="CR95" s="183">
        <f t="shared" si="147"/>
        <v>3.2969895373681714E-5</v>
      </c>
      <c r="CS95" s="183">
        <f t="shared" si="148"/>
        <v>2.7447470194392068E-5</v>
      </c>
      <c r="CT95" s="183">
        <f t="shared" si="149"/>
        <v>6.5974820939851961E-5</v>
      </c>
      <c r="CU95" s="183">
        <f t="shared" si="150"/>
        <v>6.8823236527533401E-5</v>
      </c>
      <c r="CV95" s="183">
        <f t="shared" si="151"/>
        <v>3.2285332501114177E-3</v>
      </c>
      <c r="CW95" s="183">
        <f t="shared" si="152"/>
        <v>5.9960241119073215E-4</v>
      </c>
      <c r="CX95" s="193">
        <f t="shared" si="84"/>
        <v>3.0753549209294875E-4</v>
      </c>
      <c r="CY95" s="193">
        <f t="shared" si="85"/>
        <v>5.9809376210890826E-5</v>
      </c>
      <c r="CZ95" s="193">
        <f t="shared" si="86"/>
        <v>1.3958879404767793E-4</v>
      </c>
      <c r="DA95" s="193">
        <f t="shared" si="87"/>
        <v>1.2145070151790136E-4</v>
      </c>
      <c r="DB95" s="193">
        <f t="shared" si="88"/>
        <v>7.6872813047444412E-6</v>
      </c>
      <c r="DC95" s="193">
        <f t="shared" si="89"/>
        <v>9.5650274919851143E-6</v>
      </c>
      <c r="DD95" s="193">
        <f t="shared" si="90"/>
        <v>5.1367849514054477E-5</v>
      </c>
      <c r="DE95" s="193">
        <f t="shared" si="91"/>
        <v>4.3109060242520923E-5</v>
      </c>
      <c r="DF95" s="193">
        <f t="shared" si="92"/>
        <v>1.4482743184891101E-3</v>
      </c>
      <c r="DG95" s="193">
        <f t="shared" si="93"/>
        <v>2.8029227387897209E-4</v>
      </c>
      <c r="DI95" s="83"/>
    </row>
    <row r="96" spans="1:113">
      <c r="A96" s="150">
        <v>43985</v>
      </c>
      <c r="B96" s="129">
        <v>4526</v>
      </c>
      <c r="C96" s="129">
        <v>319</v>
      </c>
      <c r="D96" s="129">
        <v>4567</v>
      </c>
      <c r="E96" s="129">
        <v>2707</v>
      </c>
      <c r="F96" s="129">
        <v>200</v>
      </c>
      <c r="G96" s="129">
        <v>137</v>
      </c>
      <c r="H96" s="129">
        <v>314</v>
      </c>
      <c r="I96" s="129">
        <v>93</v>
      </c>
      <c r="J96" s="129">
        <v>24657</v>
      </c>
      <c r="K96" s="165">
        <f t="shared" si="78"/>
        <v>37520</v>
      </c>
      <c r="L96" s="80">
        <v>95</v>
      </c>
      <c r="M96" s="80">
        <v>8</v>
      </c>
      <c r="N96" s="80">
        <v>33</v>
      </c>
      <c r="O96" s="80">
        <v>54</v>
      </c>
      <c r="P96" s="80">
        <v>3</v>
      </c>
      <c r="Q96" s="80">
        <v>0</v>
      </c>
      <c r="R96" s="80">
        <v>1</v>
      </c>
      <c r="S96" s="80">
        <v>1</v>
      </c>
      <c r="T96" s="80">
        <v>597</v>
      </c>
      <c r="U96" s="80">
        <f t="shared" si="79"/>
        <v>792</v>
      </c>
      <c r="V96" s="130">
        <v>2123</v>
      </c>
      <c r="W96" s="130">
        <v>123</v>
      </c>
      <c r="X96" s="130">
        <v>2169</v>
      </c>
      <c r="Y96" s="130">
        <v>1248</v>
      </c>
      <c r="Z96" s="130">
        <v>145</v>
      </c>
      <c r="AA96" s="130">
        <v>86</v>
      </c>
      <c r="AB96" s="130">
        <v>59</v>
      </c>
      <c r="AC96" s="130">
        <v>33</v>
      </c>
      <c r="AD96" s="130">
        <v>13696</v>
      </c>
      <c r="AE96" s="130">
        <f t="shared" si="80"/>
        <v>19682</v>
      </c>
      <c r="AF96" s="151">
        <f t="shared" si="96"/>
        <v>2308</v>
      </c>
      <c r="AG96" s="151">
        <f t="shared" si="97"/>
        <v>188</v>
      </c>
      <c r="AH96" s="151">
        <f t="shared" si="98"/>
        <v>2365</v>
      </c>
      <c r="AI96" s="151">
        <f t="shared" si="99"/>
        <v>1405</v>
      </c>
      <c r="AJ96" s="151">
        <f t="shared" si="100"/>
        <v>52</v>
      </c>
      <c r="AK96" s="151">
        <f t="shared" si="101"/>
        <v>51</v>
      </c>
      <c r="AL96" s="151">
        <f t="shared" si="102"/>
        <v>254</v>
      </c>
      <c r="AM96" s="151">
        <f t="shared" si="103"/>
        <v>59</v>
      </c>
      <c r="AN96" s="151">
        <f t="shared" si="104"/>
        <v>10364</v>
      </c>
      <c r="AO96" s="151">
        <f t="shared" si="81"/>
        <v>17046</v>
      </c>
      <c r="AP96" s="57">
        <f t="shared" si="105"/>
        <v>202</v>
      </c>
      <c r="AQ96" s="57">
        <f t="shared" si="106"/>
        <v>20</v>
      </c>
      <c r="AR96" s="57">
        <f t="shared" si="107"/>
        <v>291</v>
      </c>
      <c r="AS96" s="57">
        <f t="shared" si="108"/>
        <v>70</v>
      </c>
      <c r="AT96" s="57">
        <f t="shared" si="109"/>
        <v>7</v>
      </c>
      <c r="AU96" s="57">
        <f t="shared" si="110"/>
        <v>5</v>
      </c>
      <c r="AV96" s="57">
        <f t="shared" si="111"/>
        <v>43</v>
      </c>
      <c r="AW96" s="57">
        <f t="shared" si="112"/>
        <v>2</v>
      </c>
      <c r="AX96" s="57">
        <f t="shared" si="113"/>
        <v>1074</v>
      </c>
      <c r="AY96" s="57">
        <f t="shared" si="82"/>
        <v>1714</v>
      </c>
      <c r="AZ96" s="152">
        <f t="shared" ca="1" si="114"/>
        <v>19496.083227005929</v>
      </c>
      <c r="BA96" s="152">
        <f t="shared" ca="1" si="115"/>
        <v>2705.4454400347345</v>
      </c>
      <c r="BB96" s="152">
        <f t="shared" ca="1" si="116"/>
        <v>6764.0071341254716</v>
      </c>
      <c r="BC96" s="152">
        <f t="shared" ca="1" si="117"/>
        <v>14737.180164559355</v>
      </c>
      <c r="BD96" s="152">
        <f t="shared" ca="1" si="118"/>
        <v>844.24861996460436</v>
      </c>
      <c r="BE96" s="152">
        <f t="shared" ca="1" si="119"/>
        <v>-137</v>
      </c>
      <c r="BF96" s="152">
        <f t="shared" ca="1" si="120"/>
        <v>66.344605973975206</v>
      </c>
      <c r="BG96" s="152">
        <f t="shared" ca="1" si="121"/>
        <v>281.34733010847316</v>
      </c>
      <c r="BH96" s="152">
        <f t="shared" ca="1" si="122"/>
        <v>139562.15221204568</v>
      </c>
      <c r="BI96" s="152">
        <f t="shared" ca="1" si="94"/>
        <v>184319.80873381824</v>
      </c>
      <c r="BJ96" s="163">
        <f t="shared" ca="1" si="123"/>
        <v>9941.8824763432785</v>
      </c>
      <c r="BK96" s="163">
        <f t="shared" ca="1" si="124"/>
        <v>1594.4317953809721</v>
      </c>
      <c r="BL96" s="163">
        <f t="shared" ca="1" si="125"/>
        <v>3502.7100661718282</v>
      </c>
      <c r="BM96" s="163">
        <f t="shared" ca="1" si="126"/>
        <v>7648.9612601425542</v>
      </c>
      <c r="BN96" s="163">
        <f t="shared" ca="1" si="127"/>
        <v>219.50464119079712</v>
      </c>
      <c r="BO96" s="163">
        <f t="shared" ca="1" si="128"/>
        <v>-51</v>
      </c>
      <c r="BP96" s="163">
        <f t="shared" ca="1" si="129"/>
        <v>53.66729273054046</v>
      </c>
      <c r="BQ96" s="163">
        <f t="shared" ca="1" si="130"/>
        <v>178.48916641290231</v>
      </c>
      <c r="BR96" s="163">
        <f t="shared" ca="1" si="131"/>
        <v>58661.724683685825</v>
      </c>
      <c r="BS96" s="163">
        <f t="shared" ca="1" si="95"/>
        <v>81750.3713820587</v>
      </c>
      <c r="BT96" s="164">
        <f t="shared" si="133"/>
        <v>2.0989836500220946E-2</v>
      </c>
      <c r="BU96" s="164">
        <f t="shared" si="134"/>
        <v>2.5078369905956112E-2</v>
      </c>
      <c r="BV96" s="164">
        <f t="shared" si="135"/>
        <v>7.2257499452594697E-3</v>
      </c>
      <c r="BW96" s="164">
        <f t="shared" si="136"/>
        <v>1.994828223125231E-2</v>
      </c>
      <c r="BX96" s="164">
        <f t="shared" si="137"/>
        <v>1.4999999999999999E-2</v>
      </c>
      <c r="BY96" s="164">
        <f t="shared" si="138"/>
        <v>0</v>
      </c>
      <c r="BZ96" s="164">
        <f t="shared" si="139"/>
        <v>3.1847133757961785E-3</v>
      </c>
      <c r="CA96" s="164">
        <f t="shared" si="140"/>
        <v>1.0752688172043012E-2</v>
      </c>
      <c r="CB96" s="164">
        <f t="shared" si="141"/>
        <v>2.4212191264144055E-2</v>
      </c>
      <c r="CC96" s="164">
        <f t="shared" si="142"/>
        <v>2.1108742004264391E-2</v>
      </c>
      <c r="CD96" s="180">
        <f t="shared" si="153"/>
        <v>2311</v>
      </c>
      <c r="CE96" s="180">
        <f t="shared" si="154"/>
        <v>139</v>
      </c>
      <c r="CF96" s="180">
        <f t="shared" si="155"/>
        <v>2167</v>
      </c>
      <c r="CG96" s="180">
        <f t="shared" si="156"/>
        <v>1057</v>
      </c>
      <c r="CH96" s="180">
        <f t="shared" si="157"/>
        <v>107</v>
      </c>
      <c r="CI96" s="180">
        <f t="shared" si="158"/>
        <v>44</v>
      </c>
      <c r="CJ96" s="180">
        <f t="shared" si="159"/>
        <v>242</v>
      </c>
      <c r="CK96" s="180">
        <f t="shared" si="160"/>
        <v>55</v>
      </c>
      <c r="CL96" s="180">
        <f t="shared" si="161"/>
        <v>13585</v>
      </c>
      <c r="CM96" s="180">
        <f t="shared" si="161"/>
        <v>19707</v>
      </c>
      <c r="CN96" s="183">
        <f t="shared" si="143"/>
        <v>6.5873432901688872E-4</v>
      </c>
      <c r="CO96" s="183">
        <f t="shared" si="144"/>
        <v>1.1356661316234627E-4</v>
      </c>
      <c r="CP96" s="183">
        <f t="shared" si="145"/>
        <v>2.9203024389177514E-4</v>
      </c>
      <c r="CQ96" s="183">
        <f t="shared" si="146"/>
        <v>2.4608312051568784E-4</v>
      </c>
      <c r="CR96" s="183">
        <f t="shared" si="147"/>
        <v>3.4165694687753071E-5</v>
      </c>
      <c r="CS96" s="183">
        <f t="shared" si="148"/>
        <v>2.84871470956948E-5</v>
      </c>
      <c r="CT96" s="183">
        <f t="shared" si="149"/>
        <v>7.6443150461673489E-5</v>
      </c>
      <c r="CU96" s="183">
        <f t="shared" si="150"/>
        <v>7.0335835132534142E-5</v>
      </c>
      <c r="CV96" s="183">
        <f t="shared" si="151"/>
        <v>3.3755647859897903E-3</v>
      </c>
      <c r="CW96" s="183">
        <f t="shared" si="152"/>
        <v>6.2830482231682595E-4</v>
      </c>
      <c r="CX96" s="193">
        <f t="shared" si="84"/>
        <v>3.3591666623309307E-4</v>
      </c>
      <c r="CY96" s="193">
        <f t="shared" si="85"/>
        <v>6.6929540045520695E-5</v>
      </c>
      <c r="CZ96" s="193">
        <f t="shared" si="86"/>
        <v>1.5122652218174911E-4</v>
      </c>
      <c r="DA96" s="193">
        <f t="shared" si="87"/>
        <v>1.2772323026396062E-4</v>
      </c>
      <c r="DB96" s="193">
        <f t="shared" si="88"/>
        <v>8.8830806188157981E-6</v>
      </c>
      <c r="DC96" s="193">
        <f t="shared" si="89"/>
        <v>1.0604704393287844E-5</v>
      </c>
      <c r="DD96" s="193">
        <f t="shared" si="90"/>
        <v>6.1836179035876004E-5</v>
      </c>
      <c r="DE96" s="193">
        <f t="shared" si="91"/>
        <v>4.4621658847521657E-5</v>
      </c>
      <c r="DF96" s="193">
        <f t="shared" si="92"/>
        <v>1.4188406311391566E-3</v>
      </c>
      <c r="DG96" s="193">
        <f t="shared" si="93"/>
        <v>2.8545000003231917E-4</v>
      </c>
      <c r="DI96" s="83"/>
    </row>
    <row r="97" spans="1:113">
      <c r="A97" s="150">
        <v>43986</v>
      </c>
      <c r="B97" s="129">
        <v>4936</v>
      </c>
      <c r="C97" s="129">
        <v>322</v>
      </c>
      <c r="D97" s="129">
        <v>4845</v>
      </c>
      <c r="E97" s="129">
        <v>2869</v>
      </c>
      <c r="F97" s="129">
        <v>206</v>
      </c>
      <c r="G97" s="129">
        <v>144</v>
      </c>
      <c r="H97" s="129">
        <v>364</v>
      </c>
      <c r="I97" s="129">
        <v>95</v>
      </c>
      <c r="J97" s="129">
        <v>27006</v>
      </c>
      <c r="K97" s="165">
        <f t="shared" si="78"/>
        <v>40787</v>
      </c>
      <c r="L97" s="80">
        <v>95</v>
      </c>
      <c r="M97" s="80">
        <v>9</v>
      </c>
      <c r="N97" s="80">
        <v>33</v>
      </c>
      <c r="O97" s="80">
        <v>55</v>
      </c>
      <c r="P97" s="80">
        <v>3</v>
      </c>
      <c r="Q97" s="80">
        <v>0</v>
      </c>
      <c r="R97" s="80">
        <v>1</v>
      </c>
      <c r="S97" s="80">
        <v>1</v>
      </c>
      <c r="T97" s="80">
        <v>651</v>
      </c>
      <c r="U97" s="80">
        <f t="shared" si="79"/>
        <v>848</v>
      </c>
      <c r="V97" s="130">
        <v>2460</v>
      </c>
      <c r="W97" s="130">
        <v>128</v>
      </c>
      <c r="X97" s="130">
        <v>2222</v>
      </c>
      <c r="Y97" s="130">
        <v>1260</v>
      </c>
      <c r="Z97" s="130">
        <v>146</v>
      </c>
      <c r="AA97" s="130">
        <v>86</v>
      </c>
      <c r="AB97" s="130">
        <v>59</v>
      </c>
      <c r="AC97" s="130">
        <v>33</v>
      </c>
      <c r="AD97" s="130">
        <v>14197</v>
      </c>
      <c r="AE97" s="130">
        <f t="shared" si="80"/>
        <v>20591</v>
      </c>
      <c r="AF97" s="151">
        <f t="shared" si="96"/>
        <v>2381</v>
      </c>
      <c r="AG97" s="151">
        <f t="shared" si="97"/>
        <v>185</v>
      </c>
      <c r="AH97" s="151">
        <f t="shared" si="98"/>
        <v>2590</v>
      </c>
      <c r="AI97" s="151">
        <f t="shared" si="99"/>
        <v>1554</v>
      </c>
      <c r="AJ97" s="151">
        <f t="shared" si="100"/>
        <v>57</v>
      </c>
      <c r="AK97" s="151">
        <f t="shared" si="101"/>
        <v>58</v>
      </c>
      <c r="AL97" s="151">
        <f t="shared" si="102"/>
        <v>304</v>
      </c>
      <c r="AM97" s="151">
        <f t="shared" si="103"/>
        <v>61</v>
      </c>
      <c r="AN97" s="151">
        <f t="shared" si="104"/>
        <v>12158</v>
      </c>
      <c r="AO97" s="151">
        <f t="shared" si="81"/>
        <v>19348</v>
      </c>
      <c r="AP97" s="57">
        <f t="shared" si="105"/>
        <v>410</v>
      </c>
      <c r="AQ97" s="57">
        <f t="shared" si="106"/>
        <v>3</v>
      </c>
      <c r="AR97" s="57">
        <f t="shared" si="107"/>
        <v>278</v>
      </c>
      <c r="AS97" s="57">
        <f t="shared" si="108"/>
        <v>162</v>
      </c>
      <c r="AT97" s="57">
        <f t="shared" si="109"/>
        <v>6</v>
      </c>
      <c r="AU97" s="57">
        <f t="shared" si="110"/>
        <v>7</v>
      </c>
      <c r="AV97" s="57">
        <f t="shared" si="111"/>
        <v>50</v>
      </c>
      <c r="AW97" s="57">
        <f t="shared" si="112"/>
        <v>2</v>
      </c>
      <c r="AX97" s="57">
        <f t="shared" si="113"/>
        <v>2349</v>
      </c>
      <c r="AY97" s="57">
        <f t="shared" si="82"/>
        <v>3267</v>
      </c>
      <c r="AZ97" s="152">
        <f t="shared" ca="1" si="114"/>
        <v>19086.083227005929</v>
      </c>
      <c r="BA97" s="152">
        <f t="shared" ca="1" si="115"/>
        <v>3080.5011200390763</v>
      </c>
      <c r="BB97" s="152">
        <f t="shared" ca="1" si="116"/>
        <v>6486.0071341254716</v>
      </c>
      <c r="BC97" s="152">
        <f t="shared" ca="1" si="117"/>
        <v>14898.220537977122</v>
      </c>
      <c r="BD97" s="152">
        <f t="shared" ca="1" si="118"/>
        <v>838.24861996460436</v>
      </c>
      <c r="BE97" s="152">
        <f t="shared" ca="1" si="119"/>
        <v>-144</v>
      </c>
      <c r="BF97" s="152">
        <f t="shared" ca="1" si="120"/>
        <v>16.344605973975206</v>
      </c>
      <c r="BG97" s="152">
        <f t="shared" ca="1" si="121"/>
        <v>279.34733010847316</v>
      </c>
      <c r="BH97" s="152">
        <f t="shared" ca="1" si="122"/>
        <v>152067.1458794669</v>
      </c>
      <c r="BI97" s="152">
        <f t="shared" ca="1" si="94"/>
        <v>196607.89845466154</v>
      </c>
      <c r="BJ97" s="163">
        <f t="shared" ca="1" si="123"/>
        <v>9206.6377964953626</v>
      </c>
      <c r="BK97" s="163">
        <f t="shared" ca="1" si="124"/>
        <v>1769.8531279727613</v>
      </c>
      <c r="BL97" s="163">
        <f t="shared" ca="1" si="125"/>
        <v>3467.2360118441629</v>
      </c>
      <c r="BM97" s="163">
        <f t="shared" ca="1" si="126"/>
        <v>8069.653090281091</v>
      </c>
      <c r="BN97" s="163">
        <f t="shared" ca="1" si="127"/>
        <v>231.94257931059443</v>
      </c>
      <c r="BO97" s="163">
        <f t="shared" ca="1" si="128"/>
        <v>-58</v>
      </c>
      <c r="BP97" s="163">
        <f t="shared" ca="1" si="129"/>
        <v>13.650440154089184</v>
      </c>
      <c r="BQ97" s="163">
        <f t="shared" ca="1" si="130"/>
        <v>179.37039091175646</v>
      </c>
      <c r="BR97" s="163">
        <f t="shared" ca="1" si="131"/>
        <v>68460.059231376683</v>
      </c>
      <c r="BS97" s="163">
        <f t="shared" ca="1" si="95"/>
        <v>91340.402668346505</v>
      </c>
      <c r="BT97" s="164">
        <f t="shared" si="133"/>
        <v>1.9246353322528362E-2</v>
      </c>
      <c r="BU97" s="164">
        <f t="shared" si="134"/>
        <v>2.7950310559006212E-2</v>
      </c>
      <c r="BV97" s="164">
        <f t="shared" si="135"/>
        <v>6.8111455108359137E-3</v>
      </c>
      <c r="BW97" s="164">
        <f t="shared" si="136"/>
        <v>1.9170442662948761E-2</v>
      </c>
      <c r="BX97" s="164">
        <f t="shared" si="137"/>
        <v>1.4563106796116505E-2</v>
      </c>
      <c r="BY97" s="164">
        <f t="shared" si="138"/>
        <v>0</v>
      </c>
      <c r="BZ97" s="164">
        <f t="shared" si="139"/>
        <v>2.7472527472527475E-3</v>
      </c>
      <c r="CA97" s="164">
        <f t="shared" si="140"/>
        <v>1.0526315789473684E-2</v>
      </c>
      <c r="CB97" s="164">
        <f t="shared" si="141"/>
        <v>2.410575427682737E-2</v>
      </c>
      <c r="CC97" s="164">
        <f t="shared" si="142"/>
        <v>2.0790938289160763E-2</v>
      </c>
      <c r="CD97" s="180">
        <f t="shared" si="153"/>
        <v>2612</v>
      </c>
      <c r="CE97" s="180">
        <f t="shared" si="154"/>
        <v>139</v>
      </c>
      <c r="CF97" s="180">
        <f t="shared" si="155"/>
        <v>2392</v>
      </c>
      <c r="CG97" s="180">
        <f t="shared" si="156"/>
        <v>1176</v>
      </c>
      <c r="CH97" s="180">
        <f t="shared" si="157"/>
        <v>85</v>
      </c>
      <c r="CI97" s="180">
        <f t="shared" si="158"/>
        <v>49</v>
      </c>
      <c r="CJ97" s="180">
        <f t="shared" si="159"/>
        <v>287</v>
      </c>
      <c r="CK97" s="180">
        <f t="shared" si="160"/>
        <v>58</v>
      </c>
      <c r="CL97" s="180">
        <f t="shared" si="161"/>
        <v>14853</v>
      </c>
      <c r="CM97" s="180">
        <f t="shared" si="161"/>
        <v>21651</v>
      </c>
      <c r="CN97" s="183">
        <f t="shared" si="143"/>
        <v>7.1840756695257691E-4</v>
      </c>
      <c r="CO97" s="183">
        <f t="shared" si="144"/>
        <v>1.1463463773754076E-4</v>
      </c>
      <c r="CP97" s="183">
        <f t="shared" si="145"/>
        <v>3.0980655389876299E-4</v>
      </c>
      <c r="CQ97" s="183">
        <f t="shared" si="146"/>
        <v>2.6080992713687051E-4</v>
      </c>
      <c r="CR97" s="183">
        <f t="shared" si="147"/>
        <v>3.5190665528385664E-5</v>
      </c>
      <c r="CS97" s="183">
        <f t="shared" si="148"/>
        <v>2.9942694757518621E-5</v>
      </c>
      <c r="CT97" s="183">
        <f t="shared" si="149"/>
        <v>8.8615626649838063E-5</v>
      </c>
      <c r="CU97" s="183">
        <f t="shared" si="150"/>
        <v>7.1848433737534869E-5</v>
      </c>
      <c r="CV97" s="183">
        <f t="shared" si="151"/>
        <v>3.697144932896957E-3</v>
      </c>
      <c r="CW97" s="183">
        <f t="shared" si="152"/>
        <v>6.8301356044340035E-4</v>
      </c>
      <c r="CX97" s="193">
        <f t="shared" si="84"/>
        <v>3.4654141347530094E-4</v>
      </c>
      <c r="CY97" s="193">
        <f t="shared" si="85"/>
        <v>6.5861515470326212E-5</v>
      </c>
      <c r="CZ97" s="193">
        <f t="shared" si="86"/>
        <v>1.6561382344639755E-4</v>
      </c>
      <c r="DA97" s="193">
        <f t="shared" si="87"/>
        <v>1.4126825610690023E-4</v>
      </c>
      <c r="DB97" s="193">
        <f t="shared" si="88"/>
        <v>9.7372229860096247E-6</v>
      </c>
      <c r="DC97" s="193">
        <f t="shared" si="89"/>
        <v>1.2060252055111668E-5</v>
      </c>
      <c r="DD97" s="193">
        <f t="shared" si="90"/>
        <v>7.4008655224040579E-5</v>
      </c>
      <c r="DE97" s="193">
        <f t="shared" si="91"/>
        <v>4.6134257452522391E-5</v>
      </c>
      <c r="DF97" s="193">
        <f t="shared" si="92"/>
        <v>1.664440794422025E-3</v>
      </c>
      <c r="DG97" s="193">
        <f t="shared" si="93"/>
        <v>3.2399897926934832E-4</v>
      </c>
      <c r="DI97" s="83"/>
    </row>
    <row r="98" spans="1:113">
      <c r="A98" s="150">
        <v>43987</v>
      </c>
      <c r="B98" s="129">
        <v>5240</v>
      </c>
      <c r="C98" s="129">
        <v>336</v>
      </c>
      <c r="D98" s="129">
        <v>5215</v>
      </c>
      <c r="E98" s="129">
        <v>2936</v>
      </c>
      <c r="F98" s="129">
        <v>215</v>
      </c>
      <c r="G98" s="129">
        <v>169</v>
      </c>
      <c r="H98" s="129">
        <v>409</v>
      </c>
      <c r="I98" s="129">
        <v>102</v>
      </c>
      <c r="J98" s="129">
        <v>28807</v>
      </c>
      <c r="K98" s="165">
        <f t="shared" si="78"/>
        <v>43429</v>
      </c>
      <c r="L98" s="80">
        <v>95</v>
      </c>
      <c r="M98" s="80">
        <v>9</v>
      </c>
      <c r="N98" s="80">
        <v>40</v>
      </c>
      <c r="O98" s="80">
        <v>55</v>
      </c>
      <c r="P98" s="80">
        <v>3</v>
      </c>
      <c r="Q98" s="80">
        <v>0</v>
      </c>
      <c r="R98" s="80">
        <v>1</v>
      </c>
      <c r="S98" s="80">
        <v>1</v>
      </c>
      <c r="T98" s="80">
        <v>704</v>
      </c>
      <c r="U98" s="80">
        <f t="shared" si="79"/>
        <v>908</v>
      </c>
      <c r="V98" s="130">
        <v>2460</v>
      </c>
      <c r="W98" s="130">
        <v>123</v>
      </c>
      <c r="X98" s="130">
        <v>2344</v>
      </c>
      <c r="Y98" s="130">
        <v>1378</v>
      </c>
      <c r="Z98" s="130">
        <v>149</v>
      </c>
      <c r="AA98" s="130">
        <v>94</v>
      </c>
      <c r="AB98" s="130">
        <v>73</v>
      </c>
      <c r="AC98" s="130">
        <v>34</v>
      </c>
      <c r="AD98" s="130">
        <v>16433</v>
      </c>
      <c r="AE98" s="130">
        <f t="shared" si="80"/>
        <v>23088</v>
      </c>
      <c r="AF98" s="151">
        <f t="shared" si="96"/>
        <v>2685</v>
      </c>
      <c r="AG98" s="151">
        <f t="shared" si="97"/>
        <v>204</v>
      </c>
      <c r="AH98" s="151">
        <f t="shared" si="98"/>
        <v>2831</v>
      </c>
      <c r="AI98" s="151">
        <f t="shared" si="99"/>
        <v>1503</v>
      </c>
      <c r="AJ98" s="151">
        <f t="shared" si="100"/>
        <v>63</v>
      </c>
      <c r="AK98" s="151">
        <f t="shared" si="101"/>
        <v>75</v>
      </c>
      <c r="AL98" s="151">
        <f t="shared" si="102"/>
        <v>335</v>
      </c>
      <c r="AM98" s="151">
        <f t="shared" si="103"/>
        <v>67</v>
      </c>
      <c r="AN98" s="151">
        <f t="shared" si="104"/>
        <v>11670</v>
      </c>
      <c r="AO98" s="151">
        <f t="shared" si="81"/>
        <v>19433</v>
      </c>
      <c r="AP98" s="57">
        <f t="shared" si="105"/>
        <v>304</v>
      </c>
      <c r="AQ98" s="57">
        <f t="shared" si="106"/>
        <v>14</v>
      </c>
      <c r="AR98" s="57">
        <f t="shared" si="107"/>
        <v>370</v>
      </c>
      <c r="AS98" s="57">
        <f t="shared" si="108"/>
        <v>67</v>
      </c>
      <c r="AT98" s="57">
        <f t="shared" si="109"/>
        <v>9</v>
      </c>
      <c r="AU98" s="57">
        <f t="shared" si="110"/>
        <v>25</v>
      </c>
      <c r="AV98" s="57">
        <f t="shared" si="111"/>
        <v>45</v>
      </c>
      <c r="AW98" s="57">
        <f t="shared" si="112"/>
        <v>7</v>
      </c>
      <c r="AX98" s="57">
        <f t="shared" si="113"/>
        <v>1801</v>
      </c>
      <c r="AY98" s="57">
        <f t="shared" si="82"/>
        <v>2642</v>
      </c>
      <c r="AZ98" s="152">
        <f t="shared" ca="1" si="114"/>
        <v>18782.083227005929</v>
      </c>
      <c r="BA98" s="152">
        <f t="shared" ca="1" si="115"/>
        <v>3066.5011200390763</v>
      </c>
      <c r="BB98" s="152">
        <f t="shared" ca="1" si="116"/>
        <v>8519.5541019702705</v>
      </c>
      <c r="BC98" s="152">
        <f t="shared" ca="1" si="117"/>
        <v>14831.220537977122</v>
      </c>
      <c r="BD98" s="152">
        <f t="shared" ca="1" si="118"/>
        <v>829.24861996460436</v>
      </c>
      <c r="BE98" s="152">
        <f t="shared" ca="1" si="119"/>
        <v>-169</v>
      </c>
      <c r="BF98" s="152">
        <f t="shared" ca="1" si="120"/>
        <v>-28.655394026024794</v>
      </c>
      <c r="BG98" s="152">
        <f t="shared" ca="1" si="121"/>
        <v>272.34733010847316</v>
      </c>
      <c r="BH98" s="152">
        <f t="shared" ca="1" si="122"/>
        <v>164845.06559008404</v>
      </c>
      <c r="BI98" s="152">
        <f t="shared" ca="1" si="94"/>
        <v>210948.36513312347</v>
      </c>
      <c r="BJ98" s="163">
        <f t="shared" ca="1" si="123"/>
        <v>9624.0254703265109</v>
      </c>
      <c r="BK98" s="163">
        <f t="shared" ca="1" si="124"/>
        <v>1861.8042514522963</v>
      </c>
      <c r="BL98" s="163">
        <f t="shared" ca="1" si="125"/>
        <v>4624.9007982124322</v>
      </c>
      <c r="BM98" s="163">
        <f t="shared" ca="1" si="126"/>
        <v>7592.4129661374718</v>
      </c>
      <c r="BN98" s="163">
        <f t="shared" ca="1" si="127"/>
        <v>242.98913050125617</v>
      </c>
      <c r="BO98" s="163">
        <f t="shared" ca="1" si="128"/>
        <v>-75</v>
      </c>
      <c r="BP98" s="163">
        <f t="shared" ca="1" si="129"/>
        <v>-23.470799507868719</v>
      </c>
      <c r="BQ98" s="163">
        <f t="shared" ca="1" si="130"/>
        <v>178.89481487517355</v>
      </c>
      <c r="BR98" s="163">
        <f t="shared" ca="1" si="131"/>
        <v>66780.362947765505</v>
      </c>
      <c r="BS98" s="163">
        <f t="shared" ca="1" si="95"/>
        <v>90806.919579762776</v>
      </c>
      <c r="BT98" s="164">
        <f t="shared" si="133"/>
        <v>1.8129770992366411E-2</v>
      </c>
      <c r="BU98" s="164">
        <f t="shared" si="134"/>
        <v>2.6785714285714284E-2</v>
      </c>
      <c r="BV98" s="164">
        <f t="shared" si="135"/>
        <v>7.6701821668264617E-3</v>
      </c>
      <c r="BW98" s="164">
        <f t="shared" si="136"/>
        <v>1.8732970027247955E-2</v>
      </c>
      <c r="BX98" s="164">
        <f t="shared" si="137"/>
        <v>1.3953488372093023E-2</v>
      </c>
      <c r="BY98" s="164">
        <f t="shared" si="138"/>
        <v>0</v>
      </c>
      <c r="BZ98" s="164">
        <f t="shared" si="139"/>
        <v>2.4449877750611247E-3</v>
      </c>
      <c r="CA98" s="164">
        <f t="shared" si="140"/>
        <v>9.8039215686274508E-3</v>
      </c>
      <c r="CB98" s="164">
        <f t="shared" si="141"/>
        <v>2.4438504530148921E-2</v>
      </c>
      <c r="CC98" s="164">
        <f t="shared" si="142"/>
        <v>2.0907688410969627E-2</v>
      </c>
      <c r="CD98" s="180">
        <f t="shared" si="153"/>
        <v>2781</v>
      </c>
      <c r="CE98" s="180">
        <f t="shared" si="154"/>
        <v>151</v>
      </c>
      <c r="CF98" s="180">
        <f t="shared" si="155"/>
        <v>2694</v>
      </c>
      <c r="CG98" s="180">
        <f t="shared" si="156"/>
        <v>1201</v>
      </c>
      <c r="CH98" s="180">
        <f t="shared" si="157"/>
        <v>95</v>
      </c>
      <c r="CI98" s="180">
        <f t="shared" si="158"/>
        <v>71</v>
      </c>
      <c r="CJ98" s="180">
        <f t="shared" si="159"/>
        <v>329</v>
      </c>
      <c r="CK98" s="180">
        <f t="shared" si="160"/>
        <v>63</v>
      </c>
      <c r="CL98" s="180">
        <f t="shared" si="161"/>
        <v>15919</v>
      </c>
      <c r="CM98" s="180">
        <f t="shared" si="161"/>
        <v>23304</v>
      </c>
      <c r="CN98" s="183">
        <f t="shared" si="143"/>
        <v>7.6265308971464811E-4</v>
      </c>
      <c r="CO98" s="183">
        <f t="shared" si="144"/>
        <v>1.1961875242178165E-4</v>
      </c>
      <c r="CP98" s="183">
        <f t="shared" si="145"/>
        <v>3.3346567153396263E-4</v>
      </c>
      <c r="CQ98" s="183">
        <f t="shared" si="146"/>
        <v>2.6690064345550777E-4</v>
      </c>
      <c r="CR98" s="183">
        <f t="shared" si="147"/>
        <v>3.6728121789334549E-5</v>
      </c>
      <c r="CS98" s="183">
        <f t="shared" si="148"/>
        <v>3.5141079264032269E-5</v>
      </c>
      <c r="CT98" s="183">
        <f t="shared" si="149"/>
        <v>9.957085521918617E-5</v>
      </c>
      <c r="CU98" s="183">
        <f t="shared" si="150"/>
        <v>7.7142528855037441E-5</v>
      </c>
      <c r="CV98" s="183">
        <f t="shared" si="151"/>
        <v>3.9437034022795914E-3</v>
      </c>
      <c r="CW98" s="183">
        <f t="shared" si="152"/>
        <v>7.2725613348607237E-4</v>
      </c>
      <c r="CX98" s="193">
        <f t="shared" si="84"/>
        <v>3.9078693623737214E-4</v>
      </c>
      <c r="CY98" s="193">
        <f t="shared" si="85"/>
        <v>7.262567111322458E-5</v>
      </c>
      <c r="CZ98" s="193">
        <f t="shared" si="86"/>
        <v>1.8102422168986542E-4</v>
      </c>
      <c r="DA98" s="193">
        <f t="shared" si="87"/>
        <v>1.3663203920763901E-4</v>
      </c>
      <c r="DB98" s="193">
        <f t="shared" si="88"/>
        <v>1.0762193826642217E-5</v>
      </c>
      <c r="DC98" s="193">
        <f t="shared" si="89"/>
        <v>1.5595153519540947E-5</v>
      </c>
      <c r="DD98" s="193">
        <f t="shared" si="90"/>
        <v>8.1555590460702604E-5</v>
      </c>
      <c r="DE98" s="193">
        <f t="shared" si="91"/>
        <v>5.0672053267524593E-5</v>
      </c>
      <c r="DF98" s="193">
        <f t="shared" si="92"/>
        <v>1.5976331691812001E-3</v>
      </c>
      <c r="DG98" s="193">
        <f t="shared" si="93"/>
        <v>3.2542237772075904E-4</v>
      </c>
      <c r="DI98" s="83"/>
    </row>
    <row r="99" spans="1:113">
      <c r="A99" s="150">
        <v>43988</v>
      </c>
      <c r="B99" s="129">
        <v>5629</v>
      </c>
      <c r="C99" s="129">
        <v>348</v>
      </c>
      <c r="D99" s="129">
        <v>5626</v>
      </c>
      <c r="E99" s="129">
        <v>3016</v>
      </c>
      <c r="F99" s="129">
        <v>216</v>
      </c>
      <c r="G99" s="129">
        <v>181</v>
      </c>
      <c r="H99" s="129">
        <v>468</v>
      </c>
      <c r="I99" s="129">
        <v>105</v>
      </c>
      <c r="J99" s="129">
        <v>30379</v>
      </c>
      <c r="K99" s="165">
        <f t="shared" si="78"/>
        <v>45968</v>
      </c>
      <c r="L99" s="80">
        <v>101</v>
      </c>
      <c r="M99" s="80">
        <v>9</v>
      </c>
      <c r="N99" s="80">
        <v>47</v>
      </c>
      <c r="O99" s="80">
        <v>61</v>
      </c>
      <c r="P99" s="80">
        <v>3</v>
      </c>
      <c r="Q99" s="80">
        <v>0</v>
      </c>
      <c r="R99" s="80">
        <v>1</v>
      </c>
      <c r="S99" s="80">
        <v>1</v>
      </c>
      <c r="T99" s="80">
        <v>729</v>
      </c>
      <c r="U99" s="80">
        <f t="shared" si="79"/>
        <v>952</v>
      </c>
      <c r="V99" s="130">
        <v>2666</v>
      </c>
      <c r="W99" s="130">
        <v>152</v>
      </c>
      <c r="X99" s="130">
        <v>2344</v>
      </c>
      <c r="Y99" s="130">
        <v>1378</v>
      </c>
      <c r="Z99" s="130">
        <v>158</v>
      </c>
      <c r="AA99" s="130">
        <v>94</v>
      </c>
      <c r="AB99" s="130">
        <v>73</v>
      </c>
      <c r="AC99" s="130">
        <v>38</v>
      </c>
      <c r="AD99" s="130">
        <v>17355</v>
      </c>
      <c r="AE99" s="130">
        <f t="shared" si="80"/>
        <v>24258</v>
      </c>
      <c r="AF99" s="151">
        <f t="shared" si="96"/>
        <v>2862</v>
      </c>
      <c r="AG99" s="151">
        <f t="shared" si="97"/>
        <v>187</v>
      </c>
      <c r="AH99" s="151">
        <f t="shared" si="98"/>
        <v>3235</v>
      </c>
      <c r="AI99" s="151">
        <f t="shared" si="99"/>
        <v>1577</v>
      </c>
      <c r="AJ99" s="151">
        <f t="shared" si="100"/>
        <v>55</v>
      </c>
      <c r="AK99" s="151">
        <f t="shared" si="101"/>
        <v>87</v>
      </c>
      <c r="AL99" s="151">
        <f t="shared" si="102"/>
        <v>394</v>
      </c>
      <c r="AM99" s="151">
        <f t="shared" si="103"/>
        <v>66</v>
      </c>
      <c r="AN99" s="151">
        <f t="shared" si="104"/>
        <v>12295</v>
      </c>
      <c r="AO99" s="151">
        <f t="shared" si="81"/>
        <v>20758</v>
      </c>
      <c r="AP99" s="57">
        <f t="shared" si="105"/>
        <v>389</v>
      </c>
      <c r="AQ99" s="57">
        <f t="shared" si="106"/>
        <v>12</v>
      </c>
      <c r="AR99" s="57">
        <f t="shared" si="107"/>
        <v>411</v>
      </c>
      <c r="AS99" s="57">
        <f t="shared" si="108"/>
        <v>80</v>
      </c>
      <c r="AT99" s="57">
        <f t="shared" si="109"/>
        <v>1</v>
      </c>
      <c r="AU99" s="57">
        <f t="shared" si="110"/>
        <v>12</v>
      </c>
      <c r="AV99" s="57">
        <f t="shared" si="111"/>
        <v>59</v>
      </c>
      <c r="AW99" s="57">
        <f t="shared" si="112"/>
        <v>3</v>
      </c>
      <c r="AX99" s="57">
        <f t="shared" si="113"/>
        <v>1572</v>
      </c>
      <c r="AY99" s="57">
        <f t="shared" si="82"/>
        <v>2539</v>
      </c>
      <c r="AZ99" s="152">
        <f t="shared" ca="1" si="114"/>
        <v>19910.267430816832</v>
      </c>
      <c r="BA99" s="152">
        <f t="shared" ca="1" si="115"/>
        <v>3054.5011200390763</v>
      </c>
      <c r="BB99" s="152">
        <f t="shared" ca="1" si="116"/>
        <v>10512.101069815068</v>
      </c>
      <c r="BC99" s="152">
        <f t="shared" ca="1" si="117"/>
        <v>16689.462778483718</v>
      </c>
      <c r="BD99" s="152">
        <f t="shared" ca="1" si="118"/>
        <v>828.24861996460436</v>
      </c>
      <c r="BE99" s="152">
        <f t="shared" ca="1" si="119"/>
        <v>-181</v>
      </c>
      <c r="BF99" s="152">
        <f t="shared" ca="1" si="120"/>
        <v>-87.655394026024794</v>
      </c>
      <c r="BG99" s="152">
        <f t="shared" ca="1" si="121"/>
        <v>269.34733010847316</v>
      </c>
      <c r="BH99" s="152">
        <f t="shared" ca="1" si="122"/>
        <v>170149.91451018644</v>
      </c>
      <c r="BI99" s="152">
        <f t="shared" ca="1" si="94"/>
        <v>221145.18746538818</v>
      </c>
      <c r="BJ99" s="163">
        <f t="shared" ca="1" si="123"/>
        <v>10123.145387635064</v>
      </c>
      <c r="BK99" s="163">
        <f t="shared" ca="1" si="124"/>
        <v>1641.3554869175496</v>
      </c>
      <c r="BL99" s="163">
        <f t="shared" ca="1" si="125"/>
        <v>6044.5515394332997</v>
      </c>
      <c r="BM99" s="163">
        <f t="shared" ca="1" si="126"/>
        <v>8726.5526530732168</v>
      </c>
      <c r="BN99" s="163">
        <f t="shared" ca="1" si="127"/>
        <v>210.89663934283908</v>
      </c>
      <c r="BO99" s="163">
        <f t="shared" ca="1" si="128"/>
        <v>-87</v>
      </c>
      <c r="BP99" s="163">
        <f t="shared" ca="1" si="129"/>
        <v>-73.795353090285829</v>
      </c>
      <c r="BQ99" s="163">
        <f t="shared" ca="1" si="130"/>
        <v>169.30403606818311</v>
      </c>
      <c r="BR99" s="163">
        <f t="shared" ca="1" si="131"/>
        <v>68863.135682634136</v>
      </c>
      <c r="BS99" s="163">
        <f t="shared" ca="1" si="95"/>
        <v>95618.146072014002</v>
      </c>
      <c r="BT99" s="164">
        <f t="shared" si="133"/>
        <v>1.7942796233789304E-2</v>
      </c>
      <c r="BU99" s="164">
        <f t="shared" si="134"/>
        <v>2.5862068965517241E-2</v>
      </c>
      <c r="BV99" s="164">
        <f t="shared" si="135"/>
        <v>8.3540703874866694E-3</v>
      </c>
      <c r="BW99" s="164">
        <f t="shared" si="136"/>
        <v>2.0225464190981434E-2</v>
      </c>
      <c r="BX99" s="164">
        <f t="shared" si="137"/>
        <v>1.3888888888888888E-2</v>
      </c>
      <c r="BY99" s="164">
        <f t="shared" si="138"/>
        <v>0</v>
      </c>
      <c r="BZ99" s="164">
        <f t="shared" si="139"/>
        <v>2.136752136752137E-3</v>
      </c>
      <c r="CA99" s="164">
        <f t="shared" si="140"/>
        <v>9.5238095238095247E-3</v>
      </c>
      <c r="CB99" s="164">
        <f t="shared" si="141"/>
        <v>2.3996839922314758E-2</v>
      </c>
      <c r="CC99" s="164">
        <f t="shared" si="142"/>
        <v>2.0710059171597635E-2</v>
      </c>
      <c r="CD99" s="180">
        <f t="shared" si="153"/>
        <v>3060</v>
      </c>
      <c r="CE99" s="180">
        <f t="shared" si="154"/>
        <v>152</v>
      </c>
      <c r="CF99" s="180">
        <f t="shared" si="155"/>
        <v>2993</v>
      </c>
      <c r="CG99" s="180">
        <f t="shared" si="156"/>
        <v>1239</v>
      </c>
      <c r="CH99" s="180">
        <f t="shared" si="157"/>
        <v>92</v>
      </c>
      <c r="CI99" s="180">
        <f t="shared" si="158"/>
        <v>84</v>
      </c>
      <c r="CJ99" s="180">
        <f t="shared" si="159"/>
        <v>387</v>
      </c>
      <c r="CK99" s="180">
        <f t="shared" si="160"/>
        <v>65</v>
      </c>
      <c r="CL99" s="180">
        <f t="shared" si="161"/>
        <v>16553</v>
      </c>
      <c r="CM99" s="180">
        <f t="shared" si="161"/>
        <v>24625</v>
      </c>
      <c r="CN99" s="183">
        <f t="shared" si="143"/>
        <v>8.1926989351216678E-4</v>
      </c>
      <c r="CO99" s="183">
        <f t="shared" si="144"/>
        <v>1.2389085072255957E-4</v>
      </c>
      <c r="CP99" s="183">
        <f t="shared" si="145"/>
        <v>3.5974647517738711E-4</v>
      </c>
      <c r="CQ99" s="183">
        <f t="shared" si="146"/>
        <v>2.7417314055238809E-4</v>
      </c>
      <c r="CR99" s="183">
        <f t="shared" si="147"/>
        <v>3.6898950262773314E-5</v>
      </c>
      <c r="CS99" s="183">
        <f t="shared" si="148"/>
        <v>3.7636303827158822E-5</v>
      </c>
      <c r="CT99" s="183">
        <f t="shared" si="149"/>
        <v>1.1393437712122036E-4</v>
      </c>
      <c r="CU99" s="183">
        <f t="shared" si="150"/>
        <v>7.9411426762538546E-5</v>
      </c>
      <c r="CV99" s="183">
        <f t="shared" si="151"/>
        <v>4.1589115721127404E-3</v>
      </c>
      <c r="CW99" s="183">
        <f t="shared" si="152"/>
        <v>7.6977388252291723E-4</v>
      </c>
      <c r="CX99" s="193">
        <f t="shared" si="84"/>
        <v>4.1654830968765701E-4</v>
      </c>
      <c r="CY99" s="193">
        <f t="shared" si="85"/>
        <v>6.6573531853789201E-5</v>
      </c>
      <c r="CZ99" s="193">
        <f t="shared" si="86"/>
        <v>2.0685742040505638E-4</v>
      </c>
      <c r="DA99" s="193">
        <f t="shared" si="87"/>
        <v>1.4335909902225331E-4</v>
      </c>
      <c r="DB99" s="193">
        <f t="shared" si="88"/>
        <v>9.3955660391320944E-6</v>
      </c>
      <c r="DC99" s="193">
        <f t="shared" si="89"/>
        <v>1.80903780826675E-5</v>
      </c>
      <c r="DD99" s="193">
        <f t="shared" si="90"/>
        <v>9.5919112362736792E-5</v>
      </c>
      <c r="DE99" s="193">
        <f t="shared" si="91"/>
        <v>4.9915753965024222E-5</v>
      </c>
      <c r="DF99" s="193">
        <f t="shared" si="92"/>
        <v>1.6831962138031582E-3</v>
      </c>
      <c r="DG99" s="193">
        <f t="shared" si="93"/>
        <v>3.4761064769863202E-4</v>
      </c>
      <c r="DI99" s="83"/>
    </row>
    <row r="100" spans="1:113">
      <c r="A100" s="150">
        <v>43989</v>
      </c>
      <c r="B100" s="129">
        <v>5974</v>
      </c>
      <c r="C100" s="129">
        <v>361</v>
      </c>
      <c r="D100" s="129">
        <v>5946</v>
      </c>
      <c r="E100" s="129">
        <v>3108</v>
      </c>
      <c r="F100" s="129">
        <v>227</v>
      </c>
      <c r="G100" s="129">
        <v>189</v>
      </c>
      <c r="H100" s="129">
        <v>523</v>
      </c>
      <c r="I100" s="129">
        <v>114</v>
      </c>
      <c r="J100" s="129">
        <v>31824</v>
      </c>
      <c r="K100" s="165">
        <f t="shared" si="78"/>
        <v>48266</v>
      </c>
      <c r="L100" s="80">
        <v>101</v>
      </c>
      <c r="M100" s="80">
        <v>9</v>
      </c>
      <c r="N100" s="80">
        <v>47</v>
      </c>
      <c r="O100" s="80">
        <v>61</v>
      </c>
      <c r="P100" s="80">
        <v>3</v>
      </c>
      <c r="Q100" s="80">
        <v>1</v>
      </c>
      <c r="R100" s="80">
        <v>1</v>
      </c>
      <c r="S100" s="80">
        <v>1</v>
      </c>
      <c r="T100" s="80">
        <v>774</v>
      </c>
      <c r="U100" s="80">
        <f t="shared" si="79"/>
        <v>998</v>
      </c>
      <c r="V100" s="130">
        <v>2666</v>
      </c>
      <c r="W100" s="130">
        <v>152</v>
      </c>
      <c r="X100" s="130">
        <v>2428</v>
      </c>
      <c r="Y100" s="130">
        <v>1378</v>
      </c>
      <c r="Z100" s="130">
        <v>158</v>
      </c>
      <c r="AA100" s="130">
        <v>102</v>
      </c>
      <c r="AB100" s="130">
        <v>73</v>
      </c>
      <c r="AC100" s="130">
        <v>41</v>
      </c>
      <c r="AD100" s="130">
        <v>17366</v>
      </c>
      <c r="AE100" s="130">
        <f t="shared" si="80"/>
        <v>24364</v>
      </c>
      <c r="AF100" s="151">
        <f t="shared" si="96"/>
        <v>3207</v>
      </c>
      <c r="AG100" s="151">
        <f t="shared" si="97"/>
        <v>200</v>
      </c>
      <c r="AH100" s="151">
        <f t="shared" si="98"/>
        <v>3471</v>
      </c>
      <c r="AI100" s="151">
        <f t="shared" si="99"/>
        <v>1669</v>
      </c>
      <c r="AJ100" s="151">
        <f t="shared" si="100"/>
        <v>66</v>
      </c>
      <c r="AK100" s="151">
        <f t="shared" si="101"/>
        <v>86</v>
      </c>
      <c r="AL100" s="151">
        <f t="shared" si="102"/>
        <v>449</v>
      </c>
      <c r="AM100" s="151">
        <f t="shared" si="103"/>
        <v>72</v>
      </c>
      <c r="AN100" s="151">
        <f t="shared" si="104"/>
        <v>13684</v>
      </c>
      <c r="AO100" s="151">
        <f t="shared" si="81"/>
        <v>22904</v>
      </c>
      <c r="AP100" s="57">
        <f t="shared" si="105"/>
        <v>345</v>
      </c>
      <c r="AQ100" s="57">
        <f t="shared" si="106"/>
        <v>13</v>
      </c>
      <c r="AR100" s="57">
        <f t="shared" si="107"/>
        <v>320</v>
      </c>
      <c r="AS100" s="57">
        <f t="shared" si="108"/>
        <v>92</v>
      </c>
      <c r="AT100" s="57">
        <f t="shared" si="109"/>
        <v>11</v>
      </c>
      <c r="AU100" s="57">
        <f t="shared" si="110"/>
        <v>8</v>
      </c>
      <c r="AV100" s="57">
        <f t="shared" si="111"/>
        <v>55</v>
      </c>
      <c r="AW100" s="57">
        <f t="shared" si="112"/>
        <v>9</v>
      </c>
      <c r="AX100" s="57">
        <f t="shared" si="113"/>
        <v>1445</v>
      </c>
      <c r="AY100" s="57">
        <f t="shared" si="82"/>
        <v>2298</v>
      </c>
      <c r="AZ100" s="152">
        <f t="shared" ca="1" si="114"/>
        <v>19565.267430816832</v>
      </c>
      <c r="BA100" s="152">
        <f t="shared" ca="1" si="115"/>
        <v>3041.5011200390763</v>
      </c>
      <c r="BB100" s="152">
        <f t="shared" ca="1" si="116"/>
        <v>10192.101069815068</v>
      </c>
      <c r="BC100" s="152">
        <f t="shared" ca="1" si="117"/>
        <v>16597.462778483718</v>
      </c>
      <c r="BD100" s="152">
        <f t="shared" ca="1" si="118"/>
        <v>817.24861996460436</v>
      </c>
      <c r="BE100" s="152">
        <f t="shared" ca="1" si="119"/>
        <v>243.72415160913556</v>
      </c>
      <c r="BF100" s="152">
        <f t="shared" ca="1" si="120"/>
        <v>-142.65539402602479</v>
      </c>
      <c r="BG100" s="152">
        <f t="shared" ca="1" si="121"/>
        <v>260.34733010847316</v>
      </c>
      <c r="BH100" s="152">
        <f t="shared" ca="1" si="122"/>
        <v>181083.24256637078</v>
      </c>
      <c r="BI100" s="152">
        <f t="shared" ca="1" si="94"/>
        <v>231658.23967318167</v>
      </c>
      <c r="BJ100" s="163">
        <f t="shared" ca="1" si="123"/>
        <v>10503.149087818812</v>
      </c>
      <c r="BK100" s="163">
        <f t="shared" ca="1" si="124"/>
        <v>1685.0421717668012</v>
      </c>
      <c r="BL100" s="163">
        <f t="shared" ca="1" si="125"/>
        <v>5949.6775669909357</v>
      </c>
      <c r="BM100" s="163">
        <f t="shared" ca="1" si="126"/>
        <v>8912.8588730017127</v>
      </c>
      <c r="BN100" s="163">
        <f t="shared" ca="1" si="127"/>
        <v>237.61413620116249</v>
      </c>
      <c r="BO100" s="163">
        <f t="shared" ca="1" si="128"/>
        <v>110.90093671103523</v>
      </c>
      <c r="BP100" s="163">
        <f t="shared" ca="1" si="129"/>
        <v>-122.47088320781096</v>
      </c>
      <c r="BQ100" s="163">
        <f t="shared" ca="1" si="130"/>
        <v>164.42989270008832</v>
      </c>
      <c r="BR100" s="163">
        <f t="shared" ca="1" si="131"/>
        <v>77863.973456454813</v>
      </c>
      <c r="BS100" s="163">
        <f t="shared" ca="1" si="95"/>
        <v>105305.17523843754</v>
      </c>
      <c r="BT100" s="164">
        <f t="shared" si="133"/>
        <v>1.6906595246066289E-2</v>
      </c>
      <c r="BU100" s="164">
        <f t="shared" si="134"/>
        <v>2.4930747922437674E-2</v>
      </c>
      <c r="BV100" s="164">
        <f t="shared" si="135"/>
        <v>7.9044735956945843E-3</v>
      </c>
      <c r="BW100" s="164">
        <f t="shared" si="136"/>
        <v>1.9626769626769628E-2</v>
      </c>
      <c r="BX100" s="164">
        <f t="shared" si="137"/>
        <v>1.3215859030837005E-2</v>
      </c>
      <c r="BY100" s="164">
        <f t="shared" si="138"/>
        <v>5.2910052910052907E-3</v>
      </c>
      <c r="BZ100" s="164">
        <f t="shared" si="139"/>
        <v>1.9120458891013384E-3</v>
      </c>
      <c r="CA100" s="164">
        <f t="shared" si="140"/>
        <v>8.771929824561403E-3</v>
      </c>
      <c r="CB100" s="164">
        <f t="shared" si="141"/>
        <v>2.4321266968325792E-2</v>
      </c>
      <c r="CC100" s="164">
        <f t="shared" si="142"/>
        <v>2.0677081175154353E-2</v>
      </c>
      <c r="CD100" s="180">
        <f t="shared" si="153"/>
        <v>3284</v>
      </c>
      <c r="CE100" s="180">
        <f t="shared" si="154"/>
        <v>159</v>
      </c>
      <c r="CF100" s="180">
        <f t="shared" si="155"/>
        <v>3174</v>
      </c>
      <c r="CG100" s="180">
        <f t="shared" si="156"/>
        <v>1293</v>
      </c>
      <c r="CH100" s="180">
        <f t="shared" si="157"/>
        <v>99</v>
      </c>
      <c r="CI100" s="180">
        <f t="shared" si="158"/>
        <v>88</v>
      </c>
      <c r="CJ100" s="180">
        <f t="shared" si="159"/>
        <v>429</v>
      </c>
      <c r="CK100" s="180">
        <f t="shared" si="160"/>
        <v>74</v>
      </c>
      <c r="CL100" s="180">
        <f t="shared" si="161"/>
        <v>17084</v>
      </c>
      <c r="CM100" s="180">
        <f t="shared" si="161"/>
        <v>25684</v>
      </c>
      <c r="CN100" s="183">
        <f t="shared" si="143"/>
        <v>8.6948274006780682E-4</v>
      </c>
      <c r="CO100" s="183">
        <f t="shared" si="144"/>
        <v>1.2851895721506897E-4</v>
      </c>
      <c r="CP100" s="183">
        <f t="shared" si="145"/>
        <v>3.8020841475377596E-4</v>
      </c>
      <c r="CQ100" s="183">
        <f t="shared" si="146"/>
        <v>2.8253651221380046E-4</v>
      </c>
      <c r="CR100" s="183">
        <f t="shared" si="147"/>
        <v>3.8778063470599735E-5</v>
      </c>
      <c r="CS100" s="183">
        <f t="shared" si="148"/>
        <v>3.9299786869243189E-5</v>
      </c>
      <c r="CT100" s="183">
        <f t="shared" si="149"/>
        <v>1.2732410092820137E-4</v>
      </c>
      <c r="CU100" s="183">
        <f t="shared" si="150"/>
        <v>8.6218120485041845E-5</v>
      </c>
      <c r="CV100" s="183">
        <f t="shared" si="151"/>
        <v>4.3567333312787074E-3</v>
      </c>
      <c r="CW100" s="183">
        <f t="shared" si="152"/>
        <v>8.082558783034094E-4</v>
      </c>
      <c r="CX100" s="193">
        <f t="shared" si="84"/>
        <v>4.66761156243297E-4</v>
      </c>
      <c r="CY100" s="193">
        <f t="shared" si="85"/>
        <v>7.1201638346298602E-5</v>
      </c>
      <c r="CZ100" s="193">
        <f t="shared" si="86"/>
        <v>2.2194810084264318E-4</v>
      </c>
      <c r="DA100" s="193">
        <f t="shared" si="87"/>
        <v>1.5172247068366568E-4</v>
      </c>
      <c r="DB100" s="193">
        <f t="shared" si="88"/>
        <v>1.1274679246958514E-5</v>
      </c>
      <c r="DC100" s="193">
        <f t="shared" si="89"/>
        <v>1.7882442702406955E-5</v>
      </c>
      <c r="DD100" s="193">
        <f t="shared" si="90"/>
        <v>1.0930883616971782E-4</v>
      </c>
      <c r="DE100" s="193">
        <f t="shared" si="91"/>
        <v>5.4453549780026431E-5</v>
      </c>
      <c r="DF100" s="193">
        <f t="shared" si="92"/>
        <v>1.8733515241709977E-3</v>
      </c>
      <c r="DG100" s="193">
        <f t="shared" si="93"/>
        <v>3.8354727213071909E-4</v>
      </c>
      <c r="DI100" s="83"/>
    </row>
    <row r="101" spans="1:113">
      <c r="A101" s="150">
        <v>43990</v>
      </c>
      <c r="B101" s="129">
        <v>6341</v>
      </c>
      <c r="C101" s="129">
        <v>373</v>
      </c>
      <c r="D101" s="129">
        <v>6258</v>
      </c>
      <c r="E101" s="129">
        <v>3175</v>
      </c>
      <c r="F101" s="129">
        <v>244</v>
      </c>
      <c r="G101" s="129">
        <v>183</v>
      </c>
      <c r="H101" s="129">
        <v>580</v>
      </c>
      <c r="I101" s="129">
        <v>118</v>
      </c>
      <c r="J101" s="129">
        <v>33568</v>
      </c>
      <c r="K101" s="165">
        <f t="shared" si="78"/>
        <v>50840</v>
      </c>
      <c r="L101" s="80">
        <v>127</v>
      </c>
      <c r="M101" s="80">
        <v>9</v>
      </c>
      <c r="N101" s="80">
        <v>47</v>
      </c>
      <c r="O101" s="80">
        <v>62</v>
      </c>
      <c r="P101" s="80">
        <v>3</v>
      </c>
      <c r="Q101" s="80">
        <v>1</v>
      </c>
      <c r="R101" s="80">
        <v>1</v>
      </c>
      <c r="S101" s="80">
        <v>1</v>
      </c>
      <c r="T101" s="80">
        <v>829</v>
      </c>
      <c r="U101" s="80">
        <f t="shared" si="79"/>
        <v>1080</v>
      </c>
      <c r="V101" s="130">
        <v>2666</v>
      </c>
      <c r="W101" s="130">
        <v>152</v>
      </c>
      <c r="X101" s="130">
        <v>2428</v>
      </c>
      <c r="Y101" s="130">
        <v>1378</v>
      </c>
      <c r="Z101" s="130">
        <v>158</v>
      </c>
      <c r="AA101" s="130">
        <v>102</v>
      </c>
      <c r="AB101" s="130">
        <v>73</v>
      </c>
      <c r="AC101" s="130">
        <v>41</v>
      </c>
      <c r="AD101" s="130">
        <v>19101</v>
      </c>
      <c r="AE101" s="130">
        <f t="shared" si="80"/>
        <v>26099</v>
      </c>
      <c r="AF101" s="151">
        <f t="shared" si="96"/>
        <v>3548</v>
      </c>
      <c r="AG101" s="151">
        <f t="shared" si="97"/>
        <v>212</v>
      </c>
      <c r="AH101" s="151">
        <f t="shared" si="98"/>
        <v>3783</v>
      </c>
      <c r="AI101" s="151">
        <f t="shared" si="99"/>
        <v>1735</v>
      </c>
      <c r="AJ101" s="151">
        <f t="shared" si="100"/>
        <v>83</v>
      </c>
      <c r="AK101" s="151">
        <f t="shared" si="101"/>
        <v>80</v>
      </c>
      <c r="AL101" s="151">
        <f t="shared" si="102"/>
        <v>506</v>
      </c>
      <c r="AM101" s="151">
        <f t="shared" si="103"/>
        <v>76</v>
      </c>
      <c r="AN101" s="151">
        <f t="shared" si="104"/>
        <v>13638</v>
      </c>
      <c r="AO101" s="151">
        <f t="shared" si="81"/>
        <v>23661</v>
      </c>
      <c r="AP101" s="57">
        <f t="shared" si="105"/>
        <v>367</v>
      </c>
      <c r="AQ101" s="57">
        <f t="shared" si="106"/>
        <v>12</v>
      </c>
      <c r="AR101" s="57">
        <f t="shared" si="107"/>
        <v>312</v>
      </c>
      <c r="AS101" s="57">
        <f t="shared" si="108"/>
        <v>67</v>
      </c>
      <c r="AT101" s="57">
        <f t="shared" si="109"/>
        <v>17</v>
      </c>
      <c r="AU101" s="57">
        <f t="shared" si="110"/>
        <v>-6</v>
      </c>
      <c r="AV101" s="57">
        <f t="shared" si="111"/>
        <v>57</v>
      </c>
      <c r="AW101" s="57">
        <f t="shared" si="112"/>
        <v>4</v>
      </c>
      <c r="AX101" s="57">
        <f t="shared" si="113"/>
        <v>1744</v>
      </c>
      <c r="AY101" s="57">
        <f t="shared" si="82"/>
        <v>2574</v>
      </c>
      <c r="AZ101" s="152">
        <f t="shared" ca="1" si="114"/>
        <v>25772.7323139974</v>
      </c>
      <c r="BA101" s="152">
        <f t="shared" ca="1" si="115"/>
        <v>3029.5011200390763</v>
      </c>
      <c r="BB101" s="152">
        <f t="shared" ca="1" si="116"/>
        <v>9880.1010698150676</v>
      </c>
      <c r="BC101" s="152">
        <f t="shared" ca="1" si="117"/>
        <v>16853.503151901481</v>
      </c>
      <c r="BD101" s="152">
        <f t="shared" ca="1" si="118"/>
        <v>800.24861996460436</v>
      </c>
      <c r="BE101" s="152">
        <f t="shared" ca="1" si="119"/>
        <v>249.72415160913556</v>
      </c>
      <c r="BF101" s="152">
        <f t="shared" ca="1" si="120"/>
        <v>-199.65539402602479</v>
      </c>
      <c r="BG101" s="152">
        <f t="shared" ca="1" si="121"/>
        <v>256.34733010847316</v>
      </c>
      <c r="BH101" s="152">
        <f t="shared" ca="1" si="122"/>
        <v>194468.31019059609</v>
      </c>
      <c r="BI101" s="152">
        <f t="shared" ca="1" si="94"/>
        <v>251110.8125540053</v>
      </c>
      <c r="BJ101" s="163">
        <f t="shared" ca="1" si="123"/>
        <v>14420.699298227848</v>
      </c>
      <c r="BK101" s="163">
        <f t="shared" ca="1" si="124"/>
        <v>1721.8612264029066</v>
      </c>
      <c r="BL101" s="163">
        <f t="shared" ca="1" si="125"/>
        <v>5972.5826697204211</v>
      </c>
      <c r="BM101" s="163">
        <f t="shared" ca="1" si="126"/>
        <v>9209.709596393408</v>
      </c>
      <c r="BN101" s="163">
        <f t="shared" ca="1" si="127"/>
        <v>272.21571908632035</v>
      </c>
      <c r="BO101" s="163">
        <f t="shared" ca="1" si="128"/>
        <v>109.16902802585162</v>
      </c>
      <c r="BP101" s="163">
        <f t="shared" ca="1" si="129"/>
        <v>-174.18211961580784</v>
      </c>
      <c r="BQ101" s="163">
        <f t="shared" ca="1" si="130"/>
        <v>165.10506006986407</v>
      </c>
      <c r="BR101" s="163">
        <f t="shared" ca="1" si="131"/>
        <v>79008.544279651745</v>
      </c>
      <c r="BS101" s="163">
        <f t="shared" ca="1" si="95"/>
        <v>110705.70475796257</v>
      </c>
      <c r="BT101" s="164">
        <f t="shared" si="133"/>
        <v>2.0028386689796562E-2</v>
      </c>
      <c r="BU101" s="164">
        <f t="shared" si="134"/>
        <v>2.4128686327077747E-2</v>
      </c>
      <c r="BV101" s="164">
        <f t="shared" si="135"/>
        <v>7.5103867050175773E-3</v>
      </c>
      <c r="BW101" s="164">
        <f t="shared" si="136"/>
        <v>1.9527559055118111E-2</v>
      </c>
      <c r="BX101" s="164">
        <f t="shared" si="137"/>
        <v>1.2295081967213115E-2</v>
      </c>
      <c r="BY101" s="164">
        <f t="shared" si="138"/>
        <v>5.4644808743169399E-3</v>
      </c>
      <c r="BZ101" s="164">
        <f t="shared" si="139"/>
        <v>1.7241379310344827E-3</v>
      </c>
      <c r="CA101" s="164">
        <f t="shared" si="140"/>
        <v>8.4745762711864406E-3</v>
      </c>
      <c r="CB101" s="164">
        <f t="shared" si="141"/>
        <v>2.4696139180171592E-2</v>
      </c>
      <c r="CC101" s="164">
        <f t="shared" si="142"/>
        <v>2.1243115656963022E-2</v>
      </c>
      <c r="CD101" s="180">
        <f t="shared" si="153"/>
        <v>3593</v>
      </c>
      <c r="CE101" s="180">
        <f t="shared" si="154"/>
        <v>165</v>
      </c>
      <c r="CF101" s="180">
        <f t="shared" si="155"/>
        <v>3265</v>
      </c>
      <c r="CG101" s="180">
        <f t="shared" si="156"/>
        <v>1293</v>
      </c>
      <c r="CH101" s="180">
        <f t="shared" si="157"/>
        <v>112</v>
      </c>
      <c r="CI101" s="180">
        <f t="shared" si="158"/>
        <v>81</v>
      </c>
      <c r="CJ101" s="180">
        <f t="shared" si="159"/>
        <v>471</v>
      </c>
      <c r="CK101" s="180">
        <f t="shared" si="160"/>
        <v>73</v>
      </c>
      <c r="CL101" s="180">
        <f t="shared" si="161"/>
        <v>18172</v>
      </c>
      <c r="CM101" s="180">
        <f t="shared" si="161"/>
        <v>27225</v>
      </c>
      <c r="CN101" s="183">
        <f t="shared" si="143"/>
        <v>9.2289756524438612E-4</v>
      </c>
      <c r="CO101" s="183">
        <f t="shared" si="144"/>
        <v>1.3279105551584691E-4</v>
      </c>
      <c r="CP101" s="183">
        <f t="shared" si="145"/>
        <v>4.0015880584075514E-4</v>
      </c>
      <c r="CQ101" s="183">
        <f t="shared" si="146"/>
        <v>2.8862722853243772E-4</v>
      </c>
      <c r="CR101" s="183">
        <f t="shared" si="147"/>
        <v>4.1682147519058748E-5</v>
      </c>
      <c r="CS101" s="183">
        <f t="shared" si="148"/>
        <v>3.8052174587679912E-5</v>
      </c>
      <c r="CT101" s="183">
        <f t="shared" si="149"/>
        <v>1.41200723782709E-4</v>
      </c>
      <c r="CU101" s="183">
        <f t="shared" si="150"/>
        <v>8.9243317695043313E-5</v>
      </c>
      <c r="CV101" s="183">
        <f t="shared" si="151"/>
        <v>4.5954884509918185E-3</v>
      </c>
      <c r="CW101" s="183">
        <f t="shared" si="152"/>
        <v>8.5135973258495287E-4</v>
      </c>
      <c r="CX101" s="193">
        <f t="shared" si="84"/>
        <v>5.1639182486785712E-4</v>
      </c>
      <c r="CY101" s="193">
        <f t="shared" si="85"/>
        <v>7.5473736647076523E-5</v>
      </c>
      <c r="CZ101" s="193">
        <f t="shared" si="86"/>
        <v>2.4189849192962236E-4</v>
      </c>
      <c r="DA101" s="193">
        <f t="shared" si="87"/>
        <v>1.5772228078859195E-4</v>
      </c>
      <c r="DB101" s="193">
        <f t="shared" si="88"/>
        <v>1.4178763295417524E-5</v>
      </c>
      <c r="DC101" s="193">
        <f t="shared" si="89"/>
        <v>1.6634830420843679E-5</v>
      </c>
      <c r="DD101" s="193">
        <f t="shared" si="90"/>
        <v>1.2318545902422544E-4</v>
      </c>
      <c r="DE101" s="193">
        <f t="shared" si="91"/>
        <v>5.7478746990027899E-5</v>
      </c>
      <c r="DF101" s="193">
        <f t="shared" si="92"/>
        <v>1.8670540840868214E-3</v>
      </c>
      <c r="DG101" s="193">
        <f t="shared" si="93"/>
        <v>3.9622389128034165E-4</v>
      </c>
      <c r="DI101" s="83"/>
    </row>
    <row r="102" spans="1:113">
      <c r="A102" s="150">
        <v>43991</v>
      </c>
      <c r="B102" s="129">
        <v>6760</v>
      </c>
      <c r="C102" s="129">
        <v>391</v>
      </c>
      <c r="D102" s="129">
        <v>6546</v>
      </c>
      <c r="E102" s="129">
        <v>3255</v>
      </c>
      <c r="F102" s="129">
        <v>253</v>
      </c>
      <c r="G102" s="129">
        <v>184</v>
      </c>
      <c r="H102" s="129">
        <v>604</v>
      </c>
      <c r="I102" s="129">
        <v>122</v>
      </c>
      <c r="J102" s="129">
        <v>34819</v>
      </c>
      <c r="K102" s="165">
        <f t="shared" si="78"/>
        <v>52934</v>
      </c>
      <c r="L102" s="80">
        <v>138</v>
      </c>
      <c r="M102" s="80">
        <v>9</v>
      </c>
      <c r="N102" s="80">
        <v>57</v>
      </c>
      <c r="O102" s="80">
        <v>62</v>
      </c>
      <c r="P102" s="80">
        <v>3</v>
      </c>
      <c r="Q102" s="80">
        <v>1</v>
      </c>
      <c r="R102" s="80">
        <v>1</v>
      </c>
      <c r="S102" s="80">
        <v>1</v>
      </c>
      <c r="T102" s="80">
        <v>890</v>
      </c>
      <c r="U102" s="80">
        <f t="shared" si="79"/>
        <v>1162</v>
      </c>
      <c r="V102" s="130">
        <v>3514</v>
      </c>
      <c r="W102" s="130">
        <v>162</v>
      </c>
      <c r="X102" s="130">
        <v>2575</v>
      </c>
      <c r="Y102" s="130">
        <v>1566</v>
      </c>
      <c r="Z102" s="130">
        <v>158</v>
      </c>
      <c r="AA102" s="130">
        <v>111</v>
      </c>
      <c r="AB102" s="130">
        <v>88</v>
      </c>
      <c r="AC102" s="130">
        <v>41</v>
      </c>
      <c r="AD102" s="130">
        <v>20791</v>
      </c>
      <c r="AE102" s="130">
        <f t="shared" si="80"/>
        <v>29006</v>
      </c>
      <c r="AF102" s="151">
        <f t="shared" si="96"/>
        <v>3108</v>
      </c>
      <c r="AG102" s="151">
        <f t="shared" si="97"/>
        <v>220</v>
      </c>
      <c r="AH102" s="151">
        <f t="shared" si="98"/>
        <v>3914</v>
      </c>
      <c r="AI102" s="151">
        <f t="shared" si="99"/>
        <v>1627</v>
      </c>
      <c r="AJ102" s="151">
        <f t="shared" si="100"/>
        <v>92</v>
      </c>
      <c r="AK102" s="151">
        <f t="shared" si="101"/>
        <v>72</v>
      </c>
      <c r="AL102" s="151">
        <f t="shared" si="102"/>
        <v>515</v>
      </c>
      <c r="AM102" s="151">
        <f t="shared" si="103"/>
        <v>80</v>
      </c>
      <c r="AN102" s="151">
        <f t="shared" si="104"/>
        <v>13138</v>
      </c>
      <c r="AO102" s="151">
        <f t="shared" si="81"/>
        <v>22766</v>
      </c>
      <c r="AP102" s="57">
        <f t="shared" si="105"/>
        <v>419</v>
      </c>
      <c r="AQ102" s="57">
        <f t="shared" si="106"/>
        <v>18</v>
      </c>
      <c r="AR102" s="57">
        <f t="shared" si="107"/>
        <v>288</v>
      </c>
      <c r="AS102" s="57">
        <f t="shared" si="108"/>
        <v>80</v>
      </c>
      <c r="AT102" s="57">
        <f t="shared" si="109"/>
        <v>9</v>
      </c>
      <c r="AU102" s="57">
        <f t="shared" si="110"/>
        <v>1</v>
      </c>
      <c r="AV102" s="57">
        <f t="shared" si="111"/>
        <v>24</v>
      </c>
      <c r="AW102" s="57">
        <f t="shared" si="112"/>
        <v>4</v>
      </c>
      <c r="AX102" s="57">
        <f t="shared" si="113"/>
        <v>1251</v>
      </c>
      <c r="AY102" s="57">
        <f t="shared" si="82"/>
        <v>2094</v>
      </c>
      <c r="AZ102" s="152">
        <f t="shared" ca="1" si="114"/>
        <v>28135.236687650722</v>
      </c>
      <c r="BA102" s="152">
        <f t="shared" ca="1" si="115"/>
        <v>3011.5011200390763</v>
      </c>
      <c r="BB102" s="152">
        <f t="shared" ca="1" si="116"/>
        <v>13025.739595307634</v>
      </c>
      <c r="BC102" s="152">
        <f t="shared" ca="1" si="117"/>
        <v>16773.503151901481</v>
      </c>
      <c r="BD102" s="152">
        <f t="shared" ca="1" si="118"/>
        <v>791.24861996460436</v>
      </c>
      <c r="BE102" s="152">
        <f t="shared" ca="1" si="119"/>
        <v>248.72415160913556</v>
      </c>
      <c r="BF102" s="152">
        <f t="shared" ca="1" si="120"/>
        <v>-223.65539402602479</v>
      </c>
      <c r="BG102" s="152">
        <f t="shared" ca="1" si="121"/>
        <v>252.34733010847316</v>
      </c>
      <c r="BH102" s="152">
        <f t="shared" ca="1" si="122"/>
        <v>209996.82155564599</v>
      </c>
      <c r="BI102" s="152">
        <f t="shared" ca="1" si="94"/>
        <v>272011.46681820112</v>
      </c>
      <c r="BJ102" s="163">
        <f t="shared" ca="1" si="123"/>
        <v>12935.549648700955</v>
      </c>
      <c r="BK102" s="163">
        <f t="shared" ca="1" si="124"/>
        <v>1694.4507580782526</v>
      </c>
      <c r="BL102" s="163">
        <f t="shared" ca="1" si="125"/>
        <v>7788.3814201090863</v>
      </c>
      <c r="BM102" s="163">
        <f t="shared" ca="1" si="126"/>
        <v>8384.1750009658099</v>
      </c>
      <c r="BN102" s="163">
        <f t="shared" ca="1" si="127"/>
        <v>287.72677089621982</v>
      </c>
      <c r="BO102" s="163">
        <f t="shared" ca="1" si="128"/>
        <v>97.326841934009551</v>
      </c>
      <c r="BP102" s="163">
        <f t="shared" ca="1" si="129"/>
        <v>-190.69954954205755</v>
      </c>
      <c r="BQ102" s="163">
        <f t="shared" ca="1" si="130"/>
        <v>165.4736590875234</v>
      </c>
      <c r="BR102" s="163">
        <f t="shared" ca="1" si="131"/>
        <v>79236.573181253829</v>
      </c>
      <c r="BS102" s="163">
        <f t="shared" ca="1" si="95"/>
        <v>110398.95773148362</v>
      </c>
      <c r="BT102" s="164">
        <f t="shared" si="133"/>
        <v>2.0414201183431954E-2</v>
      </c>
      <c r="BU102" s="164">
        <f t="shared" si="134"/>
        <v>2.3017902813299233E-2</v>
      </c>
      <c r="BV102" s="164">
        <f t="shared" si="135"/>
        <v>8.7076076993583863E-3</v>
      </c>
      <c r="BW102" s="164">
        <f t="shared" si="136"/>
        <v>1.9047619047619049E-2</v>
      </c>
      <c r="BX102" s="164">
        <f t="shared" si="137"/>
        <v>1.1857707509881422E-2</v>
      </c>
      <c r="BY102" s="164">
        <f t="shared" si="138"/>
        <v>5.434782608695652E-3</v>
      </c>
      <c r="BZ102" s="164">
        <f t="shared" si="139"/>
        <v>1.6556291390728477E-3</v>
      </c>
      <c r="CA102" s="164">
        <f t="shared" si="140"/>
        <v>8.1967213114754103E-3</v>
      </c>
      <c r="CB102" s="164">
        <f t="shared" si="141"/>
        <v>2.5560757057928141E-2</v>
      </c>
      <c r="CC102" s="164">
        <f t="shared" si="142"/>
        <v>2.1951864586088336E-2</v>
      </c>
      <c r="CD102" s="180">
        <f t="shared" si="153"/>
        <v>3896</v>
      </c>
      <c r="CE102" s="180">
        <f t="shared" si="154"/>
        <v>185</v>
      </c>
      <c r="CF102" s="180">
        <f t="shared" si="155"/>
        <v>3503</v>
      </c>
      <c r="CG102" s="180">
        <f t="shared" si="156"/>
        <v>1328</v>
      </c>
      <c r="CH102" s="180">
        <f t="shared" si="157"/>
        <v>121</v>
      </c>
      <c r="CI102" s="180">
        <f t="shared" si="158"/>
        <v>81</v>
      </c>
      <c r="CJ102" s="180">
        <f t="shared" si="159"/>
        <v>489</v>
      </c>
      <c r="CK102" s="180">
        <f t="shared" si="160"/>
        <v>77</v>
      </c>
      <c r="CL102" s="180">
        <f t="shared" si="161"/>
        <v>18990</v>
      </c>
      <c r="CM102" s="180">
        <f t="shared" si="161"/>
        <v>28670</v>
      </c>
      <c r="CN102" s="183">
        <f t="shared" si="143"/>
        <v>9.8388070352500401E-4</v>
      </c>
      <c r="CO102" s="183">
        <f t="shared" si="144"/>
        <v>1.3919920296701378E-4</v>
      </c>
      <c r="CP102" s="183">
        <f t="shared" si="145"/>
        <v>4.1857455145950513E-4</v>
      </c>
      <c r="CQ102" s="183">
        <f t="shared" si="146"/>
        <v>2.9589972562931805E-4</v>
      </c>
      <c r="CR102" s="183">
        <f t="shared" si="147"/>
        <v>4.3219603780007634E-5</v>
      </c>
      <c r="CS102" s="183">
        <f t="shared" si="148"/>
        <v>3.8260109967940457E-5</v>
      </c>
      <c r="CT102" s="183">
        <f t="shared" si="149"/>
        <v>1.4704351235302797E-4</v>
      </c>
      <c r="CU102" s="183">
        <f t="shared" si="150"/>
        <v>9.2268514905044781E-5</v>
      </c>
      <c r="CV102" s="183">
        <f t="shared" si="151"/>
        <v>4.7667514411071296E-3</v>
      </c>
      <c r="CW102" s="183">
        <f t="shared" si="152"/>
        <v>8.8642557208205928E-4</v>
      </c>
      <c r="CX102" s="193">
        <f t="shared" si="84"/>
        <v>4.5235225244906989E-4</v>
      </c>
      <c r="CY102" s="193">
        <f t="shared" si="85"/>
        <v>7.8321802180928465E-5</v>
      </c>
      <c r="CZ102" s="193">
        <f t="shared" si="86"/>
        <v>2.5027509844370653E-4</v>
      </c>
      <c r="DA102" s="193">
        <f t="shared" si="87"/>
        <v>1.4790440970780352E-4</v>
      </c>
      <c r="DB102" s="193">
        <f t="shared" si="88"/>
        <v>1.5716219556366411E-5</v>
      </c>
      <c r="DC102" s="193">
        <f t="shared" si="89"/>
        <v>1.4971347378759311E-5</v>
      </c>
      <c r="DD102" s="193">
        <f t="shared" si="90"/>
        <v>1.2537650473809506E-4</v>
      </c>
      <c r="DE102" s="193">
        <f t="shared" si="91"/>
        <v>6.0503944200029367E-5</v>
      </c>
      <c r="DF102" s="193">
        <f t="shared" si="92"/>
        <v>1.798603648389255E-3</v>
      </c>
      <c r="DG102" s="193">
        <f t="shared" si="93"/>
        <v>3.812363428801935E-4</v>
      </c>
      <c r="DI102" s="83"/>
    </row>
    <row r="103" spans="1:113">
      <c r="A103" s="150">
        <v>43992</v>
      </c>
      <c r="B103" s="129">
        <v>7154</v>
      </c>
      <c r="C103" s="129">
        <v>401</v>
      </c>
      <c r="D103" s="129">
        <v>7195</v>
      </c>
      <c r="E103" s="129">
        <v>3347</v>
      </c>
      <c r="F103" s="129">
        <v>257</v>
      </c>
      <c r="G103" s="129">
        <v>207</v>
      </c>
      <c r="H103" s="129">
        <v>657</v>
      </c>
      <c r="I103" s="129">
        <v>125</v>
      </c>
      <c r="J103" s="129">
        <v>36021</v>
      </c>
      <c r="K103" s="165">
        <f t="shared" si="78"/>
        <v>55364</v>
      </c>
      <c r="L103" s="80">
        <v>147</v>
      </c>
      <c r="M103" s="80">
        <v>9</v>
      </c>
      <c r="N103" s="80">
        <v>57</v>
      </c>
      <c r="O103" s="80">
        <v>64</v>
      </c>
      <c r="P103" s="80">
        <v>3</v>
      </c>
      <c r="Q103" s="80">
        <v>1</v>
      </c>
      <c r="R103" s="80">
        <v>1</v>
      </c>
      <c r="S103" s="80">
        <v>1</v>
      </c>
      <c r="T103" s="80">
        <v>927</v>
      </c>
      <c r="U103" s="80">
        <f t="shared" si="79"/>
        <v>1210</v>
      </c>
      <c r="V103" s="130">
        <v>3647</v>
      </c>
      <c r="W103" s="130">
        <v>162</v>
      </c>
      <c r="X103" s="130">
        <v>2825</v>
      </c>
      <c r="Y103" s="130">
        <v>1572</v>
      </c>
      <c r="Z103" s="130">
        <v>175</v>
      </c>
      <c r="AA103" s="130">
        <v>116</v>
      </c>
      <c r="AB103" s="130">
        <v>104</v>
      </c>
      <c r="AC103" s="130">
        <v>42</v>
      </c>
      <c r="AD103" s="130">
        <v>22862</v>
      </c>
      <c r="AE103" s="130">
        <f t="shared" si="80"/>
        <v>31505</v>
      </c>
      <c r="AF103" s="151">
        <f t="shared" si="96"/>
        <v>3360</v>
      </c>
      <c r="AG103" s="151">
        <f t="shared" si="97"/>
        <v>230</v>
      </c>
      <c r="AH103" s="151">
        <f t="shared" si="98"/>
        <v>4313</v>
      </c>
      <c r="AI103" s="151">
        <f t="shared" si="99"/>
        <v>1711</v>
      </c>
      <c r="AJ103" s="151">
        <f t="shared" si="100"/>
        <v>79</v>
      </c>
      <c r="AK103" s="151">
        <f t="shared" si="101"/>
        <v>90</v>
      </c>
      <c r="AL103" s="151">
        <f t="shared" si="102"/>
        <v>552</v>
      </c>
      <c r="AM103" s="151">
        <f t="shared" si="103"/>
        <v>82</v>
      </c>
      <c r="AN103" s="151">
        <f t="shared" si="104"/>
        <v>12232</v>
      </c>
      <c r="AO103" s="151">
        <f t="shared" si="81"/>
        <v>22649</v>
      </c>
      <c r="AP103" s="57">
        <f t="shared" si="105"/>
        <v>394</v>
      </c>
      <c r="AQ103" s="57">
        <f t="shared" si="106"/>
        <v>10</v>
      </c>
      <c r="AR103" s="57">
        <f t="shared" si="107"/>
        <v>649</v>
      </c>
      <c r="AS103" s="57">
        <f t="shared" si="108"/>
        <v>92</v>
      </c>
      <c r="AT103" s="57">
        <f t="shared" si="109"/>
        <v>4</v>
      </c>
      <c r="AU103" s="57">
        <f t="shared" si="110"/>
        <v>23</v>
      </c>
      <c r="AV103" s="57">
        <f t="shared" si="111"/>
        <v>53</v>
      </c>
      <c r="AW103" s="57">
        <f t="shared" si="112"/>
        <v>3</v>
      </c>
      <c r="AX103" s="57">
        <f t="shared" si="113"/>
        <v>1202</v>
      </c>
      <c r="AY103" s="57">
        <f t="shared" si="82"/>
        <v>2430</v>
      </c>
      <c r="AZ103" s="152">
        <f t="shared" ca="1" si="114"/>
        <v>30017.012993367069</v>
      </c>
      <c r="BA103" s="152">
        <f t="shared" ca="1" si="115"/>
        <v>3001.5011200390763</v>
      </c>
      <c r="BB103" s="152">
        <f t="shared" ca="1" si="116"/>
        <v>12376.739595307634</v>
      </c>
      <c r="BC103" s="152">
        <f t="shared" ca="1" si="117"/>
        <v>17327.583898737015</v>
      </c>
      <c r="BD103" s="152">
        <f t="shared" ca="1" si="118"/>
        <v>787.24861996460436</v>
      </c>
      <c r="BE103" s="152">
        <f t="shared" ca="1" si="119"/>
        <v>225.72415160913556</v>
      </c>
      <c r="BF103" s="152">
        <f t="shared" ca="1" si="120"/>
        <v>-276.65539402602479</v>
      </c>
      <c r="BG103" s="152">
        <f t="shared" ca="1" si="121"/>
        <v>249.34733010847316</v>
      </c>
      <c r="BH103" s="152">
        <f t="shared" ca="1" si="122"/>
        <v>218972.55795739757</v>
      </c>
      <c r="BI103" s="152">
        <f t="shared" ca="1" si="94"/>
        <v>282681.06027250458</v>
      </c>
      <c r="BJ103" s="163">
        <f t="shared" ca="1" si="123"/>
        <v>14098.010016454202</v>
      </c>
      <c r="BK103" s="163">
        <f t="shared" ca="1" si="124"/>
        <v>1721.5592459076995</v>
      </c>
      <c r="BL103" s="163">
        <f t="shared" ca="1" si="125"/>
        <v>7419.1630124477861</v>
      </c>
      <c r="BM103" s="163">
        <f t="shared" ca="1" si="126"/>
        <v>8857.9312969044022</v>
      </c>
      <c r="BN103" s="163">
        <f t="shared" ca="1" si="127"/>
        <v>241.99471197355541</v>
      </c>
      <c r="BO103" s="163">
        <f t="shared" ca="1" si="128"/>
        <v>98.140935482232848</v>
      </c>
      <c r="BP103" s="163">
        <f t="shared" ca="1" si="129"/>
        <v>-232.44106164743633</v>
      </c>
      <c r="BQ103" s="163">
        <f t="shared" ca="1" si="130"/>
        <v>163.57184855115838</v>
      </c>
      <c r="BR103" s="163">
        <f t="shared" ca="1" si="131"/>
        <v>74358.633267674042</v>
      </c>
      <c r="BS103" s="163">
        <f t="shared" ca="1" si="95"/>
        <v>106726.56327374764</v>
      </c>
      <c r="BT103" s="164">
        <f t="shared" si="133"/>
        <v>2.0547945205479451E-2</v>
      </c>
      <c r="BU103" s="164">
        <f t="shared" si="134"/>
        <v>2.2443890274314215E-2</v>
      </c>
      <c r="BV103" s="164">
        <f t="shared" si="135"/>
        <v>7.9221681723419049E-3</v>
      </c>
      <c r="BW103" s="164">
        <f t="shared" si="136"/>
        <v>1.9121601434120106E-2</v>
      </c>
      <c r="BX103" s="164">
        <f t="shared" si="137"/>
        <v>1.1673151750972763E-2</v>
      </c>
      <c r="BY103" s="164">
        <f t="shared" si="138"/>
        <v>4.830917874396135E-3</v>
      </c>
      <c r="BZ103" s="164">
        <f t="shared" si="139"/>
        <v>1.5220700152207001E-3</v>
      </c>
      <c r="CA103" s="164">
        <f t="shared" si="140"/>
        <v>8.0000000000000002E-3</v>
      </c>
      <c r="CB103" s="164">
        <f t="shared" si="141"/>
        <v>2.5734987923711167E-2</v>
      </c>
      <c r="CC103" s="164">
        <f t="shared" si="142"/>
        <v>2.1855357271873418E-2</v>
      </c>
      <c r="CD103" s="180">
        <f t="shared" si="153"/>
        <v>4107</v>
      </c>
      <c r="CE103" s="180">
        <f t="shared" si="154"/>
        <v>180</v>
      </c>
      <c r="CF103" s="180">
        <f t="shared" si="155"/>
        <v>4028</v>
      </c>
      <c r="CG103" s="180">
        <f t="shared" si="156"/>
        <v>1161</v>
      </c>
      <c r="CH103" s="180">
        <f t="shared" si="157"/>
        <v>116</v>
      </c>
      <c r="CI103" s="180">
        <f t="shared" si="158"/>
        <v>101</v>
      </c>
      <c r="CJ103" s="180">
        <f t="shared" si="159"/>
        <v>529</v>
      </c>
      <c r="CK103" s="180">
        <f t="shared" si="160"/>
        <v>77</v>
      </c>
      <c r="CL103" s="180">
        <f t="shared" si="161"/>
        <v>19038</v>
      </c>
      <c r="CM103" s="180">
        <f t="shared" si="161"/>
        <v>29337</v>
      </c>
      <c r="CN103" s="183">
        <f t="shared" si="143"/>
        <v>1.0412252297363725E-3</v>
      </c>
      <c r="CO103" s="183">
        <f t="shared" si="144"/>
        <v>1.427592848843287E-4</v>
      </c>
      <c r="CP103" s="183">
        <f t="shared" si="145"/>
        <v>4.6007392266286882E-4</v>
      </c>
      <c r="CQ103" s="183">
        <f t="shared" si="146"/>
        <v>3.0426309729073041E-4</v>
      </c>
      <c r="CR103" s="183">
        <f t="shared" si="147"/>
        <v>4.3902917673762698E-5</v>
      </c>
      <c r="CS103" s="183">
        <f t="shared" si="148"/>
        <v>4.3042623713933019E-5</v>
      </c>
      <c r="CT103" s="183">
        <f t="shared" si="149"/>
        <v>1.5994633711248244E-4</v>
      </c>
      <c r="CU103" s="183">
        <f t="shared" si="150"/>
        <v>9.4537412812545886E-5</v>
      </c>
      <c r="CV103" s="183">
        <f t="shared" si="151"/>
        <v>4.9313062885240795E-3</v>
      </c>
      <c r="CW103" s="183">
        <f t="shared" si="152"/>
        <v>9.2711802192827159E-4</v>
      </c>
      <c r="CX103" s="193">
        <f t="shared" si="84"/>
        <v>4.8902946210710257E-4</v>
      </c>
      <c r="CY103" s="193">
        <f t="shared" si="85"/>
        <v>8.1881884098243397E-5</v>
      </c>
      <c r="CZ103" s="193">
        <f t="shared" si="86"/>
        <v>2.7578857935301647E-4</v>
      </c>
      <c r="DA103" s="193">
        <f t="shared" si="87"/>
        <v>1.5554053165952786E-4</v>
      </c>
      <c r="DB103" s="193">
        <f t="shared" si="88"/>
        <v>1.3495449401662463E-5</v>
      </c>
      <c r="DC103" s="193">
        <f t="shared" si="89"/>
        <v>1.8714184223449139E-5</v>
      </c>
      <c r="DD103" s="193">
        <f t="shared" si="90"/>
        <v>1.3438413711733683E-4</v>
      </c>
      <c r="DE103" s="193">
        <f t="shared" si="91"/>
        <v>6.2016542805030101E-5</v>
      </c>
      <c r="DF103" s="193">
        <f t="shared" si="92"/>
        <v>1.6745714589052648E-3</v>
      </c>
      <c r="DG103" s="193">
        <f t="shared" si="93"/>
        <v>3.7927707677648694E-4</v>
      </c>
      <c r="DI103" s="83"/>
    </row>
    <row r="104" spans="1:113">
      <c r="A104" s="150">
        <v>43993</v>
      </c>
      <c r="B104" s="129">
        <v>7868</v>
      </c>
      <c r="C104" s="129">
        <v>406</v>
      </c>
      <c r="D104" s="129">
        <v>7953</v>
      </c>
      <c r="E104" s="129">
        <v>3472</v>
      </c>
      <c r="F104" s="129">
        <v>267</v>
      </c>
      <c r="G104" s="129">
        <v>228</v>
      </c>
      <c r="H104" s="129">
        <v>757</v>
      </c>
      <c r="I104" s="129">
        <v>132</v>
      </c>
      <c r="J104" s="129">
        <v>37422</v>
      </c>
      <c r="K104" s="165">
        <f t="shared" si="78"/>
        <v>58505</v>
      </c>
      <c r="L104" s="80">
        <v>178</v>
      </c>
      <c r="M104" s="80">
        <v>9</v>
      </c>
      <c r="N104" s="80">
        <v>57</v>
      </c>
      <c r="O104" s="80">
        <v>64</v>
      </c>
      <c r="P104" s="80">
        <v>4</v>
      </c>
      <c r="Q104" s="80">
        <v>1</v>
      </c>
      <c r="R104" s="80">
        <v>3</v>
      </c>
      <c r="S104" s="80">
        <v>1</v>
      </c>
      <c r="T104" s="80">
        <v>966</v>
      </c>
      <c r="U104" s="80">
        <f t="shared" si="79"/>
        <v>1283</v>
      </c>
      <c r="V104" s="130">
        <v>4020</v>
      </c>
      <c r="W104" s="130">
        <v>176</v>
      </c>
      <c r="X104" s="130">
        <v>2887</v>
      </c>
      <c r="Y104" s="130">
        <v>1572</v>
      </c>
      <c r="Z104" s="130">
        <v>175</v>
      </c>
      <c r="AA104" s="130">
        <v>116</v>
      </c>
      <c r="AB104" s="130">
        <v>116</v>
      </c>
      <c r="AC104" s="130">
        <v>47</v>
      </c>
      <c r="AD104" s="130">
        <v>24149</v>
      </c>
      <c r="AE104" s="130">
        <f t="shared" si="80"/>
        <v>33258</v>
      </c>
      <c r="AF104" s="151">
        <f t="shared" si="96"/>
        <v>3670</v>
      </c>
      <c r="AG104" s="151">
        <f t="shared" si="97"/>
        <v>221</v>
      </c>
      <c r="AH104" s="151">
        <f t="shared" si="98"/>
        <v>5009</v>
      </c>
      <c r="AI104" s="151">
        <f t="shared" si="99"/>
        <v>1836</v>
      </c>
      <c r="AJ104" s="151">
        <f t="shared" si="100"/>
        <v>88</v>
      </c>
      <c r="AK104" s="151">
        <f t="shared" si="101"/>
        <v>111</v>
      </c>
      <c r="AL104" s="151">
        <f t="shared" si="102"/>
        <v>638</v>
      </c>
      <c r="AM104" s="151">
        <f t="shared" si="103"/>
        <v>84</v>
      </c>
      <c r="AN104" s="151">
        <f t="shared" si="104"/>
        <v>12307</v>
      </c>
      <c r="AO104" s="151">
        <f t="shared" si="81"/>
        <v>23964</v>
      </c>
      <c r="AP104" s="57">
        <f t="shared" si="105"/>
        <v>714</v>
      </c>
      <c r="AQ104" s="57">
        <f t="shared" si="106"/>
        <v>5</v>
      </c>
      <c r="AR104" s="57">
        <f t="shared" si="107"/>
        <v>758</v>
      </c>
      <c r="AS104" s="57">
        <f t="shared" si="108"/>
        <v>125</v>
      </c>
      <c r="AT104" s="57">
        <f t="shared" si="109"/>
        <v>10</v>
      </c>
      <c r="AU104" s="57">
        <f t="shared" si="110"/>
        <v>21</v>
      </c>
      <c r="AV104" s="57">
        <f t="shared" si="111"/>
        <v>100</v>
      </c>
      <c r="AW104" s="57">
        <f t="shared" si="112"/>
        <v>7</v>
      </c>
      <c r="AX104" s="57">
        <f t="shared" si="113"/>
        <v>1401</v>
      </c>
      <c r="AY104" s="57">
        <f t="shared" si="82"/>
        <v>3141</v>
      </c>
      <c r="AZ104" s="152">
        <f t="shared" ca="1" si="114"/>
        <v>37141.79804639006</v>
      </c>
      <c r="BA104" s="152">
        <f t="shared" ca="1" si="115"/>
        <v>2996.5011200390763</v>
      </c>
      <c r="BB104" s="152">
        <f t="shared" ca="1" si="116"/>
        <v>11618.739595307634</v>
      </c>
      <c r="BC104" s="152">
        <f t="shared" ca="1" si="117"/>
        <v>17202.583898737015</v>
      </c>
      <c r="BD104" s="152">
        <f t="shared" ca="1" si="118"/>
        <v>1125.3314932861392</v>
      </c>
      <c r="BE104" s="152">
        <f t="shared" ca="1" si="119"/>
        <v>204.72415160913556</v>
      </c>
      <c r="BF104" s="152">
        <f t="shared" ca="1" si="120"/>
        <v>384.03381792192567</v>
      </c>
      <c r="BG104" s="152">
        <f t="shared" ca="1" si="121"/>
        <v>242.34733010847316</v>
      </c>
      <c r="BH104" s="152">
        <f t="shared" ca="1" si="122"/>
        <v>228299.44227275735</v>
      </c>
      <c r="BI104" s="152">
        <f t="shared" ca="1" si="94"/>
        <v>299215.5017261568</v>
      </c>
      <c r="BJ104" s="163">
        <f t="shared" ca="1" si="123"/>
        <v>17324.656689152456</v>
      </c>
      <c r="BK104" s="163">
        <f t="shared" ca="1" si="124"/>
        <v>1631.1003633710243</v>
      </c>
      <c r="BL104" s="163">
        <f t="shared" ca="1" si="125"/>
        <v>7317.7752587571913</v>
      </c>
      <c r="BM104" s="163">
        <f t="shared" ca="1" si="126"/>
        <v>9096.7580754842056</v>
      </c>
      <c r="BN104" s="163">
        <f t="shared" ca="1" si="127"/>
        <v>370.89577306809088</v>
      </c>
      <c r="BO104" s="163">
        <f t="shared" ca="1" si="128"/>
        <v>99.66833696760547</v>
      </c>
      <c r="BP104" s="163">
        <f t="shared" ca="1" si="129"/>
        <v>323.66390466867711</v>
      </c>
      <c r="BQ104" s="163">
        <f t="shared" ca="1" si="130"/>
        <v>154.22102825084656</v>
      </c>
      <c r="BR104" s="163">
        <f t="shared" ca="1" si="131"/>
        <v>75081.001444359586</v>
      </c>
      <c r="BS104" s="163">
        <f t="shared" ca="1" si="95"/>
        <v>111399.74087407968</v>
      </c>
      <c r="BT104" s="164">
        <f t="shared" si="133"/>
        <v>2.2623284189120487E-2</v>
      </c>
      <c r="BU104" s="164">
        <f t="shared" si="134"/>
        <v>2.2167487684729065E-2</v>
      </c>
      <c r="BV104" s="164">
        <f t="shared" si="135"/>
        <v>7.1671067521689932E-3</v>
      </c>
      <c r="BW104" s="164">
        <f t="shared" si="136"/>
        <v>1.8433179723502304E-2</v>
      </c>
      <c r="BX104" s="164">
        <f t="shared" si="137"/>
        <v>1.4981273408239701E-2</v>
      </c>
      <c r="BY104" s="164">
        <f t="shared" si="138"/>
        <v>4.3859649122807015E-3</v>
      </c>
      <c r="BZ104" s="164">
        <f t="shared" si="139"/>
        <v>3.9630118890356669E-3</v>
      </c>
      <c r="CA104" s="164">
        <f t="shared" si="140"/>
        <v>7.575757575757576E-3</v>
      </c>
      <c r="CB104" s="164">
        <f t="shared" si="141"/>
        <v>2.5813692480359147E-2</v>
      </c>
      <c r="CC104" s="164">
        <f t="shared" si="142"/>
        <v>2.1929749594051789E-2</v>
      </c>
      <c r="CD104" s="180">
        <f t="shared" si="153"/>
        <v>4562</v>
      </c>
      <c r="CE104" s="180">
        <f t="shared" si="154"/>
        <v>181</v>
      </c>
      <c r="CF104" s="180">
        <f t="shared" si="155"/>
        <v>4624</v>
      </c>
      <c r="CG104" s="180">
        <f t="shared" si="156"/>
        <v>1123</v>
      </c>
      <c r="CH104" s="180">
        <f t="shared" si="157"/>
        <v>123</v>
      </c>
      <c r="CI104" s="180">
        <f t="shared" si="158"/>
        <v>117</v>
      </c>
      <c r="CJ104" s="180">
        <f t="shared" si="159"/>
        <v>623</v>
      </c>
      <c r="CK104" s="180">
        <f t="shared" si="160"/>
        <v>81</v>
      </c>
      <c r="CL104" s="180">
        <f t="shared" si="161"/>
        <v>19668</v>
      </c>
      <c r="CM104" s="180">
        <f t="shared" si="161"/>
        <v>31102</v>
      </c>
      <c r="CN104" s="183">
        <f t="shared" si="143"/>
        <v>1.1451439904341318E-3</v>
      </c>
      <c r="CO104" s="183">
        <f t="shared" si="144"/>
        <v>1.4453932584298617E-4</v>
      </c>
      <c r="CP104" s="183">
        <f t="shared" si="145"/>
        <v>5.0854314203444006E-4</v>
      </c>
      <c r="CQ104" s="183">
        <f t="shared" si="146"/>
        <v>3.1562637400460593E-4</v>
      </c>
      <c r="CR104" s="183">
        <f t="shared" si="147"/>
        <v>4.5611202408150347E-5</v>
      </c>
      <c r="CS104" s="183">
        <f t="shared" si="148"/>
        <v>4.7409266699404483E-5</v>
      </c>
      <c r="CT104" s="183">
        <f t="shared" si="149"/>
        <v>1.8429128948881156E-4</v>
      </c>
      <c r="CU104" s="183">
        <f t="shared" si="150"/>
        <v>9.9831507930048445E-5</v>
      </c>
      <c r="CV104" s="183">
        <f t="shared" si="151"/>
        <v>5.1231044093486607E-3</v>
      </c>
      <c r="CW104" s="183">
        <f t="shared" si="152"/>
        <v>9.7971678117393136E-4</v>
      </c>
      <c r="CX104" s="193">
        <f t="shared" si="84"/>
        <v>5.3414825176579357E-4</v>
      </c>
      <c r="CY104" s="193">
        <f t="shared" si="85"/>
        <v>7.867781037265996E-5</v>
      </c>
      <c r="CZ104" s="193">
        <f t="shared" si="86"/>
        <v>3.2029329793166228E-4</v>
      </c>
      <c r="DA104" s="193">
        <f t="shared" si="87"/>
        <v>1.6690380837340336E-4</v>
      </c>
      <c r="DB104" s="193">
        <f t="shared" si="88"/>
        <v>1.503290566261135E-5</v>
      </c>
      <c r="DC104" s="193">
        <f t="shared" si="89"/>
        <v>2.3080827208920603E-5</v>
      </c>
      <c r="DD104" s="193">
        <f t="shared" si="90"/>
        <v>1.5532079616097989E-4</v>
      </c>
      <c r="DE104" s="193">
        <f t="shared" si="91"/>
        <v>6.3529141410030828E-5</v>
      </c>
      <c r="DF104" s="193">
        <f t="shared" si="92"/>
        <v>1.6848390242598997E-3</v>
      </c>
      <c r="DG104" s="193">
        <f t="shared" si="93"/>
        <v>4.0129788811301748E-4</v>
      </c>
      <c r="DI104" s="83"/>
    </row>
    <row r="105" spans="1:113">
      <c r="A105" s="150">
        <v>43994</v>
      </c>
      <c r="B105" s="129">
        <v>8615</v>
      </c>
      <c r="C105" s="129">
        <v>435</v>
      </c>
      <c r="D105" s="129">
        <v>8781</v>
      </c>
      <c r="E105" s="129">
        <v>3573</v>
      </c>
      <c r="F105" s="129">
        <v>288</v>
      </c>
      <c r="G105" s="129">
        <v>243</v>
      </c>
      <c r="H105" s="129">
        <v>865</v>
      </c>
      <c r="I105" s="129">
        <v>138</v>
      </c>
      <c r="J105" s="129">
        <v>38926</v>
      </c>
      <c r="K105" s="165">
        <f t="shared" si="78"/>
        <v>61864</v>
      </c>
      <c r="L105" s="80">
        <v>208</v>
      </c>
      <c r="M105" s="80">
        <v>9</v>
      </c>
      <c r="N105" s="80">
        <v>57</v>
      </c>
      <c r="O105" s="80">
        <v>64</v>
      </c>
      <c r="P105" s="80">
        <v>4</v>
      </c>
      <c r="Q105" s="80">
        <v>1</v>
      </c>
      <c r="R105" s="80">
        <v>5</v>
      </c>
      <c r="S105" s="80">
        <v>1</v>
      </c>
      <c r="T105" s="80">
        <v>1005</v>
      </c>
      <c r="U105" s="80">
        <f t="shared" si="79"/>
        <v>1354</v>
      </c>
      <c r="V105" s="130">
        <v>4393</v>
      </c>
      <c r="W105" s="130">
        <v>189</v>
      </c>
      <c r="X105" s="130">
        <v>2948</v>
      </c>
      <c r="Y105" s="130">
        <v>1572</v>
      </c>
      <c r="Z105" s="130">
        <v>175</v>
      </c>
      <c r="AA105" s="130">
        <v>116</v>
      </c>
      <c r="AB105" s="130">
        <v>128</v>
      </c>
      <c r="AC105" s="130">
        <v>52</v>
      </c>
      <c r="AD105" s="130">
        <v>25435</v>
      </c>
      <c r="AE105" s="130">
        <f t="shared" si="80"/>
        <v>35008</v>
      </c>
      <c r="AF105" s="151">
        <f t="shared" si="96"/>
        <v>4014</v>
      </c>
      <c r="AG105" s="151">
        <f t="shared" si="97"/>
        <v>237</v>
      </c>
      <c r="AH105" s="151">
        <f t="shared" si="98"/>
        <v>5776</v>
      </c>
      <c r="AI105" s="151">
        <f t="shared" si="99"/>
        <v>1937</v>
      </c>
      <c r="AJ105" s="151">
        <f t="shared" si="100"/>
        <v>109</v>
      </c>
      <c r="AK105" s="151">
        <f t="shared" si="101"/>
        <v>126</v>
      </c>
      <c r="AL105" s="151">
        <f t="shared" si="102"/>
        <v>732</v>
      </c>
      <c r="AM105" s="151">
        <f t="shared" si="103"/>
        <v>85</v>
      </c>
      <c r="AN105" s="151">
        <f t="shared" si="104"/>
        <v>12486</v>
      </c>
      <c r="AO105" s="151">
        <f t="shared" si="81"/>
        <v>25502</v>
      </c>
      <c r="AP105" s="57">
        <f t="shared" si="105"/>
        <v>747</v>
      </c>
      <c r="AQ105" s="57">
        <f t="shared" si="106"/>
        <v>29</v>
      </c>
      <c r="AR105" s="57">
        <f t="shared" si="107"/>
        <v>828</v>
      </c>
      <c r="AS105" s="57">
        <f t="shared" si="108"/>
        <v>101</v>
      </c>
      <c r="AT105" s="57">
        <f t="shared" si="109"/>
        <v>21</v>
      </c>
      <c r="AU105" s="57">
        <f t="shared" si="110"/>
        <v>15</v>
      </c>
      <c r="AV105" s="57">
        <f t="shared" si="111"/>
        <v>108</v>
      </c>
      <c r="AW105" s="57">
        <f t="shared" si="112"/>
        <v>6</v>
      </c>
      <c r="AX105" s="57">
        <f t="shared" si="113"/>
        <v>1504</v>
      </c>
      <c r="AY105" s="57">
        <f t="shared" si="82"/>
        <v>3359</v>
      </c>
      <c r="AZ105" s="152">
        <f t="shared" ca="1" si="114"/>
        <v>43980.719065444559</v>
      </c>
      <c r="BA105" s="152">
        <f t="shared" ca="1" si="115"/>
        <v>2967.5011200390763</v>
      </c>
      <c r="BB105" s="152">
        <f t="shared" ca="1" si="116"/>
        <v>10790.739595307634</v>
      </c>
      <c r="BC105" s="152">
        <f t="shared" ca="1" si="117"/>
        <v>17101.583898737015</v>
      </c>
      <c r="BD105" s="152">
        <f t="shared" ca="1" si="118"/>
        <v>1104.3314932861392</v>
      </c>
      <c r="BE105" s="152">
        <f t="shared" ca="1" si="119"/>
        <v>189.72415160913556</v>
      </c>
      <c r="BF105" s="152">
        <f t="shared" ca="1" si="120"/>
        <v>1036.723029869876</v>
      </c>
      <c r="BG105" s="152">
        <f t="shared" ca="1" si="121"/>
        <v>236.34733010847316</v>
      </c>
      <c r="BH105" s="152">
        <f t="shared" ca="1" si="122"/>
        <v>237523.32658811711</v>
      </c>
      <c r="BI105" s="152">
        <f t="shared" ca="1" si="94"/>
        <v>314930.996272519</v>
      </c>
      <c r="BJ105" s="163">
        <f t="shared" ca="1" si="123"/>
        <v>20492.003056145615</v>
      </c>
      <c r="BK105" s="163">
        <f t="shared" ca="1" si="124"/>
        <v>1616.7764722971519</v>
      </c>
      <c r="BL105" s="163">
        <f t="shared" ca="1" si="125"/>
        <v>7097.9742515085863</v>
      </c>
      <c r="BM105" s="163">
        <f t="shared" ca="1" si="126"/>
        <v>9271.1357435918271</v>
      </c>
      <c r="BN105" s="163">
        <f t="shared" ca="1" si="127"/>
        <v>417.95879433399017</v>
      </c>
      <c r="BO105" s="163">
        <f t="shared" ca="1" si="128"/>
        <v>98.375486019551772</v>
      </c>
      <c r="BP105" s="163">
        <f t="shared" ca="1" si="129"/>
        <v>877.31937325404533</v>
      </c>
      <c r="BQ105" s="163">
        <f t="shared" ca="1" si="130"/>
        <v>145.57625405232042</v>
      </c>
      <c r="BR105" s="163">
        <f t="shared" ca="1" si="131"/>
        <v>76188.569485157219</v>
      </c>
      <c r="BS105" s="163">
        <f t="shared" ca="1" si="95"/>
        <v>116205.6889163603</v>
      </c>
      <c r="BT105" s="164">
        <f t="shared" si="133"/>
        <v>2.4143934997098083E-2</v>
      </c>
      <c r="BU105" s="164">
        <f t="shared" si="134"/>
        <v>2.0689655172413793E-2</v>
      </c>
      <c r="BV105" s="164">
        <f t="shared" si="135"/>
        <v>6.4912880081995214E-3</v>
      </c>
      <c r="BW105" s="164">
        <f t="shared" si="136"/>
        <v>1.7912118667786175E-2</v>
      </c>
      <c r="BX105" s="164">
        <f t="shared" si="137"/>
        <v>1.3888888888888888E-2</v>
      </c>
      <c r="BY105" s="164">
        <f t="shared" si="138"/>
        <v>4.11522633744856E-3</v>
      </c>
      <c r="BZ105" s="164">
        <f t="shared" si="139"/>
        <v>5.7803468208092483E-3</v>
      </c>
      <c r="CA105" s="164">
        <f t="shared" si="140"/>
        <v>7.246376811594203E-3</v>
      </c>
      <c r="CB105" s="164">
        <f t="shared" si="141"/>
        <v>2.5818219185120485E-2</v>
      </c>
      <c r="CC105" s="164">
        <f t="shared" si="142"/>
        <v>2.1886719255140307E-2</v>
      </c>
      <c r="CD105" s="180">
        <f t="shared" si="153"/>
        <v>5032</v>
      </c>
      <c r="CE105" s="180">
        <f t="shared" si="154"/>
        <v>204</v>
      </c>
      <c r="CF105" s="180">
        <f t="shared" si="155"/>
        <v>5198</v>
      </c>
      <c r="CG105" s="180">
        <f t="shared" si="156"/>
        <v>1145</v>
      </c>
      <c r="CH105" s="180">
        <f t="shared" si="157"/>
        <v>118</v>
      </c>
      <c r="CI105" s="180">
        <f t="shared" si="158"/>
        <v>131</v>
      </c>
      <c r="CJ105" s="180">
        <f t="shared" si="159"/>
        <v>722</v>
      </c>
      <c r="CK105" s="180">
        <f t="shared" si="160"/>
        <v>86</v>
      </c>
      <c r="CL105" s="180">
        <f t="shared" si="161"/>
        <v>20020</v>
      </c>
      <c r="CM105" s="180">
        <f t="shared" si="161"/>
        <v>32656</v>
      </c>
      <c r="CN105" s="183">
        <f t="shared" si="143"/>
        <v>1.2538657190633003E-3</v>
      </c>
      <c r="CO105" s="183">
        <f t="shared" si="144"/>
        <v>1.5486356340319946E-4</v>
      </c>
      <c r="CP105" s="183">
        <f t="shared" si="145"/>
        <v>5.6148841068834625E-4</v>
      </c>
      <c r="CQ105" s="183">
        <f t="shared" si="146"/>
        <v>3.2480790158941731E-4</v>
      </c>
      <c r="CR105" s="183">
        <f t="shared" si="147"/>
        <v>4.9198600350364418E-5</v>
      </c>
      <c r="CS105" s="183">
        <f t="shared" si="148"/>
        <v>5.0528297403312672E-5</v>
      </c>
      <c r="CT105" s="183">
        <f t="shared" si="149"/>
        <v>2.1058383805524702E-4</v>
      </c>
      <c r="CU105" s="183">
        <f t="shared" si="150"/>
        <v>1.0436930374505065E-4</v>
      </c>
      <c r="CV105" s="183">
        <f t="shared" si="151"/>
        <v>5.3290033199269405E-3</v>
      </c>
      <c r="CW105" s="183">
        <f t="shared" si="152"/>
        <v>1.0359661388008562E-3</v>
      </c>
      <c r="CX105" s="193">
        <f t="shared" si="84"/>
        <v>5.8421555383866364E-4</v>
      </c>
      <c r="CY105" s="193">
        <f t="shared" si="85"/>
        <v>8.4373941440363845E-5</v>
      </c>
      <c r="CZ105" s="193">
        <f t="shared" si="86"/>
        <v>3.693380093538194E-4</v>
      </c>
      <c r="DA105" s="193">
        <f t="shared" si="87"/>
        <v>1.7608533595821476E-4</v>
      </c>
      <c r="DB105" s="193">
        <f t="shared" si="88"/>
        <v>1.8620303604825424E-5</v>
      </c>
      <c r="DC105" s="193">
        <f t="shared" si="89"/>
        <v>2.6199857912828795E-5</v>
      </c>
      <c r="DD105" s="193">
        <f t="shared" si="90"/>
        <v>1.7820505139472928E-4</v>
      </c>
      <c r="DE105" s="193">
        <f t="shared" si="91"/>
        <v>6.4285440712531205E-5</v>
      </c>
      <c r="DF105" s="193">
        <f t="shared" si="92"/>
        <v>1.7093442802396286E-3</v>
      </c>
      <c r="DG105" s="193">
        <f t="shared" si="93"/>
        <v>4.2705302715148439E-4</v>
      </c>
      <c r="DI105" s="83"/>
    </row>
    <row r="106" spans="1:113">
      <c r="A106" s="150">
        <v>43995</v>
      </c>
      <c r="B106" s="129">
        <v>9250</v>
      </c>
      <c r="C106" s="129">
        <v>457</v>
      </c>
      <c r="D106" s="129">
        <v>9897</v>
      </c>
      <c r="E106" s="129">
        <v>3763</v>
      </c>
      <c r="F106" s="129">
        <v>309</v>
      </c>
      <c r="G106" s="129">
        <v>271</v>
      </c>
      <c r="H106" s="129">
        <v>977</v>
      </c>
      <c r="I106" s="129">
        <v>144</v>
      </c>
      <c r="J106" s="129">
        <v>40605</v>
      </c>
      <c r="K106" s="165">
        <f t="shared" si="78"/>
        <v>65673</v>
      </c>
      <c r="L106" s="80">
        <v>217</v>
      </c>
      <c r="M106" s="80">
        <v>9</v>
      </c>
      <c r="N106" s="80">
        <v>81</v>
      </c>
      <c r="O106" s="80">
        <v>64</v>
      </c>
      <c r="P106" s="80">
        <v>4</v>
      </c>
      <c r="Q106" s="80">
        <v>1</v>
      </c>
      <c r="R106" s="80">
        <v>5</v>
      </c>
      <c r="S106" s="80">
        <v>1</v>
      </c>
      <c r="T106" s="80">
        <v>1041</v>
      </c>
      <c r="U106" s="80">
        <f t="shared" si="79"/>
        <v>1423</v>
      </c>
      <c r="V106" s="130">
        <v>4559</v>
      </c>
      <c r="W106" s="130">
        <v>189</v>
      </c>
      <c r="X106" s="130">
        <v>3075</v>
      </c>
      <c r="Y106" s="130">
        <v>1810</v>
      </c>
      <c r="Z106" s="130">
        <v>185</v>
      </c>
      <c r="AA106" s="130">
        <v>116</v>
      </c>
      <c r="AB106" s="130">
        <v>128</v>
      </c>
      <c r="AC106" s="130">
        <v>52</v>
      </c>
      <c r="AD106" s="130">
        <v>26736</v>
      </c>
      <c r="AE106" s="130">
        <f t="shared" si="80"/>
        <v>36850</v>
      </c>
      <c r="AF106" s="151">
        <f t="shared" si="96"/>
        <v>4474</v>
      </c>
      <c r="AG106" s="151">
        <f t="shared" si="97"/>
        <v>259</v>
      </c>
      <c r="AH106" s="151">
        <f t="shared" si="98"/>
        <v>6741</v>
      </c>
      <c r="AI106" s="151">
        <f t="shared" si="99"/>
        <v>1889</v>
      </c>
      <c r="AJ106" s="151">
        <f t="shared" si="100"/>
        <v>120</v>
      </c>
      <c r="AK106" s="151">
        <f t="shared" si="101"/>
        <v>154</v>
      </c>
      <c r="AL106" s="151">
        <f t="shared" si="102"/>
        <v>844</v>
      </c>
      <c r="AM106" s="151">
        <f t="shared" si="103"/>
        <v>91</v>
      </c>
      <c r="AN106" s="151">
        <f t="shared" si="104"/>
        <v>12828</v>
      </c>
      <c r="AO106" s="151">
        <f t="shared" si="81"/>
        <v>27400</v>
      </c>
      <c r="AP106" s="57">
        <f t="shared" si="105"/>
        <v>635</v>
      </c>
      <c r="AQ106" s="57">
        <f t="shared" si="106"/>
        <v>22</v>
      </c>
      <c r="AR106" s="57">
        <f t="shared" si="107"/>
        <v>1116</v>
      </c>
      <c r="AS106" s="57">
        <f t="shared" si="108"/>
        <v>190</v>
      </c>
      <c r="AT106" s="57">
        <f t="shared" si="109"/>
        <v>21</v>
      </c>
      <c r="AU106" s="57">
        <f t="shared" si="110"/>
        <v>28</v>
      </c>
      <c r="AV106" s="57">
        <f t="shared" si="111"/>
        <v>112</v>
      </c>
      <c r="AW106" s="57">
        <f t="shared" si="112"/>
        <v>6</v>
      </c>
      <c r="AX106" s="57">
        <f t="shared" si="113"/>
        <v>1679</v>
      </c>
      <c r="AY106" s="57">
        <f t="shared" si="82"/>
        <v>3809</v>
      </c>
      <c r="AZ106" s="152">
        <f t="shared" ca="1" si="114"/>
        <v>45621.495371160912</v>
      </c>
      <c r="BA106" s="152">
        <f t="shared" ca="1" si="115"/>
        <v>2945.5011200390763</v>
      </c>
      <c r="BB106" s="152">
        <f t="shared" ca="1" si="116"/>
        <v>17915.472056489794</v>
      </c>
      <c r="BC106" s="152">
        <f t="shared" ca="1" si="117"/>
        <v>16911.583898737015</v>
      </c>
      <c r="BD106" s="152">
        <f t="shared" ca="1" si="118"/>
        <v>1083.3314932861392</v>
      </c>
      <c r="BE106" s="152">
        <f t="shared" ca="1" si="119"/>
        <v>161.72415160913556</v>
      </c>
      <c r="BF106" s="152">
        <f t="shared" ca="1" si="120"/>
        <v>924.72302986987597</v>
      </c>
      <c r="BG106" s="152">
        <f t="shared" ca="1" si="121"/>
        <v>230.34733010847316</v>
      </c>
      <c r="BH106" s="152">
        <f t="shared" ca="1" si="122"/>
        <v>245746.98903306457</v>
      </c>
      <c r="BI106" s="152">
        <f t="shared" ca="1" si="94"/>
        <v>331541.167484365</v>
      </c>
      <c r="BJ106" s="163">
        <f t="shared" ca="1" si="123"/>
        <v>22066.007598980967</v>
      </c>
      <c r="BK106" s="163">
        <f t="shared" ca="1" si="124"/>
        <v>1669.332144617332</v>
      </c>
      <c r="BL106" s="163">
        <f t="shared" ca="1" si="125"/>
        <v>12202.505520137183</v>
      </c>
      <c r="BM106" s="163">
        <f t="shared" ca="1" si="126"/>
        <v>8489.4982685926716</v>
      </c>
      <c r="BN106" s="163">
        <f t="shared" ca="1" si="127"/>
        <v>420.71125952859774</v>
      </c>
      <c r="BO106" s="163">
        <f t="shared" ca="1" si="128"/>
        <v>91.902285416261535</v>
      </c>
      <c r="BP106" s="163">
        <f t="shared" ca="1" si="129"/>
        <v>798.83954678625935</v>
      </c>
      <c r="BQ106" s="163">
        <f t="shared" ca="1" si="130"/>
        <v>145.56671555466014</v>
      </c>
      <c r="BR106" s="163">
        <f t="shared" ca="1" si="131"/>
        <v>77636.802741439533</v>
      </c>
      <c r="BS106" s="163">
        <f t="shared" ca="1" si="95"/>
        <v>123521.16608105347</v>
      </c>
      <c r="BT106" s="164">
        <f t="shared" si="133"/>
        <v>2.3459459459459459E-2</v>
      </c>
      <c r="BU106" s="164">
        <f t="shared" si="134"/>
        <v>1.9693654266958426E-2</v>
      </c>
      <c r="BV106" s="164">
        <f t="shared" si="135"/>
        <v>8.1842982722036984E-3</v>
      </c>
      <c r="BW106" s="164">
        <f t="shared" si="136"/>
        <v>1.7007706617060855E-2</v>
      </c>
      <c r="BX106" s="164">
        <f t="shared" si="137"/>
        <v>1.2944983818770227E-2</v>
      </c>
      <c r="BY106" s="164">
        <f t="shared" si="138"/>
        <v>3.6900369003690036E-3</v>
      </c>
      <c r="BZ106" s="164">
        <f t="shared" si="139"/>
        <v>5.1177072671443197E-3</v>
      </c>
      <c r="CA106" s="164">
        <f t="shared" si="140"/>
        <v>6.9444444444444441E-3</v>
      </c>
      <c r="CB106" s="164">
        <f t="shared" si="141"/>
        <v>2.5637236793498337E-2</v>
      </c>
      <c r="CC106" s="164">
        <f t="shared" si="142"/>
        <v>2.1667960958080185E-2</v>
      </c>
      <c r="CD106" s="180">
        <f t="shared" si="153"/>
        <v>5491</v>
      </c>
      <c r="CE106" s="180">
        <f t="shared" si="154"/>
        <v>196</v>
      </c>
      <c r="CF106" s="180">
        <f t="shared" si="155"/>
        <v>6124</v>
      </c>
      <c r="CG106" s="180">
        <f t="shared" si="156"/>
        <v>1287</v>
      </c>
      <c r="CH106" s="180">
        <f t="shared" si="157"/>
        <v>136</v>
      </c>
      <c r="CI106" s="180">
        <f t="shared" si="158"/>
        <v>158</v>
      </c>
      <c r="CJ106" s="180">
        <f t="shared" si="159"/>
        <v>815</v>
      </c>
      <c r="CK106" s="180">
        <f t="shared" si="160"/>
        <v>87</v>
      </c>
      <c r="CL106" s="180">
        <f t="shared" si="161"/>
        <v>20445</v>
      </c>
      <c r="CM106" s="180">
        <f t="shared" si="161"/>
        <v>34739</v>
      </c>
      <c r="CN106" s="183">
        <f t="shared" si="143"/>
        <v>1.3462864656222319E-3</v>
      </c>
      <c r="CO106" s="183">
        <f t="shared" si="144"/>
        <v>1.6269574362129231E-4</v>
      </c>
      <c r="CP106" s="183">
        <f t="shared" si="145"/>
        <v>6.3284942496100248E-4</v>
      </c>
      <c r="CQ106" s="183">
        <f t="shared" si="146"/>
        <v>3.4208008219450807E-4</v>
      </c>
      <c r="CR106" s="183">
        <f t="shared" si="147"/>
        <v>5.2785998292578496E-5</v>
      </c>
      <c r="CS106" s="183">
        <f t="shared" si="148"/>
        <v>5.6350488050607958E-5</v>
      </c>
      <c r="CT106" s="183">
        <f t="shared" si="149"/>
        <v>2.3785018471673568E-4</v>
      </c>
      <c r="CU106" s="183">
        <f t="shared" si="150"/>
        <v>1.0890709956005286E-4</v>
      </c>
      <c r="CV106" s="183">
        <f t="shared" si="151"/>
        <v>5.5588598829993683E-3</v>
      </c>
      <c r="CW106" s="183">
        <f t="shared" si="152"/>
        <v>1.0997511352881905E-3</v>
      </c>
      <c r="CX106" s="193">
        <f t="shared" si="84"/>
        <v>6.5116601591285025E-4</v>
      </c>
      <c r="CY106" s="193">
        <f t="shared" si="85"/>
        <v>9.2206121658456697E-5</v>
      </c>
      <c r="CZ106" s="193">
        <f t="shared" si="86"/>
        <v>4.3104354588886714E-4</v>
      </c>
      <c r="DA106" s="193">
        <f t="shared" si="87"/>
        <v>1.7172183770008658E-4</v>
      </c>
      <c r="DB106" s="193">
        <f t="shared" si="88"/>
        <v>2.0499416812651842E-5</v>
      </c>
      <c r="DC106" s="193">
        <f t="shared" si="89"/>
        <v>3.2022048560124081E-5</v>
      </c>
      <c r="DD106" s="193">
        <f t="shared" si="90"/>
        <v>2.0547139805621791E-4</v>
      </c>
      <c r="DE106" s="193">
        <f t="shared" si="91"/>
        <v>6.8823236527533401E-5</v>
      </c>
      <c r="DF106" s="193">
        <f t="shared" si="92"/>
        <v>1.756164378256764E-3</v>
      </c>
      <c r="DG106" s="193">
        <f t="shared" si="93"/>
        <v>4.5883667727827904E-4</v>
      </c>
      <c r="DI106" s="83"/>
    </row>
    <row r="107" spans="1:113">
      <c r="A107" s="150">
        <v>43996</v>
      </c>
      <c r="B107" s="129">
        <v>10027</v>
      </c>
      <c r="C107" s="129">
        <v>495</v>
      </c>
      <c r="D107" s="129">
        <v>11164</v>
      </c>
      <c r="E107" s="129">
        <v>3874</v>
      </c>
      <c r="F107" s="129">
        <v>326</v>
      </c>
      <c r="G107" s="129">
        <v>297</v>
      </c>
      <c r="H107" s="129">
        <v>1097</v>
      </c>
      <c r="I107" s="129">
        <v>156</v>
      </c>
      <c r="J107" s="129">
        <v>42539</v>
      </c>
      <c r="K107" s="165">
        <f t="shared" si="78"/>
        <v>69975</v>
      </c>
      <c r="L107" s="80">
        <v>227</v>
      </c>
      <c r="M107" s="80">
        <v>9</v>
      </c>
      <c r="N107" s="80">
        <v>81</v>
      </c>
      <c r="O107" s="80">
        <v>69</v>
      </c>
      <c r="P107" s="80">
        <v>4</v>
      </c>
      <c r="Q107" s="80">
        <v>1</v>
      </c>
      <c r="R107" s="80">
        <v>5</v>
      </c>
      <c r="S107" s="80">
        <v>1</v>
      </c>
      <c r="T107" s="80">
        <v>1083</v>
      </c>
      <c r="U107" s="80">
        <f t="shared" si="79"/>
        <v>1480</v>
      </c>
      <c r="V107" s="130">
        <v>5244</v>
      </c>
      <c r="W107" s="130">
        <v>222</v>
      </c>
      <c r="X107" s="130">
        <v>3207</v>
      </c>
      <c r="Y107" s="130">
        <v>1810</v>
      </c>
      <c r="Z107" s="130">
        <v>185</v>
      </c>
      <c r="AA107" s="130">
        <v>132</v>
      </c>
      <c r="AB107" s="130">
        <v>152</v>
      </c>
      <c r="AC107" s="130">
        <v>52</v>
      </c>
      <c r="AD107" s="130">
        <v>27527</v>
      </c>
      <c r="AE107" s="130">
        <f t="shared" si="80"/>
        <v>38531</v>
      </c>
      <c r="AF107" s="151">
        <f t="shared" si="96"/>
        <v>4556</v>
      </c>
      <c r="AG107" s="151">
        <f t="shared" si="97"/>
        <v>264</v>
      </c>
      <c r="AH107" s="151">
        <f t="shared" si="98"/>
        <v>7876</v>
      </c>
      <c r="AI107" s="151">
        <f t="shared" si="99"/>
        <v>1995</v>
      </c>
      <c r="AJ107" s="151">
        <f t="shared" si="100"/>
        <v>137</v>
      </c>
      <c r="AK107" s="151">
        <f t="shared" si="101"/>
        <v>164</v>
      </c>
      <c r="AL107" s="151">
        <f t="shared" si="102"/>
        <v>940</v>
      </c>
      <c r="AM107" s="151">
        <f t="shared" si="103"/>
        <v>103</v>
      </c>
      <c r="AN107" s="151">
        <f t="shared" si="104"/>
        <v>13929</v>
      </c>
      <c r="AO107" s="151">
        <f t="shared" si="81"/>
        <v>29964</v>
      </c>
      <c r="AP107" s="57">
        <f t="shared" si="105"/>
        <v>777</v>
      </c>
      <c r="AQ107" s="57">
        <f t="shared" si="106"/>
        <v>38</v>
      </c>
      <c r="AR107" s="57">
        <f t="shared" si="107"/>
        <v>1267</v>
      </c>
      <c r="AS107" s="57">
        <f t="shared" si="108"/>
        <v>111</v>
      </c>
      <c r="AT107" s="57">
        <f t="shared" si="109"/>
        <v>17</v>
      </c>
      <c r="AU107" s="57">
        <f t="shared" si="110"/>
        <v>26</v>
      </c>
      <c r="AV107" s="57">
        <f t="shared" si="111"/>
        <v>120</v>
      </c>
      <c r="AW107" s="57">
        <f t="shared" si="112"/>
        <v>12</v>
      </c>
      <c r="AX107" s="57">
        <f t="shared" si="113"/>
        <v>1934</v>
      </c>
      <c r="AY107" s="57">
        <f t="shared" si="82"/>
        <v>4302</v>
      </c>
      <c r="AZ107" s="152">
        <f t="shared" ca="1" si="114"/>
        <v>47373.135710845745</v>
      </c>
      <c r="BA107" s="152">
        <f t="shared" ca="1" si="115"/>
        <v>2907.5011200390763</v>
      </c>
      <c r="BB107" s="152">
        <f t="shared" ca="1" si="116"/>
        <v>16648.472056489794</v>
      </c>
      <c r="BC107" s="152">
        <f t="shared" ca="1" si="117"/>
        <v>18415.785765825844</v>
      </c>
      <c r="BD107" s="152">
        <f t="shared" ca="1" si="118"/>
        <v>1066.3314932861392</v>
      </c>
      <c r="BE107" s="152">
        <f t="shared" ca="1" si="119"/>
        <v>135.72415160913556</v>
      </c>
      <c r="BF107" s="152">
        <f t="shared" ca="1" si="120"/>
        <v>804.72302986987597</v>
      </c>
      <c r="BG107" s="152">
        <f t="shared" ca="1" si="121"/>
        <v>218.34733010847316</v>
      </c>
      <c r="BH107" s="152">
        <f t="shared" ca="1" si="122"/>
        <v>255366.09521883662</v>
      </c>
      <c r="BI107" s="152">
        <f t="shared" ca="1" si="94"/>
        <v>342936.11587691068</v>
      </c>
      <c r="BJ107" s="163">
        <f t="shared" ca="1" si="123"/>
        <v>21525.082906015083</v>
      </c>
      <c r="BK107" s="163">
        <f t="shared" ca="1" si="124"/>
        <v>1550.6672640208405</v>
      </c>
      <c r="BL107" s="163">
        <f t="shared" ca="1" si="125"/>
        <v>11745.195800511789</v>
      </c>
      <c r="BM107" s="163">
        <f t="shared" ca="1" si="126"/>
        <v>9483.6067637642118</v>
      </c>
      <c r="BN107" s="163">
        <f t="shared" ca="1" si="127"/>
        <v>448.12090362024867</v>
      </c>
      <c r="BO107" s="163">
        <f t="shared" ca="1" si="128"/>
        <v>74.945322774068117</v>
      </c>
      <c r="BP107" s="163">
        <f t="shared" ca="1" si="129"/>
        <v>689.55300645185366</v>
      </c>
      <c r="BQ107" s="163">
        <f t="shared" ca="1" si="130"/>
        <v>144.16522436649191</v>
      </c>
      <c r="BR107" s="163">
        <f t="shared" ca="1" si="131"/>
        <v>83617.253351117222</v>
      </c>
      <c r="BS107" s="163">
        <f t="shared" ca="1" si="95"/>
        <v>129278.59054264182</v>
      </c>
      <c r="BT107" s="164">
        <f t="shared" si="133"/>
        <v>2.2638875037399024E-2</v>
      </c>
      <c r="BU107" s="164">
        <f t="shared" si="134"/>
        <v>1.8181818181818181E-2</v>
      </c>
      <c r="BV107" s="164">
        <f t="shared" si="135"/>
        <v>7.2554639914009312E-3</v>
      </c>
      <c r="BW107" s="164">
        <f t="shared" si="136"/>
        <v>1.7811048012390293E-2</v>
      </c>
      <c r="BX107" s="164">
        <f t="shared" si="137"/>
        <v>1.2269938650306749E-2</v>
      </c>
      <c r="BY107" s="164">
        <f t="shared" si="138"/>
        <v>3.3670033670033669E-3</v>
      </c>
      <c r="BZ107" s="164">
        <f t="shared" si="139"/>
        <v>4.5578851412944391E-3</v>
      </c>
      <c r="CA107" s="164">
        <f t="shared" si="140"/>
        <v>6.41025641025641E-3</v>
      </c>
      <c r="CB107" s="164">
        <f t="shared" si="141"/>
        <v>2.5458990573356214E-2</v>
      </c>
      <c r="CC107" s="164">
        <f t="shared" si="142"/>
        <v>2.1150410861021793E-2</v>
      </c>
      <c r="CD107" s="180">
        <f t="shared" si="153"/>
        <v>6100</v>
      </c>
      <c r="CE107" s="180">
        <f t="shared" si="154"/>
        <v>217</v>
      </c>
      <c r="CF107" s="180">
        <f t="shared" si="155"/>
        <v>7161</v>
      </c>
      <c r="CG107" s="180">
        <f t="shared" si="156"/>
        <v>1329</v>
      </c>
      <c r="CH107" s="180">
        <f t="shared" si="157"/>
        <v>149</v>
      </c>
      <c r="CI107" s="180">
        <f t="shared" si="158"/>
        <v>176</v>
      </c>
      <c r="CJ107" s="180">
        <f t="shared" si="159"/>
        <v>922</v>
      </c>
      <c r="CK107" s="180">
        <f t="shared" si="160"/>
        <v>87</v>
      </c>
      <c r="CL107" s="180">
        <f t="shared" si="161"/>
        <v>21157</v>
      </c>
      <c r="CM107" s="180">
        <f t="shared" si="161"/>
        <v>37298</v>
      </c>
      <c r="CN107" s="183">
        <f t="shared" si="143"/>
        <v>1.4593745287344994E-3</v>
      </c>
      <c r="CO107" s="183">
        <f t="shared" si="144"/>
        <v>1.7622405490708905E-4</v>
      </c>
      <c r="CP107" s="183">
        <f t="shared" si="145"/>
        <v>7.138659169712672E-4</v>
      </c>
      <c r="CQ107" s="183">
        <f t="shared" si="146"/>
        <v>3.5217067191642952E-4</v>
      </c>
      <c r="CR107" s="183">
        <f t="shared" si="147"/>
        <v>5.5690082341037502E-5</v>
      </c>
      <c r="CS107" s="183">
        <f t="shared" si="148"/>
        <v>6.1756807937382154E-5</v>
      </c>
      <c r="CT107" s="183">
        <f t="shared" si="149"/>
        <v>2.6706412756833064E-4</v>
      </c>
      <c r="CU107" s="183">
        <f t="shared" si="150"/>
        <v>1.1798269119005727E-4</v>
      </c>
      <c r="CV107" s="183">
        <f t="shared" si="151"/>
        <v>5.8236261682775552E-3</v>
      </c>
      <c r="CW107" s="183">
        <f t="shared" si="152"/>
        <v>1.1717918427937072E-3</v>
      </c>
      <c r="CX107" s="193">
        <f t="shared" si="84"/>
        <v>6.6310066349998793E-4</v>
      </c>
      <c r="CY107" s="193">
        <f t="shared" si="85"/>
        <v>9.3986162617114156E-5</v>
      </c>
      <c r="CZ107" s="193">
        <f t="shared" si="86"/>
        <v>5.0361948782387143E-4</v>
      </c>
      <c r="DA107" s="193">
        <f t="shared" si="87"/>
        <v>1.8135789635345299E-4</v>
      </c>
      <c r="DB107" s="193">
        <f t="shared" si="88"/>
        <v>2.3403500861110852E-5</v>
      </c>
      <c r="DC107" s="193">
        <f t="shared" si="89"/>
        <v>3.4101402362729538E-5</v>
      </c>
      <c r="DD107" s="193">
        <f t="shared" si="90"/>
        <v>2.2884255233749387E-4</v>
      </c>
      <c r="DE107" s="193">
        <f t="shared" si="91"/>
        <v>7.7898828157537805E-5</v>
      </c>
      <c r="DF107" s="193">
        <f t="shared" si="92"/>
        <v>1.9068922376628051E-3</v>
      </c>
      <c r="DG107" s="193">
        <f t="shared" si="93"/>
        <v>5.0177307291848002E-4</v>
      </c>
      <c r="DI107" s="83"/>
    </row>
    <row r="108" spans="1:113">
      <c r="A108" s="150">
        <v>43997</v>
      </c>
      <c r="B108" s="129">
        <v>10597</v>
      </c>
      <c r="C108" s="129">
        <v>512</v>
      </c>
      <c r="D108" s="129">
        <v>12193</v>
      </c>
      <c r="E108" s="129">
        <v>3959</v>
      </c>
      <c r="F108" s="129">
        <v>362</v>
      </c>
      <c r="G108" s="129">
        <v>322</v>
      </c>
      <c r="H108" s="129">
        <v>1177</v>
      </c>
      <c r="I108" s="129">
        <v>205</v>
      </c>
      <c r="J108" s="129">
        <v>44143</v>
      </c>
      <c r="K108" s="165">
        <f t="shared" si="78"/>
        <v>73470</v>
      </c>
      <c r="L108" s="80">
        <v>236</v>
      </c>
      <c r="M108" s="80">
        <v>9</v>
      </c>
      <c r="N108" s="80">
        <v>87</v>
      </c>
      <c r="O108" s="80">
        <v>69</v>
      </c>
      <c r="P108" s="80">
        <v>4</v>
      </c>
      <c r="Q108" s="80">
        <v>1</v>
      </c>
      <c r="R108" s="80">
        <v>5</v>
      </c>
      <c r="S108" s="80">
        <v>1</v>
      </c>
      <c r="T108" s="80">
        <v>1156</v>
      </c>
      <c r="U108" s="80">
        <f t="shared" si="79"/>
        <v>1568</v>
      </c>
      <c r="V108" s="130">
        <v>5331</v>
      </c>
      <c r="W108" s="130">
        <v>222</v>
      </c>
      <c r="X108" s="130">
        <v>3348</v>
      </c>
      <c r="Y108" s="130">
        <v>1810</v>
      </c>
      <c r="Z108" s="130">
        <v>199</v>
      </c>
      <c r="AA108" s="130">
        <v>138</v>
      </c>
      <c r="AB108" s="130">
        <v>152</v>
      </c>
      <c r="AC108" s="130">
        <v>52</v>
      </c>
      <c r="AD108" s="130">
        <v>28615</v>
      </c>
      <c r="AE108" s="130">
        <f t="shared" si="80"/>
        <v>39867</v>
      </c>
      <c r="AF108" s="151">
        <f t="shared" si="96"/>
        <v>5030</v>
      </c>
      <c r="AG108" s="151">
        <f t="shared" si="97"/>
        <v>281</v>
      </c>
      <c r="AH108" s="151">
        <f t="shared" si="98"/>
        <v>8758</v>
      </c>
      <c r="AI108" s="151">
        <f t="shared" si="99"/>
        <v>2080</v>
      </c>
      <c r="AJ108" s="151">
        <f t="shared" si="100"/>
        <v>159</v>
      </c>
      <c r="AK108" s="151">
        <f t="shared" si="101"/>
        <v>183</v>
      </c>
      <c r="AL108" s="151">
        <f t="shared" si="102"/>
        <v>1020</v>
      </c>
      <c r="AM108" s="151">
        <f t="shared" si="103"/>
        <v>152</v>
      </c>
      <c r="AN108" s="151">
        <f t="shared" si="104"/>
        <v>14372</v>
      </c>
      <c r="AO108" s="151">
        <f t="shared" si="81"/>
        <v>32035</v>
      </c>
      <c r="AP108" s="57">
        <f t="shared" si="105"/>
        <v>570</v>
      </c>
      <c r="AQ108" s="57">
        <f t="shared" si="106"/>
        <v>17</v>
      </c>
      <c r="AR108" s="57">
        <f t="shared" si="107"/>
        <v>1029</v>
      </c>
      <c r="AS108" s="57">
        <f t="shared" si="108"/>
        <v>85</v>
      </c>
      <c r="AT108" s="57">
        <f t="shared" si="109"/>
        <v>36</v>
      </c>
      <c r="AU108" s="57">
        <f t="shared" si="110"/>
        <v>25</v>
      </c>
      <c r="AV108" s="57">
        <f t="shared" si="111"/>
        <v>80</v>
      </c>
      <c r="AW108" s="57">
        <f t="shared" si="112"/>
        <v>49</v>
      </c>
      <c r="AX108" s="57">
        <f t="shared" si="113"/>
        <v>1604</v>
      </c>
      <c r="AY108" s="57">
        <f t="shared" si="82"/>
        <v>3495</v>
      </c>
      <c r="AZ108" s="152">
        <f t="shared" ca="1" si="114"/>
        <v>49078.912016562099</v>
      </c>
      <c r="BA108" s="152">
        <f t="shared" ca="1" si="115"/>
        <v>2890.5011200390763</v>
      </c>
      <c r="BB108" s="152">
        <f t="shared" ca="1" si="116"/>
        <v>17679.655171785336</v>
      </c>
      <c r="BC108" s="152">
        <f t="shared" ca="1" si="117"/>
        <v>18330.785765825844</v>
      </c>
      <c r="BD108" s="152">
        <f t="shared" ca="1" si="118"/>
        <v>1030.3314932861392</v>
      </c>
      <c r="BE108" s="152">
        <f t="shared" ca="1" si="119"/>
        <v>110.72415160913556</v>
      </c>
      <c r="BF108" s="152">
        <f t="shared" ca="1" si="120"/>
        <v>724.72302986987597</v>
      </c>
      <c r="BG108" s="152">
        <f t="shared" ca="1" si="121"/>
        <v>169.34733010847316</v>
      </c>
      <c r="BH108" s="152">
        <f t="shared" ca="1" si="122"/>
        <v>273842.49406553572</v>
      </c>
      <c r="BI108" s="152">
        <f t="shared" ca="1" si="94"/>
        <v>363857.47414462169</v>
      </c>
      <c r="BJ108" s="163">
        <f t="shared" ca="1" si="123"/>
        <v>23295.925964264166</v>
      </c>
      <c r="BK108" s="163">
        <f t="shared" ca="1" si="124"/>
        <v>1586.3883100214462</v>
      </c>
      <c r="BL108" s="163">
        <f t="shared" ca="1" si="125"/>
        <v>12698.960058598866</v>
      </c>
      <c r="BM108" s="163">
        <f t="shared" ca="1" si="126"/>
        <v>9630.7235142505051</v>
      </c>
      <c r="BN108" s="163">
        <f t="shared" ca="1" si="127"/>
        <v>452.54891555938156</v>
      </c>
      <c r="BO108" s="163">
        <f t="shared" ca="1" si="128"/>
        <v>62.927079951775795</v>
      </c>
      <c r="BP108" s="163">
        <f t="shared" ca="1" si="129"/>
        <v>628.052243387658</v>
      </c>
      <c r="BQ108" s="163">
        <f t="shared" ca="1" si="130"/>
        <v>125.56484964140449</v>
      </c>
      <c r="BR108" s="163">
        <f t="shared" ca="1" si="131"/>
        <v>89157.155714606604</v>
      </c>
      <c r="BS108" s="163">
        <f t="shared" ca="1" si="95"/>
        <v>137638.24665028183</v>
      </c>
      <c r="BT108" s="164">
        <f t="shared" si="133"/>
        <v>2.2270453902047748E-2</v>
      </c>
      <c r="BU108" s="164">
        <f t="shared" si="134"/>
        <v>1.7578125E-2</v>
      </c>
      <c r="BV108" s="164">
        <f t="shared" si="135"/>
        <v>7.1352415320265726E-3</v>
      </c>
      <c r="BW108" s="164">
        <f t="shared" si="136"/>
        <v>1.7428643596867896E-2</v>
      </c>
      <c r="BX108" s="164">
        <f t="shared" si="137"/>
        <v>1.1049723756906077E-2</v>
      </c>
      <c r="BY108" s="164">
        <f t="shared" si="138"/>
        <v>3.105590062111801E-3</v>
      </c>
      <c r="BZ108" s="164">
        <f t="shared" si="139"/>
        <v>4.248088360237893E-3</v>
      </c>
      <c r="CA108" s="164">
        <f t="shared" si="140"/>
        <v>4.8780487804878049E-3</v>
      </c>
      <c r="CB108" s="164">
        <f t="shared" si="141"/>
        <v>2.6187617515800919E-2</v>
      </c>
      <c r="CC108" s="164">
        <f t="shared" si="142"/>
        <v>2.1342044371852456E-2</v>
      </c>
      <c r="CD108" s="180">
        <f t="shared" si="153"/>
        <v>6486</v>
      </c>
      <c r="CE108" s="180">
        <f t="shared" si="154"/>
        <v>227</v>
      </c>
      <c r="CF108" s="180">
        <f t="shared" si="155"/>
        <v>7962</v>
      </c>
      <c r="CG108" s="180">
        <f t="shared" si="156"/>
        <v>1394</v>
      </c>
      <c r="CH108" s="180">
        <f t="shared" si="157"/>
        <v>170</v>
      </c>
      <c r="CI108" s="180">
        <f t="shared" si="158"/>
        <v>191</v>
      </c>
      <c r="CJ108" s="180">
        <f t="shared" si="159"/>
        <v>990</v>
      </c>
      <c r="CK108" s="180">
        <f t="shared" si="160"/>
        <v>123</v>
      </c>
      <c r="CL108" s="180">
        <f t="shared" si="161"/>
        <v>21576</v>
      </c>
      <c r="CM108" s="180">
        <f t="shared" si="161"/>
        <v>39119</v>
      </c>
      <c r="CN108" s="183">
        <f t="shared" si="143"/>
        <v>1.5423348839133828E-3</v>
      </c>
      <c r="CO108" s="183">
        <f t="shared" si="144"/>
        <v>1.8227619416652443E-4</v>
      </c>
      <c r="CP108" s="183">
        <f t="shared" si="145"/>
        <v>7.7966384142159277E-4</v>
      </c>
      <c r="CQ108" s="183">
        <f t="shared" si="146"/>
        <v>3.5989770008186485E-4</v>
      </c>
      <c r="CR108" s="183">
        <f t="shared" si="147"/>
        <v>6.1839907384833058E-5</v>
      </c>
      <c r="CS108" s="183">
        <f t="shared" si="148"/>
        <v>6.6955192443895805E-5</v>
      </c>
      <c r="CT108" s="183">
        <f t="shared" si="149"/>
        <v>2.8654008946939392E-4</v>
      </c>
      <c r="CU108" s="183">
        <f t="shared" si="150"/>
        <v>1.5504135701257523E-4</v>
      </c>
      <c r="CV108" s="183">
        <f t="shared" si="151"/>
        <v>6.0432151659953488E-3</v>
      </c>
      <c r="CW108" s="183">
        <f t="shared" si="152"/>
        <v>1.230318637942889E-3</v>
      </c>
      <c r="CX108" s="193">
        <f t="shared" si="84"/>
        <v>7.3208874833295419E-4</v>
      </c>
      <c r="CY108" s="193">
        <f t="shared" si="85"/>
        <v>1.0003830187654953E-4</v>
      </c>
      <c r="CZ108" s="193">
        <f t="shared" si="86"/>
        <v>5.6001770878129332E-4</v>
      </c>
      <c r="DA108" s="193">
        <f t="shared" si="87"/>
        <v>1.8908492451888835E-4</v>
      </c>
      <c r="DB108" s="193">
        <f t="shared" si="88"/>
        <v>2.7161727276763691E-5</v>
      </c>
      <c r="DC108" s="193">
        <f t="shared" si="89"/>
        <v>3.8052174587679912E-5</v>
      </c>
      <c r="DD108" s="193">
        <f t="shared" si="90"/>
        <v>2.483185142385572E-4</v>
      </c>
      <c r="DE108" s="193">
        <f t="shared" si="91"/>
        <v>1.149574939800558E-4</v>
      </c>
      <c r="DF108" s="193">
        <f t="shared" si="92"/>
        <v>1.9675393236908492E-3</v>
      </c>
      <c r="DG108" s="193">
        <f t="shared" si="93"/>
        <v>5.3645375754049886E-4</v>
      </c>
      <c r="DI108" s="83"/>
    </row>
    <row r="109" spans="1:113">
      <c r="A109" s="150">
        <v>43998</v>
      </c>
      <c r="B109" s="129">
        <v>11039</v>
      </c>
      <c r="C109" s="129">
        <v>578</v>
      </c>
      <c r="D109" s="129">
        <v>13023</v>
      </c>
      <c r="E109" s="129">
        <v>4048</v>
      </c>
      <c r="F109" s="129">
        <v>391</v>
      </c>
      <c r="G109" s="129">
        <v>343</v>
      </c>
      <c r="H109" s="129">
        <v>1281</v>
      </c>
      <c r="I109" s="129">
        <v>211</v>
      </c>
      <c r="J109" s="129">
        <v>45357</v>
      </c>
      <c r="K109" s="165">
        <f t="shared" si="78"/>
        <v>76271</v>
      </c>
      <c r="L109" s="80">
        <v>245</v>
      </c>
      <c r="M109" s="80">
        <v>9</v>
      </c>
      <c r="N109" s="80">
        <v>87</v>
      </c>
      <c r="O109" s="80">
        <v>73</v>
      </c>
      <c r="P109" s="80">
        <v>4</v>
      </c>
      <c r="Q109" s="80">
        <v>1</v>
      </c>
      <c r="R109" s="80">
        <v>5</v>
      </c>
      <c r="S109" s="80">
        <v>1</v>
      </c>
      <c r="T109" s="80">
        <v>1200</v>
      </c>
      <c r="U109" s="80">
        <f t="shared" si="79"/>
        <v>1625</v>
      </c>
      <c r="V109" s="130">
        <v>5475</v>
      </c>
      <c r="W109" s="130">
        <v>222</v>
      </c>
      <c r="X109" s="130">
        <v>3442</v>
      </c>
      <c r="Y109" s="130">
        <v>2133</v>
      </c>
      <c r="Z109" s="130">
        <v>213</v>
      </c>
      <c r="AA109" s="130">
        <v>138</v>
      </c>
      <c r="AB109" s="130">
        <v>152</v>
      </c>
      <c r="AC109" s="130">
        <v>52</v>
      </c>
      <c r="AD109" s="130">
        <v>30236</v>
      </c>
      <c r="AE109" s="130">
        <f t="shared" si="80"/>
        <v>42063</v>
      </c>
      <c r="AF109" s="151">
        <f t="shared" si="96"/>
        <v>5319</v>
      </c>
      <c r="AG109" s="151">
        <f t="shared" si="97"/>
        <v>347</v>
      </c>
      <c r="AH109" s="151">
        <f t="shared" si="98"/>
        <v>9494</v>
      </c>
      <c r="AI109" s="151">
        <f t="shared" si="99"/>
        <v>1842</v>
      </c>
      <c r="AJ109" s="151">
        <f t="shared" si="100"/>
        <v>174</v>
      </c>
      <c r="AK109" s="151">
        <f t="shared" si="101"/>
        <v>204</v>
      </c>
      <c r="AL109" s="151">
        <f t="shared" si="102"/>
        <v>1124</v>
      </c>
      <c r="AM109" s="151">
        <f t="shared" si="103"/>
        <v>158</v>
      </c>
      <c r="AN109" s="151">
        <f t="shared" si="104"/>
        <v>13921</v>
      </c>
      <c r="AO109" s="151">
        <f t="shared" si="81"/>
        <v>32583</v>
      </c>
      <c r="AP109" s="57">
        <f t="shared" si="105"/>
        <v>442</v>
      </c>
      <c r="AQ109" s="57">
        <f t="shared" si="106"/>
        <v>66</v>
      </c>
      <c r="AR109" s="57">
        <f t="shared" si="107"/>
        <v>830</v>
      </c>
      <c r="AS109" s="57">
        <f t="shared" si="108"/>
        <v>89</v>
      </c>
      <c r="AT109" s="57">
        <f t="shared" si="109"/>
        <v>29</v>
      </c>
      <c r="AU109" s="57">
        <f t="shared" si="110"/>
        <v>21</v>
      </c>
      <c r="AV109" s="57">
        <f t="shared" si="111"/>
        <v>104</v>
      </c>
      <c r="AW109" s="57">
        <f t="shared" si="112"/>
        <v>6</v>
      </c>
      <c r="AX109" s="57">
        <f t="shared" si="113"/>
        <v>1214</v>
      </c>
      <c r="AY109" s="57">
        <f t="shared" si="82"/>
        <v>2801</v>
      </c>
      <c r="AZ109" s="152">
        <f t="shared" ca="1" si="114"/>
        <v>50912.688322278453</v>
      </c>
      <c r="BA109" s="152">
        <f t="shared" ca="1" si="115"/>
        <v>2824.5011200390763</v>
      </c>
      <c r="BB109" s="152">
        <f t="shared" ca="1" si="116"/>
        <v>16849.655171785336</v>
      </c>
      <c r="BC109" s="152">
        <f t="shared" ca="1" si="117"/>
        <v>19533.947259496908</v>
      </c>
      <c r="BD109" s="152">
        <f t="shared" ca="1" si="118"/>
        <v>1001.3314932861392</v>
      </c>
      <c r="BE109" s="152">
        <f t="shared" ca="1" si="119"/>
        <v>89.724151609135561</v>
      </c>
      <c r="BF109" s="152">
        <f t="shared" ca="1" si="120"/>
        <v>620.72302986987597</v>
      </c>
      <c r="BG109" s="152">
        <f t="shared" ca="1" si="121"/>
        <v>163.34733010847316</v>
      </c>
      <c r="BH109" s="152">
        <f t="shared" ca="1" si="122"/>
        <v>284731.74816491595</v>
      </c>
      <c r="BI109" s="152">
        <f t="shared" ca="1" si="94"/>
        <v>376727.66604338936</v>
      </c>
      <c r="BJ109" s="163">
        <f t="shared" ca="1" si="123"/>
        <v>24531.62326172652</v>
      </c>
      <c r="BK109" s="163">
        <f t="shared" ca="1" si="124"/>
        <v>1695.678008051141</v>
      </c>
      <c r="BL109" s="163">
        <f t="shared" ca="1" si="125"/>
        <v>12283.700084537355</v>
      </c>
      <c r="BM109" s="163">
        <f t="shared" ca="1" si="126"/>
        <v>8888.7180958481495</v>
      </c>
      <c r="BN109" s="163">
        <f t="shared" ca="1" si="127"/>
        <v>445.60531926288553</v>
      </c>
      <c r="BO109" s="163">
        <f t="shared" ca="1" si="128"/>
        <v>53.363635359369255</v>
      </c>
      <c r="BP109" s="163">
        <f t="shared" ca="1" si="129"/>
        <v>544.64690520978968</v>
      </c>
      <c r="BQ109" s="163">
        <f t="shared" ca="1" si="130"/>
        <v>122.31695809070501</v>
      </c>
      <c r="BR109" s="163">
        <f t="shared" ca="1" si="131"/>
        <v>87390.0537117489</v>
      </c>
      <c r="BS109" s="163">
        <f t="shared" ca="1" si="95"/>
        <v>135955.70597983481</v>
      </c>
      <c r="BT109" s="164">
        <f t="shared" si="133"/>
        <v>2.2194039315155359E-2</v>
      </c>
      <c r="BU109" s="164">
        <f t="shared" si="134"/>
        <v>1.5570934256055362E-2</v>
      </c>
      <c r="BV109" s="164">
        <f t="shared" si="135"/>
        <v>6.6804883667357755E-3</v>
      </c>
      <c r="BW109" s="164">
        <f t="shared" si="136"/>
        <v>1.8033596837944664E-2</v>
      </c>
      <c r="BX109" s="164">
        <f t="shared" si="137"/>
        <v>1.0230179028132993E-2</v>
      </c>
      <c r="BY109" s="164">
        <f t="shared" si="138"/>
        <v>2.9154518950437317E-3</v>
      </c>
      <c r="BZ109" s="164">
        <f t="shared" si="139"/>
        <v>3.9032006245120999E-3</v>
      </c>
      <c r="CA109" s="164">
        <f t="shared" si="140"/>
        <v>4.7393364928909956E-3</v>
      </c>
      <c r="CB109" s="164">
        <f t="shared" si="141"/>
        <v>2.6456776241814934E-2</v>
      </c>
      <c r="CC109" s="164">
        <f t="shared" si="142"/>
        <v>2.1305607635929778E-2</v>
      </c>
      <c r="CD109" s="180">
        <f t="shared" si="153"/>
        <v>6715</v>
      </c>
      <c r="CE109" s="180">
        <f t="shared" si="154"/>
        <v>279</v>
      </c>
      <c r="CF109" s="180">
        <f t="shared" si="155"/>
        <v>8747</v>
      </c>
      <c r="CG109" s="180">
        <f t="shared" si="156"/>
        <v>1411</v>
      </c>
      <c r="CH109" s="180">
        <f t="shared" si="157"/>
        <v>198</v>
      </c>
      <c r="CI109" s="180">
        <f t="shared" si="158"/>
        <v>211</v>
      </c>
      <c r="CJ109" s="180">
        <f t="shared" si="159"/>
        <v>1010</v>
      </c>
      <c r="CK109" s="180">
        <f t="shared" si="160"/>
        <v>120</v>
      </c>
      <c r="CL109" s="180">
        <f t="shared" si="161"/>
        <v>21774</v>
      </c>
      <c r="CM109" s="180">
        <f t="shared" si="161"/>
        <v>40465</v>
      </c>
      <c r="CN109" s="183">
        <f t="shared" si="143"/>
        <v>1.6066655452977099E-3</v>
      </c>
      <c r="CO109" s="183">
        <f t="shared" si="144"/>
        <v>2.0577273482080298E-4</v>
      </c>
      <c r="CP109" s="183">
        <f t="shared" si="145"/>
        <v>8.3273699719785146E-4</v>
      </c>
      <c r="CQ109" s="183">
        <f t="shared" si="146"/>
        <v>3.6798835310214423E-4</v>
      </c>
      <c r="CR109" s="183">
        <f t="shared" si="147"/>
        <v>6.6793933114557257E-5</v>
      </c>
      <c r="CS109" s="183">
        <f t="shared" si="148"/>
        <v>7.1321835429367277E-5</v>
      </c>
      <c r="CT109" s="183">
        <f t="shared" si="149"/>
        <v>3.1185883994077626E-4</v>
      </c>
      <c r="CU109" s="183">
        <f t="shared" si="150"/>
        <v>1.5957915282757744E-4</v>
      </c>
      <c r="CV109" s="183">
        <f t="shared" si="151"/>
        <v>6.2094128238690399E-3</v>
      </c>
      <c r="CW109" s="183">
        <f t="shared" si="152"/>
        <v>1.2772238033829058E-3</v>
      </c>
      <c r="CX109" s="193">
        <f t="shared" si="84"/>
        <v>7.7415110385347578E-4</v>
      </c>
      <c r="CY109" s="193">
        <f t="shared" si="85"/>
        <v>1.2353484253082808E-4</v>
      </c>
      <c r="CZ109" s="193">
        <f t="shared" si="86"/>
        <v>6.0708016980698777E-4</v>
      </c>
      <c r="DA109" s="193">
        <f t="shared" si="87"/>
        <v>1.6744924565566938E-4</v>
      </c>
      <c r="DB109" s="193">
        <f t="shared" si="88"/>
        <v>2.9724154378345172E-5</v>
      </c>
      <c r="DC109" s="193">
        <f t="shared" si="89"/>
        <v>4.2418817573151377E-5</v>
      </c>
      <c r="DD109" s="193">
        <f t="shared" si="90"/>
        <v>2.7363726470993948E-4</v>
      </c>
      <c r="DE109" s="193">
        <f t="shared" si="91"/>
        <v>1.1949528979505799E-4</v>
      </c>
      <c r="DF109" s="193">
        <f t="shared" si="92"/>
        <v>1.9057970306916442E-3</v>
      </c>
      <c r="DG109" s="193">
        <f t="shared" si="93"/>
        <v>5.4563049108606447E-4</v>
      </c>
      <c r="DI109" s="83"/>
    </row>
    <row r="110" spans="1:113">
      <c r="A110" s="150">
        <v>43999</v>
      </c>
      <c r="B110" s="129">
        <v>11919</v>
      </c>
      <c r="C110" s="129">
        <v>608</v>
      </c>
      <c r="D110" s="129">
        <v>14620</v>
      </c>
      <c r="E110" s="129">
        <v>4238</v>
      </c>
      <c r="F110" s="129">
        <v>416</v>
      </c>
      <c r="G110" s="129">
        <v>391</v>
      </c>
      <c r="H110" s="129">
        <v>1402</v>
      </c>
      <c r="I110" s="129">
        <v>211</v>
      </c>
      <c r="J110" s="129">
        <v>46555</v>
      </c>
      <c r="K110" s="165">
        <f t="shared" si="78"/>
        <v>80360</v>
      </c>
      <c r="L110" s="80">
        <v>251</v>
      </c>
      <c r="M110" s="80">
        <v>9</v>
      </c>
      <c r="N110" s="80">
        <v>87</v>
      </c>
      <c r="O110" s="80">
        <v>73</v>
      </c>
      <c r="P110" s="80">
        <v>4</v>
      </c>
      <c r="Q110" s="80">
        <v>1</v>
      </c>
      <c r="R110" s="80">
        <v>5</v>
      </c>
      <c r="S110" s="80">
        <v>1</v>
      </c>
      <c r="T110" s="80">
        <v>1243</v>
      </c>
      <c r="U110" s="80">
        <f t="shared" si="79"/>
        <v>1674</v>
      </c>
      <c r="V110" s="130">
        <v>5845</v>
      </c>
      <c r="W110" s="130">
        <v>222</v>
      </c>
      <c r="X110" s="130">
        <v>3716</v>
      </c>
      <c r="Y110" s="130">
        <v>2133</v>
      </c>
      <c r="Z110" s="130">
        <v>218</v>
      </c>
      <c r="AA110" s="130">
        <v>146</v>
      </c>
      <c r="AB110" s="130">
        <v>175</v>
      </c>
      <c r="AC110" s="130">
        <v>52</v>
      </c>
      <c r="AD110" s="130">
        <v>31824</v>
      </c>
      <c r="AE110" s="130">
        <f t="shared" si="80"/>
        <v>44331</v>
      </c>
      <c r="AF110" s="151">
        <f t="shared" si="96"/>
        <v>5823</v>
      </c>
      <c r="AG110" s="151">
        <f t="shared" si="97"/>
        <v>377</v>
      </c>
      <c r="AH110" s="151">
        <f t="shared" si="98"/>
        <v>10817</v>
      </c>
      <c r="AI110" s="151">
        <f t="shared" si="99"/>
        <v>2032</v>
      </c>
      <c r="AJ110" s="151">
        <f t="shared" si="100"/>
        <v>194</v>
      </c>
      <c r="AK110" s="151">
        <f t="shared" si="101"/>
        <v>244</v>
      </c>
      <c r="AL110" s="151">
        <f t="shared" si="102"/>
        <v>1222</v>
      </c>
      <c r="AM110" s="151">
        <f t="shared" si="103"/>
        <v>158</v>
      </c>
      <c r="AN110" s="151">
        <f t="shared" si="104"/>
        <v>13488</v>
      </c>
      <c r="AO110" s="151">
        <f t="shared" si="81"/>
        <v>34355</v>
      </c>
      <c r="AP110" s="57">
        <f t="shared" si="105"/>
        <v>880</v>
      </c>
      <c r="AQ110" s="57">
        <f t="shared" si="106"/>
        <v>30</v>
      </c>
      <c r="AR110" s="57">
        <f t="shared" si="107"/>
        <v>1597</v>
      </c>
      <c r="AS110" s="57">
        <f t="shared" si="108"/>
        <v>190</v>
      </c>
      <c r="AT110" s="57">
        <f t="shared" si="109"/>
        <v>25</v>
      </c>
      <c r="AU110" s="57">
        <f t="shared" si="110"/>
        <v>48</v>
      </c>
      <c r="AV110" s="57">
        <f t="shared" si="111"/>
        <v>121</v>
      </c>
      <c r="AW110" s="57">
        <f t="shared" si="112"/>
        <v>0</v>
      </c>
      <c r="AX110" s="57">
        <f t="shared" si="113"/>
        <v>1198</v>
      </c>
      <c r="AY110" s="57">
        <f t="shared" si="82"/>
        <v>4089</v>
      </c>
      <c r="AZ110" s="152">
        <f t="shared" ca="1" si="114"/>
        <v>51549.872526089348</v>
      </c>
      <c r="BA110" s="152">
        <f t="shared" ca="1" si="115"/>
        <v>2794.5011200390763</v>
      </c>
      <c r="BB110" s="152">
        <f t="shared" ca="1" si="116"/>
        <v>15252.655171785336</v>
      </c>
      <c r="BC110" s="152">
        <f t="shared" ca="1" si="117"/>
        <v>19343.947259496908</v>
      </c>
      <c r="BD110" s="152">
        <f t="shared" ca="1" si="118"/>
        <v>976.33149328613922</v>
      </c>
      <c r="BE110" s="152">
        <f t="shared" ca="1" si="119"/>
        <v>41.724151609135561</v>
      </c>
      <c r="BF110" s="152">
        <f t="shared" ca="1" si="120"/>
        <v>499.72302986987597</v>
      </c>
      <c r="BG110" s="152">
        <f t="shared" ca="1" si="121"/>
        <v>163.34733010847316</v>
      </c>
      <c r="BH110" s="152">
        <f t="shared" ca="1" si="122"/>
        <v>295361.92830749211</v>
      </c>
      <c r="BI110" s="152">
        <f t="shared" ca="1" si="94"/>
        <v>385984.0303897764</v>
      </c>
      <c r="BJ110" s="163">
        <f t="shared" ca="1" si="123"/>
        <v>25184.571500916041</v>
      </c>
      <c r="BK110" s="163">
        <f t="shared" ca="1" si="124"/>
        <v>1732.7745431821247</v>
      </c>
      <c r="BL110" s="163">
        <f t="shared" ca="1" si="125"/>
        <v>11285.086935239533</v>
      </c>
      <c r="BM110" s="163">
        <f t="shared" ca="1" si="126"/>
        <v>9274.8704179560445</v>
      </c>
      <c r="BN110" s="163">
        <f t="shared" ca="1" si="127"/>
        <v>455.30843677286299</v>
      </c>
      <c r="BO110" s="163">
        <f t="shared" ca="1" si="128"/>
        <v>26.037577986263621</v>
      </c>
      <c r="BP110" s="163">
        <f t="shared" ca="1" si="129"/>
        <v>435.56458095648247</v>
      </c>
      <c r="BQ110" s="163">
        <f t="shared" ca="1" si="130"/>
        <v>122.31695809070501</v>
      </c>
      <c r="BR110" s="163">
        <f t="shared" ca="1" si="131"/>
        <v>85572.799678046475</v>
      </c>
      <c r="BS110" s="163">
        <f t="shared" ca="1" si="95"/>
        <v>134089.33062914654</v>
      </c>
      <c r="BT110" s="164">
        <f t="shared" si="133"/>
        <v>2.1058813658863997E-2</v>
      </c>
      <c r="BU110" s="164">
        <f t="shared" si="134"/>
        <v>1.4802631578947368E-2</v>
      </c>
      <c r="BV110" s="164">
        <f t="shared" si="135"/>
        <v>5.9507523939808481E-3</v>
      </c>
      <c r="BW110" s="164">
        <f t="shared" si="136"/>
        <v>1.7225106182161398E-2</v>
      </c>
      <c r="BX110" s="164">
        <f t="shared" si="137"/>
        <v>9.6153846153846159E-3</v>
      </c>
      <c r="BY110" s="164">
        <f t="shared" si="138"/>
        <v>2.5575447570332483E-3</v>
      </c>
      <c r="BZ110" s="164">
        <f t="shared" si="139"/>
        <v>3.566333808844508E-3</v>
      </c>
      <c r="CA110" s="164">
        <f t="shared" si="140"/>
        <v>4.7393364928909956E-3</v>
      </c>
      <c r="CB110" s="164">
        <f t="shared" si="141"/>
        <v>2.6699602620556331E-2</v>
      </c>
      <c r="CC110" s="164">
        <f t="shared" si="142"/>
        <v>2.0831259333001492E-2</v>
      </c>
      <c r="CD110" s="180">
        <f t="shared" si="153"/>
        <v>7393</v>
      </c>
      <c r="CE110" s="180">
        <f t="shared" si="154"/>
        <v>289</v>
      </c>
      <c r="CF110" s="180">
        <f t="shared" si="155"/>
        <v>10053</v>
      </c>
      <c r="CG110" s="180">
        <f t="shared" si="156"/>
        <v>1531</v>
      </c>
      <c r="CH110" s="180">
        <f t="shared" si="157"/>
        <v>216</v>
      </c>
      <c r="CI110" s="180">
        <f t="shared" si="158"/>
        <v>254</v>
      </c>
      <c r="CJ110" s="180">
        <f t="shared" si="159"/>
        <v>1088</v>
      </c>
      <c r="CK110" s="180">
        <f t="shared" si="160"/>
        <v>118</v>
      </c>
      <c r="CL110" s="180">
        <f t="shared" si="161"/>
        <v>21898</v>
      </c>
      <c r="CM110" s="180">
        <f t="shared" si="161"/>
        <v>42840</v>
      </c>
      <c r="CN110" s="183">
        <f t="shared" si="143"/>
        <v>1.7347446901352845E-3</v>
      </c>
      <c r="CO110" s="183">
        <f t="shared" si="144"/>
        <v>2.1645298057274776E-4</v>
      </c>
      <c r="CP110" s="183">
        <f t="shared" si="145"/>
        <v>9.3485486439626717E-4</v>
      </c>
      <c r="CQ110" s="183">
        <f t="shared" si="146"/>
        <v>3.8526053370723499E-4</v>
      </c>
      <c r="CR110" s="183">
        <f t="shared" si="147"/>
        <v>7.1064644950526385E-5</v>
      </c>
      <c r="CS110" s="183">
        <f t="shared" si="148"/>
        <v>8.1302733681873476E-5</v>
      </c>
      <c r="CT110" s="183">
        <f t="shared" si="149"/>
        <v>3.4131623231613452E-4</v>
      </c>
      <c r="CU110" s="183">
        <f t="shared" si="150"/>
        <v>1.5957915282757744E-4</v>
      </c>
      <c r="CV110" s="183">
        <f t="shared" si="151"/>
        <v>6.3734200678004088E-3</v>
      </c>
      <c r="CW110" s="183">
        <f t="shared" si="152"/>
        <v>1.3456976418278286E-3</v>
      </c>
      <c r="CX110" s="193">
        <f t="shared" si="84"/>
        <v>8.4750552316954113E-4</v>
      </c>
      <c r="CY110" s="193">
        <f t="shared" si="85"/>
        <v>1.3421508828277286E-4</v>
      </c>
      <c r="CZ110" s="193">
        <f t="shared" si="86"/>
        <v>6.9167750124312049E-4</v>
      </c>
      <c r="DA110" s="193">
        <f t="shared" si="87"/>
        <v>1.8472142626076014E-4</v>
      </c>
      <c r="DB110" s="193">
        <f t="shared" si="88"/>
        <v>3.3140723847120479E-5</v>
      </c>
      <c r="DC110" s="193">
        <f t="shared" si="89"/>
        <v>5.0736232783573217E-5</v>
      </c>
      <c r="DD110" s="193">
        <f t="shared" si="90"/>
        <v>2.9749531803874204E-4</v>
      </c>
      <c r="DE110" s="193">
        <f t="shared" si="91"/>
        <v>1.1949528979505799E-4</v>
      </c>
      <c r="DF110" s="193">
        <f t="shared" si="92"/>
        <v>1.8465189533775515E-3</v>
      </c>
      <c r="DG110" s="193">
        <f t="shared" si="93"/>
        <v>5.7530416233194444E-4</v>
      </c>
      <c r="DI110" s="83"/>
    </row>
    <row r="111" spans="1:113">
      <c r="A111" s="150">
        <v>44000</v>
      </c>
      <c r="B111" s="129">
        <v>12639</v>
      </c>
      <c r="C111" s="129">
        <v>649</v>
      </c>
      <c r="D111" s="129">
        <v>15898</v>
      </c>
      <c r="E111" s="129">
        <v>4360</v>
      </c>
      <c r="F111" s="129">
        <v>489</v>
      </c>
      <c r="G111" s="129">
        <v>461</v>
      </c>
      <c r="H111" s="129">
        <v>1606</v>
      </c>
      <c r="I111" s="129">
        <v>214</v>
      </c>
      <c r="J111" s="129">
        <v>47522</v>
      </c>
      <c r="K111" s="165">
        <f t="shared" si="78"/>
        <v>83838</v>
      </c>
      <c r="L111" s="80">
        <v>257</v>
      </c>
      <c r="M111" s="80">
        <v>9</v>
      </c>
      <c r="N111" s="80">
        <v>87</v>
      </c>
      <c r="O111" s="80">
        <v>73</v>
      </c>
      <c r="P111" s="80">
        <v>4</v>
      </c>
      <c r="Q111" s="80">
        <v>1</v>
      </c>
      <c r="R111" s="80">
        <v>5</v>
      </c>
      <c r="S111" s="80">
        <v>1</v>
      </c>
      <c r="T111" s="80">
        <v>1300</v>
      </c>
      <c r="U111" s="80">
        <f t="shared" si="79"/>
        <v>1737</v>
      </c>
      <c r="V111" s="130">
        <v>6331</v>
      </c>
      <c r="W111" s="130">
        <v>235</v>
      </c>
      <c r="X111" s="130">
        <v>3756</v>
      </c>
      <c r="Y111" s="130">
        <v>2133</v>
      </c>
      <c r="Z111" s="130">
        <v>229</v>
      </c>
      <c r="AA111" s="130">
        <v>156</v>
      </c>
      <c r="AB111" s="130">
        <v>175</v>
      </c>
      <c r="AC111" s="130">
        <v>81</v>
      </c>
      <c r="AD111" s="130">
        <v>31824</v>
      </c>
      <c r="AE111" s="130">
        <f t="shared" si="80"/>
        <v>44920</v>
      </c>
      <c r="AF111" s="151">
        <f t="shared" si="96"/>
        <v>6051</v>
      </c>
      <c r="AG111" s="151">
        <f t="shared" si="97"/>
        <v>405</v>
      </c>
      <c r="AH111" s="151">
        <f t="shared" si="98"/>
        <v>12055</v>
      </c>
      <c r="AI111" s="151">
        <f t="shared" si="99"/>
        <v>2154</v>
      </c>
      <c r="AJ111" s="151">
        <f t="shared" si="100"/>
        <v>256</v>
      </c>
      <c r="AK111" s="151">
        <f t="shared" si="101"/>
        <v>304</v>
      </c>
      <c r="AL111" s="151">
        <f t="shared" si="102"/>
        <v>1426</v>
      </c>
      <c r="AM111" s="151">
        <f t="shared" si="103"/>
        <v>132</v>
      </c>
      <c r="AN111" s="151">
        <f t="shared" si="104"/>
        <v>14398</v>
      </c>
      <c r="AO111" s="151">
        <f t="shared" si="81"/>
        <v>37181</v>
      </c>
      <c r="AP111" s="57">
        <f t="shared" si="105"/>
        <v>720</v>
      </c>
      <c r="AQ111" s="57">
        <f t="shared" si="106"/>
        <v>41</v>
      </c>
      <c r="AR111" s="57">
        <f t="shared" si="107"/>
        <v>1278</v>
      </c>
      <c r="AS111" s="57">
        <f t="shared" si="108"/>
        <v>122</v>
      </c>
      <c r="AT111" s="57">
        <f t="shared" si="109"/>
        <v>73</v>
      </c>
      <c r="AU111" s="57">
        <f t="shared" si="110"/>
        <v>70</v>
      </c>
      <c r="AV111" s="57">
        <f t="shared" si="111"/>
        <v>204</v>
      </c>
      <c r="AW111" s="57">
        <f t="shared" si="112"/>
        <v>3</v>
      </c>
      <c r="AX111" s="57">
        <f t="shared" si="113"/>
        <v>967</v>
      </c>
      <c r="AY111" s="57">
        <f t="shared" si="82"/>
        <v>3478</v>
      </c>
      <c r="AZ111" s="152">
        <f t="shared" ca="1" si="114"/>
        <v>52347.056729900251</v>
      </c>
      <c r="BA111" s="152">
        <f t="shared" ca="1" si="115"/>
        <v>2753.5011200390763</v>
      </c>
      <c r="BB111" s="152">
        <f t="shared" ca="1" si="116"/>
        <v>13974.655171785336</v>
      </c>
      <c r="BC111" s="152">
        <f t="shared" ca="1" si="117"/>
        <v>19221.947259496908</v>
      </c>
      <c r="BD111" s="152">
        <f t="shared" ca="1" si="118"/>
        <v>903.33149328613922</v>
      </c>
      <c r="BE111" s="152">
        <f t="shared" ca="1" si="119"/>
        <v>-28.275848390864439</v>
      </c>
      <c r="BF111" s="152">
        <f t="shared" ca="1" si="120"/>
        <v>295.72302986987597</v>
      </c>
      <c r="BG111" s="152">
        <f t="shared" ca="1" si="121"/>
        <v>160.34733010847316</v>
      </c>
      <c r="BH111" s="152">
        <f t="shared" ca="1" si="122"/>
        <v>310074.14384532563</v>
      </c>
      <c r="BI111" s="152">
        <f t="shared" ca="1" si="94"/>
        <v>399702.43013142084</v>
      </c>
      <c r="BJ111" s="163">
        <f t="shared" ca="1" si="123"/>
        <v>25061.4795690028</v>
      </c>
      <c r="BK111" s="163">
        <f t="shared" ca="1" si="124"/>
        <v>1718.2865232909489</v>
      </c>
      <c r="BL111" s="163">
        <f t="shared" ca="1" si="125"/>
        <v>10596.582469233377</v>
      </c>
      <c r="BM111" s="163">
        <f t="shared" ca="1" si="126"/>
        <v>9496.3473387514532</v>
      </c>
      <c r="BN111" s="163">
        <f t="shared" ca="1" si="127"/>
        <v>472.90973881646551</v>
      </c>
      <c r="BO111" s="163">
        <f t="shared" ca="1" si="128"/>
        <v>-18.646112604821671</v>
      </c>
      <c r="BP111" s="163">
        <f t="shared" ca="1" si="129"/>
        <v>262.57848106752374</v>
      </c>
      <c r="BQ111" s="163">
        <f t="shared" ca="1" si="130"/>
        <v>98.905829786534852</v>
      </c>
      <c r="BR111" s="163">
        <f t="shared" ca="1" si="131"/>
        <v>93944.8576045831</v>
      </c>
      <c r="BS111" s="163">
        <f t="shared" ca="1" si="95"/>
        <v>141633.30144192738</v>
      </c>
      <c r="BT111" s="164">
        <f t="shared" si="133"/>
        <v>2.0333887174618245E-2</v>
      </c>
      <c r="BU111" s="164">
        <f t="shared" si="134"/>
        <v>1.386748844375963E-2</v>
      </c>
      <c r="BV111" s="164">
        <f t="shared" si="135"/>
        <v>5.4723864637061265E-3</v>
      </c>
      <c r="BW111" s="164">
        <f t="shared" si="136"/>
        <v>1.6743119266055047E-2</v>
      </c>
      <c r="BX111" s="164">
        <f t="shared" si="137"/>
        <v>8.1799591002044997E-3</v>
      </c>
      <c r="BY111" s="164">
        <f t="shared" si="138"/>
        <v>2.1691973969631237E-3</v>
      </c>
      <c r="BZ111" s="164">
        <f t="shared" si="139"/>
        <v>3.1133250311332502E-3</v>
      </c>
      <c r="CA111" s="164">
        <f t="shared" si="140"/>
        <v>4.6728971962616819E-3</v>
      </c>
      <c r="CB111" s="164">
        <f t="shared" si="141"/>
        <v>2.7355751020579942E-2</v>
      </c>
      <c r="CC111" s="164">
        <f t="shared" si="142"/>
        <v>2.0718528590853789E-2</v>
      </c>
      <c r="CD111" s="180">
        <f t="shared" si="153"/>
        <v>7703</v>
      </c>
      <c r="CE111" s="180">
        <f t="shared" si="154"/>
        <v>327</v>
      </c>
      <c r="CF111" s="180">
        <f t="shared" si="155"/>
        <v>11053</v>
      </c>
      <c r="CG111" s="180">
        <f t="shared" si="156"/>
        <v>1491</v>
      </c>
      <c r="CH111" s="180">
        <f t="shared" si="157"/>
        <v>283</v>
      </c>
      <c r="CI111" s="180">
        <f t="shared" si="158"/>
        <v>317</v>
      </c>
      <c r="CJ111" s="180">
        <f t="shared" si="159"/>
        <v>1242</v>
      </c>
      <c r="CK111" s="180">
        <f t="shared" si="160"/>
        <v>119</v>
      </c>
      <c r="CL111" s="180">
        <f t="shared" si="161"/>
        <v>20516</v>
      </c>
      <c r="CM111" s="180">
        <f t="shared" si="161"/>
        <v>43051</v>
      </c>
      <c r="CN111" s="183">
        <f t="shared" si="143"/>
        <v>1.8395367177296636E-3</v>
      </c>
      <c r="CO111" s="183">
        <f t="shared" si="144"/>
        <v>2.3104931643373898E-4</v>
      </c>
      <c r="CP111" s="183">
        <f t="shared" si="145"/>
        <v>1.0165747355794703E-3</v>
      </c>
      <c r="CQ111" s="183">
        <f t="shared" si="146"/>
        <v>3.9635109177997747E-4</v>
      </c>
      <c r="CR111" s="183">
        <f t="shared" si="147"/>
        <v>8.3535123511556254E-5</v>
      </c>
      <c r="CS111" s="183">
        <f t="shared" si="148"/>
        <v>9.5858210300111692E-5</v>
      </c>
      <c r="CT111" s="183">
        <f t="shared" si="149"/>
        <v>3.9097993516384595E-4</v>
      </c>
      <c r="CU111" s="183">
        <f t="shared" si="150"/>
        <v>1.6184805073507855E-4</v>
      </c>
      <c r="CV111" s="183">
        <f t="shared" si="151"/>
        <v>6.5058032104395019E-3</v>
      </c>
      <c r="CW111" s="183">
        <f t="shared" si="152"/>
        <v>1.4039397572867284E-3</v>
      </c>
      <c r="CX111" s="193">
        <f t="shared" si="84"/>
        <v>8.8068966524109456E-4</v>
      </c>
      <c r="CY111" s="193">
        <f t="shared" si="85"/>
        <v>1.4418331765125468E-4</v>
      </c>
      <c r="CZ111" s="193">
        <f t="shared" si="86"/>
        <v>7.7083962997927507E-4</v>
      </c>
      <c r="DA111" s="193">
        <f t="shared" si="87"/>
        <v>1.9581198433350262E-4</v>
      </c>
      <c r="DB111" s="193">
        <f t="shared" si="88"/>
        <v>4.3732089200323933E-5</v>
      </c>
      <c r="DC111" s="193">
        <f t="shared" si="89"/>
        <v>6.3212355599205982E-5</v>
      </c>
      <c r="DD111" s="193">
        <f t="shared" si="90"/>
        <v>3.4715902088645347E-4</v>
      </c>
      <c r="DE111" s="193">
        <f t="shared" si="91"/>
        <v>9.9831507930048445E-5</v>
      </c>
      <c r="DF111" s="193">
        <f t="shared" si="92"/>
        <v>1.9710987463471227E-3</v>
      </c>
      <c r="DG111" s="193">
        <f t="shared" si="93"/>
        <v>6.2262797437531725E-4</v>
      </c>
      <c r="DI111" s="83"/>
    </row>
    <row r="112" spans="1:113">
      <c r="A112" s="150">
        <v>44001</v>
      </c>
      <c r="B112" s="129">
        <v>13506</v>
      </c>
      <c r="C112" s="129">
        <v>658</v>
      </c>
      <c r="D112" s="129">
        <v>17261</v>
      </c>
      <c r="E112" s="129">
        <v>4548</v>
      </c>
      <c r="F112" s="129">
        <v>503</v>
      </c>
      <c r="G112" s="129">
        <v>505</v>
      </c>
      <c r="H112" s="129">
        <v>1758</v>
      </c>
      <c r="I112" s="129">
        <v>218</v>
      </c>
      <c r="J112" s="129">
        <v>48706</v>
      </c>
      <c r="K112" s="165">
        <f t="shared" si="78"/>
        <v>87663</v>
      </c>
      <c r="L112" s="80">
        <v>257</v>
      </c>
      <c r="M112" s="80">
        <v>9</v>
      </c>
      <c r="N112" s="80">
        <v>114</v>
      </c>
      <c r="O112" s="80">
        <v>80</v>
      </c>
      <c r="P112" s="80">
        <v>4</v>
      </c>
      <c r="Q112" s="80">
        <v>1</v>
      </c>
      <c r="R112" s="80">
        <v>5</v>
      </c>
      <c r="S112" s="80">
        <v>1</v>
      </c>
      <c r="T112" s="80">
        <v>1360</v>
      </c>
      <c r="U112" s="80">
        <f t="shared" si="79"/>
        <v>1831</v>
      </c>
      <c r="V112" s="130">
        <v>6331</v>
      </c>
      <c r="W112" s="130">
        <v>235</v>
      </c>
      <c r="X112" s="130">
        <v>4001</v>
      </c>
      <c r="Y112" s="130">
        <v>2527</v>
      </c>
      <c r="Z112" s="130">
        <v>236</v>
      </c>
      <c r="AA112" s="130">
        <v>156</v>
      </c>
      <c r="AB112" s="130">
        <v>175</v>
      </c>
      <c r="AC112" s="130">
        <v>97</v>
      </c>
      <c r="AD112" s="130">
        <v>34067</v>
      </c>
      <c r="AE112" s="130">
        <f t="shared" si="80"/>
        <v>47825</v>
      </c>
      <c r="AF112" s="151">
        <f t="shared" ref="AF112:AF138" si="162">B112-L112-V112</f>
        <v>6918</v>
      </c>
      <c r="AG112" s="151">
        <f t="shared" ref="AG112:AG138" si="163">C112-M112-W112</f>
        <v>414</v>
      </c>
      <c r="AH112" s="151">
        <f t="shared" ref="AH112:AH138" si="164">D112-N112-X112</f>
        <v>13146</v>
      </c>
      <c r="AI112" s="151">
        <f t="shared" ref="AI112:AI138" si="165">E112-O112-Y112</f>
        <v>1941</v>
      </c>
      <c r="AJ112" s="151">
        <f t="shared" ref="AJ112:AJ138" si="166">F112-P112-Z112</f>
        <v>263</v>
      </c>
      <c r="AK112" s="151">
        <f t="shared" ref="AK112:AK138" si="167">G112-Q112-AA112</f>
        <v>348</v>
      </c>
      <c r="AL112" s="151">
        <f t="shared" ref="AL112:AL138" si="168">H112-R112-AB112</f>
        <v>1578</v>
      </c>
      <c r="AM112" s="151">
        <f t="shared" ref="AM112:AM138" si="169">I112-S112-AC112</f>
        <v>120</v>
      </c>
      <c r="AN112" s="151">
        <f t="shared" ref="AN112:AN138" si="170">J112-T112-AD112</f>
        <v>13279</v>
      </c>
      <c r="AO112" s="151">
        <f t="shared" si="81"/>
        <v>38007</v>
      </c>
      <c r="AP112" s="57">
        <f t="shared" si="105"/>
        <v>867</v>
      </c>
      <c r="AQ112" s="57">
        <f t="shared" si="106"/>
        <v>9</v>
      </c>
      <c r="AR112" s="57">
        <f t="shared" si="107"/>
        <v>1363</v>
      </c>
      <c r="AS112" s="57">
        <f t="shared" si="108"/>
        <v>188</v>
      </c>
      <c r="AT112" s="57">
        <f t="shared" si="109"/>
        <v>14</v>
      </c>
      <c r="AU112" s="57">
        <f t="shared" si="110"/>
        <v>44</v>
      </c>
      <c r="AV112" s="57">
        <f t="shared" si="111"/>
        <v>152</v>
      </c>
      <c r="AW112" s="57">
        <f t="shared" si="112"/>
        <v>4</v>
      </c>
      <c r="AX112" s="57">
        <f t="shared" si="113"/>
        <v>1184</v>
      </c>
      <c r="AY112" s="57">
        <f t="shared" si="82"/>
        <v>3825</v>
      </c>
      <c r="AZ112" s="152">
        <f t="shared" ref="AZ112:AZ138" ca="1" si="171">L112/AZ$6-B112</f>
        <v>51480.056729900251</v>
      </c>
      <c r="BA112" s="152">
        <f t="shared" ref="BA112:BA138" ca="1" si="172">M112/BA$6-C112</f>
        <v>2744.5011200390763</v>
      </c>
      <c r="BB112" s="152">
        <f t="shared" ref="BB112:BB138" ca="1" si="173">N112/BB$6-D112</f>
        <v>21882.479190615268</v>
      </c>
      <c r="BC112" s="152">
        <f t="shared" ref="BC112:BC138" ca="1" si="174">O112/BC$6-E112</f>
        <v>21295.229873421267</v>
      </c>
      <c r="BD112" s="152">
        <f t="shared" ref="BD112:BD138" ca="1" si="175">P112/BD$6-F112</f>
        <v>889.33149328613922</v>
      </c>
      <c r="BE112" s="152">
        <f t="shared" ref="BE112:BE138" ca="1" si="176">Q112/BE$6-G112</f>
        <v>-72.275848390864439</v>
      </c>
      <c r="BF112" s="152">
        <f t="shared" ref="BF112:BF138" ca="1" si="177">R112/BF$6-H112</f>
        <v>143.72302986987597</v>
      </c>
      <c r="BG112" s="152">
        <f t="shared" ref="BG112:BG138" ca="1" si="178">S112/BG$6-I112</f>
        <v>156.34733010847316</v>
      </c>
      <c r="BH112" s="152">
        <f t="shared" ref="BH112:BH138" ca="1" si="179">T112/BH$6-J112</f>
        <v>325394.58125357144</v>
      </c>
      <c r="BI112" s="152">
        <f t="shared" ca="1" si="94"/>
        <v>423913.97417242092</v>
      </c>
      <c r="BJ112" s="163">
        <f t="shared" ca="1" si="123"/>
        <v>26368.949537794306</v>
      </c>
      <c r="BK112" s="163">
        <f t="shared" ca="1" si="124"/>
        <v>1726.7833794774735</v>
      </c>
      <c r="BL112" s="163">
        <f t="shared" ca="1" si="125"/>
        <v>16665.72454897331</v>
      </c>
      <c r="BM112" s="163">
        <f t="shared" ca="1" si="126"/>
        <v>9088.3995567965449</v>
      </c>
      <c r="BN112" s="163">
        <f t="shared" ca="1" si="127"/>
        <v>464.99837521720599</v>
      </c>
      <c r="BO112" s="163">
        <f t="shared" ca="1" si="128"/>
        <v>-49.805931168358065</v>
      </c>
      <c r="BP112" s="163">
        <f t="shared" ca="1" si="129"/>
        <v>129.00736128251665</v>
      </c>
      <c r="BQ112" s="163">
        <f t="shared" ca="1" si="130"/>
        <v>86.062750518425588</v>
      </c>
      <c r="BR112" s="163">
        <f t="shared" ca="1" si="131"/>
        <v>88714.216820641712</v>
      </c>
      <c r="BS112" s="163">
        <f t="shared" ca="1" si="95"/>
        <v>143194.33639953315</v>
      </c>
      <c r="BT112" s="164">
        <f t="shared" si="133"/>
        <v>1.9028579890419072E-2</v>
      </c>
      <c r="BU112" s="164">
        <f t="shared" si="134"/>
        <v>1.3677811550151976E-2</v>
      </c>
      <c r="BV112" s="164">
        <f t="shared" si="135"/>
        <v>6.6044840970975027E-3</v>
      </c>
      <c r="BW112" s="164">
        <f t="shared" si="136"/>
        <v>1.759014951627089E-2</v>
      </c>
      <c r="BX112" s="164">
        <f t="shared" si="137"/>
        <v>7.9522862823061622E-3</v>
      </c>
      <c r="BY112" s="164">
        <f t="shared" si="138"/>
        <v>1.9801980198019802E-3</v>
      </c>
      <c r="BZ112" s="164">
        <f t="shared" si="139"/>
        <v>2.844141069397042E-3</v>
      </c>
      <c r="CA112" s="164">
        <f t="shared" si="140"/>
        <v>4.5871559633027525E-3</v>
      </c>
      <c r="CB112" s="164">
        <f t="shared" si="141"/>
        <v>2.7922637868024472E-2</v>
      </c>
      <c r="CC112" s="164">
        <f t="shared" si="142"/>
        <v>2.0886805151546263E-2</v>
      </c>
      <c r="CD112" s="180">
        <f t="shared" si="153"/>
        <v>8266</v>
      </c>
      <c r="CE112" s="180">
        <f t="shared" si="154"/>
        <v>322</v>
      </c>
      <c r="CF112" s="180">
        <f t="shared" si="155"/>
        <v>12046</v>
      </c>
      <c r="CG112" s="180">
        <f t="shared" si="156"/>
        <v>1612</v>
      </c>
      <c r="CH112" s="180">
        <f t="shared" si="157"/>
        <v>288</v>
      </c>
      <c r="CI112" s="180">
        <f t="shared" si="158"/>
        <v>336</v>
      </c>
      <c r="CJ112" s="180">
        <f t="shared" si="159"/>
        <v>1349</v>
      </c>
      <c r="CK112" s="180">
        <f t="shared" si="160"/>
        <v>116</v>
      </c>
      <c r="CL112" s="180">
        <f t="shared" si="161"/>
        <v>19899</v>
      </c>
      <c r="CM112" s="180">
        <f t="shared" si="161"/>
        <v>44234</v>
      </c>
      <c r="CN112" s="183">
        <f t="shared" si="143"/>
        <v>1.9657237842912283E-3</v>
      </c>
      <c r="CO112" s="183">
        <f t="shared" si="144"/>
        <v>2.3425339015932241E-4</v>
      </c>
      <c r="CP112" s="183">
        <f t="shared" si="145"/>
        <v>1.1037298094626518E-3</v>
      </c>
      <c r="CQ112" s="183">
        <f t="shared" si="146"/>
        <v>4.134414599576462E-4</v>
      </c>
      <c r="CR112" s="183">
        <f t="shared" si="147"/>
        <v>8.5926722139698967E-5</v>
      </c>
      <c r="CS112" s="183">
        <f t="shared" si="148"/>
        <v>1.0500736703157572E-4</v>
      </c>
      <c r="CT112" s="183">
        <f t="shared" si="149"/>
        <v>4.2798426277586624E-4</v>
      </c>
      <c r="CU112" s="183">
        <f t="shared" si="150"/>
        <v>1.6487324794508003E-4</v>
      </c>
      <c r="CV112" s="183">
        <f t="shared" si="151"/>
        <v>6.6678938421713399E-3</v>
      </c>
      <c r="CW112" s="183">
        <f t="shared" si="152"/>
        <v>1.4679926876002109E-3</v>
      </c>
      <c r="CX112" s="193">
        <f t="shared" si="84"/>
        <v>1.0068767318026594E-3</v>
      </c>
      <c r="CY112" s="193">
        <f t="shared" si="85"/>
        <v>1.473873913768381E-4</v>
      </c>
      <c r="CZ112" s="193">
        <f t="shared" si="86"/>
        <v>8.4060205522252585E-4</v>
      </c>
      <c r="DA112" s="193">
        <f t="shared" si="87"/>
        <v>1.7644896081305878E-4</v>
      </c>
      <c r="DB112" s="193">
        <f t="shared" si="88"/>
        <v>4.492788851439529E-5</v>
      </c>
      <c r="DC112" s="193">
        <f t="shared" si="89"/>
        <v>7.2361512330670002E-5</v>
      </c>
      <c r="DD112" s="193">
        <f t="shared" si="90"/>
        <v>3.8416334849847376E-4</v>
      </c>
      <c r="DE112" s="193">
        <f t="shared" si="91"/>
        <v>9.075591630004404E-5</v>
      </c>
      <c r="DF112" s="193">
        <f t="shared" si="92"/>
        <v>1.8179066712559688E-3</v>
      </c>
      <c r="DG112" s="193">
        <f t="shared" si="93"/>
        <v>6.3646005815020269E-4</v>
      </c>
      <c r="DI112" s="83"/>
    </row>
    <row r="113" spans="1:113">
      <c r="A113" s="150">
        <v>44002</v>
      </c>
      <c r="B113" s="129">
        <v>14721</v>
      </c>
      <c r="C113" s="129">
        <v>700</v>
      </c>
      <c r="D113" s="129">
        <v>18978</v>
      </c>
      <c r="E113" s="129">
        <v>4806</v>
      </c>
      <c r="F113" s="129">
        <v>521</v>
      </c>
      <c r="G113" s="129">
        <v>544</v>
      </c>
      <c r="H113" s="129">
        <v>1957</v>
      </c>
      <c r="I113" s="129">
        <v>232</v>
      </c>
      <c r="J113" s="129">
        <v>50173</v>
      </c>
      <c r="K113" s="165">
        <f t="shared" si="78"/>
        <v>92632</v>
      </c>
      <c r="L113" s="80">
        <v>268</v>
      </c>
      <c r="M113" s="80">
        <v>9</v>
      </c>
      <c r="N113" s="80">
        <v>114</v>
      </c>
      <c r="O113" s="80">
        <v>83</v>
      </c>
      <c r="P113" s="80">
        <v>4</v>
      </c>
      <c r="Q113" s="80">
        <v>1</v>
      </c>
      <c r="R113" s="80">
        <v>5</v>
      </c>
      <c r="S113" s="80">
        <v>1</v>
      </c>
      <c r="T113" s="80">
        <v>1392</v>
      </c>
      <c r="U113" s="80">
        <f t="shared" si="79"/>
        <v>1877</v>
      </c>
      <c r="V113" s="130">
        <v>7470</v>
      </c>
      <c r="W113" s="130">
        <v>236</v>
      </c>
      <c r="X113" s="130">
        <v>4273</v>
      </c>
      <c r="Y113" s="130">
        <v>2527</v>
      </c>
      <c r="Z113" s="130">
        <v>236</v>
      </c>
      <c r="AA113" s="130">
        <v>156</v>
      </c>
      <c r="AB113" s="130">
        <v>175</v>
      </c>
      <c r="AC113" s="130">
        <v>97</v>
      </c>
      <c r="AD113" s="130">
        <v>35156</v>
      </c>
      <c r="AE113" s="130">
        <f t="shared" si="80"/>
        <v>50326</v>
      </c>
      <c r="AF113" s="151">
        <f t="shared" si="162"/>
        <v>6983</v>
      </c>
      <c r="AG113" s="151">
        <f t="shared" si="163"/>
        <v>455</v>
      </c>
      <c r="AH113" s="151">
        <f t="shared" si="164"/>
        <v>14591</v>
      </c>
      <c r="AI113" s="151">
        <f t="shared" si="165"/>
        <v>2196</v>
      </c>
      <c r="AJ113" s="151">
        <f t="shared" si="166"/>
        <v>281</v>
      </c>
      <c r="AK113" s="151">
        <f t="shared" si="167"/>
        <v>387</v>
      </c>
      <c r="AL113" s="151">
        <f t="shared" si="168"/>
        <v>1777</v>
      </c>
      <c r="AM113" s="151">
        <f t="shared" si="169"/>
        <v>134</v>
      </c>
      <c r="AN113" s="151">
        <f t="shared" si="170"/>
        <v>13625</v>
      </c>
      <c r="AO113" s="151">
        <f t="shared" si="81"/>
        <v>40429</v>
      </c>
      <c r="AP113" s="57">
        <f t="shared" si="105"/>
        <v>1215</v>
      </c>
      <c r="AQ113" s="57">
        <f t="shared" si="106"/>
        <v>42</v>
      </c>
      <c r="AR113" s="57">
        <f t="shared" si="107"/>
        <v>1717</v>
      </c>
      <c r="AS113" s="57">
        <f t="shared" si="108"/>
        <v>258</v>
      </c>
      <c r="AT113" s="57">
        <f t="shared" si="109"/>
        <v>18</v>
      </c>
      <c r="AU113" s="57">
        <f t="shared" si="110"/>
        <v>39</v>
      </c>
      <c r="AV113" s="57">
        <f t="shared" si="111"/>
        <v>199</v>
      </c>
      <c r="AW113" s="57">
        <f t="shared" si="112"/>
        <v>14</v>
      </c>
      <c r="AX113" s="57">
        <f t="shared" si="113"/>
        <v>1467</v>
      </c>
      <c r="AY113" s="57">
        <f t="shared" si="82"/>
        <v>4969</v>
      </c>
      <c r="AZ113" s="152">
        <f t="shared" ca="1" si="171"/>
        <v>53046.561103553569</v>
      </c>
      <c r="BA113" s="152">
        <f t="shared" ca="1" si="172"/>
        <v>2702.5011200390763</v>
      </c>
      <c r="BB113" s="152">
        <f t="shared" ca="1" si="173"/>
        <v>20165.479190615268</v>
      </c>
      <c r="BC113" s="152">
        <f t="shared" ca="1" si="174"/>
        <v>22006.350993674565</v>
      </c>
      <c r="BD113" s="152">
        <f t="shared" ca="1" si="175"/>
        <v>871.33149328613922</v>
      </c>
      <c r="BE113" s="152">
        <f t="shared" ca="1" si="176"/>
        <v>-111.27584839086444</v>
      </c>
      <c r="BF113" s="152">
        <f t="shared" ca="1" si="177"/>
        <v>-55.276970130124027</v>
      </c>
      <c r="BG113" s="152">
        <f t="shared" ca="1" si="178"/>
        <v>142.34733010847316</v>
      </c>
      <c r="BH113" s="152">
        <f t="shared" ca="1" si="179"/>
        <v>332729.94787130249</v>
      </c>
      <c r="BI113" s="152">
        <f t="shared" ca="1" si="94"/>
        <v>431497.96628405858</v>
      </c>
      <c r="BJ113" s="163">
        <f t="shared" ca="1" si="123"/>
        <v>25162.973723667859</v>
      </c>
      <c r="BK113" s="163">
        <f t="shared" ca="1" si="124"/>
        <v>1756.6257280253994</v>
      </c>
      <c r="BL113" s="163">
        <f t="shared" ca="1" si="125"/>
        <v>15503.978652664528</v>
      </c>
      <c r="BM113" s="163">
        <f t="shared" ca="1" si="126"/>
        <v>10055.336409094745</v>
      </c>
      <c r="BN113" s="163">
        <f t="shared" ca="1" si="127"/>
        <v>469.95038313513459</v>
      </c>
      <c r="BO113" s="163">
        <f t="shared" ca="1" si="128"/>
        <v>-79.161311263353923</v>
      </c>
      <c r="BP113" s="163">
        <f t="shared" ca="1" si="129"/>
        <v>-50.192731691993053</v>
      </c>
      <c r="BQ113" s="163">
        <f t="shared" ca="1" si="130"/>
        <v>82.217854459204318</v>
      </c>
      <c r="BR113" s="163">
        <f t="shared" ca="1" si="131"/>
        <v>90356.278072798043</v>
      </c>
      <c r="BS113" s="163">
        <f t="shared" ca="1" si="95"/>
        <v>143258.00678088955</v>
      </c>
      <c r="BT113" s="164">
        <f t="shared" ref="BT113:BT138" si="180">L113/(B113)</f>
        <v>1.820528496705387E-2</v>
      </c>
      <c r="BU113" s="164">
        <f t="shared" ref="BU113:BU138" si="181">M113/(C113)</f>
        <v>1.2857142857142857E-2</v>
      </c>
      <c r="BV113" s="164">
        <f t="shared" ref="BV113:BV138" si="182">N113/(D113)</f>
        <v>6.0069554220676573E-3</v>
      </c>
      <c r="BW113" s="164">
        <f t="shared" ref="BW113:BW138" si="183">O113/(E113)</f>
        <v>1.7270079067831876E-2</v>
      </c>
      <c r="BX113" s="164">
        <f t="shared" ref="BX113:BX138" si="184">P113/(F113)</f>
        <v>7.677543186180422E-3</v>
      </c>
      <c r="BY113" s="164">
        <f t="shared" ref="BY113:BY138" si="185">Q113/(G113)</f>
        <v>1.838235294117647E-3</v>
      </c>
      <c r="BZ113" s="164">
        <f t="shared" ref="BZ113:BZ138" si="186">R113/(H113)</f>
        <v>2.5549310168625446E-3</v>
      </c>
      <c r="CA113" s="164">
        <f t="shared" ref="CA113:CA138" si="187">S113/(I113)</f>
        <v>4.3103448275862068E-3</v>
      </c>
      <c r="CB113" s="164">
        <f t="shared" ref="CB113:CB138" si="188">T113/(J113)</f>
        <v>2.7744005740139119E-2</v>
      </c>
      <c r="CC113" s="164">
        <f t="shared" si="142"/>
        <v>2.0262976077381468E-2</v>
      </c>
      <c r="CD113" s="180">
        <f t="shared" si="153"/>
        <v>9092</v>
      </c>
      <c r="CE113" s="180">
        <f t="shared" si="154"/>
        <v>352</v>
      </c>
      <c r="CF113" s="180">
        <f t="shared" si="155"/>
        <v>13352</v>
      </c>
      <c r="CG113" s="180">
        <f t="shared" si="156"/>
        <v>1790</v>
      </c>
      <c r="CH113" s="180">
        <f t="shared" si="157"/>
        <v>305</v>
      </c>
      <c r="CI113" s="180">
        <f t="shared" si="158"/>
        <v>363</v>
      </c>
      <c r="CJ113" s="180">
        <f t="shared" si="159"/>
        <v>1489</v>
      </c>
      <c r="CK113" s="180">
        <f t="shared" si="160"/>
        <v>127</v>
      </c>
      <c r="CL113" s="180">
        <f t="shared" si="161"/>
        <v>19794</v>
      </c>
      <c r="CM113" s="180">
        <f t="shared" si="161"/>
        <v>46664</v>
      </c>
      <c r="CN113" s="183">
        <f t="shared" si="143"/>
        <v>2.142560330856743E-3</v>
      </c>
      <c r="CO113" s="183">
        <f t="shared" si="144"/>
        <v>2.4920573421204512E-4</v>
      </c>
      <c r="CP113" s="183">
        <f t="shared" si="145"/>
        <v>1.2135209040022134E-3</v>
      </c>
      <c r="CQ113" s="183">
        <f t="shared" si="146"/>
        <v>4.3689526309508524E-4</v>
      </c>
      <c r="CR113" s="183">
        <f t="shared" si="147"/>
        <v>8.9001634661596752E-5</v>
      </c>
      <c r="CS113" s="183">
        <f t="shared" si="148"/>
        <v>1.1311684686173702E-4</v>
      </c>
      <c r="CT113" s="183">
        <f t="shared" si="149"/>
        <v>4.7643071800476119E-4</v>
      </c>
      <c r="CU113" s="183">
        <f t="shared" si="150"/>
        <v>1.7546143818008514E-4</v>
      </c>
      <c r="CV113" s="183">
        <f t="shared" si="151"/>
        <v>6.8687274205079998E-3</v>
      </c>
      <c r="CW113" s="183">
        <f t="shared" si="152"/>
        <v>1.5512028864832681E-3</v>
      </c>
      <c r="CX113" s="193">
        <f t="shared" si="84"/>
        <v>1.0163371231827075E-3</v>
      </c>
      <c r="CY113" s="193">
        <f t="shared" si="85"/>
        <v>1.6198372723782932E-4</v>
      </c>
      <c r="CZ113" s="193">
        <f t="shared" si="86"/>
        <v>9.3300050112215692E-4</v>
      </c>
      <c r="DA113" s="193">
        <f t="shared" si="87"/>
        <v>1.9963004530936481E-4</v>
      </c>
      <c r="DB113" s="193">
        <f t="shared" si="88"/>
        <v>4.8002801036293061E-5</v>
      </c>
      <c r="DC113" s="193">
        <f t="shared" si="89"/>
        <v>8.0470992160831296E-5</v>
      </c>
      <c r="DD113" s="193">
        <f t="shared" si="90"/>
        <v>4.3260980372736876E-4</v>
      </c>
      <c r="DE113" s="193">
        <f t="shared" si="91"/>
        <v>1.0134410653504919E-4</v>
      </c>
      <c r="DF113" s="193">
        <f t="shared" si="92"/>
        <v>1.8652743727586847E-3</v>
      </c>
      <c r="DG113" s="193">
        <f t="shared" si="93"/>
        <v>6.7701854108334104E-4</v>
      </c>
      <c r="DI113" s="83"/>
    </row>
    <row r="114" spans="1:113">
      <c r="A114" s="150">
        <v>44003</v>
      </c>
      <c r="B114" s="129">
        <v>15751</v>
      </c>
      <c r="C114" s="129">
        <v>733</v>
      </c>
      <c r="D114" s="129">
        <v>20822</v>
      </c>
      <c r="E114" s="129">
        <v>5030</v>
      </c>
      <c r="F114" s="129">
        <v>564</v>
      </c>
      <c r="G114" s="129">
        <v>573</v>
      </c>
      <c r="H114" s="129">
        <v>2148</v>
      </c>
      <c r="I114" s="129">
        <v>237</v>
      </c>
      <c r="J114" s="129">
        <v>51441</v>
      </c>
      <c r="K114" s="165">
        <f t="shared" si="78"/>
        <v>97299</v>
      </c>
      <c r="L114" s="80">
        <v>285</v>
      </c>
      <c r="M114" s="80">
        <v>9</v>
      </c>
      <c r="N114" s="80">
        <v>122</v>
      </c>
      <c r="O114" s="80">
        <v>84</v>
      </c>
      <c r="P114" s="80">
        <v>4</v>
      </c>
      <c r="Q114" s="80">
        <v>1</v>
      </c>
      <c r="R114" s="80">
        <v>5</v>
      </c>
      <c r="S114" s="80">
        <v>1</v>
      </c>
      <c r="T114" s="80">
        <v>1419</v>
      </c>
      <c r="U114" s="80">
        <f t="shared" si="79"/>
        <v>1930</v>
      </c>
      <c r="V114" s="130">
        <v>7738</v>
      </c>
      <c r="W114" s="130">
        <v>264</v>
      </c>
      <c r="X114" s="130">
        <v>4673</v>
      </c>
      <c r="Y114" s="130">
        <v>2594</v>
      </c>
      <c r="Z114" s="130">
        <v>246</v>
      </c>
      <c r="AA114" s="130">
        <v>176</v>
      </c>
      <c r="AB114" s="130">
        <v>248</v>
      </c>
      <c r="AC114" s="130">
        <v>110</v>
      </c>
      <c r="AD114" s="130">
        <v>35559</v>
      </c>
      <c r="AE114" s="130">
        <f t="shared" si="80"/>
        <v>51608</v>
      </c>
      <c r="AF114" s="151">
        <f t="shared" si="162"/>
        <v>7728</v>
      </c>
      <c r="AG114" s="151">
        <f t="shared" si="163"/>
        <v>460</v>
      </c>
      <c r="AH114" s="151">
        <f t="shared" si="164"/>
        <v>16027</v>
      </c>
      <c r="AI114" s="151">
        <f t="shared" si="165"/>
        <v>2352</v>
      </c>
      <c r="AJ114" s="151">
        <f t="shared" si="166"/>
        <v>314</v>
      </c>
      <c r="AK114" s="151">
        <f t="shared" si="167"/>
        <v>396</v>
      </c>
      <c r="AL114" s="151">
        <f t="shared" si="168"/>
        <v>1895</v>
      </c>
      <c r="AM114" s="151">
        <f t="shared" si="169"/>
        <v>126</v>
      </c>
      <c r="AN114" s="151">
        <f t="shared" si="170"/>
        <v>14463</v>
      </c>
      <c r="AO114" s="151">
        <f t="shared" si="81"/>
        <v>43761</v>
      </c>
      <c r="AP114" s="57">
        <f t="shared" si="105"/>
        <v>1030</v>
      </c>
      <c r="AQ114" s="57">
        <f t="shared" si="106"/>
        <v>33</v>
      </c>
      <c r="AR114" s="57">
        <f t="shared" si="107"/>
        <v>1844</v>
      </c>
      <c r="AS114" s="57">
        <f t="shared" si="108"/>
        <v>224</v>
      </c>
      <c r="AT114" s="57">
        <f t="shared" si="109"/>
        <v>43</v>
      </c>
      <c r="AU114" s="57">
        <f t="shared" si="110"/>
        <v>29</v>
      </c>
      <c r="AV114" s="57">
        <f t="shared" si="111"/>
        <v>191</v>
      </c>
      <c r="AW114" s="57">
        <f t="shared" si="112"/>
        <v>5</v>
      </c>
      <c r="AX114" s="57">
        <f t="shared" si="113"/>
        <v>1268</v>
      </c>
      <c r="AY114" s="57">
        <f t="shared" si="82"/>
        <v>4667</v>
      </c>
      <c r="AZ114" s="152">
        <f t="shared" ca="1" si="171"/>
        <v>56315.249681017784</v>
      </c>
      <c r="BA114" s="152">
        <f t="shared" ca="1" si="172"/>
        <v>2669.5011200390763</v>
      </c>
      <c r="BB114" s="152">
        <f t="shared" ca="1" si="173"/>
        <v>21068.390011009324</v>
      </c>
      <c r="BC114" s="152">
        <f t="shared" ca="1" si="174"/>
        <v>22105.391367092332</v>
      </c>
      <c r="BD114" s="152">
        <f t="shared" ca="1" si="175"/>
        <v>828.33149328613922</v>
      </c>
      <c r="BE114" s="152">
        <f t="shared" ca="1" si="176"/>
        <v>-140.27584839086444</v>
      </c>
      <c r="BF114" s="152">
        <f t="shared" ca="1" si="177"/>
        <v>-246.27697013012403</v>
      </c>
      <c r="BG114" s="152">
        <f t="shared" ca="1" si="178"/>
        <v>137.34733010847316</v>
      </c>
      <c r="BH114" s="152">
        <f t="shared" ca="1" si="179"/>
        <v>338888.94470501313</v>
      </c>
      <c r="BI114" s="152">
        <f t="shared" ca="1" si="94"/>
        <v>441626.60288904526</v>
      </c>
      <c r="BJ114" s="163">
        <f t="shared" ca="1" si="123"/>
        <v>27630.261541165986</v>
      </c>
      <c r="BK114" s="163">
        <f t="shared" ca="1" si="124"/>
        <v>1675.2667329031037</v>
      </c>
      <c r="BL114" s="163">
        <f t="shared" ca="1" si="125"/>
        <v>16216.650019520046</v>
      </c>
      <c r="BM114" s="163">
        <f t="shared" ca="1" si="126"/>
        <v>10336.357951372001</v>
      </c>
      <c r="BN114" s="163">
        <f t="shared" ca="1" si="127"/>
        <v>461.16327817703495</v>
      </c>
      <c r="BO114" s="163">
        <f t="shared" ca="1" si="128"/>
        <v>-96.944565380073854</v>
      </c>
      <c r="BP114" s="163">
        <f t="shared" ca="1" si="129"/>
        <v>-217.26948714924816</v>
      </c>
      <c r="BQ114" s="163">
        <f t="shared" ca="1" si="130"/>
        <v>73.020099551340166</v>
      </c>
      <c r="BR114" s="163">
        <f t="shared" ca="1" si="131"/>
        <v>95281.017228837023</v>
      </c>
      <c r="BS114" s="163">
        <f t="shared" ca="1" si="95"/>
        <v>151359.5227989972</v>
      </c>
      <c r="BT114" s="164">
        <f t="shared" si="180"/>
        <v>1.8094089264173704E-2</v>
      </c>
      <c r="BU114" s="164">
        <f t="shared" si="181"/>
        <v>1.227830832196453E-2</v>
      </c>
      <c r="BV114" s="164">
        <f t="shared" si="182"/>
        <v>5.8591873979444821E-3</v>
      </c>
      <c r="BW114" s="164">
        <f t="shared" si="183"/>
        <v>1.6699801192842943E-2</v>
      </c>
      <c r="BX114" s="164">
        <f t="shared" si="184"/>
        <v>7.0921985815602835E-3</v>
      </c>
      <c r="BY114" s="164">
        <f t="shared" si="185"/>
        <v>1.7452006980802793E-3</v>
      </c>
      <c r="BZ114" s="164">
        <f t="shared" si="186"/>
        <v>2.3277467411545625E-3</v>
      </c>
      <c r="CA114" s="164">
        <f t="shared" si="187"/>
        <v>4.2194092827004216E-3</v>
      </c>
      <c r="CB114" s="164">
        <f t="shared" si="188"/>
        <v>2.7585000291596197E-2</v>
      </c>
      <c r="CC114" s="164">
        <f t="shared" si="142"/>
        <v>1.983576398524137E-2</v>
      </c>
      <c r="CD114" s="180">
        <f t="shared" si="153"/>
        <v>9777</v>
      </c>
      <c r="CE114" s="180">
        <f t="shared" si="154"/>
        <v>372</v>
      </c>
      <c r="CF114" s="180">
        <f t="shared" si="155"/>
        <v>14876</v>
      </c>
      <c r="CG114" s="180">
        <f t="shared" si="156"/>
        <v>1922</v>
      </c>
      <c r="CH114" s="180">
        <f t="shared" si="157"/>
        <v>337</v>
      </c>
      <c r="CI114" s="180">
        <f t="shared" si="158"/>
        <v>384</v>
      </c>
      <c r="CJ114" s="180">
        <f t="shared" si="159"/>
        <v>1625</v>
      </c>
      <c r="CK114" s="180">
        <f t="shared" si="160"/>
        <v>123</v>
      </c>
      <c r="CL114" s="180">
        <f t="shared" si="161"/>
        <v>19617</v>
      </c>
      <c r="CM114" s="180">
        <f t="shared" si="161"/>
        <v>49033</v>
      </c>
      <c r="CN114" s="183">
        <f t="shared" si="143"/>
        <v>2.2924711481098134E-3</v>
      </c>
      <c r="CO114" s="183">
        <f t="shared" si="144"/>
        <v>2.6095400453918439E-4</v>
      </c>
      <c r="CP114" s="183">
        <f t="shared" si="145"/>
        <v>1.3314328308111543E-3</v>
      </c>
      <c r="CQ114" s="183">
        <f t="shared" si="146"/>
        <v>4.5725825496635016E-4</v>
      </c>
      <c r="CR114" s="183">
        <f t="shared" si="147"/>
        <v>9.6347259019463665E-5</v>
      </c>
      <c r="CS114" s="183">
        <f t="shared" si="148"/>
        <v>1.1914697288929285E-4</v>
      </c>
      <c r="CT114" s="183">
        <f t="shared" si="149"/>
        <v>5.2292957704354987E-4</v>
      </c>
      <c r="CU114" s="183">
        <f t="shared" si="150"/>
        <v>1.79242934692587E-4</v>
      </c>
      <c r="CV114" s="183">
        <f t="shared" si="151"/>
        <v>7.0423177254370275E-3</v>
      </c>
      <c r="CW114" s="183">
        <f t="shared" si="152"/>
        <v>1.6293558343977838E-3</v>
      </c>
      <c r="CX114" s="193">
        <f t="shared" si="84"/>
        <v>1.1247677628463358E-3</v>
      </c>
      <c r="CY114" s="193">
        <f t="shared" si="85"/>
        <v>1.6376376819648679E-4</v>
      </c>
      <c r="CZ114" s="193">
        <f t="shared" si="86"/>
        <v>1.024823454971202E-3</v>
      </c>
      <c r="DA114" s="193">
        <f t="shared" si="87"/>
        <v>2.1381141464828143E-4</v>
      </c>
      <c r="DB114" s="193">
        <f t="shared" si="88"/>
        <v>5.3640140659772324E-5</v>
      </c>
      <c r="DC114" s="193">
        <f t="shared" si="89"/>
        <v>8.2342410583176215E-5</v>
      </c>
      <c r="DD114" s="193">
        <f t="shared" si="90"/>
        <v>4.6133684753143714E-4</v>
      </c>
      <c r="DE114" s="193">
        <f t="shared" si="91"/>
        <v>9.5293712115046249E-5</v>
      </c>
      <c r="DF114" s="193">
        <f t="shared" si="92"/>
        <v>1.9799973029878061E-3</v>
      </c>
      <c r="DG114" s="193">
        <f t="shared" si="93"/>
        <v>7.3281576037864129E-4</v>
      </c>
      <c r="DI114" s="83"/>
    </row>
    <row r="115" spans="1:113">
      <c r="A115" s="150">
        <v>44004</v>
      </c>
      <c r="B115" s="129">
        <v>16895</v>
      </c>
      <c r="C115" s="129">
        <v>772</v>
      </c>
      <c r="D115" s="129">
        <v>22341</v>
      </c>
      <c r="E115" s="129">
        <v>5278</v>
      </c>
      <c r="F115" s="129">
        <v>582</v>
      </c>
      <c r="G115" s="129">
        <v>596</v>
      </c>
      <c r="H115" s="129">
        <v>2315</v>
      </c>
      <c r="I115" s="129">
        <v>254</v>
      </c>
      <c r="J115" s="129">
        <v>52554</v>
      </c>
      <c r="K115" s="165">
        <f t="shared" si="78"/>
        <v>101587</v>
      </c>
      <c r="L115" s="80">
        <v>303</v>
      </c>
      <c r="M115" s="80">
        <v>9</v>
      </c>
      <c r="N115" s="80">
        <v>122</v>
      </c>
      <c r="O115" s="80">
        <v>87</v>
      </c>
      <c r="P115" s="80">
        <v>5</v>
      </c>
      <c r="Q115" s="80">
        <v>1</v>
      </c>
      <c r="R115" s="80">
        <v>5</v>
      </c>
      <c r="S115" s="80">
        <v>1</v>
      </c>
      <c r="T115" s="80">
        <v>1458</v>
      </c>
      <c r="U115" s="80">
        <f t="shared" si="79"/>
        <v>1991</v>
      </c>
      <c r="V115" s="130">
        <v>8035</v>
      </c>
      <c r="W115" s="130">
        <v>264</v>
      </c>
      <c r="X115" s="130">
        <v>5620</v>
      </c>
      <c r="Y115" s="130">
        <v>2769</v>
      </c>
      <c r="Z115" s="130">
        <v>257</v>
      </c>
      <c r="AA115" s="130">
        <v>181</v>
      </c>
      <c r="AB115" s="130">
        <v>248</v>
      </c>
      <c r="AC115" s="130">
        <v>112</v>
      </c>
      <c r="AD115" s="130">
        <v>35958</v>
      </c>
      <c r="AE115" s="130">
        <f t="shared" si="80"/>
        <v>53444</v>
      </c>
      <c r="AF115" s="151">
        <f t="shared" si="162"/>
        <v>8557</v>
      </c>
      <c r="AG115" s="151">
        <f t="shared" si="163"/>
        <v>499</v>
      </c>
      <c r="AH115" s="151">
        <f t="shared" si="164"/>
        <v>16599</v>
      </c>
      <c r="AI115" s="151">
        <f t="shared" si="165"/>
        <v>2422</v>
      </c>
      <c r="AJ115" s="151">
        <f t="shared" si="166"/>
        <v>320</v>
      </c>
      <c r="AK115" s="151">
        <f t="shared" si="167"/>
        <v>414</v>
      </c>
      <c r="AL115" s="151">
        <f t="shared" si="168"/>
        <v>2062</v>
      </c>
      <c r="AM115" s="151">
        <f t="shared" si="169"/>
        <v>141</v>
      </c>
      <c r="AN115" s="151">
        <f t="shared" si="170"/>
        <v>15138</v>
      </c>
      <c r="AO115" s="151">
        <f t="shared" si="81"/>
        <v>46152</v>
      </c>
      <c r="AP115" s="57">
        <f t="shared" si="105"/>
        <v>1144</v>
      </c>
      <c r="AQ115" s="57">
        <f t="shared" si="106"/>
        <v>39</v>
      </c>
      <c r="AR115" s="57">
        <f t="shared" si="107"/>
        <v>1519</v>
      </c>
      <c r="AS115" s="57">
        <f t="shared" si="108"/>
        <v>248</v>
      </c>
      <c r="AT115" s="57">
        <f t="shared" si="109"/>
        <v>18</v>
      </c>
      <c r="AU115" s="57">
        <f t="shared" si="110"/>
        <v>23</v>
      </c>
      <c r="AV115" s="57">
        <f t="shared" si="111"/>
        <v>167</v>
      </c>
      <c r="AW115" s="57">
        <f t="shared" si="112"/>
        <v>17</v>
      </c>
      <c r="AX115" s="57">
        <f t="shared" si="113"/>
        <v>1113</v>
      </c>
      <c r="AY115" s="57">
        <f t="shared" si="82"/>
        <v>4288</v>
      </c>
      <c r="AZ115" s="152">
        <f t="shared" ca="1" si="171"/>
        <v>59722.802292450491</v>
      </c>
      <c r="BA115" s="152">
        <f t="shared" ca="1" si="172"/>
        <v>2630.5011200390763</v>
      </c>
      <c r="BB115" s="152">
        <f t="shared" ca="1" si="173"/>
        <v>19549.390011009324</v>
      </c>
      <c r="BC115" s="152">
        <f t="shared" ca="1" si="174"/>
        <v>22826.51248734563</v>
      </c>
      <c r="BD115" s="152">
        <f t="shared" ca="1" si="175"/>
        <v>1158.4143666076739</v>
      </c>
      <c r="BE115" s="152">
        <f t="shared" ca="1" si="176"/>
        <v>-163.27584839086444</v>
      </c>
      <c r="BF115" s="152">
        <f t="shared" ca="1" si="177"/>
        <v>-413.27697013012403</v>
      </c>
      <c r="BG115" s="152">
        <f t="shared" ca="1" si="178"/>
        <v>120.34733010847316</v>
      </c>
      <c r="BH115" s="152">
        <f t="shared" ca="1" si="179"/>
        <v>348503.82902037288</v>
      </c>
      <c r="BI115" s="152">
        <f t="shared" ca="1" si="94"/>
        <v>453935.24380941258</v>
      </c>
      <c r="BJ115" s="163">
        <f t="shared" ca="1" si="123"/>
        <v>30248.477017845449</v>
      </c>
      <c r="BK115" s="163">
        <f t="shared" ca="1" si="124"/>
        <v>1700.2850503879522</v>
      </c>
      <c r="BL115" s="163">
        <f t="shared" ca="1" si="125"/>
        <v>14524.879136687872</v>
      </c>
      <c r="BM115" s="163">
        <f t="shared" ca="1" si="126"/>
        <v>10474.765677216961</v>
      </c>
      <c r="BN115" s="163">
        <f t="shared" ca="1" si="127"/>
        <v>636.9288613650441</v>
      </c>
      <c r="BO115" s="163">
        <f t="shared" ca="1" si="128"/>
        <v>-113.41644502318435</v>
      </c>
      <c r="BP115" s="163">
        <f t="shared" ca="1" si="129"/>
        <v>-368.1110636752984</v>
      </c>
      <c r="BQ115" s="163">
        <f t="shared" ca="1" si="130"/>
        <v>66.806982461790227</v>
      </c>
      <c r="BR115" s="163">
        <f t="shared" ca="1" si="131"/>
        <v>100385.33629619828</v>
      </c>
      <c r="BS115" s="163">
        <f t="shared" ca="1" si="95"/>
        <v>157555.95151346485</v>
      </c>
      <c r="BT115" s="164">
        <f t="shared" si="180"/>
        <v>1.7934300088783665E-2</v>
      </c>
      <c r="BU115" s="164">
        <f t="shared" si="181"/>
        <v>1.1658031088082901E-2</v>
      </c>
      <c r="BV115" s="164">
        <f t="shared" si="182"/>
        <v>5.4608119600734074E-3</v>
      </c>
      <c r="BW115" s="164">
        <f t="shared" si="183"/>
        <v>1.6483516483516484E-2</v>
      </c>
      <c r="BX115" s="164">
        <f t="shared" si="184"/>
        <v>8.5910652920962206E-3</v>
      </c>
      <c r="BY115" s="164">
        <f t="shared" si="185"/>
        <v>1.6778523489932886E-3</v>
      </c>
      <c r="BZ115" s="164">
        <f t="shared" si="186"/>
        <v>2.1598272138228943E-3</v>
      </c>
      <c r="CA115" s="164">
        <f t="shared" si="187"/>
        <v>3.937007874015748E-3</v>
      </c>
      <c r="CB115" s="164">
        <f t="shared" si="188"/>
        <v>2.7742893024317844E-2</v>
      </c>
      <c r="CC115" s="164">
        <f t="shared" si="142"/>
        <v>1.9598964434425666E-2</v>
      </c>
      <c r="CD115" s="180">
        <f t="shared" si="153"/>
        <v>10554</v>
      </c>
      <c r="CE115" s="180">
        <f t="shared" si="154"/>
        <v>399</v>
      </c>
      <c r="CF115" s="180">
        <f t="shared" si="155"/>
        <v>16083</v>
      </c>
      <c r="CG115" s="180">
        <f t="shared" si="156"/>
        <v>2103</v>
      </c>
      <c r="CH115" s="180">
        <f t="shared" si="157"/>
        <v>338</v>
      </c>
      <c r="CI115" s="180">
        <f t="shared" si="158"/>
        <v>413</v>
      </c>
      <c r="CJ115" s="180">
        <f t="shared" si="159"/>
        <v>1735</v>
      </c>
      <c r="CK115" s="180">
        <f t="shared" si="160"/>
        <v>136</v>
      </c>
      <c r="CL115" s="180">
        <f t="shared" si="161"/>
        <v>18986</v>
      </c>
      <c r="CM115" s="180">
        <f t="shared" si="161"/>
        <v>50747</v>
      </c>
      <c r="CN115" s="183">
        <f t="shared" si="143"/>
        <v>2.4589740363986602E-3</v>
      </c>
      <c r="CO115" s="183">
        <f t="shared" si="144"/>
        <v>2.7483832401671262E-4</v>
      </c>
      <c r="CP115" s="183">
        <f t="shared" si="145"/>
        <v>1.4285631002378253E-3</v>
      </c>
      <c r="CQ115" s="183">
        <f t="shared" si="146"/>
        <v>4.7980299596667912E-4</v>
      </c>
      <c r="CR115" s="183">
        <f t="shared" si="147"/>
        <v>9.9422171541361436E-5</v>
      </c>
      <c r="CS115" s="183">
        <f t="shared" si="148"/>
        <v>1.239294866352854E-4</v>
      </c>
      <c r="CT115" s="183">
        <f t="shared" si="149"/>
        <v>5.635856475120195E-4</v>
      </c>
      <c r="CU115" s="183">
        <f t="shared" si="150"/>
        <v>1.9210002283509323E-4</v>
      </c>
      <c r="CV115" s="183">
        <f t="shared" si="151"/>
        <v>7.1946883952998105E-3</v>
      </c>
      <c r="CW115" s="183">
        <f t="shared" si="152"/>
        <v>1.7011620998054211E-3</v>
      </c>
      <c r="CX115" s="193">
        <f t="shared" si="84"/>
        <v>1.2454241390626418E-3</v>
      </c>
      <c r="CY115" s="193">
        <f t="shared" si="85"/>
        <v>1.7764808767401502E-4</v>
      </c>
      <c r="CZ115" s="193">
        <f t="shared" si="86"/>
        <v>1.0613991719639973E-3</v>
      </c>
      <c r="DA115" s="193">
        <f t="shared" si="87"/>
        <v>2.201748496080517E-4</v>
      </c>
      <c r="DB115" s="193">
        <f t="shared" si="88"/>
        <v>5.466511150040491E-5</v>
      </c>
      <c r="DC115" s="193">
        <f t="shared" si="89"/>
        <v>8.6085247427866038E-5</v>
      </c>
      <c r="DD115" s="193">
        <f t="shared" si="90"/>
        <v>5.0199291799990682E-4</v>
      </c>
      <c r="DE115" s="193">
        <f t="shared" si="91"/>
        <v>1.0663820165255176E-4</v>
      </c>
      <c r="DF115" s="193">
        <f t="shared" si="92"/>
        <v>2.0724053911795209E-3</v>
      </c>
      <c r="DG115" s="193">
        <f t="shared" si="93"/>
        <v>7.7285512152361813E-4</v>
      </c>
      <c r="DI115" s="83"/>
    </row>
    <row r="116" spans="1:113">
      <c r="A116" s="150">
        <v>44005</v>
      </c>
      <c r="B116" s="129">
        <v>18108</v>
      </c>
      <c r="C116" s="129">
        <v>814</v>
      </c>
      <c r="D116" s="129">
        <v>24041</v>
      </c>
      <c r="E116" s="129">
        <v>5625</v>
      </c>
      <c r="F116" s="129">
        <v>622</v>
      </c>
      <c r="G116" s="129">
        <v>662</v>
      </c>
      <c r="H116" s="129">
        <v>2454</v>
      </c>
      <c r="I116" s="129">
        <v>270</v>
      </c>
      <c r="J116" s="129">
        <v>53512</v>
      </c>
      <c r="K116" s="165">
        <f t="shared" si="78"/>
        <v>106108</v>
      </c>
      <c r="L116" s="80">
        <v>331</v>
      </c>
      <c r="M116" s="80">
        <v>9</v>
      </c>
      <c r="N116" s="80">
        <v>122</v>
      </c>
      <c r="O116" s="80">
        <v>91</v>
      </c>
      <c r="P116" s="80">
        <v>5</v>
      </c>
      <c r="Q116" s="80">
        <v>2</v>
      </c>
      <c r="R116" s="80">
        <v>5</v>
      </c>
      <c r="S116" s="80">
        <v>1</v>
      </c>
      <c r="T116" s="80">
        <v>1536</v>
      </c>
      <c r="U116" s="80">
        <f t="shared" si="79"/>
        <v>2102</v>
      </c>
      <c r="V116" s="130">
        <v>8259</v>
      </c>
      <c r="W116" s="130">
        <v>264</v>
      </c>
      <c r="X116" s="130">
        <v>5620</v>
      </c>
      <c r="Y116" s="130">
        <v>2849</v>
      </c>
      <c r="Z116" s="130">
        <v>270</v>
      </c>
      <c r="AA116" s="130">
        <v>181</v>
      </c>
      <c r="AB116" s="130">
        <v>256</v>
      </c>
      <c r="AC116" s="130">
        <v>112</v>
      </c>
      <c r="AD116" s="130">
        <v>37234</v>
      </c>
      <c r="AE116" s="130">
        <f t="shared" si="80"/>
        <v>55045</v>
      </c>
      <c r="AF116" s="151">
        <f t="shared" si="162"/>
        <v>9518</v>
      </c>
      <c r="AG116" s="151">
        <f t="shared" si="163"/>
        <v>541</v>
      </c>
      <c r="AH116" s="151">
        <f t="shared" si="164"/>
        <v>18299</v>
      </c>
      <c r="AI116" s="151">
        <f t="shared" si="165"/>
        <v>2685</v>
      </c>
      <c r="AJ116" s="151">
        <f t="shared" si="166"/>
        <v>347</v>
      </c>
      <c r="AK116" s="151">
        <f t="shared" si="167"/>
        <v>479</v>
      </c>
      <c r="AL116" s="151">
        <f t="shared" si="168"/>
        <v>2193</v>
      </c>
      <c r="AM116" s="151">
        <f t="shared" si="169"/>
        <v>157</v>
      </c>
      <c r="AN116" s="151">
        <f t="shared" si="170"/>
        <v>14742</v>
      </c>
      <c r="AO116" s="151">
        <f t="shared" si="81"/>
        <v>48961</v>
      </c>
      <c r="AP116" s="57">
        <f t="shared" si="105"/>
        <v>1213</v>
      </c>
      <c r="AQ116" s="57">
        <f t="shared" si="106"/>
        <v>42</v>
      </c>
      <c r="AR116" s="57">
        <f t="shared" si="107"/>
        <v>1700</v>
      </c>
      <c r="AS116" s="57">
        <f t="shared" si="108"/>
        <v>347</v>
      </c>
      <c r="AT116" s="57">
        <f t="shared" si="109"/>
        <v>40</v>
      </c>
      <c r="AU116" s="57">
        <f t="shared" si="110"/>
        <v>66</v>
      </c>
      <c r="AV116" s="57">
        <f t="shared" si="111"/>
        <v>139</v>
      </c>
      <c r="AW116" s="57">
        <f t="shared" si="112"/>
        <v>16</v>
      </c>
      <c r="AX116" s="57">
        <f t="shared" si="113"/>
        <v>958</v>
      </c>
      <c r="AY116" s="57">
        <f t="shared" si="82"/>
        <v>4521</v>
      </c>
      <c r="AZ116" s="152">
        <f t="shared" ca="1" si="171"/>
        <v>65589.995243568032</v>
      </c>
      <c r="BA116" s="152">
        <f t="shared" ca="1" si="172"/>
        <v>2588.5011200390763</v>
      </c>
      <c r="BB116" s="152">
        <f t="shared" ca="1" si="173"/>
        <v>17849.390011009324</v>
      </c>
      <c r="BC116" s="152">
        <f t="shared" ca="1" si="174"/>
        <v>23771.673981016691</v>
      </c>
      <c r="BD116" s="152">
        <f t="shared" ca="1" si="175"/>
        <v>1118.4143666076739</v>
      </c>
      <c r="BE116" s="152">
        <f t="shared" ca="1" si="176"/>
        <v>203.44830321827112</v>
      </c>
      <c r="BF116" s="152">
        <f t="shared" ca="1" si="177"/>
        <v>-552.27697013012403</v>
      </c>
      <c r="BG116" s="152">
        <f t="shared" ca="1" si="178"/>
        <v>104.34733010847316</v>
      </c>
      <c r="BH116" s="152">
        <f t="shared" ca="1" si="179"/>
        <v>369001.59765109239</v>
      </c>
      <c r="BI116" s="152">
        <f t="shared" ca="1" si="94"/>
        <v>479675.0910365298</v>
      </c>
      <c r="BJ116" s="163">
        <f t="shared" ca="1" si="123"/>
        <v>34475.677862175864</v>
      </c>
      <c r="BK116" s="163">
        <f t="shared" ca="1" si="124"/>
        <v>1720.3674520161428</v>
      </c>
      <c r="BL116" s="163">
        <f t="shared" ca="1" si="125"/>
        <v>13586.206389561981</v>
      </c>
      <c r="BM116" s="163">
        <f t="shared" ca="1" si="126"/>
        <v>11347.012380271968</v>
      </c>
      <c r="BN116" s="163">
        <f t="shared" ca="1" si="127"/>
        <v>623.93856143547077</v>
      </c>
      <c r="BO116" s="163">
        <f t="shared" ca="1" si="128"/>
        <v>147.20806229841671</v>
      </c>
      <c r="BP116" s="163">
        <f t="shared" ca="1" si="129"/>
        <v>-493.53846597203011</v>
      </c>
      <c r="BQ116" s="163">
        <f t="shared" ca="1" si="130"/>
        <v>60.676040100112175</v>
      </c>
      <c r="BR116" s="163">
        <f t="shared" ca="1" si="131"/>
        <v>101656.10615511294</v>
      </c>
      <c r="BS116" s="163">
        <f t="shared" ca="1" si="95"/>
        <v>163123.65443700086</v>
      </c>
      <c r="BT116" s="164">
        <f t="shared" si="180"/>
        <v>1.8279213607245416E-2</v>
      </c>
      <c r="BU116" s="164">
        <f t="shared" si="181"/>
        <v>1.1056511056511056E-2</v>
      </c>
      <c r="BV116" s="164">
        <f t="shared" si="182"/>
        <v>5.0746641154694062E-3</v>
      </c>
      <c r="BW116" s="164">
        <f t="shared" si="183"/>
        <v>1.6177777777777777E-2</v>
      </c>
      <c r="BX116" s="164">
        <f t="shared" si="184"/>
        <v>8.0385852090032149E-3</v>
      </c>
      <c r="BY116" s="164">
        <f t="shared" si="185"/>
        <v>3.0211480362537764E-3</v>
      </c>
      <c r="BZ116" s="164">
        <f t="shared" si="186"/>
        <v>2.0374898125509371E-3</v>
      </c>
      <c r="CA116" s="164">
        <f t="shared" si="187"/>
        <v>3.7037037037037038E-3</v>
      </c>
      <c r="CB116" s="164">
        <f t="shared" si="188"/>
        <v>2.8703842128868291E-2</v>
      </c>
      <c r="CC116" s="164">
        <f t="shared" si="142"/>
        <v>1.9810004900667245E-2</v>
      </c>
      <c r="CD116" s="180">
        <f t="shared" si="153"/>
        <v>11348</v>
      </c>
      <c r="CE116" s="180">
        <f t="shared" si="154"/>
        <v>423</v>
      </c>
      <c r="CF116" s="180">
        <f t="shared" si="155"/>
        <v>17495</v>
      </c>
      <c r="CG116" s="180">
        <f t="shared" si="156"/>
        <v>2370</v>
      </c>
      <c r="CH116" s="180">
        <f t="shared" si="157"/>
        <v>369</v>
      </c>
      <c r="CI116" s="180">
        <f t="shared" si="158"/>
        <v>478</v>
      </c>
      <c r="CJ116" s="180">
        <f t="shared" si="159"/>
        <v>1850</v>
      </c>
      <c r="CK116" s="180">
        <f t="shared" si="160"/>
        <v>148</v>
      </c>
      <c r="CL116" s="180">
        <f t="shared" si="161"/>
        <v>18693</v>
      </c>
      <c r="CM116" s="180">
        <f t="shared" si="161"/>
        <v>53174</v>
      </c>
      <c r="CN116" s="183">
        <f t="shared" si="143"/>
        <v>2.6355194939986348E-3</v>
      </c>
      <c r="CO116" s="183">
        <f t="shared" si="144"/>
        <v>2.8979066806943533E-4</v>
      </c>
      <c r="CP116" s="183">
        <f t="shared" si="145"/>
        <v>1.5372671542373912E-3</v>
      </c>
      <c r="CQ116" s="183">
        <f t="shared" si="146"/>
        <v>5.1134745212439749E-4</v>
      </c>
      <c r="CR116" s="183">
        <f t="shared" si="147"/>
        <v>1.0625531047891205E-4</v>
      </c>
      <c r="CS116" s="183">
        <f t="shared" si="148"/>
        <v>1.3765322173248145E-4</v>
      </c>
      <c r="CT116" s="183">
        <f t="shared" si="149"/>
        <v>5.9742513131511704E-4</v>
      </c>
      <c r="CU116" s="183">
        <f t="shared" si="150"/>
        <v>2.042008116750991E-4</v>
      </c>
      <c r="CV116" s="183">
        <f t="shared" si="151"/>
        <v>7.3258394300963481E-3</v>
      </c>
      <c r="CW116" s="183">
        <f t="shared" si="152"/>
        <v>1.776870151556337E-3</v>
      </c>
      <c r="CX116" s="193">
        <f t="shared" si="84"/>
        <v>1.385292387004584E-3</v>
      </c>
      <c r="CY116" s="193">
        <f t="shared" si="85"/>
        <v>1.9260043172673774E-4</v>
      </c>
      <c r="CZ116" s="193">
        <f t="shared" si="86"/>
        <v>1.1701032259635632E-3</v>
      </c>
      <c r="DA116" s="193">
        <f t="shared" si="87"/>
        <v>2.4408318381404575E-4</v>
      </c>
      <c r="DB116" s="193">
        <f t="shared" si="88"/>
        <v>5.927748028325158E-5</v>
      </c>
      <c r="DC116" s="193">
        <f t="shared" si="89"/>
        <v>9.9601047144801528E-5</v>
      </c>
      <c r="DD116" s="193">
        <f t="shared" si="90"/>
        <v>5.3388480561289799E-4</v>
      </c>
      <c r="DE116" s="193">
        <f t="shared" si="91"/>
        <v>1.1873899049255763E-4</v>
      </c>
      <c r="DF116" s="193">
        <f t="shared" si="92"/>
        <v>2.0181926461070483E-3</v>
      </c>
      <c r="DG116" s="193">
        <f t="shared" si="93"/>
        <v>8.1989425387670877E-4</v>
      </c>
      <c r="DI116" s="83"/>
    </row>
    <row r="117" spans="1:113">
      <c r="A117" s="150">
        <v>44006</v>
      </c>
      <c r="B117" s="129">
        <v>19214</v>
      </c>
      <c r="C117" s="129">
        <v>889</v>
      </c>
      <c r="D117" s="129">
        <v>26156</v>
      </c>
      <c r="E117" s="129">
        <v>6075</v>
      </c>
      <c r="F117" s="129">
        <v>670</v>
      </c>
      <c r="G117" s="129">
        <v>713</v>
      </c>
      <c r="H117" s="129">
        <v>2618</v>
      </c>
      <c r="I117" s="129">
        <v>299</v>
      </c>
      <c r="J117" s="129">
        <v>55162</v>
      </c>
      <c r="K117" s="165">
        <f t="shared" si="78"/>
        <v>111796</v>
      </c>
      <c r="L117" s="80">
        <v>346</v>
      </c>
      <c r="M117" s="80">
        <v>9</v>
      </c>
      <c r="N117" s="80">
        <v>147</v>
      </c>
      <c r="O117" s="80">
        <v>91</v>
      </c>
      <c r="P117" s="80">
        <v>5</v>
      </c>
      <c r="Q117" s="80">
        <v>2</v>
      </c>
      <c r="R117" s="80">
        <v>5</v>
      </c>
      <c r="S117" s="80">
        <v>1</v>
      </c>
      <c r="T117" s="80">
        <v>1599</v>
      </c>
      <c r="U117" s="80">
        <f t="shared" si="79"/>
        <v>2205</v>
      </c>
      <c r="V117" s="130">
        <v>9668</v>
      </c>
      <c r="W117" s="130">
        <v>264</v>
      </c>
      <c r="X117" s="130">
        <v>5856</v>
      </c>
      <c r="Y117" s="130">
        <v>2947</v>
      </c>
      <c r="Z117" s="130">
        <v>303</v>
      </c>
      <c r="AA117" s="130">
        <v>199</v>
      </c>
      <c r="AB117" s="130">
        <v>291</v>
      </c>
      <c r="AC117" s="130">
        <v>112</v>
      </c>
      <c r="AD117" s="130">
        <v>37234</v>
      </c>
      <c r="AE117" s="130">
        <f t="shared" si="80"/>
        <v>56874</v>
      </c>
      <c r="AF117" s="151">
        <f t="shared" si="162"/>
        <v>9200</v>
      </c>
      <c r="AG117" s="151">
        <f t="shared" si="163"/>
        <v>616</v>
      </c>
      <c r="AH117" s="151">
        <f t="shared" si="164"/>
        <v>20153</v>
      </c>
      <c r="AI117" s="151">
        <f t="shared" si="165"/>
        <v>3037</v>
      </c>
      <c r="AJ117" s="151">
        <f t="shared" si="166"/>
        <v>362</v>
      </c>
      <c r="AK117" s="151">
        <f t="shared" si="167"/>
        <v>512</v>
      </c>
      <c r="AL117" s="151">
        <f t="shared" si="168"/>
        <v>2322</v>
      </c>
      <c r="AM117" s="151">
        <f t="shared" si="169"/>
        <v>186</v>
      </c>
      <c r="AN117" s="151">
        <f t="shared" si="170"/>
        <v>16329</v>
      </c>
      <c r="AO117" s="151">
        <f t="shared" si="81"/>
        <v>52717</v>
      </c>
      <c r="AP117" s="57">
        <f t="shared" si="105"/>
        <v>1106</v>
      </c>
      <c r="AQ117" s="57">
        <f t="shared" si="106"/>
        <v>75</v>
      </c>
      <c r="AR117" s="57">
        <f t="shared" si="107"/>
        <v>2115</v>
      </c>
      <c r="AS117" s="57">
        <f t="shared" si="108"/>
        <v>450</v>
      </c>
      <c r="AT117" s="57">
        <f t="shared" si="109"/>
        <v>48</v>
      </c>
      <c r="AU117" s="57">
        <f t="shared" si="110"/>
        <v>51</v>
      </c>
      <c r="AV117" s="57">
        <f t="shared" si="111"/>
        <v>164</v>
      </c>
      <c r="AW117" s="57">
        <f t="shared" si="112"/>
        <v>29</v>
      </c>
      <c r="AX117" s="57">
        <f t="shared" si="113"/>
        <v>1650</v>
      </c>
      <c r="AY117" s="57">
        <f t="shared" si="82"/>
        <v>5688</v>
      </c>
      <c r="AZ117" s="152">
        <f t="shared" ca="1" si="171"/>
        <v>68276.955753095288</v>
      </c>
      <c r="BA117" s="152">
        <f t="shared" ca="1" si="172"/>
        <v>2513.5011200390763</v>
      </c>
      <c r="BB117" s="152">
        <f t="shared" ca="1" si="173"/>
        <v>24318.486324740741</v>
      </c>
      <c r="BC117" s="152">
        <f t="shared" ca="1" si="174"/>
        <v>23321.673981016691</v>
      </c>
      <c r="BD117" s="152">
        <f t="shared" ca="1" si="175"/>
        <v>1070.4143666076739</v>
      </c>
      <c r="BE117" s="152">
        <f t="shared" ca="1" si="176"/>
        <v>152.44830321827112</v>
      </c>
      <c r="BF117" s="152">
        <f t="shared" ca="1" si="177"/>
        <v>-716.27697013012403</v>
      </c>
      <c r="BG117" s="152">
        <f t="shared" ca="1" si="178"/>
        <v>75.347330108473159</v>
      </c>
      <c r="BH117" s="152">
        <f t="shared" ca="1" si="179"/>
        <v>384681.2569297505</v>
      </c>
      <c r="BI117" s="152">
        <f t="shared" ca="1" si="94"/>
        <v>503693.8071384466</v>
      </c>
      <c r="BJ117" s="163">
        <f t="shared" ca="1" si="123"/>
        <v>32692.203233500401</v>
      </c>
      <c r="BK117" s="163">
        <f t="shared" ca="1" si="124"/>
        <v>1741.6385713656591</v>
      </c>
      <c r="BL117" s="163">
        <f t="shared" ca="1" si="125"/>
        <v>18737.20962312663</v>
      </c>
      <c r="BM117" s="163">
        <f t="shared" ca="1" si="126"/>
        <v>11658.917511168343</v>
      </c>
      <c r="BN117" s="163">
        <f t="shared" ca="1" si="127"/>
        <v>578.34328464474322</v>
      </c>
      <c r="BO117" s="163">
        <f t="shared" ca="1" si="128"/>
        <v>109.47199333485949</v>
      </c>
      <c r="BP117" s="163">
        <f t="shared" ca="1" si="129"/>
        <v>-635.29225540188997</v>
      </c>
      <c r="BQ117" s="163">
        <f t="shared" ca="1" si="130"/>
        <v>46.871583278180623</v>
      </c>
      <c r="BR117" s="163">
        <f t="shared" ca="1" si="131"/>
        <v>113872.96045114202</v>
      </c>
      <c r="BS117" s="163">
        <f t="shared" ca="1" si="95"/>
        <v>178802.32399615896</v>
      </c>
      <c r="BT117" s="164">
        <f t="shared" si="180"/>
        <v>1.8007702716769023E-2</v>
      </c>
      <c r="BU117" s="164">
        <f t="shared" si="181"/>
        <v>1.0123734533183352E-2</v>
      </c>
      <c r="BV117" s="164">
        <f t="shared" si="182"/>
        <v>5.6201254014375283E-3</v>
      </c>
      <c r="BW117" s="164">
        <f t="shared" si="183"/>
        <v>1.4979423868312757E-2</v>
      </c>
      <c r="BX117" s="164">
        <f t="shared" si="184"/>
        <v>7.462686567164179E-3</v>
      </c>
      <c r="BY117" s="164">
        <f t="shared" si="185"/>
        <v>2.8050490883590462E-3</v>
      </c>
      <c r="BZ117" s="164">
        <f t="shared" si="186"/>
        <v>1.9098548510313217E-3</v>
      </c>
      <c r="CA117" s="164">
        <f t="shared" si="187"/>
        <v>3.3444816053511705E-3</v>
      </c>
      <c r="CB117" s="164">
        <f t="shared" si="188"/>
        <v>2.8987346361625758E-2</v>
      </c>
      <c r="CC117" s="164">
        <f t="shared" si="142"/>
        <v>1.9723424809474401E-2</v>
      </c>
      <c r="CD117" s="180">
        <f t="shared" si="153"/>
        <v>12060</v>
      </c>
      <c r="CE117" s="180">
        <f t="shared" si="154"/>
        <v>488</v>
      </c>
      <c r="CF117" s="180">
        <f t="shared" si="155"/>
        <v>18961</v>
      </c>
      <c r="CG117" s="180">
        <f t="shared" si="156"/>
        <v>2728</v>
      </c>
      <c r="CH117" s="180">
        <f t="shared" si="157"/>
        <v>413</v>
      </c>
      <c r="CI117" s="180">
        <f t="shared" si="158"/>
        <v>506</v>
      </c>
      <c r="CJ117" s="180">
        <f t="shared" si="159"/>
        <v>1961</v>
      </c>
      <c r="CK117" s="180">
        <f t="shared" si="160"/>
        <v>174</v>
      </c>
      <c r="CL117" s="180">
        <f t="shared" si="161"/>
        <v>19141</v>
      </c>
      <c r="CM117" s="180">
        <f t="shared" si="161"/>
        <v>56432</v>
      </c>
      <c r="CN117" s="183">
        <f t="shared" si="143"/>
        <v>2.796491691942223E-3</v>
      </c>
      <c r="CO117" s="183">
        <f t="shared" si="144"/>
        <v>3.1649128244929731E-4</v>
      </c>
      <c r="CP117" s="183">
        <f t="shared" si="145"/>
        <v>1.6725077861250864E-3</v>
      </c>
      <c r="CQ117" s="183">
        <f t="shared" si="146"/>
        <v>5.5225524829434936E-4</v>
      </c>
      <c r="CR117" s="183">
        <f t="shared" si="147"/>
        <v>1.1445507720397279E-4</v>
      </c>
      <c r="CS117" s="183">
        <f t="shared" si="148"/>
        <v>1.4825792612576928E-4</v>
      </c>
      <c r="CT117" s="183">
        <f t="shared" si="149"/>
        <v>6.3735085321229678E-4</v>
      </c>
      <c r="CU117" s="183">
        <f t="shared" si="150"/>
        <v>2.2613349144760974E-4</v>
      </c>
      <c r="CV117" s="183">
        <f t="shared" si="151"/>
        <v>7.551725867898317E-3</v>
      </c>
      <c r="CW117" s="183">
        <f t="shared" si="152"/>
        <v>1.8721206267519155E-3</v>
      </c>
      <c r="CX117" s="193">
        <f t="shared" si="84"/>
        <v>1.3390092414837333E-3</v>
      </c>
      <c r="CY117" s="193">
        <f t="shared" si="85"/>
        <v>2.1930104610659969E-4</v>
      </c>
      <c r="CZ117" s="193">
        <f t="shared" si="86"/>
        <v>1.2886545883842662E-3</v>
      </c>
      <c r="DA117" s="193">
        <f t="shared" si="87"/>
        <v>2.7608217104031915E-4</v>
      </c>
      <c r="DB117" s="193">
        <f t="shared" si="88"/>
        <v>6.1839907384833058E-5</v>
      </c>
      <c r="DC117" s="193">
        <f t="shared" si="89"/>
        <v>1.0646291469339954E-4</v>
      </c>
      <c r="DD117" s="193">
        <f t="shared" si="90"/>
        <v>5.6528979417836257E-4</v>
      </c>
      <c r="DE117" s="193">
        <f t="shared" si="91"/>
        <v>1.4067167026506828E-4</v>
      </c>
      <c r="DF117" s="193">
        <f t="shared" si="92"/>
        <v>2.2354543290111239E-3</v>
      </c>
      <c r="DG117" s="193">
        <f t="shared" si="93"/>
        <v>8.8279171956492832E-4</v>
      </c>
      <c r="DI117" s="83"/>
    </row>
    <row r="118" spans="1:113">
      <c r="A118" s="150">
        <v>44007</v>
      </c>
      <c r="B118" s="129">
        <v>20487</v>
      </c>
      <c r="C118" s="129">
        <v>976</v>
      </c>
      <c r="D118" s="129">
        <v>28746</v>
      </c>
      <c r="E118" s="129">
        <v>6590</v>
      </c>
      <c r="F118" s="129">
        <v>730</v>
      </c>
      <c r="G118" s="129">
        <v>783</v>
      </c>
      <c r="H118" s="129">
        <v>2965</v>
      </c>
      <c r="I118" s="129">
        <v>318</v>
      </c>
      <c r="J118" s="129">
        <v>56780</v>
      </c>
      <c r="K118" s="165">
        <f t="shared" si="78"/>
        <v>118375</v>
      </c>
      <c r="L118" s="80">
        <v>363</v>
      </c>
      <c r="M118" s="80">
        <v>9</v>
      </c>
      <c r="N118" s="80">
        <v>149</v>
      </c>
      <c r="O118" s="80">
        <v>106</v>
      </c>
      <c r="P118" s="80">
        <v>5</v>
      </c>
      <c r="Q118" s="80">
        <v>2</v>
      </c>
      <c r="R118" s="80">
        <v>5</v>
      </c>
      <c r="S118" s="80">
        <v>1</v>
      </c>
      <c r="T118" s="80">
        <v>1652</v>
      </c>
      <c r="U118" s="80">
        <f t="shared" si="79"/>
        <v>2292</v>
      </c>
      <c r="V118" s="130">
        <v>10439</v>
      </c>
      <c r="W118" s="130">
        <v>318</v>
      </c>
      <c r="X118" s="130">
        <v>5856</v>
      </c>
      <c r="Y118" s="130">
        <v>2947</v>
      </c>
      <c r="Z118" s="130">
        <v>329</v>
      </c>
      <c r="AA118" s="130">
        <v>207</v>
      </c>
      <c r="AB118" s="130">
        <v>291</v>
      </c>
      <c r="AC118" s="130">
        <v>112</v>
      </c>
      <c r="AD118" s="130">
        <v>39475</v>
      </c>
      <c r="AE118" s="130">
        <f t="shared" si="80"/>
        <v>59974</v>
      </c>
      <c r="AF118" s="151">
        <f t="shared" si="162"/>
        <v>9685</v>
      </c>
      <c r="AG118" s="151">
        <f t="shared" si="163"/>
        <v>649</v>
      </c>
      <c r="AH118" s="151">
        <f t="shared" si="164"/>
        <v>22741</v>
      </c>
      <c r="AI118" s="151">
        <f t="shared" si="165"/>
        <v>3537</v>
      </c>
      <c r="AJ118" s="151">
        <f t="shared" si="166"/>
        <v>396</v>
      </c>
      <c r="AK118" s="151">
        <f t="shared" si="167"/>
        <v>574</v>
      </c>
      <c r="AL118" s="151">
        <f t="shared" si="168"/>
        <v>2669</v>
      </c>
      <c r="AM118" s="151">
        <f t="shared" si="169"/>
        <v>205</v>
      </c>
      <c r="AN118" s="151">
        <f t="shared" si="170"/>
        <v>15653</v>
      </c>
      <c r="AO118" s="151">
        <f t="shared" si="81"/>
        <v>56109</v>
      </c>
      <c r="AP118" s="57">
        <f t="shared" si="105"/>
        <v>1273</v>
      </c>
      <c r="AQ118" s="57">
        <f t="shared" si="106"/>
        <v>87</v>
      </c>
      <c r="AR118" s="57">
        <f t="shared" si="107"/>
        <v>2590</v>
      </c>
      <c r="AS118" s="57">
        <f t="shared" si="108"/>
        <v>515</v>
      </c>
      <c r="AT118" s="57">
        <f t="shared" si="109"/>
        <v>60</v>
      </c>
      <c r="AU118" s="57">
        <f t="shared" si="110"/>
        <v>70</v>
      </c>
      <c r="AV118" s="57">
        <f t="shared" si="111"/>
        <v>347</v>
      </c>
      <c r="AW118" s="57">
        <f t="shared" si="112"/>
        <v>19</v>
      </c>
      <c r="AX118" s="57">
        <f t="shared" si="113"/>
        <v>1618</v>
      </c>
      <c r="AY118" s="57">
        <f t="shared" si="82"/>
        <v>6579</v>
      </c>
      <c r="AZ118" s="152">
        <f t="shared" ca="1" si="171"/>
        <v>71302.644330559502</v>
      </c>
      <c r="BA118" s="152">
        <f t="shared" ca="1" si="172"/>
        <v>2426.5011200390763</v>
      </c>
      <c r="BB118" s="152">
        <f t="shared" ca="1" si="173"/>
        <v>22415.214029839255</v>
      </c>
      <c r="BC118" s="152">
        <f t="shared" ca="1" si="174"/>
        <v>27652.279582283176</v>
      </c>
      <c r="BD118" s="152">
        <f t="shared" ca="1" si="175"/>
        <v>1010.4143666076739</v>
      </c>
      <c r="BE118" s="152">
        <f t="shared" ca="1" si="176"/>
        <v>82.448303218271121</v>
      </c>
      <c r="BF118" s="152">
        <f t="shared" ca="1" si="177"/>
        <v>-1063.276970130124</v>
      </c>
      <c r="BG118" s="152">
        <f t="shared" ca="1" si="178"/>
        <v>56.347330108473159</v>
      </c>
      <c r="BH118" s="152">
        <f t="shared" ca="1" si="179"/>
        <v>397642.1766403676</v>
      </c>
      <c r="BI118" s="152">
        <f t="shared" ca="1" si="94"/>
        <v>521524.74873289291</v>
      </c>
      <c r="BJ118" s="163">
        <f t="shared" ca="1" si="123"/>
        <v>33707.527229046165</v>
      </c>
      <c r="BK118" s="163">
        <f t="shared" ca="1" si="124"/>
        <v>1613.523798058771</v>
      </c>
      <c r="BL118" s="163">
        <f t="shared" ca="1" si="125"/>
        <v>17732.706541869287</v>
      </c>
      <c r="BM118" s="163">
        <f t="shared" ca="1" si="126"/>
        <v>14841.595278078239</v>
      </c>
      <c r="BN118" s="163">
        <f t="shared" ca="1" si="127"/>
        <v>548.11519065292998</v>
      </c>
      <c r="BO118" s="163">
        <f t="shared" ca="1" si="128"/>
        <v>60.441029434594661</v>
      </c>
      <c r="BP118" s="163">
        <f t="shared" ca="1" si="129"/>
        <v>-957.12857783382833</v>
      </c>
      <c r="BQ118" s="163">
        <f t="shared" ca="1" si="130"/>
        <v>36.324536705147793</v>
      </c>
      <c r="BR118" s="163">
        <f t="shared" ca="1" si="131"/>
        <v>109621.22210200202</v>
      </c>
      <c r="BS118" s="163">
        <f t="shared" ca="1" si="95"/>
        <v>177204.3271280133</v>
      </c>
      <c r="BT118" s="164">
        <f t="shared" si="180"/>
        <v>1.7718553228876849E-2</v>
      </c>
      <c r="BU118" s="164">
        <f t="shared" si="181"/>
        <v>9.2213114754098359E-3</v>
      </c>
      <c r="BV118" s="164">
        <f t="shared" si="182"/>
        <v>5.1833298545884646E-3</v>
      </c>
      <c r="BW118" s="164">
        <f t="shared" si="183"/>
        <v>1.6084977238239758E-2</v>
      </c>
      <c r="BX118" s="164">
        <f t="shared" si="184"/>
        <v>6.8493150684931503E-3</v>
      </c>
      <c r="BY118" s="164">
        <f t="shared" si="185"/>
        <v>2.554278416347382E-3</v>
      </c>
      <c r="BZ118" s="164">
        <f t="shared" si="186"/>
        <v>1.6863406408094434E-3</v>
      </c>
      <c r="CA118" s="164">
        <f t="shared" si="187"/>
        <v>3.1446540880503146E-3</v>
      </c>
      <c r="CB118" s="164">
        <f t="shared" si="188"/>
        <v>2.909475167312434E-2</v>
      </c>
      <c r="CC118" s="164">
        <f t="shared" si="142"/>
        <v>1.9362196409714889E-2</v>
      </c>
      <c r="CD118" s="180">
        <f t="shared" si="153"/>
        <v>12619</v>
      </c>
      <c r="CE118" s="180">
        <f t="shared" si="154"/>
        <v>570</v>
      </c>
      <c r="CF118" s="180">
        <f t="shared" si="155"/>
        <v>20793</v>
      </c>
      <c r="CG118" s="180">
        <f t="shared" si="156"/>
        <v>3118</v>
      </c>
      <c r="CH118" s="180">
        <f t="shared" si="157"/>
        <v>463</v>
      </c>
      <c r="CI118" s="180">
        <f t="shared" si="158"/>
        <v>555</v>
      </c>
      <c r="CJ118" s="180">
        <f t="shared" si="159"/>
        <v>2208</v>
      </c>
      <c r="CK118" s="180">
        <f t="shared" si="160"/>
        <v>186</v>
      </c>
      <c r="CL118" s="180">
        <f t="shared" si="161"/>
        <v>19358</v>
      </c>
      <c r="CM118" s="180">
        <f t="shared" si="161"/>
        <v>59870</v>
      </c>
      <c r="CN118" s="183">
        <f t="shared" si="143"/>
        <v>2.981769818508396E-3</v>
      </c>
      <c r="CO118" s="183">
        <f t="shared" si="144"/>
        <v>3.4746399512993717E-4</v>
      </c>
      <c r="CP118" s="183">
        <f t="shared" si="145"/>
        <v>1.8381216095714841E-3</v>
      </c>
      <c r="CQ118" s="183">
        <f t="shared" si="146"/>
        <v>5.9907194835551636E-4</v>
      </c>
      <c r="CR118" s="183">
        <f t="shared" si="147"/>
        <v>1.2470478561029872E-4</v>
      </c>
      <c r="CS118" s="183">
        <f t="shared" si="148"/>
        <v>1.6281340274400751E-4</v>
      </c>
      <c r="CT118" s="183">
        <f t="shared" si="149"/>
        <v>7.2182783795815889E-4</v>
      </c>
      <c r="CU118" s="183">
        <f t="shared" si="150"/>
        <v>2.4050317819511671E-4</v>
      </c>
      <c r="CV118" s="183">
        <f t="shared" si="151"/>
        <v>7.7732314778156423E-3</v>
      </c>
      <c r="CW118" s="183">
        <f t="shared" si="152"/>
        <v>1.9822916668911054E-3</v>
      </c>
      <c r="CX118" s="193">
        <f t="shared" si="84"/>
        <v>1.4095983156271691E-3</v>
      </c>
      <c r="CY118" s="193">
        <f t="shared" si="85"/>
        <v>2.3104931643373898E-4</v>
      </c>
      <c r="CZ118" s="193">
        <f t="shared" si="86"/>
        <v>1.4541405247083113E-3</v>
      </c>
      <c r="DA118" s="193">
        <f t="shared" si="87"/>
        <v>3.2153527789582117E-4</v>
      </c>
      <c r="DB118" s="193">
        <f t="shared" si="88"/>
        <v>6.7648075481751085E-5</v>
      </c>
      <c r="DC118" s="193">
        <f t="shared" si="89"/>
        <v>1.193549082695534E-4</v>
      </c>
      <c r="DD118" s="193">
        <f t="shared" si="90"/>
        <v>6.4976677892422468E-4</v>
      </c>
      <c r="DE118" s="193">
        <f t="shared" si="91"/>
        <v>1.5504135701257523E-4</v>
      </c>
      <c r="DF118" s="193">
        <f t="shared" si="92"/>
        <v>2.1429093399480143E-3</v>
      </c>
      <c r="DG118" s="193">
        <f t="shared" si="93"/>
        <v>9.3959369070828317E-4</v>
      </c>
      <c r="DI118" s="83"/>
    </row>
    <row r="119" spans="1:113">
      <c r="A119" s="150">
        <v>44008</v>
      </c>
      <c r="B119" s="129">
        <v>21938</v>
      </c>
      <c r="C119" s="129">
        <v>1069</v>
      </c>
      <c r="D119" s="129">
        <v>31344</v>
      </c>
      <c r="E119" s="129">
        <v>7090</v>
      </c>
      <c r="F119" s="129">
        <v>798</v>
      </c>
      <c r="G119" s="129">
        <v>855</v>
      </c>
      <c r="H119" s="129">
        <v>3218</v>
      </c>
      <c r="I119" s="129">
        <v>337</v>
      </c>
      <c r="J119" s="129">
        <v>57941</v>
      </c>
      <c r="K119" s="165">
        <f t="shared" si="78"/>
        <v>124590</v>
      </c>
      <c r="L119" s="80">
        <v>371</v>
      </c>
      <c r="M119" s="80">
        <v>9</v>
      </c>
      <c r="N119" s="80">
        <v>149</v>
      </c>
      <c r="O119" s="80">
        <v>106</v>
      </c>
      <c r="P119" s="80">
        <v>5</v>
      </c>
      <c r="Q119" s="80">
        <v>2</v>
      </c>
      <c r="R119" s="80">
        <v>5</v>
      </c>
      <c r="S119" s="80">
        <v>1</v>
      </c>
      <c r="T119" s="80">
        <v>1692</v>
      </c>
      <c r="U119" s="80">
        <f t="shared" si="79"/>
        <v>2340</v>
      </c>
      <c r="V119" s="130">
        <v>11349</v>
      </c>
      <c r="W119" s="130">
        <v>318</v>
      </c>
      <c r="X119" s="130">
        <v>7132</v>
      </c>
      <c r="Y119" s="130">
        <v>3197</v>
      </c>
      <c r="Z119" s="130">
        <v>348</v>
      </c>
      <c r="AA119" s="130">
        <v>239</v>
      </c>
      <c r="AB119" s="130">
        <v>421</v>
      </c>
      <c r="AC119" s="130">
        <v>128</v>
      </c>
      <c r="AD119" s="130">
        <v>40979</v>
      </c>
      <c r="AE119" s="130">
        <f t="shared" si="80"/>
        <v>64111</v>
      </c>
      <c r="AF119" s="151">
        <f t="shared" si="162"/>
        <v>10218</v>
      </c>
      <c r="AG119" s="151">
        <f t="shared" si="163"/>
        <v>742</v>
      </c>
      <c r="AH119" s="151">
        <f t="shared" si="164"/>
        <v>24063</v>
      </c>
      <c r="AI119" s="151">
        <f t="shared" si="165"/>
        <v>3787</v>
      </c>
      <c r="AJ119" s="151">
        <f t="shared" si="166"/>
        <v>445</v>
      </c>
      <c r="AK119" s="151">
        <f t="shared" si="167"/>
        <v>614</v>
      </c>
      <c r="AL119" s="151">
        <f t="shared" si="168"/>
        <v>2792</v>
      </c>
      <c r="AM119" s="151">
        <f t="shared" si="169"/>
        <v>208</v>
      </c>
      <c r="AN119" s="151">
        <f t="shared" si="170"/>
        <v>15270</v>
      </c>
      <c r="AO119" s="151">
        <f t="shared" si="81"/>
        <v>58139</v>
      </c>
      <c r="AP119" s="57">
        <f t="shared" si="105"/>
        <v>1451</v>
      </c>
      <c r="AQ119" s="57">
        <f t="shared" si="106"/>
        <v>93</v>
      </c>
      <c r="AR119" s="57">
        <f t="shared" si="107"/>
        <v>2598</v>
      </c>
      <c r="AS119" s="57">
        <f t="shared" si="108"/>
        <v>500</v>
      </c>
      <c r="AT119" s="57">
        <f t="shared" si="109"/>
        <v>68</v>
      </c>
      <c r="AU119" s="57">
        <f t="shared" si="110"/>
        <v>72</v>
      </c>
      <c r="AV119" s="57">
        <f t="shared" si="111"/>
        <v>253</v>
      </c>
      <c r="AW119" s="57">
        <f t="shared" si="112"/>
        <v>19</v>
      </c>
      <c r="AX119" s="57">
        <f t="shared" si="113"/>
        <v>1161</v>
      </c>
      <c r="AY119" s="57">
        <f t="shared" si="82"/>
        <v>6215</v>
      </c>
      <c r="AZ119" s="152">
        <f t="shared" ca="1" si="171"/>
        <v>71874.556602307362</v>
      </c>
      <c r="BA119" s="152">
        <f t="shared" ca="1" si="172"/>
        <v>2333.5011200390763</v>
      </c>
      <c r="BB119" s="152">
        <f t="shared" ca="1" si="173"/>
        <v>19817.214029839255</v>
      </c>
      <c r="BC119" s="152">
        <f t="shared" ca="1" si="174"/>
        <v>27152.279582283176</v>
      </c>
      <c r="BD119" s="152">
        <f t="shared" ca="1" si="175"/>
        <v>942.41436660767386</v>
      </c>
      <c r="BE119" s="152">
        <f t="shared" ca="1" si="176"/>
        <v>10.448303218271121</v>
      </c>
      <c r="BF119" s="152">
        <f t="shared" ca="1" si="177"/>
        <v>-1316.276970130124</v>
      </c>
      <c r="BG119" s="152">
        <f t="shared" ca="1" si="178"/>
        <v>37.347330108473159</v>
      </c>
      <c r="BH119" s="152">
        <f t="shared" ca="1" si="179"/>
        <v>407484.13491253147</v>
      </c>
      <c r="BI119" s="152">
        <f t="shared" ca="1" si="94"/>
        <v>528335.61927680462</v>
      </c>
      <c r="BJ119" s="163">
        <f t="shared" ca="1" si="123"/>
        <v>33476.808248809219</v>
      </c>
      <c r="BK119" s="163">
        <f t="shared" ca="1" si="124"/>
        <v>1619.6986258830634</v>
      </c>
      <c r="BL119" s="163">
        <f t="shared" ca="1" si="125"/>
        <v>15213.808741705652</v>
      </c>
      <c r="BM119" s="163">
        <f t="shared" ca="1" si="126"/>
        <v>14502.917176037572</v>
      </c>
      <c r="BN119" s="163">
        <f t="shared" ca="1" si="127"/>
        <v>525.53182097796343</v>
      </c>
      <c r="BO119" s="163">
        <f t="shared" ca="1" si="128"/>
        <v>7.5032259368637062</v>
      </c>
      <c r="BP119" s="163">
        <f t="shared" ca="1" si="129"/>
        <v>-1142.0277503428547</v>
      </c>
      <c r="BQ119" s="163">
        <f t="shared" ca="1" si="130"/>
        <v>23.051171105526461</v>
      </c>
      <c r="BR119" s="163">
        <f t="shared" ca="1" si="131"/>
        <v>107389.97842830389</v>
      </c>
      <c r="BS119" s="163">
        <f t="shared" ca="1" si="95"/>
        <v>171617.26968841691</v>
      </c>
      <c r="BT119" s="164">
        <f t="shared" si="180"/>
        <v>1.691129546904914E-2</v>
      </c>
      <c r="BU119" s="164">
        <f t="shared" si="181"/>
        <v>8.4190832553788595E-3</v>
      </c>
      <c r="BV119" s="164">
        <f t="shared" si="182"/>
        <v>4.7537008677896887E-3</v>
      </c>
      <c r="BW119" s="164">
        <f t="shared" si="183"/>
        <v>1.4950634696755994E-2</v>
      </c>
      <c r="BX119" s="164">
        <f t="shared" si="184"/>
        <v>6.2656641604010022E-3</v>
      </c>
      <c r="BY119" s="164">
        <f t="shared" si="185"/>
        <v>2.3391812865497076E-3</v>
      </c>
      <c r="BZ119" s="164">
        <f t="shared" si="186"/>
        <v>1.5537600994406464E-3</v>
      </c>
      <c r="CA119" s="164">
        <f t="shared" si="187"/>
        <v>2.967359050445104E-3</v>
      </c>
      <c r="CB119" s="164">
        <f t="shared" si="188"/>
        <v>2.9202119397317962E-2</v>
      </c>
      <c r="CC119" s="164">
        <f t="shared" si="142"/>
        <v>1.8781603660004816E-2</v>
      </c>
      <c r="CD119" s="180">
        <f t="shared" si="153"/>
        <v>13323</v>
      </c>
      <c r="CE119" s="180">
        <f t="shared" si="154"/>
        <v>634</v>
      </c>
      <c r="CF119" s="180">
        <f t="shared" si="155"/>
        <v>22563</v>
      </c>
      <c r="CG119" s="180">
        <f t="shared" si="156"/>
        <v>3517</v>
      </c>
      <c r="CH119" s="180">
        <f t="shared" si="157"/>
        <v>510</v>
      </c>
      <c r="CI119" s="180">
        <f t="shared" si="158"/>
        <v>612</v>
      </c>
      <c r="CJ119" s="180">
        <f t="shared" si="159"/>
        <v>2353</v>
      </c>
      <c r="CK119" s="180">
        <f t="shared" si="160"/>
        <v>199</v>
      </c>
      <c r="CL119" s="180">
        <f t="shared" si="161"/>
        <v>19015</v>
      </c>
      <c r="CM119" s="180">
        <f t="shared" si="161"/>
        <v>62726</v>
      </c>
      <c r="CN119" s="183">
        <f t="shared" si="143"/>
        <v>3.1929548630076237E-3</v>
      </c>
      <c r="CO119" s="183">
        <f t="shared" si="144"/>
        <v>3.8057275696096605E-4</v>
      </c>
      <c r="CP119" s="183">
        <f t="shared" si="145"/>
        <v>2.0042469815072911E-3</v>
      </c>
      <c r="CQ119" s="183">
        <f t="shared" si="146"/>
        <v>6.4452505521101844E-4</v>
      </c>
      <c r="CR119" s="183">
        <f t="shared" si="147"/>
        <v>1.3632112180413474E-4</v>
      </c>
      <c r="CS119" s="183">
        <f t="shared" si="148"/>
        <v>1.777847501227668E-4</v>
      </c>
      <c r="CT119" s="183">
        <f t="shared" si="149"/>
        <v>7.8342056747027157E-4</v>
      </c>
      <c r="CU119" s="183">
        <f t="shared" si="150"/>
        <v>2.5487286494262372E-4</v>
      </c>
      <c r="CV119" s="183">
        <f t="shared" si="151"/>
        <v>7.9321733895053904E-3</v>
      </c>
      <c r="CW119" s="183">
        <f t="shared" si="152"/>
        <v>2.0863672124854303E-3</v>
      </c>
      <c r="CX119" s="193">
        <f t="shared" si="84"/>
        <v>1.4871735249435637E-3</v>
      </c>
      <c r="CY119" s="193">
        <f t="shared" si="85"/>
        <v>2.6415807826476784E-4</v>
      </c>
      <c r="CZ119" s="193">
        <f t="shared" si="86"/>
        <v>1.538673912583268E-3</v>
      </c>
      <c r="DA119" s="193">
        <f t="shared" si="87"/>
        <v>3.4426183132357216E-4</v>
      </c>
      <c r="DB119" s="193">
        <f t="shared" si="88"/>
        <v>7.6018670680250584E-5</v>
      </c>
      <c r="DC119" s="193">
        <f t="shared" si="89"/>
        <v>1.2767232347997523E-4</v>
      </c>
      <c r="DD119" s="193">
        <f t="shared" si="90"/>
        <v>6.7971107034710948E-4</v>
      </c>
      <c r="DE119" s="193">
        <f t="shared" si="91"/>
        <v>1.5731025492007634E-4</v>
      </c>
      <c r="DF119" s="193">
        <f t="shared" si="92"/>
        <v>2.0904763062036783E-3</v>
      </c>
      <c r="DG119" s="193">
        <f t="shared" si="93"/>
        <v>9.73587794900798E-4</v>
      </c>
      <c r="DI119" s="83"/>
    </row>
    <row r="120" spans="1:113">
      <c r="A120" s="150">
        <v>44009</v>
      </c>
      <c r="B120" s="129">
        <v>23658</v>
      </c>
      <c r="C120" s="129">
        <v>1160</v>
      </c>
      <c r="D120" s="129">
        <v>34285</v>
      </c>
      <c r="E120" s="129">
        <v>7786</v>
      </c>
      <c r="F120" s="129">
        <v>862</v>
      </c>
      <c r="G120" s="129">
        <v>925</v>
      </c>
      <c r="H120" s="129">
        <v>3454</v>
      </c>
      <c r="I120" s="129">
        <v>355</v>
      </c>
      <c r="J120" s="129">
        <v>59315</v>
      </c>
      <c r="K120" s="165">
        <f t="shared" si="78"/>
        <v>131800</v>
      </c>
      <c r="L120" s="80">
        <v>384</v>
      </c>
      <c r="M120" s="80">
        <v>9</v>
      </c>
      <c r="N120" s="80">
        <v>166</v>
      </c>
      <c r="O120" s="80">
        <v>109</v>
      </c>
      <c r="P120" s="80">
        <v>5</v>
      </c>
      <c r="Q120" s="80">
        <v>2</v>
      </c>
      <c r="R120" s="80">
        <v>5</v>
      </c>
      <c r="S120" s="80">
        <v>1</v>
      </c>
      <c r="T120" s="80">
        <v>1732</v>
      </c>
      <c r="U120" s="80">
        <f t="shared" si="79"/>
        <v>2413</v>
      </c>
      <c r="V120" s="130">
        <v>12192</v>
      </c>
      <c r="W120" s="130">
        <v>356</v>
      </c>
      <c r="X120" s="130">
        <v>7712</v>
      </c>
      <c r="Y120" s="130">
        <v>3417</v>
      </c>
      <c r="Z120" s="130">
        <v>387</v>
      </c>
      <c r="AA120" s="130">
        <v>239</v>
      </c>
      <c r="AB120" s="130">
        <v>433</v>
      </c>
      <c r="AC120" s="130">
        <v>186</v>
      </c>
      <c r="AD120" s="130">
        <v>42172</v>
      </c>
      <c r="AE120" s="130">
        <f t="shared" si="80"/>
        <v>67094</v>
      </c>
      <c r="AF120" s="151">
        <f t="shared" si="162"/>
        <v>11082</v>
      </c>
      <c r="AG120" s="151">
        <f t="shared" si="163"/>
        <v>795</v>
      </c>
      <c r="AH120" s="151">
        <f t="shared" si="164"/>
        <v>26407</v>
      </c>
      <c r="AI120" s="151">
        <f t="shared" si="165"/>
        <v>4260</v>
      </c>
      <c r="AJ120" s="151">
        <f t="shared" si="166"/>
        <v>470</v>
      </c>
      <c r="AK120" s="151">
        <f t="shared" si="167"/>
        <v>684</v>
      </c>
      <c r="AL120" s="151">
        <f t="shared" si="168"/>
        <v>3016</v>
      </c>
      <c r="AM120" s="151">
        <f t="shared" si="169"/>
        <v>168</v>
      </c>
      <c r="AN120" s="151">
        <f t="shared" si="170"/>
        <v>15411</v>
      </c>
      <c r="AO120" s="151">
        <f t="shared" si="81"/>
        <v>62293</v>
      </c>
      <c r="AP120" s="57">
        <f t="shared" si="105"/>
        <v>1720</v>
      </c>
      <c r="AQ120" s="57">
        <f t="shared" si="106"/>
        <v>91</v>
      </c>
      <c r="AR120" s="57">
        <f t="shared" si="107"/>
        <v>2941</v>
      </c>
      <c r="AS120" s="57">
        <f t="shared" si="108"/>
        <v>696</v>
      </c>
      <c r="AT120" s="57">
        <f t="shared" si="109"/>
        <v>64</v>
      </c>
      <c r="AU120" s="57">
        <f t="shared" si="110"/>
        <v>70</v>
      </c>
      <c r="AV120" s="57">
        <f t="shared" si="111"/>
        <v>236</v>
      </c>
      <c r="AW120" s="57">
        <f t="shared" si="112"/>
        <v>18</v>
      </c>
      <c r="AX120" s="57">
        <f t="shared" si="113"/>
        <v>1374</v>
      </c>
      <c r="AY120" s="57">
        <f t="shared" si="82"/>
        <v>7210</v>
      </c>
      <c r="AZ120" s="152">
        <f t="shared" ca="1" si="171"/>
        <v>73441.789043897646</v>
      </c>
      <c r="BA120" s="152">
        <f t="shared" ca="1" si="172"/>
        <v>2242.5011200390763</v>
      </c>
      <c r="BB120" s="152">
        <f t="shared" ca="1" si="173"/>
        <v>22713.399523176617</v>
      </c>
      <c r="BC120" s="152">
        <f t="shared" ca="1" si="174"/>
        <v>27425.400702536477</v>
      </c>
      <c r="BD120" s="152">
        <f t="shared" ca="1" si="175"/>
        <v>878.41436660767386</v>
      </c>
      <c r="BE120" s="152">
        <f t="shared" ca="1" si="176"/>
        <v>-59.551696781728879</v>
      </c>
      <c r="BF120" s="152">
        <f t="shared" ca="1" si="177"/>
        <v>-1552.276970130124</v>
      </c>
      <c r="BG120" s="152">
        <f t="shared" ca="1" si="178"/>
        <v>19.347330108473159</v>
      </c>
      <c r="BH120" s="152">
        <f t="shared" ca="1" si="179"/>
        <v>417113.09318469535</v>
      </c>
      <c r="BI120" s="152">
        <f t="shared" ca="1" si="94"/>
        <v>542222.11660414946</v>
      </c>
      <c r="BJ120" s="163">
        <f t="shared" ca="1" si="123"/>
        <v>34401.97422370757</v>
      </c>
      <c r="BK120" s="163">
        <f t="shared" ca="1" si="124"/>
        <v>1536.8865434750564</v>
      </c>
      <c r="BL120" s="163">
        <f t="shared" ca="1" si="125"/>
        <v>17494.319416903163</v>
      </c>
      <c r="BM120" s="163">
        <f t="shared" ca="1" si="126"/>
        <v>15005.420882713253</v>
      </c>
      <c r="BN120" s="163">
        <f t="shared" ca="1" si="127"/>
        <v>478.9498286607967</v>
      </c>
      <c r="BO120" s="163">
        <f t="shared" ca="1" si="128"/>
        <v>-44.036065512110866</v>
      </c>
      <c r="BP120" s="163">
        <f t="shared" ca="1" si="129"/>
        <v>-1355.4335095287938</v>
      </c>
      <c r="BQ120" s="163">
        <f t="shared" ca="1" si="130"/>
        <v>9.1559196006295505</v>
      </c>
      <c r="BR120" s="163">
        <f t="shared" ca="1" si="131"/>
        <v>108372.75358795145</v>
      </c>
      <c r="BS120" s="163">
        <f t="shared" ca="1" si="95"/>
        <v>175899.99082797102</v>
      </c>
      <c r="BT120" s="164">
        <f t="shared" si="180"/>
        <v>1.6231295967537408E-2</v>
      </c>
      <c r="BU120" s="164">
        <f t="shared" si="181"/>
        <v>7.7586206896551723E-3</v>
      </c>
      <c r="BV120" s="164">
        <f t="shared" si="182"/>
        <v>4.8417675368236839E-3</v>
      </c>
      <c r="BW120" s="164">
        <f t="shared" si="183"/>
        <v>1.3999486257385049E-2</v>
      </c>
      <c r="BX120" s="164">
        <f t="shared" si="184"/>
        <v>5.8004640371229696E-3</v>
      </c>
      <c r="BY120" s="164">
        <f t="shared" si="185"/>
        <v>2.1621621621621622E-3</v>
      </c>
      <c r="BZ120" s="164">
        <f t="shared" si="186"/>
        <v>1.4475969889982628E-3</v>
      </c>
      <c r="CA120" s="164">
        <f t="shared" si="187"/>
        <v>2.8169014084507044E-3</v>
      </c>
      <c r="CB120" s="164">
        <f t="shared" si="188"/>
        <v>2.9200033718283738E-2</v>
      </c>
      <c r="CC120" s="164">
        <f t="shared" si="142"/>
        <v>1.8308042488619121E-2</v>
      </c>
      <c r="CD120" s="180">
        <f t="shared" si="153"/>
        <v>14408</v>
      </c>
      <c r="CE120" s="180">
        <f t="shared" si="154"/>
        <v>703</v>
      </c>
      <c r="CF120" s="180">
        <f t="shared" si="155"/>
        <v>24388</v>
      </c>
      <c r="CG120" s="180">
        <f t="shared" si="156"/>
        <v>4023</v>
      </c>
      <c r="CH120" s="180">
        <f t="shared" si="157"/>
        <v>553</v>
      </c>
      <c r="CI120" s="180">
        <f t="shared" si="158"/>
        <v>654</v>
      </c>
      <c r="CJ120" s="180">
        <f t="shared" si="159"/>
        <v>2477</v>
      </c>
      <c r="CK120" s="180">
        <f t="shared" si="160"/>
        <v>211</v>
      </c>
      <c r="CL120" s="180">
        <f t="shared" si="161"/>
        <v>18710</v>
      </c>
      <c r="CM120" s="180">
        <f t="shared" si="161"/>
        <v>66127</v>
      </c>
      <c r="CN120" s="183">
        <f t="shared" si="143"/>
        <v>3.4432913733719742E-3</v>
      </c>
      <c r="CO120" s="183">
        <f t="shared" si="144"/>
        <v>4.1296950240853189E-4</v>
      </c>
      <c r="CP120" s="183">
        <f t="shared" si="145"/>
        <v>2.1923049949265404E-3</v>
      </c>
      <c r="CQ120" s="183">
        <f t="shared" si="146"/>
        <v>7.077957799538772E-4</v>
      </c>
      <c r="CR120" s="183">
        <f t="shared" si="147"/>
        <v>1.4725414410421574E-4</v>
      </c>
      <c r="CS120" s="183">
        <f t="shared" si="148"/>
        <v>1.9234022674100503E-4</v>
      </c>
      <c r="CT120" s="183">
        <f t="shared" si="149"/>
        <v>8.4087465507840843E-4</v>
      </c>
      <c r="CU120" s="183">
        <f t="shared" si="150"/>
        <v>2.6848625238763029E-4</v>
      </c>
      <c r="CV120" s="183">
        <f t="shared" si="151"/>
        <v>8.1202751868023042E-3</v>
      </c>
      <c r="CW120" s="183">
        <f t="shared" si="152"/>
        <v>2.2071048928933279E-3</v>
      </c>
      <c r="CX120" s="193">
        <f t="shared" si="84"/>
        <v>1.6129239580568186E-3</v>
      </c>
      <c r="CY120" s="193">
        <f t="shared" si="85"/>
        <v>2.8302651242653694E-4</v>
      </c>
      <c r="CZ120" s="193">
        <f t="shared" si="86"/>
        <v>1.6885576199803165E-3</v>
      </c>
      <c r="DA120" s="193">
        <f t="shared" si="87"/>
        <v>3.8726047040887706E-4</v>
      </c>
      <c r="DB120" s="193">
        <f t="shared" si="88"/>
        <v>8.0289382516219711E-5</v>
      </c>
      <c r="DC120" s="193">
        <f t="shared" si="89"/>
        <v>1.4222780009821346E-4</v>
      </c>
      <c r="DD120" s="193">
        <f t="shared" si="90"/>
        <v>7.3424376367008679E-4</v>
      </c>
      <c r="DE120" s="193">
        <f t="shared" si="91"/>
        <v>1.2705828282006166E-4</v>
      </c>
      <c r="DF120" s="193">
        <f t="shared" si="92"/>
        <v>2.109779329070392E-3</v>
      </c>
      <c r="DG120" s="193">
        <f t="shared" si="93"/>
        <v>1.0431501145144466E-3</v>
      </c>
      <c r="DI120" s="83"/>
    </row>
    <row r="121" spans="1:113">
      <c r="A121" s="150">
        <v>44010</v>
      </c>
      <c r="B121" s="129">
        <v>25099</v>
      </c>
      <c r="C121" s="129">
        <v>1279</v>
      </c>
      <c r="D121" s="129">
        <v>36895</v>
      </c>
      <c r="E121" s="129">
        <v>8433</v>
      </c>
      <c r="F121" s="129">
        <v>935</v>
      </c>
      <c r="G121" s="129">
        <v>1016</v>
      </c>
      <c r="H121" s="129">
        <v>3647</v>
      </c>
      <c r="I121" s="129">
        <v>385</v>
      </c>
      <c r="J121" s="129">
        <v>60445</v>
      </c>
      <c r="K121" s="165">
        <f t="shared" si="78"/>
        <v>138134</v>
      </c>
      <c r="L121" s="80">
        <v>390.5</v>
      </c>
      <c r="M121" s="80">
        <v>9</v>
      </c>
      <c r="N121" s="80">
        <v>173</v>
      </c>
      <c r="O121" s="80">
        <v>112</v>
      </c>
      <c r="P121" s="80">
        <v>7.5</v>
      </c>
      <c r="Q121" s="80">
        <v>2.5</v>
      </c>
      <c r="R121" s="80">
        <v>6</v>
      </c>
      <c r="S121" s="80">
        <v>1</v>
      </c>
      <c r="T121" s="80">
        <v>1769.5</v>
      </c>
      <c r="U121" s="80">
        <f t="shared" si="79"/>
        <v>2471</v>
      </c>
      <c r="V121" s="130">
        <v>12508</v>
      </c>
      <c r="W121" s="130">
        <v>370.5</v>
      </c>
      <c r="X121" s="130">
        <v>8725</v>
      </c>
      <c r="Y121" s="130">
        <v>3509.5</v>
      </c>
      <c r="Z121" s="130">
        <v>410.5</v>
      </c>
      <c r="AA121" s="130">
        <v>307.5</v>
      </c>
      <c r="AB121" s="130">
        <v>433</v>
      </c>
      <c r="AC121" s="130">
        <v>186</v>
      </c>
      <c r="AD121" s="130">
        <v>42404</v>
      </c>
      <c r="AE121" s="130">
        <f t="shared" si="80"/>
        <v>68854</v>
      </c>
      <c r="AF121" s="151">
        <f t="shared" si="162"/>
        <v>12200.5</v>
      </c>
      <c r="AG121" s="151">
        <f t="shared" si="163"/>
        <v>899.5</v>
      </c>
      <c r="AH121" s="151">
        <f t="shared" si="164"/>
        <v>27997</v>
      </c>
      <c r="AI121" s="151">
        <f t="shared" si="165"/>
        <v>4811.5</v>
      </c>
      <c r="AJ121" s="151">
        <f t="shared" si="166"/>
        <v>517</v>
      </c>
      <c r="AK121" s="151">
        <f t="shared" si="167"/>
        <v>706</v>
      </c>
      <c r="AL121" s="151">
        <f t="shared" si="168"/>
        <v>3208</v>
      </c>
      <c r="AM121" s="151">
        <f t="shared" si="169"/>
        <v>198</v>
      </c>
      <c r="AN121" s="151">
        <f t="shared" si="170"/>
        <v>16271.5</v>
      </c>
      <c r="AO121" s="151">
        <f t="shared" si="81"/>
        <v>66809</v>
      </c>
      <c r="AP121" s="57">
        <f t="shared" si="105"/>
        <v>1441</v>
      </c>
      <c r="AQ121" s="57">
        <f t="shared" si="106"/>
        <v>119</v>
      </c>
      <c r="AR121" s="57">
        <f t="shared" si="107"/>
        <v>2610</v>
      </c>
      <c r="AS121" s="57">
        <f t="shared" si="108"/>
        <v>647</v>
      </c>
      <c r="AT121" s="57">
        <f t="shared" si="109"/>
        <v>73</v>
      </c>
      <c r="AU121" s="57">
        <f t="shared" si="110"/>
        <v>91</v>
      </c>
      <c r="AV121" s="57">
        <f t="shared" si="111"/>
        <v>193</v>
      </c>
      <c r="AW121" s="57">
        <f t="shared" si="112"/>
        <v>30</v>
      </c>
      <c r="AX121" s="57">
        <f t="shared" si="113"/>
        <v>1130</v>
      </c>
      <c r="AY121" s="57">
        <f t="shared" si="82"/>
        <v>6334</v>
      </c>
      <c r="AZ121" s="152">
        <f t="shared" ca="1" si="171"/>
        <v>73644.405264692788</v>
      </c>
      <c r="BA121" s="152">
        <f t="shared" ca="1" si="172"/>
        <v>2123.5011200390763</v>
      </c>
      <c r="BB121" s="152">
        <f t="shared" ca="1" si="173"/>
        <v>22506.946491021416</v>
      </c>
      <c r="BC121" s="152">
        <f t="shared" ca="1" si="174"/>
        <v>27747.521822789771</v>
      </c>
      <c r="BD121" s="152">
        <f t="shared" ca="1" si="175"/>
        <v>1675.621549911511</v>
      </c>
      <c r="BE121" s="152">
        <f t="shared" ca="1" si="176"/>
        <v>65.810379022839015</v>
      </c>
      <c r="BF121" s="152">
        <f t="shared" ca="1" si="177"/>
        <v>-1364.9323641561487</v>
      </c>
      <c r="BG121" s="152">
        <f t="shared" ca="1" si="178"/>
        <v>-10.652669891526841</v>
      </c>
      <c r="BH121" s="152">
        <f t="shared" ca="1" si="179"/>
        <v>426298.36656484898</v>
      </c>
      <c r="BI121" s="152">
        <f t="shared" ca="1" si="94"/>
        <v>552686.58815827873</v>
      </c>
      <c r="BJ121" s="163">
        <f t="shared" ca="1" si="123"/>
        <v>35798.181857121177</v>
      </c>
      <c r="BK121" s="163">
        <f t="shared" ca="1" si="124"/>
        <v>1493.4239698789281</v>
      </c>
      <c r="BL121" s="163">
        <f t="shared" ca="1" si="125"/>
        <v>17078.92616639454</v>
      </c>
      <c r="BM121" s="163">
        <f t="shared" ca="1" si="126"/>
        <v>15831.519180641881</v>
      </c>
      <c r="BN121" s="163">
        <f t="shared" ca="1" si="127"/>
        <v>926.52015112754145</v>
      </c>
      <c r="BO121" s="163">
        <f t="shared" ca="1" si="128"/>
        <v>45.730440541460965</v>
      </c>
      <c r="BP121" s="163">
        <f t="shared" ca="1" si="129"/>
        <v>-1200.6314845661982</v>
      </c>
      <c r="BQ121" s="163">
        <f t="shared" ca="1" si="130"/>
        <v>-5.4785159442138047</v>
      </c>
      <c r="BR121" s="163">
        <f t="shared" ca="1" si="131"/>
        <v>114757.44679559831</v>
      </c>
      <c r="BS121" s="163">
        <f t="shared" ca="1" si="95"/>
        <v>184725.63856079342</v>
      </c>
      <c r="BT121" s="164">
        <f t="shared" si="180"/>
        <v>1.55583887804295E-2</v>
      </c>
      <c r="BU121" s="164">
        <f t="shared" si="181"/>
        <v>7.0367474589523062E-3</v>
      </c>
      <c r="BV121" s="164">
        <f t="shared" si="182"/>
        <v>4.6889822469169265E-3</v>
      </c>
      <c r="BW121" s="164">
        <f t="shared" si="183"/>
        <v>1.3281157357998339E-2</v>
      </c>
      <c r="BX121" s="164">
        <f t="shared" si="184"/>
        <v>8.0213903743315516E-3</v>
      </c>
      <c r="BY121" s="164">
        <f t="shared" si="185"/>
        <v>2.4606299212598425E-3</v>
      </c>
      <c r="BZ121" s="164">
        <f t="shared" si="186"/>
        <v>1.6451878256100905E-3</v>
      </c>
      <c r="CA121" s="164">
        <f t="shared" si="187"/>
        <v>2.5974025974025974E-3</v>
      </c>
      <c r="CB121" s="164">
        <f t="shared" si="188"/>
        <v>2.9274547108942013E-2</v>
      </c>
      <c r="CC121" s="164">
        <f t="shared" si="142"/>
        <v>1.7888427179405506E-2</v>
      </c>
      <c r="CD121" s="180">
        <f t="shared" si="153"/>
        <v>15072</v>
      </c>
      <c r="CE121" s="180">
        <f t="shared" si="154"/>
        <v>784</v>
      </c>
      <c r="CF121" s="180">
        <f t="shared" si="155"/>
        <v>25731</v>
      </c>
      <c r="CG121" s="180">
        <f t="shared" si="156"/>
        <v>4559</v>
      </c>
      <c r="CH121" s="180">
        <f t="shared" si="157"/>
        <v>609</v>
      </c>
      <c r="CI121" s="180">
        <f t="shared" si="158"/>
        <v>719</v>
      </c>
      <c r="CJ121" s="180">
        <f t="shared" si="159"/>
        <v>2550</v>
      </c>
      <c r="CK121" s="180">
        <f t="shared" si="160"/>
        <v>229</v>
      </c>
      <c r="CL121" s="180">
        <f t="shared" si="161"/>
        <v>17906</v>
      </c>
      <c r="CM121" s="180">
        <f t="shared" si="161"/>
        <v>68159</v>
      </c>
      <c r="CN121" s="183">
        <f t="shared" si="143"/>
        <v>3.6530209730435024E-3</v>
      </c>
      <c r="CO121" s="183">
        <f t="shared" si="144"/>
        <v>4.5533447722457957E-4</v>
      </c>
      <c r="CP121" s="183">
        <f t="shared" si="145"/>
        <v>2.3591976895964623E-3</v>
      </c>
      <c r="CQ121" s="183">
        <f t="shared" si="146"/>
        <v>7.6661210022489681E-4</v>
      </c>
      <c r="CR121" s="183">
        <f t="shared" si="147"/>
        <v>1.5972462266524559E-4</v>
      </c>
      <c r="CS121" s="183">
        <f t="shared" si="148"/>
        <v>2.1126234634471472E-4</v>
      </c>
      <c r="CT121" s="183">
        <f t="shared" si="149"/>
        <v>8.8786041316472365E-4</v>
      </c>
      <c r="CU121" s="183">
        <f t="shared" si="150"/>
        <v>2.9117523146264133E-4</v>
      </c>
      <c r="CV121" s="183">
        <f t="shared" si="151"/>
        <v>8.2749731714788031E-3</v>
      </c>
      <c r="CW121" s="183">
        <f t="shared" si="152"/>
        <v>2.3131731963196276E-3</v>
      </c>
      <c r="CX121" s="193">
        <f t="shared" si="84"/>
        <v>1.7757154620350313E-3</v>
      </c>
      <c r="CY121" s="193">
        <f t="shared" si="85"/>
        <v>3.2022936846247798E-4</v>
      </c>
      <c r="CZ121" s="193">
        <f t="shared" si="86"/>
        <v>1.7902278822504989E-3</v>
      </c>
      <c r="DA121" s="193">
        <f t="shared" si="87"/>
        <v>4.3739524727049578E-4</v>
      </c>
      <c r="DB121" s="193">
        <f t="shared" si="88"/>
        <v>8.8318320767841681E-5</v>
      </c>
      <c r="DC121" s="193">
        <f t="shared" si="89"/>
        <v>1.4680237846394545E-4</v>
      </c>
      <c r="DD121" s="193">
        <f t="shared" si="90"/>
        <v>7.8098607223263871E-4</v>
      </c>
      <c r="DE121" s="193">
        <f t="shared" si="91"/>
        <v>1.4974726189507267E-4</v>
      </c>
      <c r="DF121" s="193">
        <f t="shared" si="92"/>
        <v>2.227582528905904E-3</v>
      </c>
      <c r="DG121" s="193">
        <f t="shared" si="93"/>
        <v>1.1187744369446915E-3</v>
      </c>
      <c r="DI121" s="83"/>
    </row>
    <row r="122" spans="1:113">
      <c r="A122" s="150">
        <v>44011</v>
      </c>
      <c r="B122" s="129">
        <v>26195</v>
      </c>
      <c r="C122" s="129">
        <v>1377</v>
      </c>
      <c r="D122" s="129">
        <v>39841</v>
      </c>
      <c r="E122" s="129">
        <v>9041</v>
      </c>
      <c r="F122" s="129">
        <v>1011</v>
      </c>
      <c r="G122" s="129">
        <v>1089</v>
      </c>
      <c r="H122" s="129">
        <v>3931</v>
      </c>
      <c r="I122" s="129">
        <v>404</v>
      </c>
      <c r="J122" s="129">
        <v>61375</v>
      </c>
      <c r="K122" s="165">
        <f t="shared" si="78"/>
        <v>144264</v>
      </c>
      <c r="L122" s="80">
        <v>397</v>
      </c>
      <c r="M122" s="80">
        <v>9</v>
      </c>
      <c r="N122" s="80">
        <v>180</v>
      </c>
      <c r="O122" s="80">
        <v>115</v>
      </c>
      <c r="P122" s="80">
        <v>10</v>
      </c>
      <c r="Q122" s="80">
        <v>3</v>
      </c>
      <c r="R122" s="80">
        <v>7</v>
      </c>
      <c r="S122" s="80">
        <v>1</v>
      </c>
      <c r="T122" s="80">
        <v>1807</v>
      </c>
      <c r="U122" s="80">
        <f t="shared" si="79"/>
        <v>2529</v>
      </c>
      <c r="V122" s="130">
        <v>12824</v>
      </c>
      <c r="W122" s="130">
        <v>385</v>
      </c>
      <c r="X122" s="130">
        <v>9738</v>
      </c>
      <c r="Y122" s="130">
        <v>3602</v>
      </c>
      <c r="Z122" s="130">
        <v>434</v>
      </c>
      <c r="AA122" s="130">
        <v>376</v>
      </c>
      <c r="AB122" s="130">
        <v>433</v>
      </c>
      <c r="AC122" s="130">
        <v>186</v>
      </c>
      <c r="AD122" s="130">
        <v>42636</v>
      </c>
      <c r="AE122" s="130">
        <f t="shared" si="80"/>
        <v>70614</v>
      </c>
      <c r="AF122" s="151">
        <f t="shared" si="162"/>
        <v>12974</v>
      </c>
      <c r="AG122" s="151">
        <f t="shared" si="163"/>
        <v>983</v>
      </c>
      <c r="AH122" s="151">
        <f t="shared" si="164"/>
        <v>29923</v>
      </c>
      <c r="AI122" s="151">
        <f t="shared" si="165"/>
        <v>5324</v>
      </c>
      <c r="AJ122" s="151">
        <f t="shared" si="166"/>
        <v>567</v>
      </c>
      <c r="AK122" s="151">
        <f t="shared" si="167"/>
        <v>710</v>
      </c>
      <c r="AL122" s="151">
        <f t="shared" si="168"/>
        <v>3491</v>
      </c>
      <c r="AM122" s="151">
        <f t="shared" si="169"/>
        <v>217</v>
      </c>
      <c r="AN122" s="151">
        <f t="shared" si="170"/>
        <v>16932</v>
      </c>
      <c r="AO122" s="151">
        <f t="shared" si="81"/>
        <v>71121</v>
      </c>
      <c r="AP122" s="57">
        <f t="shared" si="105"/>
        <v>1096</v>
      </c>
      <c r="AQ122" s="57">
        <f t="shared" si="106"/>
        <v>98</v>
      </c>
      <c r="AR122" s="57">
        <f t="shared" si="107"/>
        <v>2946</v>
      </c>
      <c r="AS122" s="57">
        <f t="shared" si="108"/>
        <v>608</v>
      </c>
      <c r="AT122" s="57">
        <f t="shared" si="109"/>
        <v>76</v>
      </c>
      <c r="AU122" s="57">
        <f t="shared" si="110"/>
        <v>73</v>
      </c>
      <c r="AV122" s="57">
        <f t="shared" si="111"/>
        <v>284</v>
      </c>
      <c r="AW122" s="57">
        <f t="shared" si="112"/>
        <v>19</v>
      </c>
      <c r="AX122" s="57">
        <f t="shared" si="113"/>
        <v>930</v>
      </c>
      <c r="AY122" s="57">
        <f t="shared" si="82"/>
        <v>6130</v>
      </c>
      <c r="AZ122" s="152">
        <f t="shared" ca="1" si="171"/>
        <v>74192.021485487945</v>
      </c>
      <c r="BA122" s="152">
        <f t="shared" ca="1" si="172"/>
        <v>2025.5011200390763</v>
      </c>
      <c r="BB122" s="152">
        <f t="shared" ca="1" si="173"/>
        <v>21964.493458866214</v>
      </c>
      <c r="BC122" s="152">
        <f t="shared" ca="1" si="174"/>
        <v>28108.642943043073</v>
      </c>
      <c r="BD122" s="152">
        <f t="shared" ca="1" si="175"/>
        <v>2469.8287332153477</v>
      </c>
      <c r="BE122" s="152">
        <f t="shared" ca="1" si="176"/>
        <v>209.17245482740668</v>
      </c>
      <c r="BF122" s="152">
        <f t="shared" ca="1" si="177"/>
        <v>-1268.5877581821737</v>
      </c>
      <c r="BG122" s="152">
        <f t="shared" ca="1" si="178"/>
        <v>-29.652669891526841</v>
      </c>
      <c r="BH122" s="152">
        <f t="shared" ca="1" si="179"/>
        <v>435683.63994500262</v>
      </c>
      <c r="BI122" s="152">
        <f t="shared" ca="1" si="94"/>
        <v>563355.05971240799</v>
      </c>
      <c r="BJ122" s="163">
        <f t="shared" ca="1" si="123"/>
        <v>36746.222055839688</v>
      </c>
      <c r="BK122" s="163">
        <f t="shared" ca="1" si="124"/>
        <v>1445.945970223974</v>
      </c>
      <c r="BL122" s="163">
        <f t="shared" ca="1" si="125"/>
        <v>16496.662678387933</v>
      </c>
      <c r="BM122" s="163">
        <f t="shared" ca="1" si="126"/>
        <v>16552.418430346348</v>
      </c>
      <c r="BN122" s="163">
        <f t="shared" ca="1" si="127"/>
        <v>1385.1561738210705</v>
      </c>
      <c r="BO122" s="163">
        <f t="shared" ca="1" si="128"/>
        <v>136.37506237599516</v>
      </c>
      <c r="BP122" s="163">
        <f t="shared" ca="1" si="129"/>
        <v>-1126.5937074062499</v>
      </c>
      <c r="BQ122" s="163">
        <f t="shared" ca="1" si="130"/>
        <v>-15.927300412032983</v>
      </c>
      <c r="BR122" s="163">
        <f t="shared" ca="1" si="131"/>
        <v>120195.44426148733</v>
      </c>
      <c r="BS122" s="163">
        <f t="shared" ca="1" si="95"/>
        <v>191815.70362466405</v>
      </c>
      <c r="BT122" s="164">
        <f t="shared" si="180"/>
        <v>1.5155564038938729E-2</v>
      </c>
      <c r="BU122" s="164">
        <f t="shared" si="181"/>
        <v>6.5359477124183009E-3</v>
      </c>
      <c r="BV122" s="164">
        <f t="shared" si="182"/>
        <v>4.5179588865741326E-3</v>
      </c>
      <c r="BW122" s="164">
        <f t="shared" si="183"/>
        <v>1.2719831877004756E-2</v>
      </c>
      <c r="BX122" s="164">
        <f t="shared" si="184"/>
        <v>9.8911968348170121E-3</v>
      </c>
      <c r="BY122" s="164">
        <f t="shared" si="185"/>
        <v>2.7548209366391185E-3</v>
      </c>
      <c r="BZ122" s="164">
        <f t="shared" si="186"/>
        <v>1.7807173747138134E-3</v>
      </c>
      <c r="CA122" s="164">
        <f t="shared" si="187"/>
        <v>2.4752475247524753E-3</v>
      </c>
      <c r="CB122" s="164">
        <f t="shared" si="188"/>
        <v>2.9441955193482687E-2</v>
      </c>
      <c r="CC122" s="164">
        <f t="shared" si="142"/>
        <v>1.7530361004824489E-2</v>
      </c>
      <c r="CD122" s="180">
        <f t="shared" si="153"/>
        <v>15598</v>
      </c>
      <c r="CE122" s="180">
        <f t="shared" si="154"/>
        <v>865</v>
      </c>
      <c r="CF122" s="180">
        <f t="shared" si="155"/>
        <v>27648</v>
      </c>
      <c r="CG122" s="180">
        <f t="shared" si="156"/>
        <v>5082</v>
      </c>
      <c r="CH122" s="180">
        <f t="shared" si="157"/>
        <v>649</v>
      </c>
      <c r="CI122" s="180">
        <f t="shared" si="158"/>
        <v>767</v>
      </c>
      <c r="CJ122" s="180">
        <f t="shared" si="159"/>
        <v>2754</v>
      </c>
      <c r="CK122" s="180">
        <f t="shared" si="160"/>
        <v>199</v>
      </c>
      <c r="CL122" s="180">
        <f t="shared" si="161"/>
        <v>17232</v>
      </c>
      <c r="CM122" s="180">
        <f t="shared" si="161"/>
        <v>70794</v>
      </c>
      <c r="CN122" s="183">
        <f t="shared" si="143"/>
        <v>3.8125377261593904E-3</v>
      </c>
      <c r="CO122" s="183">
        <f t="shared" si="144"/>
        <v>4.9022328001426592E-4</v>
      </c>
      <c r="CP122" s="183">
        <f t="shared" si="145"/>
        <v>2.5475754208215923E-3</v>
      </c>
      <c r="CQ122" s="183">
        <f t="shared" si="146"/>
        <v>8.2188307816118719E-4</v>
      </c>
      <c r="CR122" s="183">
        <f t="shared" si="147"/>
        <v>1.7270758664659176E-4</v>
      </c>
      <c r="CS122" s="183">
        <f t="shared" si="148"/>
        <v>2.2644162910373457E-4</v>
      </c>
      <c r="CT122" s="183">
        <f t="shared" si="149"/>
        <v>9.5700007791349841E-4</v>
      </c>
      <c r="CU122" s="183">
        <f t="shared" si="150"/>
        <v>3.0554491821014831E-4</v>
      </c>
      <c r="CV122" s="183">
        <f t="shared" si="151"/>
        <v>8.402290981876278E-3</v>
      </c>
      <c r="CW122" s="183">
        <f t="shared" si="152"/>
        <v>2.4158253434625422E-3</v>
      </c>
      <c r="CX122" s="193">
        <f t="shared" si="84"/>
        <v>1.8882941194576037E-3</v>
      </c>
      <c r="CY122" s="193">
        <f t="shared" si="85"/>
        <v>3.4995605247205763E-4</v>
      </c>
      <c r="CZ122" s="193">
        <f t="shared" si="86"/>
        <v>1.9133831810758894E-3</v>
      </c>
      <c r="DA122" s="193">
        <f t="shared" si="87"/>
        <v>4.8398468179738533E-4</v>
      </c>
      <c r="DB122" s="193">
        <f t="shared" si="88"/>
        <v>9.6859744439779951E-5</v>
      </c>
      <c r="DC122" s="193">
        <f t="shared" si="89"/>
        <v>1.4763411998498763E-4</v>
      </c>
      <c r="DD122" s="193">
        <f t="shared" si="90"/>
        <v>8.4988228745765018E-4</v>
      </c>
      <c r="DE122" s="193">
        <f t="shared" si="91"/>
        <v>1.6411694864257965E-4</v>
      </c>
      <c r="DF122" s="193">
        <f t="shared" si="92"/>
        <v>2.3180055544623889E-3</v>
      </c>
      <c r="DG122" s="193">
        <f t="shared" si="93"/>
        <v>1.1909826030915506E-3</v>
      </c>
      <c r="DI122" s="83"/>
    </row>
    <row r="123" spans="1:113">
      <c r="A123" s="150">
        <v>44012</v>
      </c>
      <c r="B123" s="129">
        <v>27686</v>
      </c>
      <c r="C123" s="129">
        <v>1514</v>
      </c>
      <c r="D123" s="129">
        <v>42881</v>
      </c>
      <c r="E123" s="129">
        <v>9674</v>
      </c>
      <c r="F123" s="129">
        <v>1131</v>
      </c>
      <c r="G123" s="129">
        <v>1190</v>
      </c>
      <c r="H123" s="129">
        <v>4187</v>
      </c>
      <c r="I123" s="129">
        <v>465</v>
      </c>
      <c r="J123" s="129">
        <v>62481</v>
      </c>
      <c r="K123" s="165">
        <f t="shared" si="78"/>
        <v>151209</v>
      </c>
      <c r="L123" s="80">
        <v>422</v>
      </c>
      <c r="M123" s="80">
        <v>9</v>
      </c>
      <c r="N123" s="80">
        <v>216</v>
      </c>
      <c r="O123" s="80">
        <v>126</v>
      </c>
      <c r="P123" s="80">
        <v>0</v>
      </c>
      <c r="Q123" s="80">
        <v>7</v>
      </c>
      <c r="R123" s="80">
        <v>7</v>
      </c>
      <c r="S123" s="80">
        <v>1</v>
      </c>
      <c r="T123" s="80">
        <v>1859</v>
      </c>
      <c r="U123" s="80">
        <f t="shared" si="79"/>
        <v>2647</v>
      </c>
      <c r="V123" s="130">
        <v>14081</v>
      </c>
      <c r="W123" s="130">
        <v>385</v>
      </c>
      <c r="X123" s="130">
        <v>10534</v>
      </c>
      <c r="Y123" s="130">
        <v>3602</v>
      </c>
      <c r="Z123" s="130">
        <v>520</v>
      </c>
      <c r="AA123" s="130">
        <v>464</v>
      </c>
      <c r="AB123" s="130">
        <v>651</v>
      </c>
      <c r="AC123" s="130">
        <v>186</v>
      </c>
      <c r="AD123" s="130">
        <v>43120</v>
      </c>
      <c r="AE123" s="130">
        <f t="shared" si="80"/>
        <v>73543</v>
      </c>
      <c r="AF123" s="151">
        <f t="shared" si="162"/>
        <v>13183</v>
      </c>
      <c r="AG123" s="151">
        <f t="shared" si="163"/>
        <v>1120</v>
      </c>
      <c r="AH123" s="151">
        <f t="shared" si="164"/>
        <v>32131</v>
      </c>
      <c r="AI123" s="151">
        <f t="shared" si="165"/>
        <v>5946</v>
      </c>
      <c r="AJ123" s="151">
        <f t="shared" si="166"/>
        <v>611</v>
      </c>
      <c r="AK123" s="151">
        <f t="shared" si="167"/>
        <v>719</v>
      </c>
      <c r="AL123" s="151">
        <f t="shared" si="168"/>
        <v>3529</v>
      </c>
      <c r="AM123" s="151">
        <f t="shared" si="169"/>
        <v>278</v>
      </c>
      <c r="AN123" s="151">
        <f t="shared" si="170"/>
        <v>17502</v>
      </c>
      <c r="AO123" s="151">
        <f t="shared" si="81"/>
        <v>75019</v>
      </c>
      <c r="AP123" s="57">
        <f t="shared" si="105"/>
        <v>1491</v>
      </c>
      <c r="AQ123" s="57">
        <f t="shared" si="106"/>
        <v>137</v>
      </c>
      <c r="AR123" s="57">
        <f t="shared" si="107"/>
        <v>3040</v>
      </c>
      <c r="AS123" s="57">
        <f t="shared" si="108"/>
        <v>633</v>
      </c>
      <c r="AT123" s="57">
        <f t="shared" si="109"/>
        <v>120</v>
      </c>
      <c r="AU123" s="57">
        <f t="shared" si="110"/>
        <v>101</v>
      </c>
      <c r="AV123" s="57">
        <f t="shared" si="111"/>
        <v>256</v>
      </c>
      <c r="AW123" s="57">
        <f t="shared" si="112"/>
        <v>61</v>
      </c>
      <c r="AX123" s="57">
        <f t="shared" si="113"/>
        <v>1106</v>
      </c>
      <c r="AY123" s="57">
        <f t="shared" si="82"/>
        <v>6945</v>
      </c>
      <c r="AZ123" s="152">
        <f t="shared" ca="1" si="171"/>
        <v>79022.62233470002</v>
      </c>
      <c r="BA123" s="152">
        <f t="shared" ca="1" si="172"/>
        <v>1888.5011200390763</v>
      </c>
      <c r="BB123" s="152">
        <f t="shared" ca="1" si="173"/>
        <v>31285.592150639452</v>
      </c>
      <c r="BC123" s="152">
        <f t="shared" ca="1" si="174"/>
        <v>31029.087050638496</v>
      </c>
      <c r="BD123" s="152">
        <f t="shared" ca="1" si="175"/>
        <v>-1131</v>
      </c>
      <c r="BE123" s="152">
        <f t="shared" ca="1" si="176"/>
        <v>1839.0690612639492</v>
      </c>
      <c r="BF123" s="152">
        <f t="shared" ca="1" si="177"/>
        <v>-1524.5877581821737</v>
      </c>
      <c r="BG123" s="152">
        <f t="shared" ca="1" si="178"/>
        <v>-90.652669891526841</v>
      </c>
      <c r="BH123" s="152">
        <f t="shared" ca="1" si="179"/>
        <v>448881.48569881561</v>
      </c>
      <c r="BI123" s="152">
        <f t="shared" ca="1" si="94"/>
        <v>591200.11698802293</v>
      </c>
      <c r="BJ123" s="163">
        <f t="shared" ca="1" si="123"/>
        <v>37627.509580233709</v>
      </c>
      <c r="BK123" s="163">
        <f t="shared" ca="1" si="124"/>
        <v>1397.0417796854463</v>
      </c>
      <c r="BL123" s="163">
        <f t="shared" ca="1" si="125"/>
        <v>23442.488780396823</v>
      </c>
      <c r="BM123" s="163">
        <f t="shared" ca="1" si="126"/>
        <v>19071.630308362259</v>
      </c>
      <c r="BN123" s="163">
        <f t="shared" ca="1" si="127"/>
        <v>-611</v>
      </c>
      <c r="BO123" s="163">
        <f t="shared" ca="1" si="128"/>
        <v>1111.1686176880501</v>
      </c>
      <c r="BP123" s="163">
        <f t="shared" ca="1" si="129"/>
        <v>-1284.9940765762817</v>
      </c>
      <c r="BQ123" s="163">
        <f t="shared" ca="1" si="130"/>
        <v>-54.19664995665476</v>
      </c>
      <c r="BR123" s="163">
        <f t="shared" ca="1" si="131"/>
        <v>125739.40498232536</v>
      </c>
      <c r="BS123" s="163">
        <f t="shared" ca="1" si="95"/>
        <v>206439.0533221587</v>
      </c>
      <c r="BT123" s="164">
        <f t="shared" si="180"/>
        <v>1.5242360759950878E-2</v>
      </c>
      <c r="BU123" s="164">
        <f t="shared" si="181"/>
        <v>5.9445178335535004E-3</v>
      </c>
      <c r="BV123" s="164">
        <f t="shared" si="182"/>
        <v>5.0371959609150909E-3</v>
      </c>
      <c r="BW123" s="164">
        <f t="shared" si="183"/>
        <v>1.3024602026049204E-2</v>
      </c>
      <c r="BX123" s="164">
        <f t="shared" si="184"/>
        <v>0</v>
      </c>
      <c r="BY123" s="164">
        <f t="shared" si="185"/>
        <v>5.8823529411764705E-3</v>
      </c>
      <c r="BZ123" s="164">
        <f t="shared" si="186"/>
        <v>1.6718414139001673E-3</v>
      </c>
      <c r="CA123" s="164">
        <f t="shared" si="187"/>
        <v>2.1505376344086021E-3</v>
      </c>
      <c r="CB123" s="164">
        <f t="shared" si="188"/>
        <v>2.9753044925657401E-2</v>
      </c>
      <c r="CC123" s="164">
        <f t="shared" si="142"/>
        <v>1.750557175829481E-2</v>
      </c>
      <c r="CD123" s="180">
        <f t="shared" si="153"/>
        <v>16647</v>
      </c>
      <c r="CE123" s="180">
        <f t="shared" si="154"/>
        <v>936</v>
      </c>
      <c r="CF123" s="180">
        <f t="shared" si="155"/>
        <v>29858</v>
      </c>
      <c r="CG123" s="180">
        <f t="shared" si="156"/>
        <v>5626</v>
      </c>
      <c r="CH123" s="180">
        <f t="shared" si="157"/>
        <v>740</v>
      </c>
      <c r="CI123" s="180">
        <f t="shared" si="158"/>
        <v>847</v>
      </c>
      <c r="CJ123" s="180">
        <f t="shared" si="159"/>
        <v>2906</v>
      </c>
      <c r="CK123" s="180">
        <f t="shared" si="160"/>
        <v>254</v>
      </c>
      <c r="CL123" s="180">
        <f t="shared" si="161"/>
        <v>17124</v>
      </c>
      <c r="CM123" s="180">
        <f t="shared" si="161"/>
        <v>74938</v>
      </c>
      <c r="CN123" s="183">
        <f t="shared" si="143"/>
        <v>4.0295445499694176E-3</v>
      </c>
      <c r="CO123" s="183">
        <f t="shared" si="144"/>
        <v>5.389964022814804E-4</v>
      </c>
      <c r="CP123" s="183">
        <f t="shared" si="145"/>
        <v>2.7419638467972868E-3</v>
      </c>
      <c r="CQ123" s="183">
        <f t="shared" si="146"/>
        <v>8.7942671144025273E-4</v>
      </c>
      <c r="CR123" s="183">
        <f t="shared" si="147"/>
        <v>1.9320700345924362E-4</v>
      </c>
      <c r="CS123" s="183">
        <f t="shared" si="148"/>
        <v>2.4744310251004973E-4</v>
      </c>
      <c r="CT123" s="183">
        <f t="shared" si="149"/>
        <v>1.0193231559969009E-3</v>
      </c>
      <c r="CU123" s="183">
        <f t="shared" si="150"/>
        <v>3.5167917566267069E-4</v>
      </c>
      <c r="CV123" s="183">
        <f t="shared" si="151"/>
        <v>8.5537033456392943E-3</v>
      </c>
      <c r="CW123" s="183">
        <f t="shared" si="152"/>
        <v>2.5321253698748648E-3</v>
      </c>
      <c r="CX123" s="193">
        <f t="shared" si="84"/>
        <v>1.9187129163565277E-3</v>
      </c>
      <c r="CY123" s="193">
        <f t="shared" si="85"/>
        <v>3.9872917473927222E-4</v>
      </c>
      <c r="CZ123" s="193">
        <f t="shared" si="86"/>
        <v>2.0545705641529725E-3</v>
      </c>
      <c r="DA123" s="193">
        <f t="shared" si="87"/>
        <v>5.4052834672562984E-4</v>
      </c>
      <c r="DB123" s="193">
        <f t="shared" si="88"/>
        <v>1.0437619727108563E-4</v>
      </c>
      <c r="DC123" s="193">
        <f t="shared" si="89"/>
        <v>1.4950553840733255E-4</v>
      </c>
      <c r="DD123" s="193">
        <f t="shared" si="90"/>
        <v>8.5913336936065522E-4</v>
      </c>
      <c r="DE123" s="193">
        <f t="shared" si="91"/>
        <v>2.1025120609510203E-4</v>
      </c>
      <c r="DF123" s="193">
        <f t="shared" si="92"/>
        <v>2.3960390511576146E-3</v>
      </c>
      <c r="DG123" s="193">
        <f t="shared" si="93"/>
        <v>1.2562579814868328E-3</v>
      </c>
      <c r="DI123" s="83"/>
    </row>
    <row r="124" spans="1:113">
      <c r="A124" s="150">
        <v>44013</v>
      </c>
      <c r="B124" s="129">
        <v>29340</v>
      </c>
      <c r="C124" s="129">
        <v>1672</v>
      </c>
      <c r="D124" s="129">
        <v>45944</v>
      </c>
      <c r="E124" s="129">
        <v>10632</v>
      </c>
      <c r="F124" s="129">
        <v>1175</v>
      </c>
      <c r="G124" s="129">
        <v>1306</v>
      </c>
      <c r="H124" s="129">
        <v>4393</v>
      </c>
      <c r="I124" s="129">
        <v>494</v>
      </c>
      <c r="J124" s="129">
        <v>64377</v>
      </c>
      <c r="K124" s="165">
        <f t="shared" si="78"/>
        <v>159333</v>
      </c>
      <c r="L124" s="80">
        <v>439</v>
      </c>
      <c r="M124" s="80">
        <v>9</v>
      </c>
      <c r="N124" s="80">
        <v>244</v>
      </c>
      <c r="O124" s="80">
        <v>136</v>
      </c>
      <c r="P124" s="80">
        <v>10</v>
      </c>
      <c r="Q124" s="80">
        <v>7</v>
      </c>
      <c r="R124" s="80">
        <v>7</v>
      </c>
      <c r="S124" s="80">
        <v>1</v>
      </c>
      <c r="T124" s="80">
        <v>1896</v>
      </c>
      <c r="U124" s="80">
        <f t="shared" si="79"/>
        <v>2749</v>
      </c>
      <c r="V124" s="130">
        <v>14384</v>
      </c>
      <c r="W124" s="130">
        <v>386</v>
      </c>
      <c r="X124" s="130">
        <v>10534</v>
      </c>
      <c r="Y124" s="130">
        <v>3770</v>
      </c>
      <c r="Z124" s="130">
        <v>520</v>
      </c>
      <c r="AA124" s="130">
        <v>487</v>
      </c>
      <c r="AB124" s="130">
        <v>802</v>
      </c>
      <c r="AC124" s="130">
        <v>204</v>
      </c>
      <c r="AD124" s="130">
        <v>44938</v>
      </c>
      <c r="AE124" s="130">
        <f t="shared" si="80"/>
        <v>76025</v>
      </c>
      <c r="AF124" s="151">
        <f t="shared" si="162"/>
        <v>14517</v>
      </c>
      <c r="AG124" s="151">
        <f t="shared" si="163"/>
        <v>1277</v>
      </c>
      <c r="AH124" s="151">
        <f t="shared" si="164"/>
        <v>35166</v>
      </c>
      <c r="AI124" s="151">
        <f t="shared" si="165"/>
        <v>6726</v>
      </c>
      <c r="AJ124" s="151">
        <f t="shared" si="166"/>
        <v>645</v>
      </c>
      <c r="AK124" s="151">
        <f t="shared" si="167"/>
        <v>812</v>
      </c>
      <c r="AL124" s="151">
        <f t="shared" si="168"/>
        <v>3584</v>
      </c>
      <c r="AM124" s="151">
        <f t="shared" si="169"/>
        <v>289</v>
      </c>
      <c r="AN124" s="151">
        <f t="shared" si="170"/>
        <v>17543</v>
      </c>
      <c r="AO124" s="151">
        <f t="shared" si="81"/>
        <v>80559</v>
      </c>
      <c r="AP124" s="57">
        <f t="shared" si="105"/>
        <v>1654</v>
      </c>
      <c r="AQ124" s="57">
        <f t="shared" si="106"/>
        <v>158</v>
      </c>
      <c r="AR124" s="57">
        <f t="shared" si="107"/>
        <v>3063</v>
      </c>
      <c r="AS124" s="57">
        <f t="shared" si="108"/>
        <v>958</v>
      </c>
      <c r="AT124" s="57">
        <f t="shared" si="109"/>
        <v>44</v>
      </c>
      <c r="AU124" s="57">
        <f t="shared" si="110"/>
        <v>116</v>
      </c>
      <c r="AV124" s="57">
        <f t="shared" si="111"/>
        <v>206</v>
      </c>
      <c r="AW124" s="57">
        <f t="shared" si="112"/>
        <v>29</v>
      </c>
      <c r="AX124" s="57">
        <f t="shared" si="113"/>
        <v>1896</v>
      </c>
      <c r="AY124" s="57">
        <f t="shared" si="82"/>
        <v>8124</v>
      </c>
      <c r="AZ124" s="152">
        <f t="shared" ca="1" si="171"/>
        <v>81667.310912164248</v>
      </c>
      <c r="BA124" s="152">
        <f t="shared" ca="1" si="172"/>
        <v>1730.5011200390763</v>
      </c>
      <c r="BB124" s="152">
        <f t="shared" ca="1" si="173"/>
        <v>37836.780022018647</v>
      </c>
      <c r="BC124" s="152">
        <f t="shared" ca="1" si="174"/>
        <v>33301.490784816153</v>
      </c>
      <c r="BD124" s="152">
        <f t="shared" ca="1" si="175"/>
        <v>2305.8287332153477</v>
      </c>
      <c r="BE124" s="152">
        <f t="shared" ca="1" si="176"/>
        <v>1723.0690612639492</v>
      </c>
      <c r="BF124" s="152">
        <f t="shared" ca="1" si="177"/>
        <v>-1730.5877581821737</v>
      </c>
      <c r="BG124" s="152">
        <f t="shared" ca="1" si="178"/>
        <v>-119.65266989152684</v>
      </c>
      <c r="BH124" s="152">
        <f t="shared" ca="1" si="179"/>
        <v>457163.22210056719</v>
      </c>
      <c r="BI124" s="152">
        <f t="shared" ca="1" si="94"/>
        <v>613877.96230601089</v>
      </c>
      <c r="BJ124" s="163">
        <f t="shared" ca="1" si="123"/>
        <v>40407.782975865317</v>
      </c>
      <c r="BK124" s="163">
        <f t="shared" ca="1" si="124"/>
        <v>1321.6805803169261</v>
      </c>
      <c r="BL124" s="163">
        <f t="shared" ca="1" si="125"/>
        <v>28960.652234335448</v>
      </c>
      <c r="BM124" s="163">
        <f t="shared" ca="1" si="126"/>
        <v>21067.139486331213</v>
      </c>
      <c r="BN124" s="163">
        <f t="shared" ca="1" si="127"/>
        <v>1265.7527939777867</v>
      </c>
      <c r="BO124" s="163">
        <f t="shared" ca="1" si="128"/>
        <v>1071.3109324244463</v>
      </c>
      <c r="BP124" s="163">
        <f t="shared" ca="1" si="129"/>
        <v>-1411.8885784941751</v>
      </c>
      <c r="BQ124" s="163">
        <f t="shared" ca="1" si="130"/>
        <v>-69.999234005366915</v>
      </c>
      <c r="BR124" s="163">
        <f t="shared" ca="1" si="131"/>
        <v>124578.87763192212</v>
      </c>
      <c r="BS124" s="163">
        <f t="shared" ca="1" si="95"/>
        <v>217191.30882267372</v>
      </c>
      <c r="BT124" s="164">
        <f t="shared" si="180"/>
        <v>1.4962508520790729E-2</v>
      </c>
      <c r="BU124" s="164">
        <f t="shared" si="181"/>
        <v>5.3827751196172252E-3</v>
      </c>
      <c r="BV124" s="164">
        <f t="shared" si="182"/>
        <v>5.3108131638516451E-3</v>
      </c>
      <c r="BW124" s="164">
        <f t="shared" si="183"/>
        <v>1.2791572610985704E-2</v>
      </c>
      <c r="BX124" s="164">
        <f t="shared" si="184"/>
        <v>8.5106382978723406E-3</v>
      </c>
      <c r="BY124" s="164">
        <f t="shared" si="185"/>
        <v>5.3598774885145481E-3</v>
      </c>
      <c r="BZ124" s="164">
        <f t="shared" si="186"/>
        <v>1.5934441156385158E-3</v>
      </c>
      <c r="CA124" s="164">
        <f t="shared" si="187"/>
        <v>2.0242914979757085E-3</v>
      </c>
      <c r="CB124" s="164">
        <f t="shared" si="188"/>
        <v>2.945151218602917E-2</v>
      </c>
      <c r="CC124" s="164">
        <f t="shared" si="142"/>
        <v>1.7253174169820439E-2</v>
      </c>
      <c r="CD124" s="180">
        <f t="shared" si="153"/>
        <v>17421</v>
      </c>
      <c r="CE124" s="180">
        <f t="shared" si="154"/>
        <v>1064</v>
      </c>
      <c r="CF124" s="180">
        <f t="shared" si="155"/>
        <v>31324</v>
      </c>
      <c r="CG124" s="180">
        <f t="shared" si="156"/>
        <v>6394</v>
      </c>
      <c r="CH124" s="180">
        <f t="shared" si="157"/>
        <v>759</v>
      </c>
      <c r="CI124" s="180">
        <f t="shared" si="158"/>
        <v>915</v>
      </c>
      <c r="CJ124" s="180">
        <f t="shared" si="159"/>
        <v>2991</v>
      </c>
      <c r="CK124" s="180">
        <f t="shared" si="160"/>
        <v>283</v>
      </c>
      <c r="CL124" s="180">
        <f t="shared" si="161"/>
        <v>17822</v>
      </c>
      <c r="CM124" s="180">
        <f t="shared" si="161"/>
        <v>78973</v>
      </c>
      <c r="CN124" s="183">
        <f t="shared" si="143"/>
        <v>4.2702751244709496E-3</v>
      </c>
      <c r="CO124" s="183">
        <f t="shared" si="144"/>
        <v>5.9524569657505631E-4</v>
      </c>
      <c r="CP124" s="183">
        <f t="shared" si="145"/>
        <v>2.9378229746800343E-3</v>
      </c>
      <c r="CQ124" s="183">
        <f t="shared" si="146"/>
        <v>9.6651486417539457E-4</v>
      </c>
      <c r="CR124" s="183">
        <f t="shared" si="147"/>
        <v>2.007234562905493E-4</v>
      </c>
      <c r="CS124" s="183">
        <f t="shared" si="148"/>
        <v>2.7156360662027306E-4</v>
      </c>
      <c r="CT124" s="183">
        <f t="shared" si="149"/>
        <v>1.0694737578921391E-3</v>
      </c>
      <c r="CU124" s="183">
        <f t="shared" si="150"/>
        <v>3.7361185543518133E-4</v>
      </c>
      <c r="CV124" s="183">
        <f t="shared" si="151"/>
        <v>8.8132673978044661E-3</v>
      </c>
      <c r="CW124" s="183">
        <f t="shared" si="152"/>
        <v>2.6681687701014612E-3</v>
      </c>
      <c r="CX124" s="193">
        <f t="shared" si="84"/>
        <v>2.112869256371669E-3</v>
      </c>
      <c r="CY124" s="193">
        <f t="shared" si="85"/>
        <v>4.5462246084111658E-4</v>
      </c>
      <c r="CZ124" s="193">
        <f t="shared" si="86"/>
        <v>2.248639272322786E-3</v>
      </c>
      <c r="DA124" s="193">
        <f t="shared" si="87"/>
        <v>6.1143519342021291E-4</v>
      </c>
      <c r="DB124" s="193">
        <f t="shared" si="88"/>
        <v>1.1018436536800365E-4</v>
      </c>
      <c r="DC124" s="193">
        <f t="shared" si="89"/>
        <v>1.6884352877156333E-4</v>
      </c>
      <c r="DD124" s="193">
        <f t="shared" si="90"/>
        <v>8.7252309316763631E-4</v>
      </c>
      <c r="DE124" s="193">
        <f t="shared" si="91"/>
        <v>2.1857049842260607E-4</v>
      </c>
      <c r="DF124" s="193">
        <f t="shared" si="92"/>
        <v>2.4016519868848151E-3</v>
      </c>
      <c r="DG124" s="193">
        <f t="shared" si="93"/>
        <v>1.3490300687905431E-3</v>
      </c>
      <c r="DI124" s="83"/>
    </row>
    <row r="125" spans="1:113">
      <c r="A125" s="150">
        <v>44014</v>
      </c>
      <c r="B125" s="129">
        <v>30603</v>
      </c>
      <c r="C125" s="129">
        <v>1886</v>
      </c>
      <c r="D125" s="129">
        <v>49937</v>
      </c>
      <c r="E125" s="129">
        <v>11669</v>
      </c>
      <c r="F125" s="129">
        <v>1286</v>
      </c>
      <c r="G125" s="129">
        <v>1478</v>
      </c>
      <c r="H125" s="129">
        <v>4788</v>
      </c>
      <c r="I125" s="129">
        <v>573</v>
      </c>
      <c r="J125" s="129">
        <v>65841</v>
      </c>
      <c r="K125" s="165">
        <f t="shared" si="78"/>
        <v>168061</v>
      </c>
      <c r="L125" s="80">
        <v>451</v>
      </c>
      <c r="M125" s="80">
        <v>9</v>
      </c>
      <c r="N125" s="80">
        <v>282</v>
      </c>
      <c r="O125" s="80">
        <v>152</v>
      </c>
      <c r="P125" s="80">
        <v>10</v>
      </c>
      <c r="Q125" s="80">
        <v>7</v>
      </c>
      <c r="R125" s="80">
        <v>7</v>
      </c>
      <c r="S125" s="80">
        <v>1</v>
      </c>
      <c r="T125" s="80">
        <v>1925</v>
      </c>
      <c r="U125" s="80">
        <f t="shared" si="79"/>
        <v>2844</v>
      </c>
      <c r="V125" s="130">
        <v>15843</v>
      </c>
      <c r="W125" s="130">
        <v>386</v>
      </c>
      <c r="X125" s="130">
        <v>12957</v>
      </c>
      <c r="Y125" s="130">
        <v>4111</v>
      </c>
      <c r="Z125" s="130">
        <v>570</v>
      </c>
      <c r="AA125" s="130">
        <v>520</v>
      </c>
      <c r="AB125" s="130">
        <v>865</v>
      </c>
      <c r="AC125" s="130">
        <v>232</v>
      </c>
      <c r="AD125" s="130">
        <v>46515</v>
      </c>
      <c r="AE125" s="130">
        <f t="shared" si="80"/>
        <v>81999</v>
      </c>
      <c r="AF125" s="151">
        <f t="shared" si="162"/>
        <v>14309</v>
      </c>
      <c r="AG125" s="151">
        <f t="shared" si="163"/>
        <v>1491</v>
      </c>
      <c r="AH125" s="151">
        <f t="shared" si="164"/>
        <v>36698</v>
      </c>
      <c r="AI125" s="151">
        <f t="shared" si="165"/>
        <v>7406</v>
      </c>
      <c r="AJ125" s="151">
        <f t="shared" si="166"/>
        <v>706</v>
      </c>
      <c r="AK125" s="151">
        <f t="shared" si="167"/>
        <v>951</v>
      </c>
      <c r="AL125" s="151">
        <f t="shared" si="168"/>
        <v>3916</v>
      </c>
      <c r="AM125" s="151">
        <f t="shared" si="169"/>
        <v>340</v>
      </c>
      <c r="AN125" s="151">
        <f t="shared" si="170"/>
        <v>17401</v>
      </c>
      <c r="AO125" s="151">
        <f t="shared" si="81"/>
        <v>83218</v>
      </c>
      <c r="AP125" s="57">
        <f t="shared" si="105"/>
        <v>1263</v>
      </c>
      <c r="AQ125" s="57">
        <f t="shared" si="106"/>
        <v>214</v>
      </c>
      <c r="AR125" s="57">
        <f t="shared" si="107"/>
        <v>3993</v>
      </c>
      <c r="AS125" s="57">
        <f t="shared" si="108"/>
        <v>1037</v>
      </c>
      <c r="AT125" s="57">
        <f t="shared" si="109"/>
        <v>111</v>
      </c>
      <c r="AU125" s="57">
        <f t="shared" si="110"/>
        <v>172</v>
      </c>
      <c r="AV125" s="57">
        <f t="shared" si="111"/>
        <v>395</v>
      </c>
      <c r="AW125" s="57">
        <f t="shared" si="112"/>
        <v>79</v>
      </c>
      <c r="AX125" s="57">
        <f t="shared" si="113"/>
        <v>1464</v>
      </c>
      <c r="AY125" s="57">
        <f t="shared" si="82"/>
        <v>8728</v>
      </c>
      <c r="AZ125" s="152">
        <f t="shared" ca="1" si="171"/>
        <v>83438.679319786039</v>
      </c>
      <c r="BA125" s="152">
        <f t="shared" ca="1" si="172"/>
        <v>1516.5011200390763</v>
      </c>
      <c r="BB125" s="152">
        <f t="shared" ca="1" si="173"/>
        <v>46891.606418890398</v>
      </c>
      <c r="BC125" s="152">
        <f t="shared" ca="1" si="174"/>
        <v>37433.136759500405</v>
      </c>
      <c r="BD125" s="152">
        <f t="shared" ca="1" si="175"/>
        <v>2194.8287332153477</v>
      </c>
      <c r="BE125" s="152">
        <f t="shared" ca="1" si="176"/>
        <v>1551.0690612639492</v>
      </c>
      <c r="BF125" s="152">
        <f t="shared" ca="1" si="177"/>
        <v>-2125.5877581821737</v>
      </c>
      <c r="BG125" s="152">
        <f t="shared" ca="1" si="178"/>
        <v>-198.65266989152684</v>
      </c>
      <c r="BH125" s="152">
        <f t="shared" ca="1" si="179"/>
        <v>463676.36684788601</v>
      </c>
      <c r="BI125" s="152">
        <f t="shared" ca="1" si="94"/>
        <v>634377.94783250755</v>
      </c>
      <c r="BJ125" s="163">
        <f t="shared" ca="1" si="123"/>
        <v>39013.301388322005</v>
      </c>
      <c r="BK125" s="163">
        <f t="shared" ca="1" si="124"/>
        <v>1198.8882131379974</v>
      </c>
      <c r="BL125" s="163">
        <f t="shared" ca="1" si="125"/>
        <v>34459.983025821333</v>
      </c>
      <c r="BM125" s="163">
        <f t="shared" ca="1" si="126"/>
        <v>23757.803654200019</v>
      </c>
      <c r="BN125" s="163">
        <f t="shared" ca="1" si="127"/>
        <v>1204.9370805987833</v>
      </c>
      <c r="BO125" s="163">
        <f t="shared" ca="1" si="128"/>
        <v>998.01534320840028</v>
      </c>
      <c r="BP125" s="163">
        <f t="shared" ca="1" si="129"/>
        <v>-1738.4715248624461</v>
      </c>
      <c r="BQ125" s="163">
        <f t="shared" ca="1" si="130"/>
        <v>-117.87418457786934</v>
      </c>
      <c r="BR125" s="163">
        <f t="shared" ca="1" si="131"/>
        <v>122544.19676979487</v>
      </c>
      <c r="BS125" s="163">
        <f t="shared" ca="1" si="95"/>
        <v>221320.77976564312</v>
      </c>
      <c r="BT125" s="164">
        <f t="shared" si="180"/>
        <v>1.4737117276084044E-2</v>
      </c>
      <c r="BU125" s="164">
        <f t="shared" si="181"/>
        <v>4.7720042417815486E-3</v>
      </c>
      <c r="BV125" s="164">
        <f t="shared" si="182"/>
        <v>5.6471153653603542E-3</v>
      </c>
      <c r="BW125" s="164">
        <f t="shared" si="183"/>
        <v>1.3025966235324364E-2</v>
      </c>
      <c r="BX125" s="164">
        <f t="shared" si="184"/>
        <v>7.7760497667185074E-3</v>
      </c>
      <c r="BY125" s="164">
        <f t="shared" si="185"/>
        <v>4.736129905277402E-3</v>
      </c>
      <c r="BZ125" s="164">
        <f t="shared" si="186"/>
        <v>1.4619883040935672E-3</v>
      </c>
      <c r="CA125" s="164">
        <f t="shared" si="187"/>
        <v>1.7452006980802793E-3</v>
      </c>
      <c r="CB125" s="164">
        <f t="shared" si="188"/>
        <v>2.9237101502103551E-2</v>
      </c>
      <c r="CC125" s="164">
        <f t="shared" si="142"/>
        <v>1.6922426975919457E-2</v>
      </c>
      <c r="CD125" s="180">
        <f t="shared" si="153"/>
        <v>17964</v>
      </c>
      <c r="CE125" s="180">
        <f t="shared" si="154"/>
        <v>1237</v>
      </c>
      <c r="CF125" s="180">
        <f t="shared" si="155"/>
        <v>34039</v>
      </c>
      <c r="CG125" s="180">
        <f t="shared" si="156"/>
        <v>7309</v>
      </c>
      <c r="CH125" s="180">
        <f t="shared" si="157"/>
        <v>797</v>
      </c>
      <c r="CI125" s="180">
        <f t="shared" si="158"/>
        <v>1017</v>
      </c>
      <c r="CJ125" s="180">
        <f t="shared" si="159"/>
        <v>3182</v>
      </c>
      <c r="CK125" s="180">
        <f t="shared" si="160"/>
        <v>359</v>
      </c>
      <c r="CL125" s="180">
        <f t="shared" si="161"/>
        <v>18319</v>
      </c>
      <c r="CM125" s="180">
        <f t="shared" si="161"/>
        <v>84223</v>
      </c>
      <c r="CN125" s="183">
        <f t="shared" si="143"/>
        <v>4.4540978062094227E-3</v>
      </c>
      <c r="CO125" s="183">
        <f t="shared" si="144"/>
        <v>6.7143144960559581E-4</v>
      </c>
      <c r="CP125" s="183">
        <f t="shared" si="145"/>
        <v>3.1931496144566619E-3</v>
      </c>
      <c r="CQ125" s="183">
        <f t="shared" si="146"/>
        <v>1.0607846077937057E-3</v>
      </c>
      <c r="CR125" s="183">
        <f t="shared" si="147"/>
        <v>2.1968541684225224E-4</v>
      </c>
      <c r="CS125" s="183">
        <f t="shared" si="148"/>
        <v>3.0732849202508696E-4</v>
      </c>
      <c r="CT125" s="183">
        <f t="shared" si="149"/>
        <v>1.165636319778639E-3</v>
      </c>
      <c r="CU125" s="183">
        <f t="shared" si="150"/>
        <v>4.3335950033271034E-4</v>
      </c>
      <c r="CV125" s="183">
        <f t="shared" si="151"/>
        <v>9.0136902735269402E-3</v>
      </c>
      <c r="CW125" s="183">
        <f t="shared" si="152"/>
        <v>2.8143266722651409E-3</v>
      </c>
      <c r="CX125" s="193">
        <f t="shared" si="84"/>
        <v>2.0825960039555151E-3</v>
      </c>
      <c r="CY125" s="193">
        <f t="shared" si="85"/>
        <v>5.3080821387165608E-4</v>
      </c>
      <c r="CZ125" s="193">
        <f t="shared" si="86"/>
        <v>2.3466008080447478E-3</v>
      </c>
      <c r="DA125" s="193">
        <f t="shared" si="87"/>
        <v>6.7325141874369568E-4</v>
      </c>
      <c r="DB125" s="193">
        <f t="shared" si="88"/>
        <v>1.2060490224776835E-4</v>
      </c>
      <c r="DC125" s="193">
        <f t="shared" si="89"/>
        <v>1.9774654662777923E-4</v>
      </c>
      <c r="DD125" s="193">
        <f t="shared" si="90"/>
        <v>9.5334833505704897E-4</v>
      </c>
      <c r="DE125" s="193">
        <f t="shared" si="91"/>
        <v>2.5714176285012482E-4</v>
      </c>
      <c r="DF125" s="193">
        <f t="shared" si="92"/>
        <v>2.3822120631467065E-3</v>
      </c>
      <c r="DG125" s="193">
        <f t="shared" si="93"/>
        <v>1.3935573215234974E-3</v>
      </c>
      <c r="DI125" s="83"/>
    </row>
    <row r="126" spans="1:113">
      <c r="A126" s="150">
        <v>44015</v>
      </c>
      <c r="B126" s="129">
        <v>32157</v>
      </c>
      <c r="C126" s="129">
        <v>2130</v>
      </c>
      <c r="D126" s="129">
        <v>54331</v>
      </c>
      <c r="E126" s="129">
        <v>12757</v>
      </c>
      <c r="F126" s="129">
        <v>1408</v>
      </c>
      <c r="G126" s="129">
        <v>1611</v>
      </c>
      <c r="H126" s="129">
        <v>5168</v>
      </c>
      <c r="I126" s="129">
        <v>626</v>
      </c>
      <c r="J126" s="129">
        <v>66936</v>
      </c>
      <c r="K126" s="165">
        <f t="shared" si="78"/>
        <v>177124</v>
      </c>
      <c r="L126" s="80">
        <v>459</v>
      </c>
      <c r="M126" s="80">
        <v>9</v>
      </c>
      <c r="N126" s="80">
        <v>282</v>
      </c>
      <c r="O126" s="80">
        <v>162</v>
      </c>
      <c r="P126" s="80">
        <v>10</v>
      </c>
      <c r="Q126" s="80">
        <v>7</v>
      </c>
      <c r="R126" s="80">
        <v>36</v>
      </c>
      <c r="S126" s="80">
        <v>4</v>
      </c>
      <c r="T126" s="80">
        <v>1983</v>
      </c>
      <c r="U126" s="80">
        <f t="shared" si="79"/>
        <v>2952</v>
      </c>
      <c r="V126" s="130">
        <v>17403</v>
      </c>
      <c r="W126" s="130">
        <v>396</v>
      </c>
      <c r="X126" s="130">
        <v>14097</v>
      </c>
      <c r="Y126" s="130">
        <v>4197</v>
      </c>
      <c r="Z126" s="130">
        <v>594</v>
      </c>
      <c r="AA126" s="130">
        <v>585</v>
      </c>
      <c r="AB126" s="130">
        <v>865</v>
      </c>
      <c r="AC126" s="130">
        <v>232</v>
      </c>
      <c r="AD126" s="130">
        <v>47929</v>
      </c>
      <c r="AE126" s="130">
        <f t="shared" si="80"/>
        <v>86298</v>
      </c>
      <c r="AF126" s="151">
        <f t="shared" si="162"/>
        <v>14295</v>
      </c>
      <c r="AG126" s="151">
        <f t="shared" si="163"/>
        <v>1725</v>
      </c>
      <c r="AH126" s="151">
        <f t="shared" si="164"/>
        <v>39952</v>
      </c>
      <c r="AI126" s="151">
        <f t="shared" si="165"/>
        <v>8398</v>
      </c>
      <c r="AJ126" s="151">
        <f t="shared" si="166"/>
        <v>804</v>
      </c>
      <c r="AK126" s="151">
        <f t="shared" si="167"/>
        <v>1019</v>
      </c>
      <c r="AL126" s="151">
        <f t="shared" si="168"/>
        <v>4267</v>
      </c>
      <c r="AM126" s="151">
        <f t="shared" si="169"/>
        <v>390</v>
      </c>
      <c r="AN126" s="151">
        <f t="shared" si="170"/>
        <v>17024</v>
      </c>
      <c r="AO126" s="151">
        <f t="shared" si="81"/>
        <v>87874</v>
      </c>
      <c r="AP126" s="57">
        <f t="shared" si="105"/>
        <v>1554</v>
      </c>
      <c r="AQ126" s="57">
        <f t="shared" si="106"/>
        <v>244</v>
      </c>
      <c r="AR126" s="57">
        <f t="shared" si="107"/>
        <v>4394</v>
      </c>
      <c r="AS126" s="57">
        <f t="shared" si="108"/>
        <v>1088</v>
      </c>
      <c r="AT126" s="57">
        <f t="shared" si="109"/>
        <v>122</v>
      </c>
      <c r="AU126" s="57">
        <f t="shared" si="110"/>
        <v>133</v>
      </c>
      <c r="AV126" s="57">
        <f t="shared" si="111"/>
        <v>380</v>
      </c>
      <c r="AW126" s="57">
        <f t="shared" si="112"/>
        <v>53</v>
      </c>
      <c r="AX126" s="57">
        <f t="shared" si="113"/>
        <v>1095</v>
      </c>
      <c r="AY126" s="57">
        <f t="shared" si="82"/>
        <v>9063</v>
      </c>
      <c r="AZ126" s="152">
        <f t="shared" ca="1" si="171"/>
        <v>83907.591591533914</v>
      </c>
      <c r="BA126" s="152">
        <f t="shared" ca="1" si="172"/>
        <v>1272.5011200390763</v>
      </c>
      <c r="BB126" s="152">
        <f t="shared" ca="1" si="173"/>
        <v>42497.606418890398</v>
      </c>
      <c r="BC126" s="152">
        <f t="shared" ca="1" si="174"/>
        <v>39575.540493678069</v>
      </c>
      <c r="BD126" s="152">
        <f t="shared" ca="1" si="175"/>
        <v>2072.8287332153477</v>
      </c>
      <c r="BE126" s="152">
        <f t="shared" ca="1" si="176"/>
        <v>1418.0690612639492</v>
      </c>
      <c r="BF126" s="152">
        <f t="shared" ca="1" si="177"/>
        <v>8524.4058150631081</v>
      </c>
      <c r="BG126" s="152">
        <f t="shared" ca="1" si="178"/>
        <v>871.38932043389264</v>
      </c>
      <c r="BH126" s="152">
        <f t="shared" ca="1" si="179"/>
        <v>478535.65634252364</v>
      </c>
      <c r="BI126" s="152">
        <f t="shared" ca="1" si="94"/>
        <v>658675.58889664139</v>
      </c>
      <c r="BJ126" s="163">
        <f t="shared" ca="1" si="123"/>
        <v>37300.090860496231</v>
      </c>
      <c r="BK126" s="163">
        <f t="shared" ca="1" si="124"/>
        <v>1030.5466817217873</v>
      </c>
      <c r="BL126" s="163">
        <f t="shared" ca="1" si="125"/>
        <v>31250.379555824649</v>
      </c>
      <c r="BM126" s="163">
        <f t="shared" ca="1" si="126"/>
        <v>26052.785848233005</v>
      </c>
      <c r="BN126" s="163">
        <f t="shared" ca="1" si="127"/>
        <v>1183.6323164099003</v>
      </c>
      <c r="BO126" s="163">
        <f t="shared" ca="1" si="128"/>
        <v>896.96609151332359</v>
      </c>
      <c r="BP126" s="163">
        <f t="shared" ca="1" si="129"/>
        <v>7038.2429591475011</v>
      </c>
      <c r="BQ126" s="163">
        <f t="shared" ca="1" si="130"/>
        <v>542.87833062175423</v>
      </c>
      <c r="BR126" s="163">
        <f t="shared" ca="1" si="131"/>
        <v>121707.16824392141</v>
      </c>
      <c r="BS126" s="163">
        <f t="shared" ca="1" si="95"/>
        <v>227002.69088788959</v>
      </c>
      <c r="BT126" s="164">
        <f t="shared" si="180"/>
        <v>1.4273719563392108E-2</v>
      </c>
      <c r="BU126" s="164">
        <f t="shared" si="181"/>
        <v>4.2253521126760559E-3</v>
      </c>
      <c r="BV126" s="164">
        <f t="shared" si="182"/>
        <v>5.1904069499917171E-3</v>
      </c>
      <c r="BW126" s="164">
        <f t="shared" si="183"/>
        <v>1.2698910402132163E-2</v>
      </c>
      <c r="BX126" s="164">
        <f t="shared" si="184"/>
        <v>7.102272727272727E-3</v>
      </c>
      <c r="BY126" s="164">
        <f t="shared" si="185"/>
        <v>4.3451272501551829E-3</v>
      </c>
      <c r="BZ126" s="164">
        <f t="shared" si="186"/>
        <v>6.9659442724458202E-3</v>
      </c>
      <c r="CA126" s="164">
        <f t="shared" si="187"/>
        <v>6.3897763578274758E-3</v>
      </c>
      <c r="CB126" s="164">
        <f t="shared" si="188"/>
        <v>2.9625313732520617E-2</v>
      </c>
      <c r="CC126" s="164">
        <f t="shared" si="142"/>
        <v>1.6666290282513947E-2</v>
      </c>
      <c r="CD126" s="180">
        <f t="shared" si="153"/>
        <v>18651</v>
      </c>
      <c r="CE126" s="180">
        <f t="shared" si="154"/>
        <v>1472</v>
      </c>
      <c r="CF126" s="180">
        <f t="shared" si="155"/>
        <v>37070</v>
      </c>
      <c r="CG126" s="180">
        <f t="shared" si="156"/>
        <v>8209</v>
      </c>
      <c r="CH126" s="180">
        <f t="shared" si="157"/>
        <v>905</v>
      </c>
      <c r="CI126" s="180">
        <f t="shared" si="158"/>
        <v>1106</v>
      </c>
      <c r="CJ126" s="180">
        <f t="shared" si="159"/>
        <v>3410</v>
      </c>
      <c r="CK126" s="180">
        <f t="shared" si="160"/>
        <v>408</v>
      </c>
      <c r="CL126" s="180">
        <f t="shared" si="161"/>
        <v>18230</v>
      </c>
      <c r="CM126" s="180">
        <f t="shared" si="161"/>
        <v>89461</v>
      </c>
      <c r="CN126" s="183">
        <f t="shared" si="143"/>
        <v>4.6802739324339577E-3</v>
      </c>
      <c r="CO126" s="183">
        <f t="shared" si="144"/>
        <v>7.5829744838808015E-4</v>
      </c>
      <c r="CP126" s="183">
        <f t="shared" si="145"/>
        <v>3.4741176222649515E-3</v>
      </c>
      <c r="CQ126" s="183">
        <f t="shared" si="146"/>
        <v>1.1596905683112781E-3</v>
      </c>
      <c r="CR126" s="183">
        <f t="shared" si="147"/>
        <v>2.4052649060178161E-4</v>
      </c>
      <c r="CS126" s="183">
        <f t="shared" si="148"/>
        <v>3.3498389759973956E-4</v>
      </c>
      <c r="CT126" s="183">
        <f t="shared" si="149"/>
        <v>1.2581471388086898E-3</v>
      </c>
      <c r="CU126" s="183">
        <f t="shared" si="150"/>
        <v>4.7344336336522976E-4</v>
      </c>
      <c r="CV126" s="183">
        <f t="shared" si="151"/>
        <v>9.1635967277046114E-3</v>
      </c>
      <c r="CW126" s="183">
        <f t="shared" si="152"/>
        <v>2.9660944389137919E-3</v>
      </c>
      <c r="CX126" s="193">
        <f t="shared" si="84"/>
        <v>2.0805583811967353E-3</v>
      </c>
      <c r="CY126" s="193">
        <f t="shared" si="85"/>
        <v>6.1411413073682547E-4</v>
      </c>
      <c r="CZ126" s="193">
        <f t="shared" si="86"/>
        <v>2.5546731561121522E-3</v>
      </c>
      <c r="DA126" s="193">
        <f t="shared" si="87"/>
        <v>7.6343038274501163E-4</v>
      </c>
      <c r="DB126" s="193">
        <f t="shared" si="88"/>
        <v>1.3734609264476734E-4</v>
      </c>
      <c r="DC126" s="193">
        <f t="shared" si="89"/>
        <v>2.1188615248549637E-4</v>
      </c>
      <c r="DD126" s="193">
        <f t="shared" si="90"/>
        <v>1.0387991178979644E-3</v>
      </c>
      <c r="DE126" s="193">
        <f t="shared" si="91"/>
        <v>2.9495672797514314E-4</v>
      </c>
      <c r="DF126" s="193">
        <f t="shared" si="92"/>
        <v>2.3306004346307411E-3</v>
      </c>
      <c r="DG126" s="193">
        <f t="shared" si="93"/>
        <v>1.4715260649325363E-3</v>
      </c>
      <c r="DI126" s="83"/>
    </row>
    <row r="127" spans="1:113">
      <c r="A127" s="150">
        <v>44016</v>
      </c>
      <c r="B127" s="129">
        <v>34161</v>
      </c>
      <c r="C127" s="129">
        <v>2376</v>
      </c>
      <c r="D127" s="129">
        <v>59373</v>
      </c>
      <c r="E127" s="129">
        <v>13984</v>
      </c>
      <c r="F127" s="129">
        <v>1559</v>
      </c>
      <c r="G127" s="129">
        <v>1818</v>
      </c>
      <c r="H127" s="129">
        <v>5644</v>
      </c>
      <c r="I127" s="129">
        <v>686</v>
      </c>
      <c r="J127" s="129">
        <v>68376</v>
      </c>
      <c r="K127" s="165">
        <f t="shared" si="78"/>
        <v>187977</v>
      </c>
      <c r="L127" s="80">
        <v>490</v>
      </c>
      <c r="M127" s="80">
        <v>9</v>
      </c>
      <c r="N127" s="80">
        <v>282</v>
      </c>
      <c r="O127" s="80">
        <v>162</v>
      </c>
      <c r="P127" s="80">
        <v>10</v>
      </c>
      <c r="Q127" s="80">
        <v>7</v>
      </c>
      <c r="R127" s="80">
        <v>36</v>
      </c>
      <c r="S127" s="80">
        <v>4</v>
      </c>
      <c r="T127" s="80">
        <v>2026</v>
      </c>
      <c r="U127" s="80">
        <f t="shared" si="79"/>
        <v>3026</v>
      </c>
      <c r="V127" s="130">
        <v>18980</v>
      </c>
      <c r="W127" s="130">
        <v>437</v>
      </c>
      <c r="X127" s="130">
        <v>15935</v>
      </c>
      <c r="Y127" s="130">
        <v>4197</v>
      </c>
      <c r="Z127" s="130">
        <v>594</v>
      </c>
      <c r="AA127" s="130">
        <v>621</v>
      </c>
      <c r="AB127" s="130">
        <v>865</v>
      </c>
      <c r="AC127" s="130">
        <v>236</v>
      </c>
      <c r="AD127" s="130">
        <v>49362</v>
      </c>
      <c r="AE127" s="130">
        <f t="shared" si="80"/>
        <v>91227</v>
      </c>
      <c r="AF127" s="151">
        <f t="shared" si="162"/>
        <v>14691</v>
      </c>
      <c r="AG127" s="151">
        <f t="shared" si="163"/>
        <v>1930</v>
      </c>
      <c r="AH127" s="151">
        <f t="shared" si="164"/>
        <v>43156</v>
      </c>
      <c r="AI127" s="151">
        <f t="shared" si="165"/>
        <v>9625</v>
      </c>
      <c r="AJ127" s="151">
        <f t="shared" si="166"/>
        <v>955</v>
      </c>
      <c r="AK127" s="151">
        <f t="shared" si="167"/>
        <v>1190</v>
      </c>
      <c r="AL127" s="151">
        <f t="shared" si="168"/>
        <v>4743</v>
      </c>
      <c r="AM127" s="151">
        <f t="shared" si="169"/>
        <v>446</v>
      </c>
      <c r="AN127" s="151">
        <f t="shared" si="170"/>
        <v>16988</v>
      </c>
      <c r="AO127" s="151">
        <f t="shared" si="81"/>
        <v>93724</v>
      </c>
      <c r="AP127" s="57">
        <f t="shared" si="105"/>
        <v>2004</v>
      </c>
      <c r="AQ127" s="57">
        <f t="shared" si="106"/>
        <v>246</v>
      </c>
      <c r="AR127" s="57">
        <f t="shared" si="107"/>
        <v>5042</v>
      </c>
      <c r="AS127" s="57">
        <f t="shared" si="108"/>
        <v>1227</v>
      </c>
      <c r="AT127" s="57">
        <f t="shared" si="109"/>
        <v>151</v>
      </c>
      <c r="AU127" s="57">
        <f t="shared" si="110"/>
        <v>207</v>
      </c>
      <c r="AV127" s="57">
        <f t="shared" si="111"/>
        <v>476</v>
      </c>
      <c r="AW127" s="57">
        <f t="shared" si="112"/>
        <v>60</v>
      </c>
      <c r="AX127" s="57">
        <f t="shared" si="113"/>
        <v>1440</v>
      </c>
      <c r="AY127" s="57">
        <f t="shared" si="82"/>
        <v>10853</v>
      </c>
      <c r="AZ127" s="152">
        <f t="shared" ca="1" si="171"/>
        <v>89742.376644556905</v>
      </c>
      <c r="BA127" s="152">
        <f t="shared" ca="1" si="172"/>
        <v>1026.5011200390763</v>
      </c>
      <c r="BB127" s="152">
        <f t="shared" ca="1" si="173"/>
        <v>37455.606418890398</v>
      </c>
      <c r="BC127" s="152">
        <f t="shared" ca="1" si="174"/>
        <v>38348.540493678069</v>
      </c>
      <c r="BD127" s="152">
        <f t="shared" ca="1" si="175"/>
        <v>1921.8287332153477</v>
      </c>
      <c r="BE127" s="152">
        <f t="shared" ca="1" si="176"/>
        <v>1211.0690612639492</v>
      </c>
      <c r="BF127" s="152">
        <f t="shared" ca="1" si="177"/>
        <v>8048.4058150631081</v>
      </c>
      <c r="BG127" s="152">
        <f t="shared" ca="1" si="178"/>
        <v>811.38932043389264</v>
      </c>
      <c r="BH127" s="152">
        <f t="shared" ca="1" si="179"/>
        <v>488923.83648509975</v>
      </c>
      <c r="BI127" s="152">
        <f t="shared" ca="1" si="94"/>
        <v>667489.55409224052</v>
      </c>
      <c r="BJ127" s="163">
        <f t="shared" ca="1" si="123"/>
        <v>38593.871821234316</v>
      </c>
      <c r="BK127" s="163">
        <f t="shared" ca="1" si="124"/>
        <v>833.8161454862867</v>
      </c>
      <c r="BL127" s="163">
        <f t="shared" ca="1" si="125"/>
        <v>27225.071170626954</v>
      </c>
      <c r="BM127" s="163">
        <f t="shared" ca="1" si="126"/>
        <v>26394.787060329763</v>
      </c>
      <c r="BN127" s="163">
        <f t="shared" ca="1" si="127"/>
        <v>1177.2587814115825</v>
      </c>
      <c r="BO127" s="163">
        <f t="shared" ca="1" si="128"/>
        <v>792.72397299455417</v>
      </c>
      <c r="BP127" s="163">
        <f t="shared" ca="1" si="129"/>
        <v>6763.5699469958054</v>
      </c>
      <c r="BQ127" s="163">
        <f t="shared" ca="1" si="130"/>
        <v>527.5213366086241</v>
      </c>
      <c r="BR127" s="163">
        <f t="shared" ca="1" si="131"/>
        <v>121473.00418580898</v>
      </c>
      <c r="BS127" s="163">
        <f t="shared" ca="1" si="95"/>
        <v>223781.62442149688</v>
      </c>
      <c r="BT127" s="164">
        <f t="shared" si="180"/>
        <v>1.4343842393372559E-2</v>
      </c>
      <c r="BU127" s="164">
        <f t="shared" si="181"/>
        <v>3.787878787878788E-3</v>
      </c>
      <c r="BV127" s="164">
        <f t="shared" si="182"/>
        <v>4.7496336718710523E-3</v>
      </c>
      <c r="BW127" s="164">
        <f t="shared" si="183"/>
        <v>1.158466819221968E-2</v>
      </c>
      <c r="BX127" s="164">
        <f t="shared" si="184"/>
        <v>6.4143681847338039E-3</v>
      </c>
      <c r="BY127" s="164">
        <f t="shared" si="185"/>
        <v>3.8503850385038503E-3</v>
      </c>
      <c r="BZ127" s="164">
        <f t="shared" si="186"/>
        <v>6.3784549964564135E-3</v>
      </c>
      <c r="CA127" s="164">
        <f t="shared" si="187"/>
        <v>5.8309037900874635E-3</v>
      </c>
      <c r="CB127" s="164">
        <f t="shared" si="188"/>
        <v>2.963027963027963E-2</v>
      </c>
      <c r="CC127" s="164">
        <f t="shared" si="142"/>
        <v>1.6097714082041952E-2</v>
      </c>
      <c r="CD127" s="180">
        <f t="shared" si="153"/>
        <v>19440</v>
      </c>
      <c r="CE127" s="180">
        <f t="shared" si="154"/>
        <v>1676</v>
      </c>
      <c r="CF127" s="180">
        <f t="shared" si="155"/>
        <v>40395</v>
      </c>
      <c r="CG127" s="180">
        <f t="shared" si="156"/>
        <v>9178</v>
      </c>
      <c r="CH127" s="180">
        <f t="shared" si="157"/>
        <v>1038</v>
      </c>
      <c r="CI127" s="180">
        <f t="shared" si="158"/>
        <v>1274</v>
      </c>
      <c r="CJ127" s="180">
        <f t="shared" si="159"/>
        <v>3687</v>
      </c>
      <c r="CK127" s="180">
        <f t="shared" si="160"/>
        <v>454</v>
      </c>
      <c r="CL127" s="180">
        <f t="shared" si="161"/>
        <v>18203</v>
      </c>
      <c r="CM127" s="180">
        <f t="shared" si="161"/>
        <v>95345</v>
      </c>
      <c r="CN127" s="183">
        <f t="shared" si="143"/>
        <v>4.9719450759049795E-3</v>
      </c>
      <c r="CO127" s="183">
        <f t="shared" si="144"/>
        <v>8.4587546355402747E-4</v>
      </c>
      <c r="CP127" s="183">
        <f t="shared" si="145"/>
        <v>3.796521057715429E-3</v>
      </c>
      <c r="CQ127" s="183">
        <f t="shared" si="146"/>
        <v>1.2712324925346801E-3</v>
      </c>
      <c r="CR127" s="183">
        <f t="shared" si="147"/>
        <v>2.663215900910352E-4</v>
      </c>
      <c r="CS127" s="183">
        <f t="shared" si="148"/>
        <v>3.7802652131367257E-4</v>
      </c>
      <c r="CT127" s="183">
        <f t="shared" si="149"/>
        <v>1.3740291121200165E-3</v>
      </c>
      <c r="CU127" s="183">
        <f t="shared" si="150"/>
        <v>5.1882132151525174E-4</v>
      </c>
      <c r="CV127" s="183">
        <f t="shared" si="151"/>
        <v>9.360733982513603E-3</v>
      </c>
      <c r="CW127" s="183">
        <f t="shared" si="152"/>
        <v>3.1478373023627396E-3</v>
      </c>
      <c r="CX127" s="193">
        <f t="shared" si="84"/>
        <v>2.1381939963736442E-3</v>
      </c>
      <c r="CY127" s="193">
        <f t="shared" si="85"/>
        <v>6.8709581004178157E-4</v>
      </c>
      <c r="CZ127" s="193">
        <f t="shared" si="86"/>
        <v>2.759548326120746E-3</v>
      </c>
      <c r="DA127" s="193">
        <f t="shared" si="87"/>
        <v>8.7497230696841359E-4</v>
      </c>
      <c r="DB127" s="193">
        <f t="shared" si="88"/>
        <v>1.6314119213402091E-4</v>
      </c>
      <c r="DC127" s="193">
        <f t="shared" si="89"/>
        <v>2.4744310251004973E-4</v>
      </c>
      <c r="DD127" s="193">
        <f t="shared" si="90"/>
        <v>1.1546810912092911E-3</v>
      </c>
      <c r="DE127" s="193">
        <f t="shared" si="91"/>
        <v>3.3730948891516372E-4</v>
      </c>
      <c r="DF127" s="193">
        <f t="shared" si="92"/>
        <v>2.3256720032605164E-3</v>
      </c>
      <c r="DG127" s="193">
        <f t="shared" si="93"/>
        <v>1.5694893701178622E-3</v>
      </c>
      <c r="DI127" s="83"/>
    </row>
    <row r="128" spans="1:113">
      <c r="A128" s="150">
        <v>44017</v>
      </c>
      <c r="B128" s="129">
        <v>35648</v>
      </c>
      <c r="C128" s="129">
        <v>2553</v>
      </c>
      <c r="D128" s="129">
        <v>63404</v>
      </c>
      <c r="E128" s="129">
        <v>15146</v>
      </c>
      <c r="F128" s="129">
        <v>1706</v>
      </c>
      <c r="G128" s="129">
        <v>1965</v>
      </c>
      <c r="H128" s="129">
        <v>6063</v>
      </c>
      <c r="I128" s="129">
        <v>734</v>
      </c>
      <c r="J128" s="129">
        <v>69531</v>
      </c>
      <c r="K128" s="165">
        <f t="shared" si="78"/>
        <v>196750</v>
      </c>
      <c r="L128" s="80">
        <v>519</v>
      </c>
      <c r="M128" s="80">
        <v>19</v>
      </c>
      <c r="N128" s="80">
        <v>353</v>
      </c>
      <c r="O128" s="80">
        <v>183</v>
      </c>
      <c r="P128" s="80">
        <v>10</v>
      </c>
      <c r="Q128" s="80">
        <v>7</v>
      </c>
      <c r="R128" s="80">
        <v>36</v>
      </c>
      <c r="S128" s="80">
        <v>6</v>
      </c>
      <c r="T128" s="80">
        <v>2066</v>
      </c>
      <c r="U128" s="80">
        <f t="shared" si="79"/>
        <v>3199</v>
      </c>
      <c r="V128" s="130">
        <v>19490</v>
      </c>
      <c r="W128" s="130">
        <v>455</v>
      </c>
      <c r="X128" s="130">
        <v>16887</v>
      </c>
      <c r="Y128" s="130">
        <v>4197</v>
      </c>
      <c r="Z128" s="130">
        <v>635</v>
      </c>
      <c r="AA128" s="130">
        <v>621</v>
      </c>
      <c r="AB128" s="130">
        <v>865</v>
      </c>
      <c r="AC128" s="130">
        <v>237</v>
      </c>
      <c r="AD128" s="130">
        <v>49928</v>
      </c>
      <c r="AE128" s="130">
        <f t="shared" si="80"/>
        <v>93315</v>
      </c>
      <c r="AF128" s="151">
        <f t="shared" si="162"/>
        <v>15639</v>
      </c>
      <c r="AG128" s="151">
        <f t="shared" si="163"/>
        <v>2079</v>
      </c>
      <c r="AH128" s="151">
        <f t="shared" si="164"/>
        <v>46164</v>
      </c>
      <c r="AI128" s="151">
        <f t="shared" si="165"/>
        <v>10766</v>
      </c>
      <c r="AJ128" s="151">
        <f t="shared" si="166"/>
        <v>1061</v>
      </c>
      <c r="AK128" s="151">
        <f t="shared" si="167"/>
        <v>1337</v>
      </c>
      <c r="AL128" s="151">
        <f t="shared" si="168"/>
        <v>5162</v>
      </c>
      <c r="AM128" s="151">
        <f t="shared" si="169"/>
        <v>491</v>
      </c>
      <c r="AN128" s="151">
        <f t="shared" si="170"/>
        <v>17537</v>
      </c>
      <c r="AO128" s="151">
        <f t="shared" si="81"/>
        <v>100236</v>
      </c>
      <c r="AP128" s="57">
        <f t="shared" si="105"/>
        <v>1487</v>
      </c>
      <c r="AQ128" s="57">
        <f t="shared" si="106"/>
        <v>177</v>
      </c>
      <c r="AR128" s="57">
        <f t="shared" si="107"/>
        <v>4031</v>
      </c>
      <c r="AS128" s="57">
        <f t="shared" si="108"/>
        <v>1162</v>
      </c>
      <c r="AT128" s="57">
        <f t="shared" si="109"/>
        <v>147</v>
      </c>
      <c r="AU128" s="57">
        <f t="shared" si="110"/>
        <v>147</v>
      </c>
      <c r="AV128" s="57">
        <f t="shared" si="111"/>
        <v>419</v>
      </c>
      <c r="AW128" s="57">
        <f t="shared" si="112"/>
        <v>48</v>
      </c>
      <c r="AX128" s="57">
        <f t="shared" si="113"/>
        <v>1155</v>
      </c>
      <c r="AY128" s="57">
        <f t="shared" si="82"/>
        <v>8773</v>
      </c>
      <c r="AZ128" s="152">
        <f t="shared" ca="1" si="171"/>
        <v>95588.43362964291</v>
      </c>
      <c r="BA128" s="152">
        <f t="shared" ca="1" si="172"/>
        <v>4630.0579200824941</v>
      </c>
      <c r="BB128" s="152">
        <f t="shared" ca="1" si="173"/>
        <v>57803.43994988763</v>
      </c>
      <c r="BC128" s="152">
        <f t="shared" ca="1" si="174"/>
        <v>43970.388335451149</v>
      </c>
      <c r="BD128" s="152">
        <f t="shared" ca="1" si="175"/>
        <v>1774.8287332153477</v>
      </c>
      <c r="BE128" s="152">
        <f t="shared" ca="1" si="176"/>
        <v>1064.0690612639492</v>
      </c>
      <c r="BF128" s="152">
        <f t="shared" ca="1" si="177"/>
        <v>7629.4058150631081</v>
      </c>
      <c r="BG128" s="152">
        <f t="shared" ca="1" si="178"/>
        <v>1512.0839806508388</v>
      </c>
      <c r="BH128" s="152">
        <f t="shared" ca="1" si="179"/>
        <v>498771.79475726362</v>
      </c>
      <c r="BI128" s="152">
        <f t="shared" ca="1" si="94"/>
        <v>712744.50218252104</v>
      </c>
      <c r="BJ128" s="163">
        <f t="shared" ca="1" si="123"/>
        <v>41935.242188453361</v>
      </c>
      <c r="BK128" s="163">
        <f t="shared" ca="1" si="124"/>
        <v>3770.4231946147693</v>
      </c>
      <c r="BL128" s="163">
        <f t="shared" ca="1" si="125"/>
        <v>42086.27218860975</v>
      </c>
      <c r="BM128" s="163">
        <f t="shared" ca="1" si="126"/>
        <v>31254.800001285294</v>
      </c>
      <c r="BN128" s="163">
        <f t="shared" ca="1" si="127"/>
        <v>1103.8061465073176</v>
      </c>
      <c r="BO128" s="163">
        <f t="shared" ca="1" si="128"/>
        <v>724.00017043760818</v>
      </c>
      <c r="BP128" s="163">
        <f t="shared" ca="1" si="129"/>
        <v>6495.6280417871958</v>
      </c>
      <c r="BQ128" s="163">
        <f t="shared" ca="1" si="130"/>
        <v>1011.4894202991305</v>
      </c>
      <c r="BR128" s="163">
        <f t="shared" ca="1" si="131"/>
        <v>125799.44146723235</v>
      </c>
      <c r="BS128" s="163">
        <f t="shared" ca="1" si="95"/>
        <v>254181.10281922674</v>
      </c>
      <c r="BT128" s="164">
        <f t="shared" si="180"/>
        <v>1.4559021543985638E-2</v>
      </c>
      <c r="BU128" s="164">
        <f t="shared" si="181"/>
        <v>7.4422248335291813E-3</v>
      </c>
      <c r="BV128" s="164">
        <f t="shared" si="182"/>
        <v>5.5674720837802028E-3</v>
      </c>
      <c r="BW128" s="164">
        <f t="shared" si="183"/>
        <v>1.2082397992869405E-2</v>
      </c>
      <c r="BX128" s="164">
        <f t="shared" si="184"/>
        <v>5.8616647127784291E-3</v>
      </c>
      <c r="BY128" s="164">
        <f t="shared" si="185"/>
        <v>3.5623409669211198E-3</v>
      </c>
      <c r="BZ128" s="164">
        <f t="shared" si="186"/>
        <v>5.9376546264225628E-3</v>
      </c>
      <c r="CA128" s="164">
        <f t="shared" si="187"/>
        <v>8.1743869209809257E-3</v>
      </c>
      <c r="CB128" s="164">
        <f t="shared" si="188"/>
        <v>2.9713365261538019E-2</v>
      </c>
      <c r="CC128" s="164">
        <f t="shared" si="142"/>
        <v>1.6259212198221094E-2</v>
      </c>
      <c r="CD128" s="180">
        <f t="shared" si="153"/>
        <v>19897</v>
      </c>
      <c r="CE128" s="180">
        <f t="shared" si="154"/>
        <v>1820</v>
      </c>
      <c r="CF128" s="180">
        <f t="shared" si="155"/>
        <v>42582</v>
      </c>
      <c r="CG128" s="180">
        <f t="shared" si="156"/>
        <v>10116</v>
      </c>
      <c r="CH128" s="180">
        <f t="shared" si="157"/>
        <v>1142</v>
      </c>
      <c r="CI128" s="180">
        <f t="shared" si="158"/>
        <v>1392</v>
      </c>
      <c r="CJ128" s="180">
        <f t="shared" si="159"/>
        <v>3915</v>
      </c>
      <c r="CK128" s="180">
        <f t="shared" si="160"/>
        <v>497</v>
      </c>
      <c r="CL128" s="180">
        <f t="shared" si="161"/>
        <v>18090</v>
      </c>
      <c r="CM128" s="180">
        <f t="shared" si="161"/>
        <v>99451</v>
      </c>
      <c r="CN128" s="183">
        <f t="shared" si="143"/>
        <v>5.188369721783926E-3</v>
      </c>
      <c r="CO128" s="183">
        <f t="shared" si="144"/>
        <v>9.0888891349050172E-4</v>
      </c>
      <c r="CP128" s="183">
        <f t="shared" si="145"/>
        <v>4.0542775528167527E-3</v>
      </c>
      <c r="CQ128" s="183">
        <f t="shared" si="146"/>
        <v>1.3768655128668667E-3</v>
      </c>
      <c r="CR128" s="183">
        <f t="shared" si="147"/>
        <v>2.9143337568653371E-4</v>
      </c>
      <c r="CS128" s="183">
        <f t="shared" si="148"/>
        <v>4.0859302221197283E-4</v>
      </c>
      <c r="CT128" s="183">
        <f t="shared" si="149"/>
        <v>1.4760344625768355E-3</v>
      </c>
      <c r="CU128" s="183">
        <f t="shared" si="150"/>
        <v>5.5512368803526941E-4</v>
      </c>
      <c r="CV128" s="183">
        <f t="shared" si="151"/>
        <v>9.5188544889749805E-3</v>
      </c>
      <c r="CW128" s="183">
        <f t="shared" si="152"/>
        <v>3.2947487684124601E-3</v>
      </c>
      <c r="CX128" s="193">
        <f t="shared" si="84"/>
        <v>2.2761701660395767E-3</v>
      </c>
      <c r="CY128" s="193">
        <f t="shared" si="85"/>
        <v>7.4014103060977398E-4</v>
      </c>
      <c r="CZ128" s="193">
        <f t="shared" si="86"/>
        <v>2.9518905581388017E-3</v>
      </c>
      <c r="DA128" s="193">
        <f t="shared" si="87"/>
        <v>9.786962968126691E-4</v>
      </c>
      <c r="DB128" s="193">
        <f t="shared" si="88"/>
        <v>1.8124901031853005E-4</v>
      </c>
      <c r="DC128" s="193">
        <f t="shared" si="89"/>
        <v>2.7800960340834999E-4</v>
      </c>
      <c r="DD128" s="193">
        <f t="shared" si="90"/>
        <v>1.2566864416661101E-3</v>
      </c>
      <c r="DE128" s="193">
        <f t="shared" si="91"/>
        <v>3.7134295752768023E-4</v>
      </c>
      <c r="DF128" s="193">
        <f t="shared" si="92"/>
        <v>2.4008305816564444E-3</v>
      </c>
      <c r="DG128" s="193">
        <f t="shared" si="93"/>
        <v>1.6785384373600577E-3</v>
      </c>
      <c r="DI128" s="83"/>
    </row>
    <row r="129" spans="1:113">
      <c r="A129" s="150">
        <v>44018</v>
      </c>
      <c r="B129" s="129">
        <v>38081</v>
      </c>
      <c r="C129" s="129">
        <v>2804</v>
      </c>
      <c r="D129" s="129">
        <v>66891</v>
      </c>
      <c r="E129" s="129">
        <v>15819</v>
      </c>
      <c r="F129" s="129">
        <v>1785</v>
      </c>
      <c r="G129" s="129">
        <v>2173</v>
      </c>
      <c r="H129" s="129">
        <v>6410</v>
      </c>
      <c r="I129" s="129">
        <v>820</v>
      </c>
      <c r="J129" s="129">
        <v>70938</v>
      </c>
      <c r="K129" s="165">
        <f t="shared" si="78"/>
        <v>205721</v>
      </c>
      <c r="L129" s="80">
        <v>528</v>
      </c>
      <c r="M129" s="80">
        <v>19</v>
      </c>
      <c r="N129" s="80">
        <v>403</v>
      </c>
      <c r="O129" s="80">
        <v>183</v>
      </c>
      <c r="P129" s="80">
        <v>27</v>
      </c>
      <c r="Q129" s="80">
        <v>7</v>
      </c>
      <c r="R129" s="80">
        <v>36</v>
      </c>
      <c r="S129" s="80">
        <v>6</v>
      </c>
      <c r="T129" s="80">
        <v>2101</v>
      </c>
      <c r="U129" s="80">
        <f t="shared" si="79"/>
        <v>3310</v>
      </c>
      <c r="V129" s="130">
        <v>19863</v>
      </c>
      <c r="W129" s="130">
        <v>479</v>
      </c>
      <c r="X129" s="130">
        <v>19779</v>
      </c>
      <c r="Y129" s="130">
        <v>4811</v>
      </c>
      <c r="Z129" s="130">
        <v>653</v>
      </c>
      <c r="AA129" s="130">
        <v>651</v>
      </c>
      <c r="AB129" s="130">
        <v>1104</v>
      </c>
      <c r="AC129" s="130">
        <v>237</v>
      </c>
      <c r="AD129" s="130">
        <v>50271</v>
      </c>
      <c r="AE129" s="130">
        <f t="shared" si="80"/>
        <v>97848</v>
      </c>
      <c r="AF129" s="151">
        <f t="shared" si="162"/>
        <v>17690</v>
      </c>
      <c r="AG129" s="151">
        <f t="shared" si="163"/>
        <v>2306</v>
      </c>
      <c r="AH129" s="151">
        <f t="shared" si="164"/>
        <v>46709</v>
      </c>
      <c r="AI129" s="151">
        <f t="shared" si="165"/>
        <v>10825</v>
      </c>
      <c r="AJ129" s="151">
        <f t="shared" si="166"/>
        <v>1105</v>
      </c>
      <c r="AK129" s="151">
        <f t="shared" si="167"/>
        <v>1515</v>
      </c>
      <c r="AL129" s="151">
        <f t="shared" si="168"/>
        <v>5270</v>
      </c>
      <c r="AM129" s="151">
        <f t="shared" si="169"/>
        <v>577</v>
      </c>
      <c r="AN129" s="151">
        <f t="shared" si="170"/>
        <v>18566</v>
      </c>
      <c r="AO129" s="151">
        <f t="shared" si="81"/>
        <v>104563</v>
      </c>
      <c r="AP129" s="57">
        <f t="shared" si="105"/>
        <v>2433</v>
      </c>
      <c r="AQ129" s="57">
        <f t="shared" si="106"/>
        <v>251</v>
      </c>
      <c r="AR129" s="57">
        <f t="shared" si="107"/>
        <v>3487</v>
      </c>
      <c r="AS129" s="57">
        <f t="shared" si="108"/>
        <v>673</v>
      </c>
      <c r="AT129" s="57">
        <f t="shared" si="109"/>
        <v>79</v>
      </c>
      <c r="AU129" s="57">
        <f t="shared" si="110"/>
        <v>208</v>
      </c>
      <c r="AV129" s="57">
        <f t="shared" si="111"/>
        <v>347</v>
      </c>
      <c r="AW129" s="57">
        <f t="shared" si="112"/>
        <v>86</v>
      </c>
      <c r="AX129" s="57">
        <f t="shared" si="113"/>
        <v>1407</v>
      </c>
      <c r="AY129" s="57">
        <f t="shared" si="82"/>
        <v>8971</v>
      </c>
      <c r="AZ129" s="152">
        <f t="shared" ca="1" si="171"/>
        <v>95431.209935359278</v>
      </c>
      <c r="BA129" s="152">
        <f t="shared" ca="1" si="172"/>
        <v>4379.0579200824941</v>
      </c>
      <c r="BB129" s="152">
        <f t="shared" ca="1" si="173"/>
        <v>71484.63257735048</v>
      </c>
      <c r="BC129" s="152">
        <f t="shared" ca="1" si="174"/>
        <v>43297.388335451149</v>
      </c>
      <c r="BD129" s="152">
        <f t="shared" ca="1" si="175"/>
        <v>7613.2375796814395</v>
      </c>
      <c r="BE129" s="152">
        <f t="shared" ca="1" si="176"/>
        <v>856.06906126394915</v>
      </c>
      <c r="BF129" s="152">
        <f t="shared" ca="1" si="177"/>
        <v>7282.4058150631081</v>
      </c>
      <c r="BG129" s="152">
        <f t="shared" ca="1" si="178"/>
        <v>1426.0839806508388</v>
      </c>
      <c r="BH129" s="152">
        <f t="shared" ca="1" si="179"/>
        <v>506992.38324540702</v>
      </c>
      <c r="BI129" s="152">
        <f t="shared" ca="1" si="94"/>
        <v>738762.46845030971</v>
      </c>
      <c r="BJ129" s="163">
        <f t="shared" ca="1" si="123"/>
        <v>44331.244026063017</v>
      </c>
      <c r="BK129" s="163">
        <f t="shared" ca="1" si="124"/>
        <v>3601.3222409808245</v>
      </c>
      <c r="BL129" s="163">
        <f t="shared" ca="1" si="125"/>
        <v>49916.665964860193</v>
      </c>
      <c r="BM129" s="163">
        <f t="shared" ca="1" si="126"/>
        <v>29628.562407943529</v>
      </c>
      <c r="BN129" s="163">
        <f t="shared" ca="1" si="127"/>
        <v>4712.9565969456526</v>
      </c>
      <c r="BO129" s="163">
        <f t="shared" ca="1" si="128"/>
        <v>596.84520378043396</v>
      </c>
      <c r="BP129" s="163">
        <f t="shared" ca="1" si="129"/>
        <v>5987.2509587180321</v>
      </c>
      <c r="BQ129" s="163">
        <f t="shared" ca="1" si="130"/>
        <v>1003.4761668726023</v>
      </c>
      <c r="BR129" s="163">
        <f t="shared" ca="1" si="131"/>
        <v>132690.80869680885</v>
      </c>
      <c r="BS129" s="163">
        <f t="shared" ca="1" si="95"/>
        <v>272469.13226297311</v>
      </c>
      <c r="BT129" s="164">
        <f t="shared" si="180"/>
        <v>1.3865182111814291E-2</v>
      </c>
      <c r="BU129" s="164">
        <f t="shared" si="181"/>
        <v>6.7760342368045649E-3</v>
      </c>
      <c r="BV129" s="164">
        <f t="shared" si="182"/>
        <v>6.0247267943370555E-3</v>
      </c>
      <c r="BW129" s="164">
        <f t="shared" si="183"/>
        <v>1.1568367153423098E-2</v>
      </c>
      <c r="BX129" s="164">
        <f t="shared" si="184"/>
        <v>1.5126050420168067E-2</v>
      </c>
      <c r="BY129" s="164">
        <f t="shared" si="185"/>
        <v>3.2213529682466636E-3</v>
      </c>
      <c r="BZ129" s="164">
        <f t="shared" si="186"/>
        <v>5.6162246489859591E-3</v>
      </c>
      <c r="CA129" s="164">
        <f t="shared" si="187"/>
        <v>7.3170731707317077E-3</v>
      </c>
      <c r="CB129" s="164">
        <f t="shared" si="188"/>
        <v>2.9617412388282725E-2</v>
      </c>
      <c r="CC129" s="164">
        <f t="shared" si="142"/>
        <v>1.6089752626129564E-2</v>
      </c>
      <c r="CD129" s="180">
        <f t="shared" si="153"/>
        <v>21186</v>
      </c>
      <c r="CE129" s="180">
        <f t="shared" si="154"/>
        <v>2032</v>
      </c>
      <c r="CF129" s="180">
        <f t="shared" si="155"/>
        <v>44550</v>
      </c>
      <c r="CG129" s="180">
        <f t="shared" si="156"/>
        <v>10541</v>
      </c>
      <c r="CH129" s="180">
        <f t="shared" si="157"/>
        <v>1203</v>
      </c>
      <c r="CI129" s="180">
        <f t="shared" si="158"/>
        <v>1577</v>
      </c>
      <c r="CJ129" s="180">
        <f t="shared" si="159"/>
        <v>4095</v>
      </c>
      <c r="CK129" s="180">
        <f t="shared" si="160"/>
        <v>566</v>
      </c>
      <c r="CL129" s="180">
        <f t="shared" si="161"/>
        <v>18384</v>
      </c>
      <c r="CM129" s="180">
        <f t="shared" si="161"/>
        <v>104134</v>
      </c>
      <c r="CN129" s="183">
        <f t="shared" si="143"/>
        <v>5.5424794483632661E-3</v>
      </c>
      <c r="CO129" s="183">
        <f t="shared" si="144"/>
        <v>9.9824696961510646E-4</v>
      </c>
      <c r="CP129" s="183">
        <f t="shared" si="145"/>
        <v>4.2772487506382156E-3</v>
      </c>
      <c r="CQ129" s="183">
        <f t="shared" si="146"/>
        <v>1.4380453946943724E-3</v>
      </c>
      <c r="CR129" s="183">
        <f t="shared" si="147"/>
        <v>3.0492882508819616E-4</v>
      </c>
      <c r="CS129" s="183">
        <f t="shared" si="148"/>
        <v>4.518435813061664E-4</v>
      </c>
      <c r="CT129" s="183">
        <f t="shared" si="149"/>
        <v>1.5605114473226976E-3</v>
      </c>
      <c r="CU129" s="183">
        <f t="shared" si="150"/>
        <v>6.2016542805030093E-4</v>
      </c>
      <c r="CV129" s="183">
        <f t="shared" si="151"/>
        <v>9.7114740150279332E-3</v>
      </c>
      <c r="CW129" s="183">
        <f t="shared" si="152"/>
        <v>3.4449759155607607E-3</v>
      </c>
      <c r="CX129" s="193">
        <f t="shared" si="84"/>
        <v>2.5746819002007873E-3</v>
      </c>
      <c r="CY129" s="193">
        <f t="shared" si="85"/>
        <v>8.2095489013282296E-4</v>
      </c>
      <c r="CZ129" s="193">
        <f t="shared" si="86"/>
        <v>2.9867397989798389E-3</v>
      </c>
      <c r="DA129" s="193">
        <f t="shared" si="87"/>
        <v>9.8405976342161848E-4</v>
      </c>
      <c r="DB129" s="193">
        <f t="shared" si="88"/>
        <v>1.887654631498357E-4</v>
      </c>
      <c r="DC129" s="193">
        <f t="shared" si="89"/>
        <v>3.1502210109472719E-4</v>
      </c>
      <c r="DD129" s="193">
        <f t="shared" si="90"/>
        <v>1.2829789902325454E-3</v>
      </c>
      <c r="DE129" s="193">
        <f t="shared" si="91"/>
        <v>4.363846975427118E-4</v>
      </c>
      <c r="DF129" s="193">
        <f t="shared" si="92"/>
        <v>2.541701578322036E-3</v>
      </c>
      <c r="DG129" s="193">
        <f t="shared" si="93"/>
        <v>1.7509977914689303E-3</v>
      </c>
      <c r="DI129" s="83"/>
    </row>
    <row r="130" spans="1:113">
      <c r="A130" s="150">
        <v>44019</v>
      </c>
      <c r="B130" s="129">
        <v>40401</v>
      </c>
      <c r="C130" s="129">
        <v>3034</v>
      </c>
      <c r="D130" s="129">
        <v>71488</v>
      </c>
      <c r="E130" s="129">
        <v>16743</v>
      </c>
      <c r="F130" s="129">
        <v>1950</v>
      </c>
      <c r="G130" s="129">
        <v>2353</v>
      </c>
      <c r="H130" s="129">
        <v>6842</v>
      </c>
      <c r="I130" s="129">
        <v>888</v>
      </c>
      <c r="J130" s="129">
        <v>72156</v>
      </c>
      <c r="K130" s="165">
        <f t="shared" si="78"/>
        <v>215855</v>
      </c>
      <c r="L130" s="80">
        <v>564</v>
      </c>
      <c r="M130" s="80">
        <v>19</v>
      </c>
      <c r="N130" s="80">
        <v>478</v>
      </c>
      <c r="O130" s="80">
        <v>205</v>
      </c>
      <c r="P130" s="80">
        <v>42</v>
      </c>
      <c r="Q130" s="80">
        <v>7</v>
      </c>
      <c r="R130" s="80">
        <v>36</v>
      </c>
      <c r="S130" s="80">
        <v>6</v>
      </c>
      <c r="T130" s="80">
        <v>2145</v>
      </c>
      <c r="U130" s="80">
        <f t="shared" si="79"/>
        <v>3502</v>
      </c>
      <c r="V130" s="130">
        <v>22022</v>
      </c>
      <c r="W130" s="130">
        <v>528</v>
      </c>
      <c r="X130" s="130">
        <v>19779</v>
      </c>
      <c r="Y130" s="130">
        <v>4890</v>
      </c>
      <c r="Z130" s="130">
        <v>665</v>
      </c>
      <c r="AA130" s="130">
        <v>668</v>
      </c>
      <c r="AB130" s="130">
        <v>1335</v>
      </c>
      <c r="AC130" s="130">
        <v>237</v>
      </c>
      <c r="AD130" s="130">
        <v>52175</v>
      </c>
      <c r="AE130" s="130">
        <f t="shared" si="80"/>
        <v>102299</v>
      </c>
      <c r="AF130" s="151">
        <f t="shared" si="162"/>
        <v>17815</v>
      </c>
      <c r="AG130" s="151">
        <f t="shared" si="163"/>
        <v>2487</v>
      </c>
      <c r="AH130" s="151">
        <f t="shared" si="164"/>
        <v>51231</v>
      </c>
      <c r="AI130" s="151">
        <f t="shared" si="165"/>
        <v>11648</v>
      </c>
      <c r="AJ130" s="151">
        <f t="shared" si="166"/>
        <v>1243</v>
      </c>
      <c r="AK130" s="151">
        <f t="shared" si="167"/>
        <v>1678</v>
      </c>
      <c r="AL130" s="151">
        <f t="shared" si="168"/>
        <v>5471</v>
      </c>
      <c r="AM130" s="151">
        <f t="shared" si="169"/>
        <v>645</v>
      </c>
      <c r="AN130" s="151">
        <f t="shared" si="170"/>
        <v>17836</v>
      </c>
      <c r="AO130" s="151">
        <f t="shared" si="81"/>
        <v>110054</v>
      </c>
      <c r="AP130" s="57">
        <f t="shared" si="105"/>
        <v>2320</v>
      </c>
      <c r="AQ130" s="57">
        <f t="shared" si="106"/>
        <v>230</v>
      </c>
      <c r="AR130" s="57">
        <f t="shared" si="107"/>
        <v>4597</v>
      </c>
      <c r="AS130" s="57">
        <f t="shared" si="108"/>
        <v>924</v>
      </c>
      <c r="AT130" s="57">
        <f t="shared" si="109"/>
        <v>165</v>
      </c>
      <c r="AU130" s="57">
        <f t="shared" si="110"/>
        <v>180</v>
      </c>
      <c r="AV130" s="57">
        <f t="shared" si="111"/>
        <v>432</v>
      </c>
      <c r="AW130" s="57">
        <f t="shared" si="112"/>
        <v>68</v>
      </c>
      <c r="AX130" s="57">
        <f t="shared" si="113"/>
        <v>1218</v>
      </c>
      <c r="AY130" s="57">
        <f t="shared" si="82"/>
        <v>10134</v>
      </c>
      <c r="AZ130" s="152">
        <f t="shared" ca="1" si="171"/>
        <v>102214.31515822466</v>
      </c>
      <c r="BA130" s="152">
        <f t="shared" ca="1" si="172"/>
        <v>4149.0579200824941</v>
      </c>
      <c r="BB130" s="152">
        <f t="shared" ca="1" si="173"/>
        <v>92639.921518544725</v>
      </c>
      <c r="BC130" s="152">
        <f t="shared" ca="1" si="174"/>
        <v>49480.276550641996</v>
      </c>
      <c r="BD130" s="152">
        <f t="shared" ca="1" si="175"/>
        <v>12669.480679504461</v>
      </c>
      <c r="BE130" s="152">
        <f t="shared" ca="1" si="176"/>
        <v>676.06906126394915</v>
      </c>
      <c r="BF130" s="152">
        <f t="shared" ca="1" si="177"/>
        <v>6850.4058150631081</v>
      </c>
      <c r="BG130" s="152">
        <f t="shared" ca="1" si="178"/>
        <v>1358.0839806508388</v>
      </c>
      <c r="BH130" s="152">
        <f t="shared" ca="1" si="179"/>
        <v>517877.63734478725</v>
      </c>
      <c r="BI130" s="152">
        <f t="shared" ca="1" si="94"/>
        <v>787915.24802876357</v>
      </c>
      <c r="BJ130" s="163">
        <f t="shared" ca="1" si="123"/>
        <v>45071.855264567028</v>
      </c>
      <c r="BK130" s="163">
        <f t="shared" ca="1" si="124"/>
        <v>3401.0240762179183</v>
      </c>
      <c r="BL130" s="163">
        <f t="shared" ca="1" si="125"/>
        <v>66389.265601451494</v>
      </c>
      <c r="BM130" s="163">
        <f t="shared" ca="1" si="126"/>
        <v>34423.117796206054</v>
      </c>
      <c r="BN130" s="163">
        <f t="shared" ca="1" si="127"/>
        <v>8075.9817869866902</v>
      </c>
      <c r="BO130" s="163">
        <f t="shared" ca="1" si="128"/>
        <v>482.12659787543851</v>
      </c>
      <c r="BP130" s="163">
        <f t="shared" ca="1" si="129"/>
        <v>5477.7214577916202</v>
      </c>
      <c r="BQ130" s="163">
        <f t="shared" ca="1" si="130"/>
        <v>986.44613459435925</v>
      </c>
      <c r="BR130" s="163">
        <f t="shared" ca="1" si="131"/>
        <v>128012.43887800911</v>
      </c>
      <c r="BS130" s="163">
        <f t="shared" ca="1" si="95"/>
        <v>292319.9775936997</v>
      </c>
      <c r="BT130" s="164">
        <f t="shared" si="180"/>
        <v>1.3960050493799659E-2</v>
      </c>
      <c r="BU130" s="164">
        <f t="shared" si="181"/>
        <v>6.2623599208965061E-3</v>
      </c>
      <c r="BV130" s="164">
        <f t="shared" si="182"/>
        <v>6.6864368845120856E-3</v>
      </c>
      <c r="BW130" s="164">
        <f t="shared" si="183"/>
        <v>1.2243922833422924E-2</v>
      </c>
      <c r="BX130" s="164">
        <f t="shared" si="184"/>
        <v>2.1538461538461538E-2</v>
      </c>
      <c r="BY130" s="164">
        <f t="shared" si="185"/>
        <v>2.9749256268593286E-3</v>
      </c>
      <c r="BZ130" s="164">
        <f t="shared" si="186"/>
        <v>5.2616194095293778E-3</v>
      </c>
      <c r="CA130" s="164">
        <f t="shared" si="187"/>
        <v>6.7567567567567571E-3</v>
      </c>
      <c r="CB130" s="164">
        <f t="shared" si="188"/>
        <v>2.9727257608514884E-2</v>
      </c>
      <c r="CC130" s="164">
        <f t="shared" si="142"/>
        <v>1.6223853976048735E-2</v>
      </c>
      <c r="CD130" s="180">
        <f t="shared" si="153"/>
        <v>22293</v>
      </c>
      <c r="CE130" s="180">
        <f t="shared" si="154"/>
        <v>2220</v>
      </c>
      <c r="CF130" s="180">
        <f t="shared" si="155"/>
        <v>47447</v>
      </c>
      <c r="CG130" s="180">
        <f t="shared" si="156"/>
        <v>11118</v>
      </c>
      <c r="CH130" s="180">
        <f t="shared" si="157"/>
        <v>1328</v>
      </c>
      <c r="CI130" s="180">
        <f t="shared" si="158"/>
        <v>1691</v>
      </c>
      <c r="CJ130" s="180">
        <f t="shared" si="159"/>
        <v>4388</v>
      </c>
      <c r="CK130" s="180">
        <f t="shared" si="160"/>
        <v>618</v>
      </c>
      <c r="CL130" s="180">
        <f t="shared" si="161"/>
        <v>18644</v>
      </c>
      <c r="CM130" s="180">
        <f t="shared" si="161"/>
        <v>109747</v>
      </c>
      <c r="CN130" s="183">
        <f t="shared" si="143"/>
        <v>5.8801426483895986E-3</v>
      </c>
      <c r="CO130" s="183">
        <f t="shared" si="144"/>
        <v>1.0801288537133499E-3</v>
      </c>
      <c r="CP130" s="183">
        <f t="shared" si="145"/>
        <v>4.5711973013652773E-3</v>
      </c>
      <c r="CQ130" s="183">
        <f t="shared" si="146"/>
        <v>1.5220427361633401E-3</v>
      </c>
      <c r="CR130" s="183">
        <f t="shared" si="147"/>
        <v>3.3311552320559244E-4</v>
      </c>
      <c r="CS130" s="183">
        <f t="shared" si="148"/>
        <v>4.8927194975306471E-4</v>
      </c>
      <c r="CT130" s="183">
        <f t="shared" si="149"/>
        <v>1.6656816415884395E-3</v>
      </c>
      <c r="CU130" s="183">
        <f t="shared" si="150"/>
        <v>6.7159378062032593E-4</v>
      </c>
      <c r="CV130" s="183">
        <f t="shared" si="151"/>
        <v>9.8782192763872036E-3</v>
      </c>
      <c r="CW130" s="183">
        <f t="shared" si="152"/>
        <v>3.6146785026971869E-3</v>
      </c>
      <c r="CX130" s="193">
        <f t="shared" si="84"/>
        <v>2.5928749605470336E-3</v>
      </c>
      <c r="CY130" s="193">
        <f t="shared" si="85"/>
        <v>8.8539237283622319E-4</v>
      </c>
      <c r="CZ130" s="193">
        <f t="shared" si="86"/>
        <v>3.2758925826186845E-3</v>
      </c>
      <c r="DA130" s="193">
        <f t="shared" si="87"/>
        <v>1.0588755773057747E-3</v>
      </c>
      <c r="DB130" s="193">
        <f t="shared" si="88"/>
        <v>2.1233979248438533E-4</v>
      </c>
      <c r="DC130" s="193">
        <f t="shared" si="89"/>
        <v>3.4891556807719617E-4</v>
      </c>
      <c r="DD130" s="193">
        <f t="shared" si="90"/>
        <v>1.3319123445089671E-3</v>
      </c>
      <c r="DE130" s="193">
        <f t="shared" si="91"/>
        <v>4.8781305011273674E-4</v>
      </c>
      <c r="DF130" s="193">
        <f t="shared" si="92"/>
        <v>2.441763942203589E-3</v>
      </c>
      <c r="DG130" s="193">
        <f t="shared" si="93"/>
        <v>1.8429493314300628E-3</v>
      </c>
      <c r="DI130" s="83"/>
    </row>
    <row r="131" spans="1:113">
      <c r="A131" s="150">
        <v>44020</v>
      </c>
      <c r="B131" s="129">
        <v>42357</v>
      </c>
      <c r="C131" s="129">
        <v>3259</v>
      </c>
      <c r="D131" s="129">
        <v>75015</v>
      </c>
      <c r="E131" s="129">
        <v>17962</v>
      </c>
      <c r="F131" s="129">
        <v>2131</v>
      </c>
      <c r="G131" s="129">
        <v>2528</v>
      </c>
      <c r="H131" s="129">
        <v>7147</v>
      </c>
      <c r="I131" s="129">
        <v>974</v>
      </c>
      <c r="J131" s="129">
        <v>73292</v>
      </c>
      <c r="K131" s="165">
        <f t="shared" si="78"/>
        <v>224665</v>
      </c>
      <c r="L131" s="80">
        <v>582</v>
      </c>
      <c r="M131" s="80">
        <v>19</v>
      </c>
      <c r="N131" s="80">
        <v>478</v>
      </c>
      <c r="O131" s="80">
        <v>223</v>
      </c>
      <c r="P131" s="80">
        <v>44</v>
      </c>
      <c r="Q131" s="80">
        <v>22</v>
      </c>
      <c r="R131" s="80">
        <v>36</v>
      </c>
      <c r="S131" s="80">
        <v>6</v>
      </c>
      <c r="T131" s="80">
        <v>2192</v>
      </c>
      <c r="U131" s="80">
        <f t="shared" si="79"/>
        <v>3602</v>
      </c>
      <c r="V131" s="130">
        <v>24304</v>
      </c>
      <c r="W131" s="130">
        <v>528</v>
      </c>
      <c r="X131" s="130">
        <v>19779</v>
      </c>
      <c r="Y131" s="130">
        <v>5307</v>
      </c>
      <c r="Z131" s="130">
        <v>665</v>
      </c>
      <c r="AA131" s="130">
        <v>668</v>
      </c>
      <c r="AB131" s="130">
        <v>1456</v>
      </c>
      <c r="AC131" s="130">
        <v>254</v>
      </c>
      <c r="AD131" s="130">
        <v>53881</v>
      </c>
      <c r="AE131" s="130">
        <f t="shared" si="80"/>
        <v>106842</v>
      </c>
      <c r="AF131" s="151">
        <f t="shared" si="162"/>
        <v>17471</v>
      </c>
      <c r="AG131" s="151">
        <f t="shared" si="163"/>
        <v>2712</v>
      </c>
      <c r="AH131" s="151">
        <f t="shared" si="164"/>
        <v>54758</v>
      </c>
      <c r="AI131" s="151">
        <f t="shared" si="165"/>
        <v>12432</v>
      </c>
      <c r="AJ131" s="151">
        <f t="shared" si="166"/>
        <v>1422</v>
      </c>
      <c r="AK131" s="151">
        <f t="shared" si="167"/>
        <v>1838</v>
      </c>
      <c r="AL131" s="151">
        <f t="shared" si="168"/>
        <v>5655</v>
      </c>
      <c r="AM131" s="151">
        <f t="shared" si="169"/>
        <v>714</v>
      </c>
      <c r="AN131" s="151">
        <f t="shared" si="170"/>
        <v>17219</v>
      </c>
      <c r="AO131" s="151">
        <f t="shared" si="81"/>
        <v>114221</v>
      </c>
      <c r="AP131" s="57">
        <f t="shared" si="105"/>
        <v>1956</v>
      </c>
      <c r="AQ131" s="57">
        <f t="shared" si="106"/>
        <v>225</v>
      </c>
      <c r="AR131" s="57">
        <f t="shared" si="107"/>
        <v>3527</v>
      </c>
      <c r="AS131" s="57">
        <f t="shared" si="108"/>
        <v>1219</v>
      </c>
      <c r="AT131" s="57">
        <f t="shared" si="109"/>
        <v>181</v>
      </c>
      <c r="AU131" s="57">
        <f t="shared" si="110"/>
        <v>175</v>
      </c>
      <c r="AV131" s="57">
        <f t="shared" si="111"/>
        <v>305</v>
      </c>
      <c r="AW131" s="57">
        <f t="shared" si="112"/>
        <v>86</v>
      </c>
      <c r="AX131" s="57">
        <f t="shared" si="113"/>
        <v>1136</v>
      </c>
      <c r="AY131" s="57">
        <f t="shared" si="82"/>
        <v>8810</v>
      </c>
      <c r="AZ131" s="152">
        <f t="shared" ca="1" si="171"/>
        <v>104809.86776965737</v>
      </c>
      <c r="BA131" s="152">
        <f t="shared" ca="1" si="172"/>
        <v>3924.0579200824941</v>
      </c>
      <c r="BB131" s="152">
        <f t="shared" ca="1" si="173"/>
        <v>89112.921518544725</v>
      </c>
      <c r="BC131" s="152">
        <f t="shared" ca="1" si="174"/>
        <v>54076.00327216179</v>
      </c>
      <c r="BD131" s="152">
        <f t="shared" ca="1" si="175"/>
        <v>13184.64642614753</v>
      </c>
      <c r="BE131" s="152">
        <f t="shared" ca="1" si="176"/>
        <v>6991.9313354009828</v>
      </c>
      <c r="BF131" s="152">
        <f t="shared" ca="1" si="177"/>
        <v>6545.4058150631081</v>
      </c>
      <c r="BG131" s="152">
        <f t="shared" ca="1" si="178"/>
        <v>1272.0839806508388</v>
      </c>
      <c r="BH131" s="152">
        <f t="shared" ca="1" si="179"/>
        <v>529670.11331457982</v>
      </c>
      <c r="BI131" s="152">
        <f t="shared" ca="1" si="94"/>
        <v>809587.03135228856</v>
      </c>
      <c r="BJ131" s="163">
        <f t="shared" ca="1" si="123"/>
        <v>43230.94647410544</v>
      </c>
      <c r="BK131" s="163">
        <f t="shared" ca="1" si="124"/>
        <v>3265.432672373036</v>
      </c>
      <c r="BL131" s="163">
        <f t="shared" ca="1" si="125"/>
        <v>65048.928301172724</v>
      </c>
      <c r="BM131" s="163">
        <f t="shared" ca="1" si="126"/>
        <v>37427.506551581973</v>
      </c>
      <c r="BN131" s="163">
        <f t="shared" ca="1" si="127"/>
        <v>8798.0137109252883</v>
      </c>
      <c r="BO131" s="163">
        <f t="shared" ca="1" si="128"/>
        <v>5083.5323554062525</v>
      </c>
      <c r="BP131" s="163">
        <f t="shared" ca="1" si="129"/>
        <v>5178.9939672844384</v>
      </c>
      <c r="BQ131" s="163">
        <f t="shared" ca="1" si="130"/>
        <v>932.51330819784278</v>
      </c>
      <c r="BR131" s="163">
        <f t="shared" ca="1" si="131"/>
        <v>124439.08859307632</v>
      </c>
      <c r="BS131" s="163">
        <f t="shared" ca="1" si="95"/>
        <v>293404.95593412337</v>
      </c>
      <c r="BT131" s="164">
        <f t="shared" si="180"/>
        <v>1.37403498831362E-2</v>
      </c>
      <c r="BU131" s="164">
        <f t="shared" si="181"/>
        <v>5.8300092052776921E-3</v>
      </c>
      <c r="BV131" s="164">
        <f t="shared" si="182"/>
        <v>6.3720589215490236E-3</v>
      </c>
      <c r="BW131" s="164">
        <f t="shared" si="183"/>
        <v>1.2415098541365105E-2</v>
      </c>
      <c r="BX131" s="164">
        <f t="shared" si="184"/>
        <v>2.0647583294228063E-2</v>
      </c>
      <c r="BY131" s="164">
        <f t="shared" si="185"/>
        <v>8.7025316455696198E-3</v>
      </c>
      <c r="BZ131" s="164">
        <f t="shared" si="186"/>
        <v>5.0370784944732058E-3</v>
      </c>
      <c r="CA131" s="164">
        <f t="shared" si="187"/>
        <v>6.1601642710472282E-3</v>
      </c>
      <c r="CB131" s="164">
        <f t="shared" si="188"/>
        <v>2.9907766195492003E-2</v>
      </c>
      <c r="CC131" s="164">
        <f t="shared" si="142"/>
        <v>1.603275988694278E-2</v>
      </c>
      <c r="CD131" s="180">
        <f t="shared" si="153"/>
        <v>23143</v>
      </c>
      <c r="CE131" s="180">
        <f t="shared" si="154"/>
        <v>2370</v>
      </c>
      <c r="CF131" s="180">
        <f t="shared" si="155"/>
        <v>48859</v>
      </c>
      <c r="CG131" s="180">
        <f t="shared" si="156"/>
        <v>11887</v>
      </c>
      <c r="CH131" s="180">
        <f t="shared" si="157"/>
        <v>1461</v>
      </c>
      <c r="CI131" s="180">
        <f t="shared" si="158"/>
        <v>1815</v>
      </c>
      <c r="CJ131" s="180">
        <f t="shared" si="159"/>
        <v>4529</v>
      </c>
      <c r="CK131" s="180">
        <f t="shared" si="160"/>
        <v>675</v>
      </c>
      <c r="CL131" s="180">
        <f t="shared" si="161"/>
        <v>18130</v>
      </c>
      <c r="CM131" s="180">
        <f t="shared" si="161"/>
        <v>112869</v>
      </c>
      <c r="CN131" s="183">
        <f t="shared" si="143"/>
        <v>6.164827656687662E-3</v>
      </c>
      <c r="CO131" s="183">
        <f t="shared" si="144"/>
        <v>1.1602306968529358E-3</v>
      </c>
      <c r="CP131" s="183">
        <f t="shared" si="145"/>
        <v>4.7967262416337879E-3</v>
      </c>
      <c r="CQ131" s="183">
        <f t="shared" si="146"/>
        <v>1.6328574106770539E-3</v>
      </c>
      <c r="CR131" s="183">
        <f t="shared" si="147"/>
        <v>3.6403547689800895E-4</v>
      </c>
      <c r="CS131" s="183">
        <f t="shared" si="148"/>
        <v>5.2566064129866029E-4</v>
      </c>
      <c r="CT131" s="183">
        <f t="shared" si="149"/>
        <v>1.7399337463362434E-3</v>
      </c>
      <c r="CU131" s="183">
        <f t="shared" si="150"/>
        <v>7.3663552063535755E-4</v>
      </c>
      <c r="CV131" s="183">
        <f t="shared" si="151"/>
        <v>1.0033738666292076E-2</v>
      </c>
      <c r="CW131" s="183">
        <f t="shared" si="152"/>
        <v>3.7622095657198745E-3</v>
      </c>
      <c r="CX131" s="193">
        <f t="shared" si="84"/>
        <v>2.5428076584741634E-3</v>
      </c>
      <c r="CY131" s="193">
        <f t="shared" si="85"/>
        <v>9.6549421597580908E-4</v>
      </c>
      <c r="CZ131" s="193">
        <f t="shared" si="86"/>
        <v>3.5014215228871956E-3</v>
      </c>
      <c r="DA131" s="193">
        <f t="shared" si="87"/>
        <v>1.1301460488552018E-3</v>
      </c>
      <c r="DB131" s="193">
        <f t="shared" si="88"/>
        <v>2.4291808922992432E-4</v>
      </c>
      <c r="DC131" s="193">
        <f t="shared" si="89"/>
        <v>3.8218522891888352E-4</v>
      </c>
      <c r="DD131" s="193">
        <f t="shared" si="90"/>
        <v>1.3767070568814126E-3</v>
      </c>
      <c r="DE131" s="193">
        <f t="shared" si="91"/>
        <v>5.3999770198526209E-4</v>
      </c>
      <c r="DF131" s="193">
        <f t="shared" si="92"/>
        <v>2.3572961045527922E-3</v>
      </c>
      <c r="DG131" s="193">
        <f t="shared" si="93"/>
        <v>1.9127293472774567E-3</v>
      </c>
      <c r="DI131" s="83"/>
    </row>
    <row r="132" spans="1:113">
      <c r="A132" s="150">
        <v>44021</v>
      </c>
      <c r="B132" s="129">
        <v>44432</v>
      </c>
      <c r="C132" s="129">
        <v>3724</v>
      </c>
      <c r="D132" s="129">
        <v>81546</v>
      </c>
      <c r="E132" s="129">
        <v>19630</v>
      </c>
      <c r="F132" s="129">
        <v>2381</v>
      </c>
      <c r="G132" s="129">
        <v>2902</v>
      </c>
      <c r="H132" s="129">
        <v>7870</v>
      </c>
      <c r="I132" s="129">
        <v>1039</v>
      </c>
      <c r="J132" s="129">
        <v>74815</v>
      </c>
      <c r="K132" s="165">
        <f t="shared" si="78"/>
        <v>238339</v>
      </c>
      <c r="L132" s="80">
        <v>610</v>
      </c>
      <c r="M132" s="80">
        <v>19</v>
      </c>
      <c r="N132" s="80">
        <v>515</v>
      </c>
      <c r="O132" s="80">
        <v>249</v>
      </c>
      <c r="P132" s="80">
        <v>44</v>
      </c>
      <c r="Q132" s="80">
        <v>22</v>
      </c>
      <c r="R132" s="80">
        <v>36</v>
      </c>
      <c r="S132" s="80">
        <v>7</v>
      </c>
      <c r="T132" s="80">
        <v>2229</v>
      </c>
      <c r="U132" s="80">
        <f t="shared" si="79"/>
        <v>3731</v>
      </c>
      <c r="V132" s="130">
        <v>23304</v>
      </c>
      <c r="W132" s="130">
        <v>629</v>
      </c>
      <c r="X132" s="130">
        <v>23804</v>
      </c>
      <c r="Y132" s="130">
        <v>5505</v>
      </c>
      <c r="Z132" s="130">
        <v>665</v>
      </c>
      <c r="AA132" s="130">
        <v>779</v>
      </c>
      <c r="AB132" s="130">
        <v>1574</v>
      </c>
      <c r="AC132" s="130">
        <v>267</v>
      </c>
      <c r="AD132" s="130">
        <v>55534</v>
      </c>
      <c r="AE132" s="130">
        <f t="shared" si="80"/>
        <v>112061</v>
      </c>
      <c r="AF132" s="151">
        <f t="shared" si="162"/>
        <v>20518</v>
      </c>
      <c r="AG132" s="151">
        <f t="shared" si="163"/>
        <v>3076</v>
      </c>
      <c r="AH132" s="151">
        <f t="shared" si="164"/>
        <v>57227</v>
      </c>
      <c r="AI132" s="151">
        <f t="shared" si="165"/>
        <v>13876</v>
      </c>
      <c r="AJ132" s="151">
        <f t="shared" si="166"/>
        <v>1672</v>
      </c>
      <c r="AK132" s="151">
        <f t="shared" si="167"/>
        <v>2101</v>
      </c>
      <c r="AL132" s="151">
        <f t="shared" si="168"/>
        <v>6260</v>
      </c>
      <c r="AM132" s="151">
        <f t="shared" si="169"/>
        <v>765</v>
      </c>
      <c r="AN132" s="151">
        <f t="shared" si="170"/>
        <v>17052</v>
      </c>
      <c r="AO132" s="151">
        <f t="shared" si="81"/>
        <v>122547</v>
      </c>
      <c r="AP132" s="57">
        <f t="shared" si="105"/>
        <v>2075</v>
      </c>
      <c r="AQ132" s="57">
        <f t="shared" si="106"/>
        <v>465</v>
      </c>
      <c r="AR132" s="57">
        <f t="shared" si="107"/>
        <v>6531</v>
      </c>
      <c r="AS132" s="57">
        <f t="shared" si="108"/>
        <v>1668</v>
      </c>
      <c r="AT132" s="57">
        <f t="shared" si="109"/>
        <v>250</v>
      </c>
      <c r="AU132" s="57">
        <f t="shared" si="110"/>
        <v>374</v>
      </c>
      <c r="AV132" s="57">
        <f t="shared" si="111"/>
        <v>723</v>
      </c>
      <c r="AW132" s="57">
        <f t="shared" si="112"/>
        <v>65</v>
      </c>
      <c r="AX132" s="57">
        <f t="shared" si="113"/>
        <v>1523</v>
      </c>
      <c r="AY132" s="57">
        <f t="shared" si="82"/>
        <v>13674</v>
      </c>
      <c r="AZ132" s="152">
        <f t="shared" ca="1" si="171"/>
        <v>109815.06072077493</v>
      </c>
      <c r="BA132" s="152">
        <f t="shared" ca="1" si="172"/>
        <v>3459.0579200824941</v>
      </c>
      <c r="BB132" s="152">
        <f t="shared" ca="1" si="173"/>
        <v>95286.384062867233</v>
      </c>
      <c r="BC132" s="152">
        <f t="shared" ca="1" si="174"/>
        <v>60807.052981023691</v>
      </c>
      <c r="BD132" s="152">
        <f t="shared" ca="1" si="175"/>
        <v>12934.64642614753</v>
      </c>
      <c r="BE132" s="152">
        <f t="shared" ca="1" si="176"/>
        <v>6617.9313354009828</v>
      </c>
      <c r="BF132" s="152">
        <f t="shared" ca="1" si="177"/>
        <v>5822.4058150631081</v>
      </c>
      <c r="BG132" s="152">
        <f t="shared" ca="1" si="178"/>
        <v>1581.4313107593121</v>
      </c>
      <c r="BH132" s="152">
        <f t="shared" ca="1" si="179"/>
        <v>538324.84971633134</v>
      </c>
      <c r="BI132" s="152">
        <f t="shared" ca="1" si="94"/>
        <v>834648.82028845069</v>
      </c>
      <c r="BJ132" s="163">
        <f t="shared" ca="1" si="123"/>
        <v>50710.870900901595</v>
      </c>
      <c r="BK132" s="163">
        <f t="shared" ca="1" si="124"/>
        <v>2857.1595494558946</v>
      </c>
      <c r="BL132" s="163">
        <f t="shared" ca="1" si="125"/>
        <v>66869.667436363568</v>
      </c>
      <c r="BM132" s="163">
        <f t="shared" ca="1" si="126"/>
        <v>42983.121098557553</v>
      </c>
      <c r="BN132" s="163">
        <f t="shared" ca="1" si="127"/>
        <v>9083.0444454089338</v>
      </c>
      <c r="BO132" s="163">
        <f t="shared" ca="1" si="128"/>
        <v>4791.272824147989</v>
      </c>
      <c r="BP132" s="163">
        <f t="shared" ca="1" si="129"/>
        <v>4631.2910295165248</v>
      </c>
      <c r="BQ132" s="163">
        <f t="shared" ca="1" si="130"/>
        <v>1164.383977604306</v>
      </c>
      <c r="BR132" s="163">
        <f t="shared" ca="1" si="131"/>
        <v>122696.18842963153</v>
      </c>
      <c r="BS132" s="163">
        <f t="shared" ca="1" si="95"/>
        <v>305786.99969158787</v>
      </c>
      <c r="BT132" s="164">
        <f t="shared" si="180"/>
        <v>1.3728844076341376E-2</v>
      </c>
      <c r="BU132" s="164">
        <f t="shared" si="181"/>
        <v>5.1020408163265302E-3</v>
      </c>
      <c r="BV132" s="164">
        <f t="shared" si="182"/>
        <v>6.3154538542663039E-3</v>
      </c>
      <c r="BW132" s="164">
        <f t="shared" si="183"/>
        <v>1.2684666327050433E-2</v>
      </c>
      <c r="BX132" s="164">
        <f t="shared" si="184"/>
        <v>1.8479630407391853E-2</v>
      </c>
      <c r="BY132" s="164">
        <f t="shared" si="185"/>
        <v>7.5809786354238459E-3</v>
      </c>
      <c r="BZ132" s="164">
        <f t="shared" si="186"/>
        <v>4.5743329097839899E-3</v>
      </c>
      <c r="CA132" s="164">
        <f t="shared" si="187"/>
        <v>6.7372473532242537E-3</v>
      </c>
      <c r="CB132" s="164">
        <f t="shared" si="188"/>
        <v>2.9793490610171756E-2</v>
      </c>
      <c r="CC132" s="164">
        <f t="shared" si="142"/>
        <v>1.5654173257419055E-2</v>
      </c>
      <c r="CD132" s="180">
        <f t="shared" si="153"/>
        <v>23945</v>
      </c>
      <c r="CE132" s="180">
        <f t="shared" si="154"/>
        <v>2748</v>
      </c>
      <c r="CF132" s="180">
        <f t="shared" si="155"/>
        <v>52800</v>
      </c>
      <c r="CG132" s="180">
        <f t="shared" si="156"/>
        <v>13040</v>
      </c>
      <c r="CH132" s="180">
        <f t="shared" si="157"/>
        <v>1651</v>
      </c>
      <c r="CI132" s="180">
        <f t="shared" si="158"/>
        <v>2119</v>
      </c>
      <c r="CJ132" s="180">
        <f t="shared" si="159"/>
        <v>4905</v>
      </c>
      <c r="CK132" s="180">
        <f t="shared" si="160"/>
        <v>721</v>
      </c>
      <c r="CL132" s="180">
        <f t="shared" si="161"/>
        <v>18035</v>
      </c>
      <c r="CM132" s="180">
        <f t="shared" si="161"/>
        <v>119964</v>
      </c>
      <c r="CN132" s="183">
        <f t="shared" si="143"/>
        <v>6.4668324584353518E-3</v>
      </c>
      <c r="CO132" s="183">
        <f t="shared" si="144"/>
        <v>1.3257745060080801E-3</v>
      </c>
      <c r="CP132" s="183">
        <f t="shared" si="145"/>
        <v>5.2143416396756501E-3</v>
      </c>
      <c r="CQ132" s="183">
        <f t="shared" si="146"/>
        <v>1.7844889751470086E-3</v>
      </c>
      <c r="CR132" s="183">
        <f t="shared" si="147"/>
        <v>4.0674259525770031E-4</v>
      </c>
      <c r="CS132" s="183">
        <f t="shared" si="148"/>
        <v>6.034284735161044E-4</v>
      </c>
      <c r="CT132" s="183">
        <f t="shared" si="149"/>
        <v>1.915947752017103E-3</v>
      </c>
      <c r="CU132" s="183">
        <f t="shared" si="150"/>
        <v>7.8579497529788133E-4</v>
      </c>
      <c r="CV132" s="183">
        <f t="shared" si="151"/>
        <v>1.0242238693426862E-2</v>
      </c>
      <c r="CW132" s="183">
        <f t="shared" si="152"/>
        <v>3.9911925118915241E-3</v>
      </c>
      <c r="CX132" s="193">
        <f t="shared" si="84"/>
        <v>2.9862816974742649E-3</v>
      </c>
      <c r="CY132" s="193">
        <f t="shared" si="85"/>
        <v>1.0950811977660725E-3</v>
      </c>
      <c r="CZ132" s="193">
        <f t="shared" si="86"/>
        <v>3.6592981754312711E-3</v>
      </c>
      <c r="DA132" s="193">
        <f t="shared" si="87"/>
        <v>1.2614146214538916E-3</v>
      </c>
      <c r="DB132" s="193">
        <f t="shared" si="88"/>
        <v>2.8562520758961565E-4</v>
      </c>
      <c r="DC132" s="193">
        <f t="shared" si="89"/>
        <v>4.3687223392740711E-4</v>
      </c>
      <c r="DD132" s="193">
        <f t="shared" si="90"/>
        <v>1.5239940187582038E-3</v>
      </c>
      <c r="DE132" s="193">
        <f t="shared" si="91"/>
        <v>5.7856896641278075E-4</v>
      </c>
      <c r="DF132" s="193">
        <f t="shared" si="92"/>
        <v>2.334433659029805E-3</v>
      </c>
      <c r="DG132" s="193">
        <f t="shared" si="93"/>
        <v>2.0521554120591702E-3</v>
      </c>
      <c r="DI132" s="83"/>
    </row>
    <row r="133" spans="1:113">
      <c r="A133" s="150">
        <v>44022</v>
      </c>
      <c r="B133" s="129">
        <v>46284</v>
      </c>
      <c r="C133" s="129">
        <v>4221</v>
      </c>
      <c r="D133" s="129">
        <v>87033</v>
      </c>
      <c r="E133" s="129">
        <v>21386</v>
      </c>
      <c r="F133" s="129">
        <v>2579</v>
      </c>
      <c r="G133" s="129">
        <v>3273</v>
      </c>
      <c r="H133" s="129">
        <v>8676</v>
      </c>
      <c r="I133" s="129">
        <v>1168</v>
      </c>
      <c r="J133" s="129">
        <v>76067</v>
      </c>
      <c r="K133" s="165">
        <f t="shared" si="78"/>
        <v>250687</v>
      </c>
      <c r="L133" s="80">
        <v>634</v>
      </c>
      <c r="M133" s="80">
        <v>19</v>
      </c>
      <c r="N133" s="80">
        <v>554</v>
      </c>
      <c r="O133" s="80">
        <v>260</v>
      </c>
      <c r="P133" s="80">
        <v>33</v>
      </c>
      <c r="Q133" s="80">
        <v>22</v>
      </c>
      <c r="R133" s="80">
        <v>36</v>
      </c>
      <c r="S133" s="80">
        <v>7</v>
      </c>
      <c r="T133" s="80">
        <v>2295</v>
      </c>
      <c r="U133" s="80">
        <f t="shared" si="79"/>
        <v>3860</v>
      </c>
      <c r="V133" s="130">
        <v>28903</v>
      </c>
      <c r="W133" s="130">
        <v>629</v>
      </c>
      <c r="X133" s="130">
        <v>23804</v>
      </c>
      <c r="Y133" s="130">
        <v>5953</v>
      </c>
      <c r="Z133" s="130">
        <v>665</v>
      </c>
      <c r="AA133" s="130">
        <v>779</v>
      </c>
      <c r="AB133" s="130">
        <v>1688</v>
      </c>
      <c r="AC133" s="130">
        <v>277</v>
      </c>
      <c r="AD133" s="130">
        <v>55534</v>
      </c>
      <c r="AE133" s="130">
        <f t="shared" si="80"/>
        <v>118232</v>
      </c>
      <c r="AF133" s="131">
        <f t="shared" si="162"/>
        <v>16747</v>
      </c>
      <c r="AG133" s="131">
        <f t="shared" si="163"/>
        <v>3573</v>
      </c>
      <c r="AH133" s="131">
        <f t="shared" si="164"/>
        <v>62675</v>
      </c>
      <c r="AI133" s="131">
        <f t="shared" si="165"/>
        <v>15173</v>
      </c>
      <c r="AJ133" s="131">
        <f t="shared" si="166"/>
        <v>1881</v>
      </c>
      <c r="AK133" s="131">
        <f t="shared" si="167"/>
        <v>2472</v>
      </c>
      <c r="AL133" s="131">
        <f t="shared" si="168"/>
        <v>6952</v>
      </c>
      <c r="AM133" s="131">
        <f t="shared" si="169"/>
        <v>884</v>
      </c>
      <c r="AN133" s="131">
        <f t="shared" si="170"/>
        <v>18238</v>
      </c>
      <c r="AO133" s="131">
        <f t="shared" si="81"/>
        <v>128595</v>
      </c>
      <c r="AP133" s="57">
        <f t="shared" si="105"/>
        <v>1852</v>
      </c>
      <c r="AQ133" s="57">
        <f t="shared" si="106"/>
        <v>497</v>
      </c>
      <c r="AR133" s="57">
        <f t="shared" si="107"/>
        <v>5487</v>
      </c>
      <c r="AS133" s="57">
        <f t="shared" si="108"/>
        <v>1756</v>
      </c>
      <c r="AT133" s="57">
        <f t="shared" si="109"/>
        <v>198</v>
      </c>
      <c r="AU133" s="57">
        <f t="shared" si="110"/>
        <v>371</v>
      </c>
      <c r="AV133" s="57">
        <f t="shared" si="111"/>
        <v>806</v>
      </c>
      <c r="AW133" s="57">
        <f t="shared" si="112"/>
        <v>129</v>
      </c>
      <c r="AX133" s="57">
        <f t="shared" si="113"/>
        <v>1252</v>
      </c>
      <c r="AY133" s="57">
        <f t="shared" si="82"/>
        <v>12348</v>
      </c>
      <c r="AZ133" s="152">
        <f t="shared" ca="1" si="171"/>
        <v>114031.79753601851</v>
      </c>
      <c r="BA133" s="152">
        <f t="shared" ca="1" si="172"/>
        <v>2962.0579200824941</v>
      </c>
      <c r="BB133" s="152">
        <f t="shared" ca="1" si="173"/>
        <v>103190.57431228823</v>
      </c>
      <c r="BC133" s="152">
        <f t="shared" ca="1" si="174"/>
        <v>62604.497088619115</v>
      </c>
      <c r="BD133" s="152">
        <f t="shared" ca="1" si="175"/>
        <v>8907.7348196106486</v>
      </c>
      <c r="BE133" s="152">
        <f t="shared" ca="1" si="176"/>
        <v>6246.9313354009828</v>
      </c>
      <c r="BF133" s="152">
        <f t="shared" ca="1" si="177"/>
        <v>5016.4058150631081</v>
      </c>
      <c r="BG133" s="152">
        <f t="shared" ca="1" si="178"/>
        <v>1452.4313107593121</v>
      </c>
      <c r="BH133" s="152">
        <f t="shared" ca="1" si="179"/>
        <v>555227.7308654018</v>
      </c>
      <c r="BI133" s="152">
        <f t="shared" ca="1" si="94"/>
        <v>859640.16100324423</v>
      </c>
      <c r="BJ133" s="163">
        <f t="shared" ca="1" si="123"/>
        <v>41260.273816776898</v>
      </c>
      <c r="BK133" s="163">
        <f t="shared" ca="1" si="124"/>
        <v>2507.328345997335</v>
      </c>
      <c r="BL133" s="163">
        <f t="shared" ca="1" si="125"/>
        <v>74310.54019765681</v>
      </c>
      <c r="BM133" s="163">
        <f t="shared" ca="1" si="126"/>
        <v>44416.816343664912</v>
      </c>
      <c r="BN133" s="163">
        <f t="shared" ca="1" si="127"/>
        <v>6496.8783232600344</v>
      </c>
      <c r="BO133" s="163">
        <f t="shared" ca="1" si="128"/>
        <v>4718.1222918152243</v>
      </c>
      <c r="BP133" s="163">
        <f t="shared" ca="1" si="129"/>
        <v>4019.6004179712686</v>
      </c>
      <c r="BQ133" s="163">
        <f t="shared" ca="1" si="130"/>
        <v>1099.2716427322191</v>
      </c>
      <c r="BR133" s="163">
        <f t="shared" ca="1" si="131"/>
        <v>133122.68599423137</v>
      </c>
      <c r="BS133" s="163">
        <f t="shared" ca="1" si="95"/>
        <v>311951.5173741061</v>
      </c>
      <c r="BT133" s="164">
        <f t="shared" si="180"/>
        <v>1.369803819894564E-2</v>
      </c>
      <c r="BU133" s="164">
        <f t="shared" si="181"/>
        <v>4.5013030087656955E-3</v>
      </c>
      <c r="BV133" s="164">
        <f t="shared" si="182"/>
        <v>6.36540162926706E-3</v>
      </c>
      <c r="BW133" s="164">
        <f t="shared" si="183"/>
        <v>1.2157486205929113E-2</v>
      </c>
      <c r="BX133" s="164">
        <f t="shared" si="184"/>
        <v>1.2795657231485071E-2</v>
      </c>
      <c r="BY133" s="164">
        <f t="shared" si="185"/>
        <v>6.7216620837152463E-3</v>
      </c>
      <c r="BZ133" s="164">
        <f t="shared" si="186"/>
        <v>4.1493775933609959E-3</v>
      </c>
      <c r="CA133" s="164">
        <f t="shared" si="187"/>
        <v>5.9931506849315065E-3</v>
      </c>
      <c r="CB133" s="164">
        <f t="shared" si="188"/>
        <v>3.0170770504949585E-2</v>
      </c>
      <c r="CC133" s="164">
        <f t="shared" si="142"/>
        <v>1.5397687155696147E-2</v>
      </c>
      <c r="CD133" s="180">
        <f t="shared" si="153"/>
        <v>24346</v>
      </c>
      <c r="CE133" s="180">
        <f t="shared" si="154"/>
        <v>3152</v>
      </c>
      <c r="CF133" s="180">
        <f t="shared" si="155"/>
        <v>55689</v>
      </c>
      <c r="CG133" s="180">
        <f t="shared" si="156"/>
        <v>14296</v>
      </c>
      <c r="CH133" s="180">
        <f t="shared" si="157"/>
        <v>1781</v>
      </c>
      <c r="CI133" s="180">
        <f t="shared" si="158"/>
        <v>2418</v>
      </c>
      <c r="CJ133" s="180">
        <f t="shared" si="159"/>
        <v>5458</v>
      </c>
      <c r="CK133" s="180">
        <f t="shared" si="160"/>
        <v>831</v>
      </c>
      <c r="CL133" s="180">
        <f t="shared" si="161"/>
        <v>18126</v>
      </c>
      <c r="CM133" s="180">
        <f t="shared" si="161"/>
        <v>126097</v>
      </c>
      <c r="CN133" s="183">
        <f t="shared" si="143"/>
        <v>6.7363808405253378E-3</v>
      </c>
      <c r="CO133" s="183">
        <f t="shared" si="144"/>
        <v>1.5027105772986321E-3</v>
      </c>
      <c r="CP133" s="183">
        <f t="shared" si="145"/>
        <v>5.5651999598495434E-3</v>
      </c>
      <c r="CQ133" s="183">
        <f t="shared" si="146"/>
        <v>1.9441202864235317E-3</v>
      </c>
      <c r="CR133" s="183">
        <f t="shared" si="147"/>
        <v>4.4056663299857585E-4</v>
      </c>
      <c r="CS133" s="183">
        <f t="shared" si="148"/>
        <v>6.8057249959276695E-4</v>
      </c>
      <c r="CT133" s="183">
        <f t="shared" si="149"/>
        <v>2.112168068170316E-3</v>
      </c>
      <c r="CU133" s="183">
        <f t="shared" si="150"/>
        <v>8.8335758532042871E-4</v>
      </c>
      <c r="CV133" s="183">
        <f t="shared" si="151"/>
        <v>1.0413638584413569E-2</v>
      </c>
      <c r="CW133" s="183">
        <f t="shared" si="152"/>
        <v>4.1979704422211656E-3</v>
      </c>
      <c r="CX133" s="193">
        <f t="shared" si="84"/>
        <v>2.4374334529487043E-3</v>
      </c>
      <c r="CY133" s="193">
        <f t="shared" si="85"/>
        <v>1.2720172690566245E-3</v>
      </c>
      <c r="CZ133" s="193">
        <f t="shared" si="86"/>
        <v>4.007662696719292E-3</v>
      </c>
      <c r="DA133" s="193">
        <f t="shared" si="87"/>
        <v>1.3793199806370639E-3</v>
      </c>
      <c r="DB133" s="193">
        <f t="shared" si="88"/>
        <v>3.2132835853831764E-4</v>
      </c>
      <c r="DC133" s="193">
        <f t="shared" si="89"/>
        <v>5.1401626000406966E-4</v>
      </c>
      <c r="DD133" s="193">
        <f t="shared" si="90"/>
        <v>1.6924610892024017E-3</v>
      </c>
      <c r="DE133" s="193">
        <f t="shared" si="91"/>
        <v>6.6856858341032453E-4</v>
      </c>
      <c r="DF133" s="193">
        <f t="shared" si="92"/>
        <v>2.4967980925044327E-3</v>
      </c>
      <c r="DG133" s="193">
        <f t="shared" si="93"/>
        <v>2.1534343983430765E-3</v>
      </c>
      <c r="DI133" s="83"/>
    </row>
    <row r="134" spans="1:113">
      <c r="A134" s="150">
        <v>44023</v>
      </c>
      <c r="B134" s="129">
        <v>48232</v>
      </c>
      <c r="C134" s="129">
        <v>4679</v>
      </c>
      <c r="D134" s="129">
        <v>93044</v>
      </c>
      <c r="E134" s="129">
        <v>23753</v>
      </c>
      <c r="F134" s="129">
        <v>2835</v>
      </c>
      <c r="G134" s="129">
        <v>3621</v>
      </c>
      <c r="H134" s="129">
        <v>9418</v>
      </c>
      <c r="I134" s="129">
        <v>1266</v>
      </c>
      <c r="J134" s="129">
        <v>77336</v>
      </c>
      <c r="K134" s="165">
        <f t="shared" si="78"/>
        <v>264184</v>
      </c>
      <c r="L134" s="80">
        <v>664</v>
      </c>
      <c r="M134" s="80">
        <v>19</v>
      </c>
      <c r="N134" s="80">
        <v>580</v>
      </c>
      <c r="O134" s="80">
        <v>273</v>
      </c>
      <c r="P134" s="80">
        <v>33</v>
      </c>
      <c r="Q134" s="80">
        <v>22</v>
      </c>
      <c r="R134" s="80">
        <v>36</v>
      </c>
      <c r="S134" s="80">
        <v>11</v>
      </c>
      <c r="T134" s="80">
        <v>2333</v>
      </c>
      <c r="U134" s="80">
        <f t="shared" si="79"/>
        <v>3971</v>
      </c>
      <c r="V134" s="130">
        <v>30917</v>
      </c>
      <c r="W134" s="130">
        <v>681</v>
      </c>
      <c r="X134" s="130">
        <v>29038</v>
      </c>
      <c r="Y134" s="130">
        <v>6021</v>
      </c>
      <c r="Z134" s="130">
        <v>991</v>
      </c>
      <c r="AA134" s="130">
        <v>910</v>
      </c>
      <c r="AB134" s="130">
        <v>1715</v>
      </c>
      <c r="AC134" s="130">
        <v>308</v>
      </c>
      <c r="AD134" s="130">
        <v>57134</v>
      </c>
      <c r="AE134" s="130">
        <f t="shared" si="80"/>
        <v>127715</v>
      </c>
      <c r="AF134" s="131">
        <f t="shared" si="162"/>
        <v>16651</v>
      </c>
      <c r="AG134" s="131">
        <f t="shared" si="163"/>
        <v>3979</v>
      </c>
      <c r="AH134" s="131">
        <f t="shared" si="164"/>
        <v>63426</v>
      </c>
      <c r="AI134" s="131">
        <f t="shared" si="165"/>
        <v>17459</v>
      </c>
      <c r="AJ134" s="131">
        <f t="shared" si="166"/>
        <v>1811</v>
      </c>
      <c r="AK134" s="131">
        <f t="shared" si="167"/>
        <v>2689</v>
      </c>
      <c r="AL134" s="131">
        <f t="shared" si="168"/>
        <v>7667</v>
      </c>
      <c r="AM134" s="131">
        <f t="shared" si="169"/>
        <v>947</v>
      </c>
      <c r="AN134" s="131">
        <f t="shared" si="170"/>
        <v>17869</v>
      </c>
      <c r="AO134" s="131">
        <f t="shared" si="81"/>
        <v>132498</v>
      </c>
      <c r="AP134" s="57">
        <f t="shared" si="105"/>
        <v>1948</v>
      </c>
      <c r="AQ134" s="57">
        <f t="shared" si="106"/>
        <v>458</v>
      </c>
      <c r="AR134" s="57">
        <f t="shared" si="107"/>
        <v>6011</v>
      </c>
      <c r="AS134" s="57">
        <f t="shared" si="108"/>
        <v>2367</v>
      </c>
      <c r="AT134" s="57">
        <f t="shared" si="109"/>
        <v>256</v>
      </c>
      <c r="AU134" s="57">
        <f t="shared" si="110"/>
        <v>348</v>
      </c>
      <c r="AV134" s="57">
        <f t="shared" si="111"/>
        <v>742</v>
      </c>
      <c r="AW134" s="57">
        <f t="shared" si="112"/>
        <v>98</v>
      </c>
      <c r="AX134" s="57">
        <f t="shared" si="113"/>
        <v>1269</v>
      </c>
      <c r="AY134" s="57">
        <f t="shared" si="82"/>
        <v>13497</v>
      </c>
      <c r="AZ134" s="152">
        <f t="shared" ca="1" si="171"/>
        <v>119669.71855507302</v>
      </c>
      <c r="BA134" s="152">
        <f t="shared" ca="1" si="172"/>
        <v>2504.0579200824941</v>
      </c>
      <c r="BB134" s="152">
        <f t="shared" ca="1" si="173"/>
        <v>106107.03447856891</v>
      </c>
      <c r="BC134" s="152">
        <f t="shared" ca="1" si="174"/>
        <v>64437.021943050073</v>
      </c>
      <c r="BD134" s="152">
        <f t="shared" ca="1" si="175"/>
        <v>8651.7348196106486</v>
      </c>
      <c r="BE134" s="152">
        <f t="shared" ca="1" si="176"/>
        <v>5898.9313354009828</v>
      </c>
      <c r="BF134" s="152">
        <f t="shared" ca="1" si="177"/>
        <v>4274.4058150631081</v>
      </c>
      <c r="BG134" s="152">
        <f t="shared" ca="1" si="178"/>
        <v>2851.8206311932045</v>
      </c>
      <c r="BH134" s="152">
        <f t="shared" ca="1" si="179"/>
        <v>564411.54122395744</v>
      </c>
      <c r="BI134" s="152">
        <f t="shared" ca="1" si="94"/>
        <v>878806.26672199997</v>
      </c>
      <c r="BJ134" s="163">
        <f t="shared" ca="1" si="123"/>
        <v>41313.246053668117</v>
      </c>
      <c r="BK134" s="163">
        <f t="shared" ca="1" si="124"/>
        <v>2129.4392955777398</v>
      </c>
      <c r="BL134" s="163">
        <f t="shared" ca="1" si="125"/>
        <v>72330.776501845481</v>
      </c>
      <c r="BM134" s="163">
        <f t="shared" ca="1" si="126"/>
        <v>47362.689601469756</v>
      </c>
      <c r="BN134" s="163">
        <f t="shared" ca="1" si="127"/>
        <v>5526.73430628391</v>
      </c>
      <c r="BO134" s="163">
        <f t="shared" ca="1" si="128"/>
        <v>4380.6203703102019</v>
      </c>
      <c r="BP134" s="163">
        <f t="shared" ca="1" si="129"/>
        <v>3479.7058169557072</v>
      </c>
      <c r="BQ134" s="163">
        <f t="shared" ca="1" si="130"/>
        <v>2133.2339160663228</v>
      </c>
      <c r="BR134" s="163">
        <f t="shared" ca="1" si="131"/>
        <v>130411.06121509899</v>
      </c>
      <c r="BS134" s="163">
        <f t="shared" ca="1" si="95"/>
        <v>309067.50707727624</v>
      </c>
      <c r="BT134" s="164">
        <f t="shared" si="180"/>
        <v>1.3766793829822524E-2</v>
      </c>
      <c r="BU134" s="164">
        <f t="shared" si="181"/>
        <v>4.0606967300705283E-3</v>
      </c>
      <c r="BV134" s="164">
        <f t="shared" si="182"/>
        <v>6.2336099049911872E-3</v>
      </c>
      <c r="BW134" s="164">
        <f t="shared" si="183"/>
        <v>1.1493285058729423E-2</v>
      </c>
      <c r="BX134" s="164">
        <f t="shared" si="184"/>
        <v>1.164021164021164E-2</v>
      </c>
      <c r="BY134" s="164">
        <f t="shared" si="185"/>
        <v>6.0756697045015193E-3</v>
      </c>
      <c r="BZ134" s="164">
        <f t="shared" si="186"/>
        <v>3.8224676152049269E-3</v>
      </c>
      <c r="CA134" s="164">
        <f t="shared" si="187"/>
        <v>8.6887835703001581E-3</v>
      </c>
      <c r="CB134" s="164">
        <f t="shared" si="188"/>
        <v>3.0167063204717078E-2</v>
      </c>
      <c r="CC134" s="164">
        <f t="shared" si="142"/>
        <v>1.5031190382460709E-2</v>
      </c>
      <c r="CD134" s="180">
        <f t="shared" si="153"/>
        <v>24574</v>
      </c>
      <c r="CE134" s="180">
        <f t="shared" si="154"/>
        <v>3519</v>
      </c>
      <c r="CF134" s="180">
        <f t="shared" si="155"/>
        <v>58759</v>
      </c>
      <c r="CG134" s="180">
        <f t="shared" si="156"/>
        <v>15967</v>
      </c>
      <c r="CH134" s="180">
        <f t="shared" si="157"/>
        <v>1973</v>
      </c>
      <c r="CI134" s="180">
        <f t="shared" si="158"/>
        <v>2696</v>
      </c>
      <c r="CJ134" s="180">
        <f t="shared" si="159"/>
        <v>5964</v>
      </c>
      <c r="CK134" s="180">
        <f t="shared" si="160"/>
        <v>911</v>
      </c>
      <c r="CL134" s="180">
        <f t="shared" si="161"/>
        <v>18021</v>
      </c>
      <c r="CM134" s="180">
        <f t="shared" si="161"/>
        <v>132384</v>
      </c>
      <c r="CN134" s="183">
        <f t="shared" si="143"/>
        <v>7.0199014929612415E-3</v>
      </c>
      <c r="CO134" s="183">
        <f t="shared" si="144"/>
        <v>1.6657623291116558E-3</v>
      </c>
      <c r="CP134" s="183">
        <f t="shared" si="145"/>
        <v>5.9495647060797728E-3</v>
      </c>
      <c r="CQ134" s="183">
        <f t="shared" si="146"/>
        <v>2.1592952942774781E-3</v>
      </c>
      <c r="CR134" s="183">
        <f t="shared" si="147"/>
        <v>4.8429872219889978E-4</v>
      </c>
      <c r="CS134" s="183">
        <f t="shared" si="148"/>
        <v>7.5293401192343698E-4</v>
      </c>
      <c r="CT134" s="183">
        <f t="shared" si="149"/>
        <v>2.292807614802678E-3</v>
      </c>
      <c r="CU134" s="183">
        <f t="shared" si="150"/>
        <v>9.5747491696546465E-4</v>
      </c>
      <c r="CV134" s="183">
        <f t="shared" si="151"/>
        <v>1.0587365790213993E-2</v>
      </c>
      <c r="CW134" s="183">
        <f t="shared" si="152"/>
        <v>4.4239893704410543E-3</v>
      </c>
      <c r="CX134" s="193">
        <f t="shared" si="84"/>
        <v>2.4234611826027871E-3</v>
      </c>
      <c r="CY134" s="193">
        <f t="shared" si="85"/>
        <v>1.4165565948996107E-3</v>
      </c>
      <c r="CZ134" s="193">
        <f t="shared" si="86"/>
        <v>4.0556843111626299E-3</v>
      </c>
      <c r="DA134" s="193">
        <f t="shared" si="87"/>
        <v>1.587131585180419E-3</v>
      </c>
      <c r="DB134" s="193">
        <f t="shared" si="88"/>
        <v>3.0937036539760405E-4</v>
      </c>
      <c r="DC134" s="193">
        <f t="shared" si="89"/>
        <v>5.5913823752060815E-4</v>
      </c>
      <c r="DD134" s="193">
        <f t="shared" si="90"/>
        <v>1.8665274986931549E-3</v>
      </c>
      <c r="DE134" s="193">
        <f t="shared" si="91"/>
        <v>7.1621543946784761E-4</v>
      </c>
      <c r="DF134" s="193">
        <f t="shared" si="92"/>
        <v>2.4462816709596284E-3</v>
      </c>
      <c r="DG134" s="193">
        <f t="shared" si="93"/>
        <v>2.2187935060590299E-3</v>
      </c>
      <c r="DI134" s="83"/>
    </row>
    <row r="135" spans="1:113">
      <c r="A135" s="150">
        <v>44024</v>
      </c>
      <c r="B135" s="129">
        <v>50300</v>
      </c>
      <c r="C135" s="129">
        <v>5224</v>
      </c>
      <c r="D135" s="129">
        <v>98431</v>
      </c>
      <c r="E135" s="129">
        <v>25572</v>
      </c>
      <c r="F135" s="129">
        <v>3014</v>
      </c>
      <c r="G135" s="129">
        <v>3977</v>
      </c>
      <c r="H135" s="129">
        <v>9924</v>
      </c>
      <c r="I135" s="129">
        <v>1401</v>
      </c>
      <c r="J135" s="129">
        <v>78399</v>
      </c>
      <c r="K135" s="165">
        <f t="shared" si="78"/>
        <v>276242</v>
      </c>
      <c r="L135" s="80">
        <v>686</v>
      </c>
      <c r="M135" s="80">
        <v>19</v>
      </c>
      <c r="N135" s="80">
        <v>644</v>
      </c>
      <c r="O135" s="80">
        <v>280</v>
      </c>
      <c r="P135" s="80">
        <v>33</v>
      </c>
      <c r="Q135" s="80">
        <v>22</v>
      </c>
      <c r="R135" s="80">
        <v>36</v>
      </c>
      <c r="S135" s="80">
        <v>11</v>
      </c>
      <c r="T135" s="80">
        <v>2348</v>
      </c>
      <c r="U135" s="80">
        <f t="shared" si="79"/>
        <v>4079</v>
      </c>
      <c r="V135" s="130">
        <v>31586</v>
      </c>
      <c r="W135" s="130">
        <v>681</v>
      </c>
      <c r="X135" s="130">
        <v>32958</v>
      </c>
      <c r="Y135" s="130">
        <v>6021</v>
      </c>
      <c r="Z135" s="130">
        <v>1147</v>
      </c>
      <c r="AA135" s="130">
        <v>910</v>
      </c>
      <c r="AB135" s="130">
        <v>2191</v>
      </c>
      <c r="AC135" s="130">
        <v>310</v>
      </c>
      <c r="AD135" s="130">
        <v>59070</v>
      </c>
      <c r="AE135" s="130">
        <f t="shared" si="80"/>
        <v>134874</v>
      </c>
      <c r="AF135" s="131">
        <f t="shared" si="162"/>
        <v>18028</v>
      </c>
      <c r="AG135" s="131">
        <f t="shared" si="163"/>
        <v>4524</v>
      </c>
      <c r="AH135" s="131">
        <f t="shared" si="164"/>
        <v>64829</v>
      </c>
      <c r="AI135" s="131">
        <f t="shared" si="165"/>
        <v>19271</v>
      </c>
      <c r="AJ135" s="131">
        <f t="shared" si="166"/>
        <v>1834</v>
      </c>
      <c r="AK135" s="131">
        <f t="shared" si="167"/>
        <v>3045</v>
      </c>
      <c r="AL135" s="131">
        <f t="shared" si="168"/>
        <v>7697</v>
      </c>
      <c r="AM135" s="131">
        <f t="shared" si="169"/>
        <v>1080</v>
      </c>
      <c r="AN135" s="131">
        <f t="shared" si="170"/>
        <v>16981</v>
      </c>
      <c r="AO135" s="131">
        <f t="shared" si="81"/>
        <v>137289</v>
      </c>
      <c r="AP135" s="57">
        <f t="shared" si="105"/>
        <v>2068</v>
      </c>
      <c r="AQ135" s="57">
        <f t="shared" si="106"/>
        <v>545</v>
      </c>
      <c r="AR135" s="57">
        <f t="shared" si="107"/>
        <v>5387</v>
      </c>
      <c r="AS135" s="57">
        <f t="shared" si="108"/>
        <v>1819</v>
      </c>
      <c r="AT135" s="57">
        <f t="shared" si="109"/>
        <v>179</v>
      </c>
      <c r="AU135" s="57">
        <f t="shared" si="110"/>
        <v>356</v>
      </c>
      <c r="AV135" s="57">
        <f t="shared" si="111"/>
        <v>506</v>
      </c>
      <c r="AW135" s="57">
        <f t="shared" si="112"/>
        <v>135</v>
      </c>
      <c r="AX135" s="57">
        <f t="shared" si="113"/>
        <v>1063</v>
      </c>
      <c r="AY135" s="57">
        <f t="shared" si="82"/>
        <v>12058</v>
      </c>
      <c r="AZ135" s="152">
        <f t="shared" ca="1" si="171"/>
        <v>123164.72730237967</v>
      </c>
      <c r="BA135" s="152">
        <f t="shared" ca="1" si="172"/>
        <v>1959.0579200824941</v>
      </c>
      <c r="BB135" s="152">
        <f t="shared" ca="1" si="173"/>
        <v>122695.32104172133</v>
      </c>
      <c r="BC135" s="152">
        <f t="shared" ca="1" si="174"/>
        <v>64879.304556974443</v>
      </c>
      <c r="BD135" s="152">
        <f t="shared" ca="1" si="175"/>
        <v>8472.7348196106486</v>
      </c>
      <c r="BE135" s="152">
        <f t="shared" ca="1" si="176"/>
        <v>5542.9313354009828</v>
      </c>
      <c r="BF135" s="152">
        <f t="shared" ca="1" si="177"/>
        <v>3768.4058150631081</v>
      </c>
      <c r="BG135" s="152">
        <f t="shared" ca="1" si="178"/>
        <v>2716.8206311932045</v>
      </c>
      <c r="BH135" s="152">
        <f t="shared" ca="1" si="179"/>
        <v>567474.65057601884</v>
      </c>
      <c r="BI135" s="152">
        <f t="shared" ca="1" si="94"/>
        <v>900673.95399844483</v>
      </c>
      <c r="BJ135" s="163">
        <f t="shared" ca="1" si="123"/>
        <v>44143.413594578538</v>
      </c>
      <c r="BK135" s="163">
        <f t="shared" ca="1" si="124"/>
        <v>1696.5501589688367</v>
      </c>
      <c r="BL135" s="163">
        <f t="shared" ca="1" si="125"/>
        <v>80810.059511878906</v>
      </c>
      <c r="BM135" s="163">
        <f t="shared" ca="1" si="126"/>
        <v>48892.893716465449</v>
      </c>
      <c r="BN135" s="163">
        <f t="shared" ca="1" si="127"/>
        <v>5155.6057263324255</v>
      </c>
      <c r="BO135" s="163">
        <f t="shared" ca="1" si="128"/>
        <v>4243.9592447312025</v>
      </c>
      <c r="BP135" s="163">
        <f t="shared" ca="1" si="129"/>
        <v>2922.7548930411872</v>
      </c>
      <c r="BQ135" s="163">
        <f t="shared" ca="1" si="130"/>
        <v>2094.3371032752752</v>
      </c>
      <c r="BR135" s="163">
        <f t="shared" ca="1" si="131"/>
        <v>122913.39228091399</v>
      </c>
      <c r="BS135" s="163">
        <f t="shared" ca="1" si="95"/>
        <v>312872.96623018582</v>
      </c>
      <c r="BT135" s="164">
        <f t="shared" si="180"/>
        <v>1.3638170974155069E-2</v>
      </c>
      <c r="BU135" s="164">
        <f t="shared" si="181"/>
        <v>3.6370597243491577E-3</v>
      </c>
      <c r="BV135" s="164">
        <f t="shared" si="182"/>
        <v>6.5426542451057085E-3</v>
      </c>
      <c r="BW135" s="164">
        <f t="shared" si="183"/>
        <v>1.0949475989363366E-2</v>
      </c>
      <c r="BX135" s="164">
        <f t="shared" si="184"/>
        <v>1.0948905109489052E-2</v>
      </c>
      <c r="BY135" s="164">
        <f t="shared" si="185"/>
        <v>5.5318078953985415E-3</v>
      </c>
      <c r="BZ135" s="164">
        <f t="shared" si="186"/>
        <v>3.6275695284159614E-3</v>
      </c>
      <c r="CA135" s="164">
        <f t="shared" si="187"/>
        <v>7.8515346181299069E-3</v>
      </c>
      <c r="CB135" s="164">
        <f t="shared" si="188"/>
        <v>2.9949361598999986E-2</v>
      </c>
      <c r="CC135" s="164">
        <f t="shared" si="142"/>
        <v>1.4766038473512355E-2</v>
      </c>
      <c r="CD135" s="180">
        <f t="shared" si="153"/>
        <v>25201</v>
      </c>
      <c r="CE135" s="180">
        <f t="shared" si="154"/>
        <v>3945</v>
      </c>
      <c r="CF135" s="180">
        <f t="shared" si="155"/>
        <v>61536</v>
      </c>
      <c r="CG135" s="180">
        <f t="shared" si="156"/>
        <v>17139</v>
      </c>
      <c r="CH135" s="180">
        <f t="shared" si="157"/>
        <v>2079</v>
      </c>
      <c r="CI135" s="180">
        <f t="shared" si="158"/>
        <v>2961</v>
      </c>
      <c r="CJ135" s="180">
        <f t="shared" si="159"/>
        <v>6277</v>
      </c>
      <c r="CK135" s="180">
        <f t="shared" si="160"/>
        <v>1016</v>
      </c>
      <c r="CL135" s="180">
        <f t="shared" si="161"/>
        <v>17954</v>
      </c>
      <c r="CM135" s="180">
        <f t="shared" si="161"/>
        <v>138108</v>
      </c>
      <c r="CN135" s="183">
        <f t="shared" si="143"/>
        <v>7.3208874833295412E-3</v>
      </c>
      <c r="CO135" s="183">
        <f t="shared" si="144"/>
        <v>1.8597867936053195E-3</v>
      </c>
      <c r="CP135" s="183">
        <f t="shared" si="145"/>
        <v>6.2940286701360449E-3</v>
      </c>
      <c r="CQ135" s="183">
        <f t="shared" si="146"/>
        <v>2.3246536970177945E-3</v>
      </c>
      <c r="CR135" s="183">
        <f t="shared" si="147"/>
        <v>5.1487701894443875E-4</v>
      </c>
      <c r="CS135" s="183">
        <f t="shared" si="148"/>
        <v>8.2695900729619137E-4</v>
      </c>
      <c r="CT135" s="183">
        <f t="shared" si="149"/>
        <v>2.4159930738269033E-3</v>
      </c>
      <c r="CU135" s="183">
        <f t="shared" si="150"/>
        <v>1.0595753228030142E-3</v>
      </c>
      <c r="CV135" s="183">
        <f t="shared" si="151"/>
        <v>1.0732891416507019E-2</v>
      </c>
      <c r="CW135" s="183">
        <f t="shared" si="152"/>
        <v>4.6259110001717653E-3</v>
      </c>
      <c r="CX135" s="193">
        <f t="shared" si="84"/>
        <v>2.6238759353770374E-3</v>
      </c>
      <c r="CY135" s="193">
        <f t="shared" si="85"/>
        <v>1.6105810593932744E-3</v>
      </c>
      <c r="CZ135" s="193">
        <f t="shared" si="86"/>
        <v>4.1453971274928595E-3</v>
      </c>
      <c r="DA135" s="193">
        <f t="shared" si="87"/>
        <v>1.7518536444247582E-3</v>
      </c>
      <c r="DB135" s="193">
        <f t="shared" si="88"/>
        <v>3.1329942028669565E-4</v>
      </c>
      <c r="DC135" s="193">
        <f t="shared" si="89"/>
        <v>6.3316323289336254E-4</v>
      </c>
      <c r="DD135" s="193">
        <f t="shared" si="90"/>
        <v>1.8738309844060536E-3</v>
      </c>
      <c r="DE135" s="193">
        <f t="shared" si="91"/>
        <v>8.1680324670039639E-4</v>
      </c>
      <c r="DF135" s="193">
        <f t="shared" si="92"/>
        <v>2.3247136971607505E-3</v>
      </c>
      <c r="DG135" s="193">
        <f t="shared" si="93"/>
        <v>2.2990229411261917E-3</v>
      </c>
      <c r="DI135" s="83"/>
    </row>
    <row r="136" spans="1:113">
      <c r="A136" s="150">
        <v>44025</v>
      </c>
      <c r="B136" s="129">
        <v>52058</v>
      </c>
      <c r="C136" s="129">
        <v>5632</v>
      </c>
      <c r="D136" s="129">
        <v>103713</v>
      </c>
      <c r="E136" s="129">
        <v>27387</v>
      </c>
      <c r="F136" s="129">
        <v>3316</v>
      </c>
      <c r="G136" s="129">
        <v>4299</v>
      </c>
      <c r="H136" s="129">
        <v>10525</v>
      </c>
      <c r="I136" s="129">
        <v>1522</v>
      </c>
      <c r="J136" s="129">
        <v>79344</v>
      </c>
      <c r="K136" s="165">
        <f t="shared" ref="K136:K173" si="189">SUM(B136:J136)</f>
        <v>287796</v>
      </c>
      <c r="L136" s="80">
        <v>709</v>
      </c>
      <c r="M136" s="80">
        <v>35</v>
      </c>
      <c r="N136" s="80">
        <v>644</v>
      </c>
      <c r="O136" s="80">
        <v>286</v>
      </c>
      <c r="P136" s="80">
        <v>33</v>
      </c>
      <c r="Q136" s="80">
        <v>33</v>
      </c>
      <c r="R136" s="80">
        <v>36</v>
      </c>
      <c r="S136" s="80">
        <v>11</v>
      </c>
      <c r="T136" s="80">
        <v>2385</v>
      </c>
      <c r="U136" s="80">
        <f t="shared" ref="U136:U173" si="190">SUM(L136:T136)</f>
        <v>4172</v>
      </c>
      <c r="V136" s="130">
        <v>32083</v>
      </c>
      <c r="W136" s="130">
        <v>746</v>
      </c>
      <c r="X136" s="130">
        <v>33514</v>
      </c>
      <c r="Y136" s="130">
        <v>7521</v>
      </c>
      <c r="Z136" s="130">
        <v>1147</v>
      </c>
      <c r="AA136" s="130">
        <v>910</v>
      </c>
      <c r="AB136" s="130">
        <v>2474</v>
      </c>
      <c r="AC136" s="130">
        <v>354</v>
      </c>
      <c r="AD136" s="130">
        <v>59492</v>
      </c>
      <c r="AE136" s="130">
        <f t="shared" ref="AE136:AE173" si="191">SUM(V136:AD136)</f>
        <v>138241</v>
      </c>
      <c r="AF136" s="131">
        <f t="shared" si="162"/>
        <v>19266</v>
      </c>
      <c r="AG136" s="131">
        <f t="shared" si="163"/>
        <v>4851</v>
      </c>
      <c r="AH136" s="131">
        <f t="shared" si="164"/>
        <v>69555</v>
      </c>
      <c r="AI136" s="131">
        <f t="shared" si="165"/>
        <v>19580</v>
      </c>
      <c r="AJ136" s="131">
        <f t="shared" si="166"/>
        <v>2136</v>
      </c>
      <c r="AK136" s="131">
        <f t="shared" si="167"/>
        <v>3356</v>
      </c>
      <c r="AL136" s="131">
        <f t="shared" si="168"/>
        <v>8015</v>
      </c>
      <c r="AM136" s="131">
        <f t="shared" si="169"/>
        <v>1157</v>
      </c>
      <c r="AN136" s="131">
        <f t="shared" si="170"/>
        <v>17467</v>
      </c>
      <c r="AO136" s="131">
        <f t="shared" ref="AO136:AO157" si="192">SUM(AF136:AN136)</f>
        <v>145383</v>
      </c>
      <c r="AP136" s="57">
        <f t="shared" si="105"/>
        <v>1758</v>
      </c>
      <c r="AQ136" s="57">
        <f t="shared" si="106"/>
        <v>408</v>
      </c>
      <c r="AR136" s="57">
        <f t="shared" si="107"/>
        <v>5282</v>
      </c>
      <c r="AS136" s="57">
        <f t="shared" si="108"/>
        <v>1815</v>
      </c>
      <c r="AT136" s="57">
        <f t="shared" si="109"/>
        <v>302</v>
      </c>
      <c r="AU136" s="57">
        <f t="shared" si="110"/>
        <v>322</v>
      </c>
      <c r="AV136" s="57">
        <f t="shared" si="111"/>
        <v>601</v>
      </c>
      <c r="AW136" s="57">
        <f t="shared" si="112"/>
        <v>121</v>
      </c>
      <c r="AX136" s="57">
        <f t="shared" si="113"/>
        <v>945</v>
      </c>
      <c r="AY136" s="57">
        <f t="shared" ref="AY136:AY149" si="193">SUM(AP136:AX136)</f>
        <v>11554</v>
      </c>
      <c r="AZ136" s="152">
        <f t="shared" ca="1" si="171"/>
        <v>127222.60008365478</v>
      </c>
      <c r="BA136" s="152">
        <f t="shared" ca="1" si="172"/>
        <v>7599.948800151964</v>
      </c>
      <c r="BB136" s="152">
        <f t="shared" ca="1" si="173"/>
        <v>117413.32104172133</v>
      </c>
      <c r="BC136" s="152">
        <f t="shared" ca="1" si="174"/>
        <v>65002.546797481031</v>
      </c>
      <c r="BD136" s="152">
        <f t="shared" ca="1" si="175"/>
        <v>8170.7348196106486</v>
      </c>
      <c r="BE136" s="152">
        <f t="shared" ca="1" si="176"/>
        <v>9980.8970031014742</v>
      </c>
      <c r="BF136" s="152">
        <f t="shared" ca="1" si="177"/>
        <v>3167.4058150631081</v>
      </c>
      <c r="BG136" s="152">
        <f t="shared" ca="1" si="178"/>
        <v>2595.8206311932045</v>
      </c>
      <c r="BH136" s="152">
        <f t="shared" ca="1" si="179"/>
        <v>576707.38697777048</v>
      </c>
      <c r="BI136" s="152">
        <f t="shared" ca="1" si="94"/>
        <v>917860.66196974809</v>
      </c>
      <c r="BJ136" s="163">
        <f t="shared" ca="1" si="123"/>
        <v>47083.457167230641</v>
      </c>
      <c r="BK136" s="163">
        <f t="shared" ca="1" si="124"/>
        <v>6546.0496501308917</v>
      </c>
      <c r="BL136" s="163">
        <f t="shared" ca="1" si="125"/>
        <v>78743.103999083309</v>
      </c>
      <c r="BM136" s="163">
        <f t="shared" ca="1" si="126"/>
        <v>46472.774173683814</v>
      </c>
      <c r="BN136" s="163">
        <f t="shared" ca="1" si="127"/>
        <v>5263.1753844054119</v>
      </c>
      <c r="BO136" s="163">
        <f t="shared" ca="1" si="128"/>
        <v>7791.5539293809143</v>
      </c>
      <c r="BP136" s="163">
        <f t="shared" ca="1" si="129"/>
        <v>2412.0434781691979</v>
      </c>
      <c r="BQ136" s="163">
        <f t="shared" ca="1" si="130"/>
        <v>1973.3012288374096</v>
      </c>
      <c r="BR136" s="163">
        <f t="shared" ca="1" si="131"/>
        <v>126957.90391637322</v>
      </c>
      <c r="BS136" s="163">
        <f t="shared" ca="1" si="95"/>
        <v>323243.3629272948</v>
      </c>
      <c r="BT136" s="164">
        <f t="shared" si="180"/>
        <v>1.3619424488070998E-2</v>
      </c>
      <c r="BU136" s="164">
        <f t="shared" si="181"/>
        <v>6.214488636363636E-3</v>
      </c>
      <c r="BV136" s="164">
        <f t="shared" si="182"/>
        <v>6.2094433677552475E-3</v>
      </c>
      <c r="BW136" s="164">
        <f t="shared" si="183"/>
        <v>1.044291087012086E-2</v>
      </c>
      <c r="BX136" s="164">
        <f t="shared" si="184"/>
        <v>9.9517490952955364E-3</v>
      </c>
      <c r="BY136" s="164">
        <f t="shared" si="185"/>
        <v>7.6762037683182132E-3</v>
      </c>
      <c r="BZ136" s="164">
        <f t="shared" si="186"/>
        <v>3.4204275534441804E-3</v>
      </c>
      <c r="CA136" s="164">
        <f t="shared" si="187"/>
        <v>7.2273324572930354E-3</v>
      </c>
      <c r="CB136" s="164">
        <f t="shared" si="188"/>
        <v>3.0058983666061707E-2</v>
      </c>
      <c r="CC136" s="164">
        <f t="shared" si="142"/>
        <v>1.4496379379838496E-2</v>
      </c>
      <c r="CD136" s="180">
        <f t="shared" si="153"/>
        <v>25863</v>
      </c>
      <c r="CE136" s="180">
        <f t="shared" si="154"/>
        <v>4255</v>
      </c>
      <c r="CF136" s="180">
        <f t="shared" si="155"/>
        <v>63872</v>
      </c>
      <c r="CG136" s="180">
        <f t="shared" si="156"/>
        <v>18346</v>
      </c>
      <c r="CH136" s="180">
        <f t="shared" si="157"/>
        <v>2305</v>
      </c>
      <c r="CI136" s="180">
        <f t="shared" si="158"/>
        <v>3210</v>
      </c>
      <c r="CJ136" s="180">
        <f t="shared" si="159"/>
        <v>6594</v>
      </c>
      <c r="CK136" s="180">
        <f t="shared" si="160"/>
        <v>1118</v>
      </c>
      <c r="CL136" s="180">
        <f t="shared" si="161"/>
        <v>17969</v>
      </c>
      <c r="CM136" s="180">
        <f t="shared" si="161"/>
        <v>143532</v>
      </c>
      <c r="CN136" s="183">
        <f t="shared" si="143"/>
        <v>7.5767546840391506E-3</v>
      </c>
      <c r="CO136" s="183">
        <f t="shared" si="144"/>
        <v>2.0050381358317688E-3</v>
      </c>
      <c r="CP136" s="183">
        <f t="shared" si="145"/>
        <v>6.6317785602688136E-3</v>
      </c>
      <c r="CQ136" s="183">
        <f t="shared" si="146"/>
        <v>2.4896484749032666E-3</v>
      </c>
      <c r="CR136" s="183">
        <f t="shared" si="147"/>
        <v>5.6646721792294593E-4</v>
      </c>
      <c r="CS136" s="183">
        <f t="shared" si="148"/>
        <v>8.939141997400872E-4</v>
      </c>
      <c r="CT136" s="183">
        <f t="shared" si="149"/>
        <v>2.5623062376086418E-3</v>
      </c>
      <c r="CU136" s="183">
        <f t="shared" si="150"/>
        <v>1.1510875384055587E-3</v>
      </c>
      <c r="CV136" s="183">
        <f t="shared" si="151"/>
        <v>1.0862262739975419E-2</v>
      </c>
      <c r="CW136" s="183">
        <f t="shared" si="152"/>
        <v>4.8193927143788179E-3</v>
      </c>
      <c r="CX136" s="193">
        <f t="shared" ref="CX136:CX157" si="194">AF136/AF$5</f>
        <v>2.8040600050462613E-3</v>
      </c>
      <c r="CY136" s="193">
        <f t="shared" ref="CY136:CY157" si="195">AG136/AG$5</f>
        <v>1.7269957380894726E-3</v>
      </c>
      <c r="CZ136" s="193">
        <f t="shared" ref="CZ136:CZ157" si="196">AH136/AH$5</f>
        <v>4.4475943976116528E-3</v>
      </c>
      <c r="DA136" s="193">
        <f t="shared" ref="DA136:DA157" si="197">AI136/AI$5</f>
        <v>1.7799436644614585E-3</v>
      </c>
      <c r="DB136" s="193">
        <f t="shared" ref="DB136:DB157" si="198">AJ136/AJ$5</f>
        <v>3.6488961926520278E-4</v>
      </c>
      <c r="DC136" s="193">
        <f t="shared" ref="DC136:DC157" si="199">AK136/AK$5</f>
        <v>6.9783113615439233E-4</v>
      </c>
      <c r="DD136" s="193">
        <f t="shared" ref="DD136:DD157" si="200">AL136/AL$5</f>
        <v>1.9512479329627803E-3</v>
      </c>
      <c r="DE136" s="193">
        <f t="shared" ref="DE136:DE157" si="201">AM136/AM$5</f>
        <v>8.750382929929247E-4</v>
      </c>
      <c r="DF136" s="193">
        <f t="shared" ref="DF136:DF157" si="202">AN136/AN$5</f>
        <v>2.3912475206587852E-3</v>
      </c>
      <c r="DG136" s="193">
        <f t="shared" ref="DG136:DG157" si="203">AO136/AO$5</f>
        <v>2.4345639654287606E-3</v>
      </c>
      <c r="DI136" s="83"/>
    </row>
    <row r="137" spans="1:113">
      <c r="A137" s="150">
        <v>44026</v>
      </c>
      <c r="B137" s="129">
        <v>53959</v>
      </c>
      <c r="C137" s="129">
        <v>5973</v>
      </c>
      <c r="D137" s="129">
        <v>107070</v>
      </c>
      <c r="E137" s="129">
        <v>30587</v>
      </c>
      <c r="F137" s="129">
        <v>3458</v>
      </c>
      <c r="G137" s="129">
        <v>4576</v>
      </c>
      <c r="H137" s="129">
        <v>10784</v>
      </c>
      <c r="I137" s="129">
        <v>1579</v>
      </c>
      <c r="J137" s="129">
        <v>80199</v>
      </c>
      <c r="K137" s="165">
        <f t="shared" si="189"/>
        <v>298185</v>
      </c>
      <c r="L137" s="80">
        <v>726</v>
      </c>
      <c r="M137" s="80">
        <v>35</v>
      </c>
      <c r="N137" s="80">
        <v>726</v>
      </c>
      <c r="O137" s="80">
        <v>313</v>
      </c>
      <c r="P137" s="80">
        <v>33</v>
      </c>
      <c r="Q137" s="80">
        <v>33</v>
      </c>
      <c r="R137" s="80">
        <v>36</v>
      </c>
      <c r="S137" s="80">
        <v>15</v>
      </c>
      <c r="T137" s="80">
        <v>2429</v>
      </c>
      <c r="U137" s="80">
        <f t="shared" si="190"/>
        <v>4346</v>
      </c>
      <c r="V137" s="130">
        <v>34706</v>
      </c>
      <c r="W137" s="130">
        <v>746</v>
      </c>
      <c r="X137" s="130">
        <v>36146</v>
      </c>
      <c r="Y137" s="130">
        <v>7521</v>
      </c>
      <c r="Z137" s="130">
        <v>1147</v>
      </c>
      <c r="AA137" s="130">
        <v>1179</v>
      </c>
      <c r="AB137" s="130">
        <v>2575</v>
      </c>
      <c r="AC137" s="130">
        <v>503</v>
      </c>
      <c r="AD137" s="130">
        <v>61756</v>
      </c>
      <c r="AE137" s="130">
        <f t="shared" si="191"/>
        <v>146279</v>
      </c>
      <c r="AF137" s="131">
        <f t="shared" si="162"/>
        <v>18527</v>
      </c>
      <c r="AG137" s="131">
        <f t="shared" si="163"/>
        <v>5192</v>
      </c>
      <c r="AH137" s="131">
        <f t="shared" si="164"/>
        <v>70198</v>
      </c>
      <c r="AI137" s="131">
        <f t="shared" si="165"/>
        <v>22753</v>
      </c>
      <c r="AJ137" s="131">
        <f t="shared" si="166"/>
        <v>2278</v>
      </c>
      <c r="AK137" s="131">
        <f t="shared" si="167"/>
        <v>3364</v>
      </c>
      <c r="AL137" s="131">
        <f t="shared" si="168"/>
        <v>8173</v>
      </c>
      <c r="AM137" s="131">
        <f t="shared" si="169"/>
        <v>1061</v>
      </c>
      <c r="AN137" s="131">
        <f t="shared" si="170"/>
        <v>16014</v>
      </c>
      <c r="AO137" s="131">
        <f t="shared" si="192"/>
        <v>147560</v>
      </c>
      <c r="AP137" s="57">
        <f t="shared" si="105"/>
        <v>1901</v>
      </c>
      <c r="AQ137" s="57">
        <f t="shared" si="106"/>
        <v>341</v>
      </c>
      <c r="AR137" s="57">
        <f t="shared" si="107"/>
        <v>3357</v>
      </c>
      <c r="AS137" s="57">
        <f t="shared" si="108"/>
        <v>3200</v>
      </c>
      <c r="AT137" s="57">
        <f t="shared" si="109"/>
        <v>142</v>
      </c>
      <c r="AU137" s="57">
        <f t="shared" si="110"/>
        <v>277</v>
      </c>
      <c r="AV137" s="57">
        <f t="shared" si="111"/>
        <v>259</v>
      </c>
      <c r="AW137" s="57">
        <f t="shared" si="112"/>
        <v>57</v>
      </c>
      <c r="AX137" s="57">
        <f t="shared" si="113"/>
        <v>855</v>
      </c>
      <c r="AY137" s="57">
        <f t="shared" si="193"/>
        <v>10389</v>
      </c>
      <c r="AZ137" s="152">
        <f t="shared" ca="1" si="171"/>
        <v>129620.288661119</v>
      </c>
      <c r="BA137" s="152">
        <f t="shared" ca="1" si="172"/>
        <v>7258.948800151964</v>
      </c>
      <c r="BB137" s="152">
        <f t="shared" ca="1" si="173"/>
        <v>142212.1569507604</v>
      </c>
      <c r="BC137" s="152">
        <f t="shared" ca="1" si="174"/>
        <v>70524.636879760714</v>
      </c>
      <c r="BD137" s="152">
        <f t="shared" ca="1" si="175"/>
        <v>8028.7348196106486</v>
      </c>
      <c r="BE137" s="152">
        <f t="shared" ca="1" si="176"/>
        <v>9703.8970031014742</v>
      </c>
      <c r="BF137" s="152">
        <f t="shared" ca="1" si="177"/>
        <v>2908.4058150631081</v>
      </c>
      <c r="BG137" s="152">
        <f t="shared" ca="1" si="178"/>
        <v>4036.2099516270973</v>
      </c>
      <c r="BH137" s="152">
        <f t="shared" ca="1" si="179"/>
        <v>587955.64107715071</v>
      </c>
      <c r="BI137" s="152">
        <f t="shared" ref="BI137:BI157" ca="1" si="204">SUM(AZ137:BH137)</f>
        <v>962248.91995834513</v>
      </c>
      <c r="BJ137" s="163">
        <f t="shared" ca="1" si="123"/>
        <v>44505.552141895736</v>
      </c>
      <c r="BK137" s="163">
        <f t="shared" ca="1" si="124"/>
        <v>6309.8044819000497</v>
      </c>
      <c r="BL137" s="163">
        <f t="shared" ca="1" si="125"/>
        <v>93238.152550943109</v>
      </c>
      <c r="BM137" s="163">
        <f t="shared" ca="1" si="126"/>
        <v>52461.734165665002</v>
      </c>
      <c r="BN137" s="163">
        <f t="shared" ca="1" si="127"/>
        <v>5289.0277383091543</v>
      </c>
      <c r="BO137" s="163">
        <f t="shared" ca="1" si="128"/>
        <v>7133.7214856716255</v>
      </c>
      <c r="BP137" s="163">
        <f t="shared" ca="1" si="129"/>
        <v>2204.2285540162075</v>
      </c>
      <c r="BQ137" s="163">
        <f t="shared" ca="1" si="130"/>
        <v>2712.1081435569031</v>
      </c>
      <c r="BR137" s="163">
        <f t="shared" ca="1" si="131"/>
        <v>117401.98301985675</v>
      </c>
      <c r="BS137" s="163">
        <f t="shared" ref="BS137:BS157" ca="1" si="205">SUM(BJ137:BR137)</f>
        <v>331256.31228181452</v>
      </c>
      <c r="BT137" s="164">
        <f t="shared" si="180"/>
        <v>1.3454660019644545E-2</v>
      </c>
      <c r="BU137" s="164">
        <f t="shared" si="181"/>
        <v>5.8597019922986774E-3</v>
      </c>
      <c r="BV137" s="164">
        <f t="shared" si="182"/>
        <v>6.7806108153544414E-3</v>
      </c>
      <c r="BW137" s="164">
        <f t="shared" si="183"/>
        <v>1.0233105567724851E-2</v>
      </c>
      <c r="BX137" s="164">
        <f t="shared" si="184"/>
        <v>9.5430884904569111E-3</v>
      </c>
      <c r="BY137" s="164">
        <f t="shared" si="185"/>
        <v>7.2115384615384619E-3</v>
      </c>
      <c r="BZ137" s="164">
        <f t="shared" si="186"/>
        <v>3.3382789317507417E-3</v>
      </c>
      <c r="CA137" s="164">
        <f t="shared" si="187"/>
        <v>9.4996833438885375E-3</v>
      </c>
      <c r="CB137" s="164">
        <f t="shared" si="188"/>
        <v>3.0287160687789125E-2</v>
      </c>
      <c r="CC137" s="164">
        <f t="shared" si="142"/>
        <v>1.4574844475744923E-2</v>
      </c>
      <c r="CD137" s="180">
        <f t="shared" si="153"/>
        <v>26273</v>
      </c>
      <c r="CE137" s="180">
        <f t="shared" si="154"/>
        <v>4459</v>
      </c>
      <c r="CF137" s="180">
        <f t="shared" si="155"/>
        <v>64189</v>
      </c>
      <c r="CG137" s="180">
        <f t="shared" si="156"/>
        <v>20913</v>
      </c>
      <c r="CH137" s="180">
        <f t="shared" si="157"/>
        <v>2327</v>
      </c>
      <c r="CI137" s="180">
        <f t="shared" si="158"/>
        <v>3386</v>
      </c>
      <c r="CJ137" s="180">
        <f t="shared" si="159"/>
        <v>6597</v>
      </c>
      <c r="CK137" s="180">
        <f t="shared" si="160"/>
        <v>1114</v>
      </c>
      <c r="CL137" s="180">
        <f t="shared" si="161"/>
        <v>17718</v>
      </c>
      <c r="CM137" s="180">
        <f t="shared" si="161"/>
        <v>146976</v>
      </c>
      <c r="CN137" s="183">
        <f t="shared" si="143"/>
        <v>7.8534347457848656E-3</v>
      </c>
      <c r="CO137" s="183">
        <f t="shared" si="144"/>
        <v>2.1264369292122078E-3</v>
      </c>
      <c r="CP137" s="183">
        <f t="shared" si="145"/>
        <v>6.8464370951373688E-3</v>
      </c>
      <c r="CQ137" s="183">
        <f t="shared" si="146"/>
        <v>2.7805483587784795E-3</v>
      </c>
      <c r="CR137" s="183">
        <f t="shared" si="147"/>
        <v>5.9072486115125061E-4</v>
      </c>
      <c r="CS137" s="183">
        <f t="shared" si="148"/>
        <v>9.5151230007225844E-4</v>
      </c>
      <c r="CT137" s="183">
        <f t="shared" si="149"/>
        <v>2.6253596642633343E-3</v>
      </c>
      <c r="CU137" s="183">
        <f t="shared" si="150"/>
        <v>1.1941965986480795E-3</v>
      </c>
      <c r="CV137" s="183">
        <f t="shared" si="151"/>
        <v>1.0979312985018258E-2</v>
      </c>
      <c r="CW137" s="183">
        <f t="shared" si="152"/>
        <v>4.9933654968694757E-3</v>
      </c>
      <c r="CX137" s="193">
        <f t="shared" si="194"/>
        <v>2.6965026322792528E-3</v>
      </c>
      <c r="CY137" s="193">
        <f t="shared" si="195"/>
        <v>1.8483945314699119E-3</v>
      </c>
      <c r="CZ137" s="193">
        <f t="shared" si="196"/>
        <v>4.4887101074479593E-3</v>
      </c>
      <c r="DA137" s="193">
        <f t="shared" si="197"/>
        <v>2.068389080566474E-3</v>
      </c>
      <c r="DB137" s="193">
        <f t="shared" si="198"/>
        <v>3.8914726249350746E-4</v>
      </c>
      <c r="DC137" s="193">
        <f t="shared" si="199"/>
        <v>6.9949461919647669E-4</v>
      </c>
      <c r="DD137" s="193">
        <f t="shared" si="200"/>
        <v>1.9897129577173805E-3</v>
      </c>
      <c r="DE137" s="193">
        <f t="shared" si="201"/>
        <v>8.0243355995288947E-4</v>
      </c>
      <c r="DF137" s="193">
        <f t="shared" si="202"/>
        <v>2.192330554521657E-3</v>
      </c>
      <c r="DG137" s="193">
        <f t="shared" si="203"/>
        <v>2.4710197116490093E-3</v>
      </c>
      <c r="DI137" s="83"/>
    </row>
    <row r="138" spans="1:113">
      <c r="A138" s="150">
        <v>44027</v>
      </c>
      <c r="B138" s="129">
        <v>55584</v>
      </c>
      <c r="C138" s="129">
        <v>6561</v>
      </c>
      <c r="D138" s="129">
        <v>112714</v>
      </c>
      <c r="E138" s="129">
        <v>32939</v>
      </c>
      <c r="F138" s="129">
        <v>3645</v>
      </c>
      <c r="G138" s="129">
        <v>5051</v>
      </c>
      <c r="H138" s="129">
        <v>11225</v>
      </c>
      <c r="I138" s="129">
        <v>1667</v>
      </c>
      <c r="J138" s="129">
        <v>81556</v>
      </c>
      <c r="K138" s="165">
        <f t="shared" si="189"/>
        <v>310942</v>
      </c>
      <c r="L138" s="80">
        <v>738</v>
      </c>
      <c r="M138" s="80">
        <v>35</v>
      </c>
      <c r="N138" s="80">
        <v>767</v>
      </c>
      <c r="O138" s="80">
        <v>317</v>
      </c>
      <c r="P138" s="80">
        <v>33</v>
      </c>
      <c r="Q138" s="80">
        <v>33</v>
      </c>
      <c r="R138" s="80">
        <v>48</v>
      </c>
      <c r="S138" s="80">
        <v>15</v>
      </c>
      <c r="T138" s="80">
        <v>2467</v>
      </c>
      <c r="U138" s="80">
        <f t="shared" si="190"/>
        <v>4453</v>
      </c>
      <c r="V138" s="130">
        <v>37380</v>
      </c>
      <c r="W138" s="130">
        <v>968</v>
      </c>
      <c r="X138" s="130">
        <v>45743</v>
      </c>
      <c r="Y138" s="130">
        <v>8968</v>
      </c>
      <c r="Z138" s="130">
        <v>1492</v>
      </c>
      <c r="AA138" s="130">
        <v>1300</v>
      </c>
      <c r="AB138" s="130">
        <v>2578</v>
      </c>
      <c r="AC138" s="130">
        <v>508</v>
      </c>
      <c r="AD138" s="130">
        <v>61756</v>
      </c>
      <c r="AE138" s="130">
        <f t="shared" si="191"/>
        <v>160693</v>
      </c>
      <c r="AF138" s="131">
        <f t="shared" si="162"/>
        <v>17466</v>
      </c>
      <c r="AG138" s="131">
        <f t="shared" si="163"/>
        <v>5558</v>
      </c>
      <c r="AH138" s="131">
        <f t="shared" si="164"/>
        <v>66204</v>
      </c>
      <c r="AI138" s="131">
        <f t="shared" si="165"/>
        <v>23654</v>
      </c>
      <c r="AJ138" s="131">
        <f t="shared" si="166"/>
        <v>2120</v>
      </c>
      <c r="AK138" s="131">
        <f t="shared" si="167"/>
        <v>3718</v>
      </c>
      <c r="AL138" s="131">
        <f t="shared" si="168"/>
        <v>8599</v>
      </c>
      <c r="AM138" s="131">
        <f t="shared" si="169"/>
        <v>1144</v>
      </c>
      <c r="AN138" s="131">
        <f t="shared" si="170"/>
        <v>17333</v>
      </c>
      <c r="AO138" s="131">
        <f t="shared" si="192"/>
        <v>145796</v>
      </c>
      <c r="AP138" s="57">
        <f t="shared" si="105"/>
        <v>1625</v>
      </c>
      <c r="AQ138" s="57">
        <f t="shared" si="106"/>
        <v>588</v>
      </c>
      <c r="AR138" s="57">
        <f t="shared" si="107"/>
        <v>5644</v>
      </c>
      <c r="AS138" s="57">
        <f t="shared" si="108"/>
        <v>2352</v>
      </c>
      <c r="AT138" s="57">
        <f t="shared" si="109"/>
        <v>187</v>
      </c>
      <c r="AU138" s="57">
        <f t="shared" si="110"/>
        <v>475</v>
      </c>
      <c r="AV138" s="57">
        <f t="shared" si="111"/>
        <v>441</v>
      </c>
      <c r="AW138" s="57">
        <f t="shared" si="112"/>
        <v>88</v>
      </c>
      <c r="AX138" s="57">
        <f t="shared" si="113"/>
        <v>1357</v>
      </c>
      <c r="AY138" s="57">
        <f t="shared" si="193"/>
        <v>12757</v>
      </c>
      <c r="AZ138" s="152">
        <f t="shared" ca="1" si="171"/>
        <v>131029.65706874081</v>
      </c>
      <c r="BA138" s="152">
        <f t="shared" ca="1" si="172"/>
        <v>6670.948800151964</v>
      </c>
      <c r="BB138" s="152">
        <f t="shared" ca="1" si="173"/>
        <v>150646.07490527991</v>
      </c>
      <c r="BC138" s="152">
        <f t="shared" ca="1" si="174"/>
        <v>69464.798373431768</v>
      </c>
      <c r="BD138" s="152">
        <f t="shared" ca="1" si="175"/>
        <v>7841.7348196106486</v>
      </c>
      <c r="BE138" s="152">
        <f t="shared" ca="1" si="176"/>
        <v>9228.8970031014742</v>
      </c>
      <c r="BF138" s="152">
        <f t="shared" ca="1" si="177"/>
        <v>7031.5410867508108</v>
      </c>
      <c r="BG138" s="152">
        <f t="shared" ca="1" si="178"/>
        <v>3948.2099516270973</v>
      </c>
      <c r="BH138" s="152">
        <f t="shared" ca="1" si="179"/>
        <v>597051.45143570635</v>
      </c>
      <c r="BI138" s="152">
        <f t="shared" ca="1" si="204"/>
        <v>982913.31344440079</v>
      </c>
      <c r="BJ138" s="163">
        <f t="shared" ref="BJ138:BR138" ca="1" si="206">AZ138*AF138/B138</f>
        <v>41173.071214065683</v>
      </c>
      <c r="BK138" s="163">
        <f t="shared" ca="1" si="206"/>
        <v>5651.1405930871242</v>
      </c>
      <c r="BL138" s="163">
        <f t="shared" ca="1" si="206"/>
        <v>88483.886145724144</v>
      </c>
      <c r="BM138" s="163">
        <f t="shared" ca="1" si="206"/>
        <v>49883.734804491789</v>
      </c>
      <c r="BN138" s="163">
        <f t="shared" ca="1" si="206"/>
        <v>4560.8992640808165</v>
      </c>
      <c r="BO138" s="163">
        <f t="shared" ca="1" si="206"/>
        <v>6793.3159884243287</v>
      </c>
      <c r="BP138" s="163">
        <f t="shared" ca="1" si="206"/>
        <v>5386.5676440953421</v>
      </c>
      <c r="BQ138" s="163">
        <f t="shared" ca="1" si="206"/>
        <v>2709.5094089150566</v>
      </c>
      <c r="BR138" s="163">
        <f t="shared" ca="1" si="206"/>
        <v>126890.63720308866</v>
      </c>
      <c r="BS138" s="163">
        <f t="shared" ca="1" si="205"/>
        <v>331532.76226597297</v>
      </c>
      <c r="BT138" s="164">
        <f t="shared" si="180"/>
        <v>1.327720207253886E-2</v>
      </c>
      <c r="BU138" s="164">
        <f t="shared" si="181"/>
        <v>5.3345526596555405E-3</v>
      </c>
      <c r="BV138" s="164">
        <f t="shared" si="182"/>
        <v>6.8048334723281936E-3</v>
      </c>
      <c r="BW138" s="164">
        <f t="shared" si="183"/>
        <v>9.6238501472418712E-3</v>
      </c>
      <c r="BX138" s="164">
        <f t="shared" si="184"/>
        <v>9.0534979423868307E-3</v>
      </c>
      <c r="BY138" s="164">
        <f t="shared" si="185"/>
        <v>6.5333597307463869E-3</v>
      </c>
      <c r="BZ138" s="164">
        <f t="shared" si="186"/>
        <v>4.2761692650334074E-3</v>
      </c>
      <c r="CA138" s="164">
        <f t="shared" si="187"/>
        <v>8.9982003599280141E-3</v>
      </c>
      <c r="CB138" s="164">
        <f t="shared" si="188"/>
        <v>3.0249153955564274E-2</v>
      </c>
      <c r="CC138" s="164">
        <f t="shared" si="142"/>
        <v>1.4320998771475066E-2</v>
      </c>
      <c r="CD138" s="180">
        <f t="shared" si="153"/>
        <v>26244</v>
      </c>
      <c r="CE138" s="180">
        <f t="shared" si="154"/>
        <v>4889</v>
      </c>
      <c r="CF138" s="180">
        <f t="shared" si="155"/>
        <v>66770</v>
      </c>
      <c r="CG138" s="180">
        <f t="shared" si="156"/>
        <v>22307</v>
      </c>
      <c r="CH138" s="180">
        <f t="shared" si="157"/>
        <v>2470</v>
      </c>
      <c r="CI138" s="180">
        <f t="shared" si="158"/>
        <v>3745</v>
      </c>
      <c r="CJ138" s="180">
        <f t="shared" si="159"/>
        <v>6832</v>
      </c>
      <c r="CK138" s="180">
        <f t="shared" si="160"/>
        <v>1173</v>
      </c>
      <c r="CL138" s="180">
        <f t="shared" si="161"/>
        <v>17179</v>
      </c>
      <c r="CM138" s="180">
        <f t="shared" si="161"/>
        <v>151609</v>
      </c>
      <c r="CN138" s="183">
        <f t="shared" si="143"/>
        <v>8.0899445302860685E-3</v>
      </c>
      <c r="CO138" s="183">
        <f t="shared" si="144"/>
        <v>2.3357697459503259E-3</v>
      </c>
      <c r="CP138" s="183">
        <f t="shared" si="145"/>
        <v>7.2073345544159274E-3</v>
      </c>
      <c r="CQ138" s="183">
        <f t="shared" si="146"/>
        <v>2.9943597734267608E-3</v>
      </c>
      <c r="CR138" s="183">
        <f t="shared" si="147"/>
        <v>6.2266978568429969E-4</v>
      </c>
      <c r="CS138" s="183">
        <f t="shared" si="148"/>
        <v>1.0502816056960178E-3</v>
      </c>
      <c r="CT138" s="183">
        <f t="shared" si="149"/>
        <v>2.7327209042429454E-3</v>
      </c>
      <c r="CU138" s="183">
        <f t="shared" si="150"/>
        <v>1.2607509372681118E-3</v>
      </c>
      <c r="CV138" s="183">
        <f t="shared" si="151"/>
        <v>1.1165087467501453E-2</v>
      </c>
      <c r="CW138" s="183">
        <f t="shared" si="152"/>
        <v>5.2069924856300237E-3</v>
      </c>
      <c r="CX138" s="193">
        <f t="shared" si="194"/>
        <v>2.5420799360603135E-3</v>
      </c>
      <c r="CY138" s="193">
        <f t="shared" si="195"/>
        <v>1.9786935296436381E-3</v>
      </c>
      <c r="CZ138" s="193">
        <f t="shared" si="196"/>
        <v>4.2333195241101556E-3</v>
      </c>
      <c r="DA138" s="193">
        <f t="shared" si="197"/>
        <v>2.1502955791200887E-3</v>
      </c>
      <c r="DB138" s="193">
        <f t="shared" si="198"/>
        <v>3.6215636369018255E-4</v>
      </c>
      <c r="DC138" s="193">
        <f t="shared" si="199"/>
        <v>7.7310374380870996E-4</v>
      </c>
      <c r="DD138" s="193">
        <f t="shared" si="200"/>
        <v>2.0934224548405426E-3</v>
      </c>
      <c r="DE138" s="193">
        <f t="shared" si="201"/>
        <v>8.6520640206041988E-4</v>
      </c>
      <c r="DF138" s="193">
        <f t="shared" si="202"/>
        <v>2.3729028038918373E-3</v>
      </c>
      <c r="DG138" s="193">
        <f t="shared" si="203"/>
        <v>2.4414800073162034E-3</v>
      </c>
      <c r="DI138" s="83"/>
    </row>
    <row r="139" spans="1:113">
      <c r="A139" s="150">
        <v>44028</v>
      </c>
      <c r="B139" s="129">
        <v>57186</v>
      </c>
      <c r="C139" s="129">
        <v>7312</v>
      </c>
      <c r="D139" s="129">
        <v>117895</v>
      </c>
      <c r="E139" s="129">
        <v>35604</v>
      </c>
      <c r="F139" s="129">
        <v>3883</v>
      </c>
      <c r="G139" s="129">
        <v>5572</v>
      </c>
      <c r="H139" s="129">
        <v>11891</v>
      </c>
      <c r="I139" s="129">
        <v>1831</v>
      </c>
      <c r="J139" s="129">
        <v>82986</v>
      </c>
      <c r="K139" s="165">
        <f t="shared" si="189"/>
        <v>324160</v>
      </c>
      <c r="L139" s="80">
        <v>763</v>
      </c>
      <c r="M139" s="80">
        <v>45</v>
      </c>
      <c r="N139" s="80">
        <v>853</v>
      </c>
      <c r="O139" s="80">
        <v>358</v>
      </c>
      <c r="P139" s="80">
        <v>44</v>
      </c>
      <c r="Q139" s="80">
        <v>40</v>
      </c>
      <c r="R139" s="80">
        <v>48</v>
      </c>
      <c r="S139" s="80">
        <v>15</v>
      </c>
      <c r="T139" s="80">
        <v>2514</v>
      </c>
      <c r="U139" s="80">
        <f t="shared" si="190"/>
        <v>4680</v>
      </c>
      <c r="V139" s="130">
        <v>39865</v>
      </c>
      <c r="W139" s="130">
        <v>1033</v>
      </c>
      <c r="X139" s="130">
        <v>45743</v>
      </c>
      <c r="Y139" s="130">
        <v>8968</v>
      </c>
      <c r="Z139" s="130">
        <v>1492</v>
      </c>
      <c r="AA139" s="130">
        <v>1464</v>
      </c>
      <c r="AB139" s="130">
        <v>2694</v>
      </c>
      <c r="AC139" s="130">
        <v>601</v>
      </c>
      <c r="AD139" s="130">
        <v>63731</v>
      </c>
      <c r="AE139" s="130">
        <f t="shared" si="191"/>
        <v>165591</v>
      </c>
      <c r="AF139" s="131">
        <f t="shared" ref="AF139:AF157" si="207">B139-L139-V139</f>
        <v>16558</v>
      </c>
      <c r="AG139" s="131">
        <f t="shared" ref="AG139:AG157" si="208">C139-M139-W139</f>
        <v>6234</v>
      </c>
      <c r="AH139" s="131">
        <f t="shared" ref="AH139:AH157" si="209">D139-N139-X139</f>
        <v>71299</v>
      </c>
      <c r="AI139" s="131">
        <f t="shared" ref="AI139:AI157" si="210">E139-O139-Y139</f>
        <v>26278</v>
      </c>
      <c r="AJ139" s="131">
        <f t="shared" ref="AJ139:AJ157" si="211">F139-P139-Z139</f>
        <v>2347</v>
      </c>
      <c r="AK139" s="131">
        <f t="shared" ref="AK139:AK157" si="212">G139-Q139-AA139</f>
        <v>4068</v>
      </c>
      <c r="AL139" s="131">
        <f t="shared" ref="AL139:AL157" si="213">H139-R139-AB139</f>
        <v>9149</v>
      </c>
      <c r="AM139" s="131">
        <f t="shared" ref="AM139:AM157" si="214">I139-S139-AC139</f>
        <v>1215</v>
      </c>
      <c r="AN139" s="131">
        <f t="shared" ref="AN139:AN157" si="215">J139-T139-AD139</f>
        <v>16741</v>
      </c>
      <c r="AO139" s="131">
        <f t="shared" si="192"/>
        <v>153889</v>
      </c>
      <c r="AP139" s="57">
        <f t="shared" si="105"/>
        <v>1602</v>
      </c>
      <c r="AQ139" s="57">
        <f t="shared" si="106"/>
        <v>751</v>
      </c>
      <c r="AR139" s="57">
        <f t="shared" si="107"/>
        <v>5181</v>
      </c>
      <c r="AS139" s="57">
        <f t="shared" si="108"/>
        <v>2665</v>
      </c>
      <c r="AT139" s="57">
        <f t="shared" si="109"/>
        <v>238</v>
      </c>
      <c r="AU139" s="57">
        <f t="shared" si="110"/>
        <v>521</v>
      </c>
      <c r="AV139" s="57">
        <f t="shared" si="111"/>
        <v>666</v>
      </c>
      <c r="AW139" s="57">
        <f t="shared" si="112"/>
        <v>164</v>
      </c>
      <c r="AX139" s="57">
        <f t="shared" si="113"/>
        <v>1430</v>
      </c>
      <c r="AY139" s="57">
        <f t="shared" si="193"/>
        <v>13218</v>
      </c>
      <c r="AZ139" s="152">
        <f t="shared" ref="AZ139:AZ156" ca="1" si="216">L139/AZ$6-B139</f>
        <v>135749.2579179529</v>
      </c>
      <c r="BA139" s="152">
        <f t="shared" ref="BA139:BA157" ca="1" si="217">M139/BA$6-C139</f>
        <v>9700.5056001953817</v>
      </c>
      <c r="BB139" s="152">
        <f t="shared" ref="BB139:BB157" ca="1" si="218">N139/BB$6-D139</f>
        <v>174994.36622451601</v>
      </c>
      <c r="BC139" s="152">
        <f t="shared" ref="BC139:BC157" ca="1" si="219">O139/BC$6-E139</f>
        <v>80044.453683560176</v>
      </c>
      <c r="BD139" s="152">
        <f t="shared" ref="BD139:BD157" ca="1" si="220">P139/BD$6-F139</f>
        <v>11432.64642614753</v>
      </c>
      <c r="BE139" s="152">
        <f t="shared" ref="BE139:BE157" ca="1" si="221">Q139/BE$6-G139</f>
        <v>11736.966064365424</v>
      </c>
      <c r="BF139" s="152">
        <f t="shared" ref="BF139:BF157" ca="1" si="222">R139/BF$6-H139</f>
        <v>6365.5410867508108</v>
      </c>
      <c r="BG139" s="152">
        <f t="shared" ref="BG139:BG157" ca="1" si="223">S139/BG$6-I139</f>
        <v>3784.2099516270973</v>
      </c>
      <c r="BH139" s="152">
        <f t="shared" ref="BH139:BH157" ca="1" si="224">T139/BH$6-J139</f>
        <v>608549.92740549892</v>
      </c>
      <c r="BI139" s="152">
        <f t="shared" ca="1" si="204"/>
        <v>1042357.8743606142</v>
      </c>
      <c r="BJ139" s="163">
        <f t="shared" ref="BJ139:BJ157" ca="1" si="225">AZ139*AF139/B139</f>
        <v>39305.707911122721</v>
      </c>
      <c r="BK139" s="163">
        <f t="shared" ref="BK139:BK157" ca="1" si="226">BA139*AG139/C139</f>
        <v>8270.3708850681087</v>
      </c>
      <c r="BL139" s="163">
        <f t="shared" ref="BL139:BL157" ca="1" si="227">BB139*AH139/D139</f>
        <v>105830.80976667175</v>
      </c>
      <c r="BM139" s="163">
        <f t="shared" ref="BM139:BM157" ca="1" si="228">BC139*AI139/E139</f>
        <v>59077.860743079269</v>
      </c>
      <c r="BN139" s="163">
        <f t="shared" ref="BN139:BN157" ca="1" si="229">BD139*AJ139/F139</f>
        <v>6910.2295035200241</v>
      </c>
      <c r="BO139" s="163">
        <f t="shared" ref="BO139:BO157" ca="1" si="230">BE139*AK139/G139</f>
        <v>8568.9120512990939</v>
      </c>
      <c r="BP139" s="163">
        <f t="shared" ref="BP139:BP157" ca="1" si="231">BF139*AL139/H139</f>
        <v>4897.6818940949597</v>
      </c>
      <c r="BQ139" s="163">
        <f t="shared" ref="BQ139:BQ157" ca="1" si="232">BG139*AM139/I139</f>
        <v>2511.0950798617823</v>
      </c>
      <c r="BR139" s="163">
        <f t="shared" ref="BR139:BR157" ca="1" si="233">BH139*AN139/J139</f>
        <v>122764.49442912609</v>
      </c>
      <c r="BS139" s="163">
        <f t="shared" ca="1" si="205"/>
        <v>358137.16226384381</v>
      </c>
      <c r="BT139" s="164">
        <f t="shared" ref="BT139:BT157" si="234">L139/(B139)</f>
        <v>1.3342426468016647E-2</v>
      </c>
      <c r="BU139" s="164">
        <f t="shared" ref="BU139:BU157" si="235">M139/(C139)</f>
        <v>6.1542669584245075E-3</v>
      </c>
      <c r="BV139" s="164">
        <f t="shared" ref="BV139:BV157" si="236">N139/(D139)</f>
        <v>7.2352517070274399E-3</v>
      </c>
      <c r="BW139" s="164">
        <f t="shared" ref="BW139:BW157" si="237">O139/(E139)</f>
        <v>1.0055049994382654E-2</v>
      </c>
      <c r="BX139" s="164">
        <f t="shared" ref="BX139:BX157" si="238">P139/(F139)</f>
        <v>1.1331444759206799E-2</v>
      </c>
      <c r="BY139" s="164">
        <f t="shared" ref="BY139:BY157" si="239">Q139/(G139)</f>
        <v>7.1787508973438618E-3</v>
      </c>
      <c r="BZ139" s="164">
        <f t="shared" ref="BZ139:BZ157" si="240">R139/(H139)</f>
        <v>4.0366663863426119E-3</v>
      </c>
      <c r="CA139" s="164">
        <f t="shared" ref="CA139:CA157" si="241">S139/(I139)</f>
        <v>8.1922446750409619E-3</v>
      </c>
      <c r="CB139" s="164">
        <f t="shared" ref="CB139:CB157" si="242">T139/(J139)</f>
        <v>3.0294266502783603E-2</v>
      </c>
      <c r="CC139" s="164">
        <f t="shared" si="142"/>
        <v>1.4437314906219152E-2</v>
      </c>
      <c r="CD139" s="180">
        <f t="shared" si="153"/>
        <v>26583</v>
      </c>
      <c r="CE139" s="180">
        <f t="shared" si="154"/>
        <v>5426</v>
      </c>
      <c r="CF139" s="180">
        <f t="shared" si="155"/>
        <v>67958</v>
      </c>
      <c r="CG139" s="180">
        <f t="shared" si="156"/>
        <v>23935</v>
      </c>
      <c r="CH139" s="180">
        <f t="shared" si="157"/>
        <v>2597</v>
      </c>
      <c r="CI139" s="180">
        <f t="shared" si="158"/>
        <v>4094</v>
      </c>
      <c r="CJ139" s="180">
        <f t="shared" si="159"/>
        <v>7103</v>
      </c>
      <c r="CK139" s="180">
        <f t="shared" si="160"/>
        <v>1258</v>
      </c>
      <c r="CL139" s="180">
        <f t="shared" si="161"/>
        <v>17145</v>
      </c>
      <c r="CM139" s="180">
        <f t="shared" si="161"/>
        <v>156099</v>
      </c>
      <c r="CN139" s="183">
        <f t="shared" si="143"/>
        <v>8.3231067916835627E-3</v>
      </c>
      <c r="CO139" s="183">
        <f t="shared" si="144"/>
        <v>2.603131897940677E-3</v>
      </c>
      <c r="CP139" s="183">
        <f t="shared" si="145"/>
        <v>7.5386261448698987E-3</v>
      </c>
      <c r="CQ139" s="183">
        <f t="shared" si="146"/>
        <v>3.2366248329665868E-3</v>
      </c>
      <c r="CR139" s="183">
        <f t="shared" si="147"/>
        <v>6.6332696236272586E-4</v>
      </c>
      <c r="CS139" s="183">
        <f t="shared" si="148"/>
        <v>1.1586159388117623E-3</v>
      </c>
      <c r="CT139" s="183">
        <f t="shared" si="149"/>
        <v>2.8948582870692977E-3</v>
      </c>
      <c r="CU139" s="183">
        <f t="shared" si="150"/>
        <v>1.384784022878172E-3</v>
      </c>
      <c r="CV139" s="183">
        <f t="shared" si="151"/>
        <v>1.1360855713596492E-2</v>
      </c>
      <c r="CW139" s="183">
        <f t="shared" si="152"/>
        <v>5.4283393177564573E-3</v>
      </c>
      <c r="CX139" s="193">
        <f t="shared" si="194"/>
        <v>2.4099255457051801E-3</v>
      </c>
      <c r="CY139" s="193">
        <f t="shared" si="195"/>
        <v>2.2193550672541277E-3</v>
      </c>
      <c r="CZ139" s="193">
        <f t="shared" si="196"/>
        <v>4.5591119683029719E-3</v>
      </c>
      <c r="DA139" s="193">
        <f t="shared" si="197"/>
        <v>2.3888334838977634E-3</v>
      </c>
      <c r="DB139" s="193">
        <f t="shared" si="198"/>
        <v>4.0093442716078226E-4</v>
      </c>
      <c r="DC139" s="193">
        <f t="shared" si="199"/>
        <v>8.45881126899901E-4</v>
      </c>
      <c r="DD139" s="193">
        <f t="shared" si="200"/>
        <v>2.2273196929103525E-3</v>
      </c>
      <c r="DE139" s="193">
        <f t="shared" si="201"/>
        <v>9.1890365253794598E-4</v>
      </c>
      <c r="DF139" s="193">
        <f t="shared" si="202"/>
        <v>2.2918574880259187E-3</v>
      </c>
      <c r="DG139" s="193">
        <f t="shared" si="203"/>
        <v>2.5770042857546382E-3</v>
      </c>
      <c r="DI139" s="83"/>
    </row>
    <row r="140" spans="1:113">
      <c r="A140" s="150">
        <v>44029</v>
      </c>
      <c r="B140" s="129">
        <v>58860</v>
      </c>
      <c r="C140" s="129">
        <v>8290</v>
      </c>
      <c r="D140" s="129">
        <v>123408</v>
      </c>
      <c r="E140" s="129">
        <v>37722</v>
      </c>
      <c r="F140" s="129">
        <v>4160</v>
      </c>
      <c r="G140" s="129">
        <v>6073</v>
      </c>
      <c r="H140" s="129">
        <v>12722</v>
      </c>
      <c r="I140" s="129">
        <v>2044</v>
      </c>
      <c r="J140" s="129">
        <v>84254</v>
      </c>
      <c r="K140" s="165">
        <f t="shared" si="189"/>
        <v>337533</v>
      </c>
      <c r="L140" s="80">
        <v>772</v>
      </c>
      <c r="M140" s="80">
        <v>47</v>
      </c>
      <c r="N140" s="80">
        <v>917</v>
      </c>
      <c r="O140" s="80">
        <v>378</v>
      </c>
      <c r="P140" s="80">
        <v>44</v>
      </c>
      <c r="Q140" s="80">
        <v>44</v>
      </c>
      <c r="R140" s="80">
        <v>48</v>
      </c>
      <c r="S140" s="80">
        <v>15</v>
      </c>
      <c r="T140" s="80">
        <v>2550</v>
      </c>
      <c r="U140" s="80">
        <f t="shared" si="190"/>
        <v>4815</v>
      </c>
      <c r="V140" s="130">
        <v>41707</v>
      </c>
      <c r="W140" s="130">
        <v>1033</v>
      </c>
      <c r="X140" s="130">
        <v>51256</v>
      </c>
      <c r="Y140" s="130">
        <v>10403</v>
      </c>
      <c r="Z140" s="130">
        <v>1685</v>
      </c>
      <c r="AA140" s="130">
        <v>1597</v>
      </c>
      <c r="AB140" s="130">
        <v>2694</v>
      </c>
      <c r="AC140" s="130">
        <v>627</v>
      </c>
      <c r="AD140" s="130">
        <v>67181</v>
      </c>
      <c r="AE140" s="130">
        <f t="shared" si="191"/>
        <v>178183</v>
      </c>
      <c r="AF140" s="131">
        <f t="shared" si="207"/>
        <v>16381</v>
      </c>
      <c r="AG140" s="131">
        <f t="shared" si="208"/>
        <v>7210</v>
      </c>
      <c r="AH140" s="131">
        <f t="shared" si="209"/>
        <v>71235</v>
      </c>
      <c r="AI140" s="131">
        <f t="shared" si="210"/>
        <v>26941</v>
      </c>
      <c r="AJ140" s="131">
        <f t="shared" si="211"/>
        <v>2431</v>
      </c>
      <c r="AK140" s="131">
        <f t="shared" si="212"/>
        <v>4432</v>
      </c>
      <c r="AL140" s="131">
        <f t="shared" si="213"/>
        <v>9980</v>
      </c>
      <c r="AM140" s="131">
        <f t="shared" si="214"/>
        <v>1402</v>
      </c>
      <c r="AN140" s="131">
        <f t="shared" si="215"/>
        <v>14523</v>
      </c>
      <c r="AO140" s="131">
        <f t="shared" si="192"/>
        <v>154535</v>
      </c>
      <c r="AP140" s="57">
        <f t="shared" si="105"/>
        <v>1674</v>
      </c>
      <c r="AQ140" s="57">
        <f t="shared" si="106"/>
        <v>978</v>
      </c>
      <c r="AR140" s="57">
        <f t="shared" si="107"/>
        <v>5513</v>
      </c>
      <c r="AS140" s="57">
        <f t="shared" si="108"/>
        <v>2118</v>
      </c>
      <c r="AT140" s="57">
        <f t="shared" si="109"/>
        <v>277</v>
      </c>
      <c r="AU140" s="57">
        <f t="shared" si="110"/>
        <v>501</v>
      </c>
      <c r="AV140" s="57">
        <f t="shared" si="111"/>
        <v>831</v>
      </c>
      <c r="AW140" s="57">
        <f t="shared" si="112"/>
        <v>213</v>
      </c>
      <c r="AX140" s="57">
        <f t="shared" si="113"/>
        <v>1268</v>
      </c>
      <c r="AY140" s="57">
        <f t="shared" si="193"/>
        <v>13373</v>
      </c>
      <c r="AZ140" s="152">
        <f t="shared" ca="1" si="216"/>
        <v>136351.03422366924</v>
      </c>
      <c r="BA140" s="152">
        <f t="shared" ca="1" si="217"/>
        <v>9478.6169602040645</v>
      </c>
      <c r="BB140" s="152">
        <f t="shared" ca="1" si="218"/>
        <v>191456.65278766846</v>
      </c>
      <c r="BC140" s="152">
        <f t="shared" ca="1" si="219"/>
        <v>84387.261151915489</v>
      </c>
      <c r="BD140" s="152">
        <f t="shared" ca="1" si="220"/>
        <v>11155.64642614753</v>
      </c>
      <c r="BE140" s="152">
        <f t="shared" ca="1" si="221"/>
        <v>12966.862670801966</v>
      </c>
      <c r="BF140" s="152">
        <f t="shared" ca="1" si="222"/>
        <v>5534.5410867508108</v>
      </c>
      <c r="BG140" s="152">
        <f t="shared" ca="1" si="223"/>
        <v>3571.2099516270973</v>
      </c>
      <c r="BH140" s="152">
        <f t="shared" ca="1" si="224"/>
        <v>617184.58985044644</v>
      </c>
      <c r="BI140" s="152">
        <f t="shared" ca="1" si="204"/>
        <v>1072086.4151092311</v>
      </c>
      <c r="BJ140" s="163">
        <f t="shared" ca="1" si="225"/>
        <v>37947.099755656229</v>
      </c>
      <c r="BK140" s="163">
        <f t="shared" ca="1" si="226"/>
        <v>8243.7669822763946</v>
      </c>
      <c r="BL140" s="163">
        <f t="shared" ca="1" si="227"/>
        <v>110514.83421925291</v>
      </c>
      <c r="BM140" s="163">
        <f t="shared" ca="1" si="228"/>
        <v>60269.264691526303</v>
      </c>
      <c r="BN140" s="163">
        <f t="shared" ca="1" si="229"/>
        <v>6519.0808802799629</v>
      </c>
      <c r="BO140" s="163">
        <f t="shared" ca="1" si="230"/>
        <v>9463.0553856404258</v>
      </c>
      <c r="BP140" s="163">
        <f t="shared" ca="1" si="231"/>
        <v>4341.6695524110273</v>
      </c>
      <c r="BQ140" s="163">
        <f t="shared" ca="1" si="232"/>
        <v>2449.5285480338507</v>
      </c>
      <c r="BR140" s="163">
        <f t="shared" ca="1" si="233"/>
        <v>106385.11878840213</v>
      </c>
      <c r="BS140" s="163">
        <f t="shared" ca="1" si="205"/>
        <v>346133.41880347923</v>
      </c>
      <c r="BT140" s="164">
        <f t="shared" si="234"/>
        <v>1.3115868161739722E-2</v>
      </c>
      <c r="BU140" s="164">
        <f t="shared" si="235"/>
        <v>5.6694813027744267E-3</v>
      </c>
      <c r="BV140" s="164">
        <f t="shared" si="236"/>
        <v>7.4306365875794114E-3</v>
      </c>
      <c r="BW140" s="164">
        <f t="shared" si="237"/>
        <v>1.0020677588675043E-2</v>
      </c>
      <c r="BX140" s="164">
        <f t="shared" si="238"/>
        <v>1.0576923076923078E-2</v>
      </c>
      <c r="BY140" s="164">
        <f t="shared" si="239"/>
        <v>7.2451835995389425E-3</v>
      </c>
      <c r="BZ140" s="164">
        <f t="shared" si="240"/>
        <v>3.7729916679767332E-3</v>
      </c>
      <c r="CA140" s="164">
        <f t="shared" si="241"/>
        <v>7.3385518590998039E-3</v>
      </c>
      <c r="CB140" s="164">
        <f t="shared" si="242"/>
        <v>3.0265625370902272E-2</v>
      </c>
      <c r="CC140" s="164">
        <f t="shared" si="142"/>
        <v>1.4265271840086748E-2</v>
      </c>
      <c r="CD140" s="180">
        <f t="shared" si="153"/>
        <v>26703</v>
      </c>
      <c r="CE140" s="180">
        <f t="shared" si="154"/>
        <v>6160</v>
      </c>
      <c r="CF140" s="180">
        <f t="shared" si="155"/>
        <v>69077</v>
      </c>
      <c r="CG140" s="180">
        <f t="shared" si="156"/>
        <v>24965</v>
      </c>
      <c r="CH140" s="180">
        <f t="shared" si="157"/>
        <v>2752</v>
      </c>
      <c r="CI140" s="180">
        <f t="shared" si="158"/>
        <v>4462</v>
      </c>
      <c r="CJ140" s="180">
        <f t="shared" si="159"/>
        <v>7554</v>
      </c>
      <c r="CK140" s="180">
        <f t="shared" si="160"/>
        <v>1418</v>
      </c>
      <c r="CL140" s="180">
        <f t="shared" si="161"/>
        <v>17318</v>
      </c>
      <c r="CM140" s="180">
        <f t="shared" si="161"/>
        <v>160409</v>
      </c>
      <c r="CN140" s="183">
        <f t="shared" si="143"/>
        <v>8.5667482558404937E-3</v>
      </c>
      <c r="CO140" s="183">
        <f t="shared" si="144"/>
        <v>2.9513079094540774E-3</v>
      </c>
      <c r="CP140" s="183">
        <f t="shared" si="145"/>
        <v>7.8911469976343743E-3</v>
      </c>
      <c r="CQ140" s="183">
        <f t="shared" si="146"/>
        <v>3.429164193606493E-3</v>
      </c>
      <c r="CR140" s="183">
        <f t="shared" si="147"/>
        <v>7.1064644950526385E-4</v>
      </c>
      <c r="CS140" s="183">
        <f t="shared" si="148"/>
        <v>1.2627915643222958E-3</v>
      </c>
      <c r="CT140" s="183">
        <f t="shared" si="149"/>
        <v>3.0971648413165927E-3</v>
      </c>
      <c r="CU140" s="183">
        <f t="shared" si="150"/>
        <v>1.5458757743107502E-3</v>
      </c>
      <c r="CV140" s="183">
        <f t="shared" si="151"/>
        <v>1.1534446018525522E-2</v>
      </c>
      <c r="CW140" s="183">
        <f t="shared" si="152"/>
        <v>5.6522817588236995E-3</v>
      </c>
      <c r="CX140" s="193">
        <f t="shared" si="194"/>
        <v>2.3841641722548951E-3</v>
      </c>
      <c r="CY140" s="193">
        <f t="shared" si="195"/>
        <v>2.5668190623840646E-3</v>
      </c>
      <c r="CZ140" s="193">
        <f t="shared" si="196"/>
        <v>4.5550195803876949E-3</v>
      </c>
      <c r="DA140" s="193">
        <f t="shared" si="197"/>
        <v>2.4491043035881591E-3</v>
      </c>
      <c r="DB140" s="193">
        <f t="shared" si="198"/>
        <v>4.1528401892963859E-4</v>
      </c>
      <c r="DC140" s="193">
        <f t="shared" si="199"/>
        <v>9.2156960531473975E-4</v>
      </c>
      <c r="DD140" s="193">
        <f t="shared" si="200"/>
        <v>2.4296262471576479E-3</v>
      </c>
      <c r="DE140" s="193">
        <f t="shared" si="201"/>
        <v>1.0603316221055145E-3</v>
      </c>
      <c r="DF140" s="193">
        <f t="shared" si="202"/>
        <v>1.9882113552715142E-3</v>
      </c>
      <c r="DG140" s="193">
        <f t="shared" si="203"/>
        <v>2.5878221139853598E-3</v>
      </c>
      <c r="DI140" s="83"/>
    </row>
    <row r="141" spans="1:113">
      <c r="A141" s="150">
        <v>44030</v>
      </c>
      <c r="B141" s="129">
        <v>60976</v>
      </c>
      <c r="C141" s="129">
        <v>9004</v>
      </c>
      <c r="D141" s="129">
        <v>128604</v>
      </c>
      <c r="E141" s="129">
        <v>40086</v>
      </c>
      <c r="F141" s="129">
        <v>4490</v>
      </c>
      <c r="G141" s="129">
        <v>6644</v>
      </c>
      <c r="H141" s="129">
        <v>13400</v>
      </c>
      <c r="I141" s="129">
        <v>2197</v>
      </c>
      <c r="J141" s="129">
        <v>85411</v>
      </c>
      <c r="K141" s="165">
        <f t="shared" si="189"/>
        <v>350812</v>
      </c>
      <c r="L141" s="80">
        <v>811</v>
      </c>
      <c r="M141" s="80">
        <v>47</v>
      </c>
      <c r="N141" s="80">
        <v>956</v>
      </c>
      <c r="O141" s="80">
        <v>401</v>
      </c>
      <c r="P141" s="80">
        <v>44</v>
      </c>
      <c r="Q141" s="80">
        <v>44</v>
      </c>
      <c r="R141" s="80">
        <v>48</v>
      </c>
      <c r="S141" s="80">
        <v>15</v>
      </c>
      <c r="T141" s="80">
        <v>2593</v>
      </c>
      <c r="U141" s="80">
        <f t="shared" si="190"/>
        <v>4959</v>
      </c>
      <c r="V141" s="130">
        <v>43685</v>
      </c>
      <c r="W141" s="130">
        <v>1033</v>
      </c>
      <c r="X141" s="130">
        <v>51256</v>
      </c>
      <c r="Y141" s="130">
        <v>10624</v>
      </c>
      <c r="Z141" s="130">
        <v>1867</v>
      </c>
      <c r="AA141" s="130">
        <v>1793</v>
      </c>
      <c r="AB141" s="130">
        <v>2839</v>
      </c>
      <c r="AC141" s="130">
        <v>723</v>
      </c>
      <c r="AD141" s="130">
        <v>68410</v>
      </c>
      <c r="AE141" s="130">
        <f t="shared" si="191"/>
        <v>182230</v>
      </c>
      <c r="AF141" s="131">
        <f t="shared" si="207"/>
        <v>16480</v>
      </c>
      <c r="AG141" s="131">
        <f t="shared" si="208"/>
        <v>7924</v>
      </c>
      <c r="AH141" s="131">
        <f t="shared" si="209"/>
        <v>76392</v>
      </c>
      <c r="AI141" s="131">
        <f t="shared" si="210"/>
        <v>29061</v>
      </c>
      <c r="AJ141" s="131">
        <f t="shared" si="211"/>
        <v>2579</v>
      </c>
      <c r="AK141" s="131">
        <f t="shared" si="212"/>
        <v>4807</v>
      </c>
      <c r="AL141" s="131">
        <f t="shared" si="213"/>
        <v>10513</v>
      </c>
      <c r="AM141" s="131">
        <f t="shared" si="214"/>
        <v>1459</v>
      </c>
      <c r="AN141" s="131">
        <f t="shared" si="215"/>
        <v>14408</v>
      </c>
      <c r="AO141" s="131">
        <f t="shared" si="192"/>
        <v>163623</v>
      </c>
      <c r="AP141" s="57">
        <f t="shared" si="105"/>
        <v>2116</v>
      </c>
      <c r="AQ141" s="57">
        <f t="shared" si="106"/>
        <v>714</v>
      </c>
      <c r="AR141" s="57">
        <f t="shared" si="107"/>
        <v>5196</v>
      </c>
      <c r="AS141" s="57">
        <f t="shared" si="108"/>
        <v>2364</v>
      </c>
      <c r="AT141" s="57">
        <f t="shared" si="109"/>
        <v>330</v>
      </c>
      <c r="AU141" s="57">
        <f t="shared" si="110"/>
        <v>571</v>
      </c>
      <c r="AV141" s="57">
        <f t="shared" si="111"/>
        <v>678</v>
      </c>
      <c r="AW141" s="57">
        <f t="shared" si="112"/>
        <v>153</v>
      </c>
      <c r="AX141" s="57">
        <f t="shared" si="113"/>
        <v>1157</v>
      </c>
      <c r="AY141" s="57">
        <f t="shared" si="193"/>
        <v>13279</v>
      </c>
      <c r="AZ141" s="152">
        <f t="shared" ca="1" si="216"/>
        <v>144096.73154844009</v>
      </c>
      <c r="BA141" s="152">
        <f t="shared" ca="1" si="217"/>
        <v>8764.6169602040645</v>
      </c>
      <c r="BB141" s="152">
        <f t="shared" ca="1" si="218"/>
        <v>199651.84303708945</v>
      </c>
      <c r="BC141" s="152">
        <f t="shared" ca="1" si="219"/>
        <v>89453.189740524103</v>
      </c>
      <c r="BD141" s="152">
        <f t="shared" ca="1" si="220"/>
        <v>10825.64642614753</v>
      </c>
      <c r="BE141" s="152">
        <f t="shared" ca="1" si="221"/>
        <v>12395.862670801966</v>
      </c>
      <c r="BF141" s="152">
        <f t="shared" ca="1" si="222"/>
        <v>4856.5410867508108</v>
      </c>
      <c r="BG141" s="152">
        <f t="shared" ca="1" si="223"/>
        <v>3418.2099516270973</v>
      </c>
      <c r="BH141" s="152">
        <f t="shared" ca="1" si="224"/>
        <v>627855.76999302255</v>
      </c>
      <c r="BI141" s="152">
        <f t="shared" ca="1" si="204"/>
        <v>1101318.4114146077</v>
      </c>
      <c r="BJ141" s="163">
        <f t="shared" ca="1" si="225"/>
        <v>38945.062580659484</v>
      </c>
      <c r="BK141" s="163">
        <f t="shared" ca="1" si="226"/>
        <v>7713.3301635558646</v>
      </c>
      <c r="BL141" s="163">
        <f t="shared" ca="1" si="227"/>
        <v>118595.09496819178</v>
      </c>
      <c r="BM141" s="163">
        <f t="shared" ca="1" si="228"/>
        <v>64850.549993747714</v>
      </c>
      <c r="BN141" s="163">
        <f t="shared" ca="1" si="229"/>
        <v>6218.1162879809526</v>
      </c>
      <c r="BO141" s="163">
        <f t="shared" ca="1" si="230"/>
        <v>8968.5297800338722</v>
      </c>
      <c r="BP141" s="163">
        <f t="shared" ca="1" si="231"/>
        <v>3810.2101824635279</v>
      </c>
      <c r="BQ141" s="163">
        <f t="shared" ca="1" si="232"/>
        <v>2269.990131735974</v>
      </c>
      <c r="BR141" s="163">
        <f t="shared" ca="1" si="233"/>
        <v>105913.12517192714</v>
      </c>
      <c r="BS141" s="163">
        <f t="shared" ca="1" si="205"/>
        <v>357284.0092602963</v>
      </c>
      <c r="BT141" s="164">
        <f t="shared" si="234"/>
        <v>1.3300314877984781E-2</v>
      </c>
      <c r="BU141" s="164">
        <f t="shared" si="235"/>
        <v>5.2199022656597071E-3</v>
      </c>
      <c r="BV141" s="164">
        <f t="shared" si="236"/>
        <v>7.4336723585580545E-3</v>
      </c>
      <c r="BW141" s="164">
        <f t="shared" si="237"/>
        <v>1.000349249114404E-2</v>
      </c>
      <c r="BX141" s="164">
        <f t="shared" si="238"/>
        <v>9.7995545657015588E-3</v>
      </c>
      <c r="BY141" s="164">
        <f t="shared" si="239"/>
        <v>6.6225165562913907E-3</v>
      </c>
      <c r="BZ141" s="164">
        <f t="shared" si="240"/>
        <v>3.582089552238806E-3</v>
      </c>
      <c r="CA141" s="164">
        <f t="shared" si="241"/>
        <v>6.8274920345926266E-3</v>
      </c>
      <c r="CB141" s="164">
        <f t="shared" si="242"/>
        <v>3.0359087237006942E-2</v>
      </c>
      <c r="CC141" s="164">
        <f t="shared" si="142"/>
        <v>1.4135776427260185E-2</v>
      </c>
      <c r="CD141" s="180">
        <f t="shared" si="153"/>
        <v>26815</v>
      </c>
      <c r="CE141" s="180">
        <f t="shared" si="154"/>
        <v>6628</v>
      </c>
      <c r="CF141" s="180">
        <f t="shared" si="155"/>
        <v>69231</v>
      </c>
      <c r="CG141" s="180">
        <f t="shared" si="156"/>
        <v>26102</v>
      </c>
      <c r="CH141" s="180">
        <f t="shared" si="157"/>
        <v>2931</v>
      </c>
      <c r="CI141" s="180">
        <f t="shared" si="158"/>
        <v>4826</v>
      </c>
      <c r="CJ141" s="180">
        <f t="shared" si="159"/>
        <v>7756</v>
      </c>
      <c r="CK141" s="180">
        <f t="shared" si="160"/>
        <v>1511</v>
      </c>
      <c r="CL141" s="180">
        <f t="shared" si="161"/>
        <v>17035</v>
      </c>
      <c r="CM141" s="180">
        <f t="shared" si="161"/>
        <v>162835</v>
      </c>
      <c r="CN141" s="183">
        <f t="shared" si="143"/>
        <v>8.8747203813817517E-3</v>
      </c>
      <c r="CO141" s="183">
        <f t="shared" si="144"/>
        <v>3.2054977583503633E-3</v>
      </c>
      <c r="CP141" s="183">
        <f t="shared" si="145"/>
        <v>8.2233977415059889E-3</v>
      </c>
      <c r="CQ141" s="183">
        <f t="shared" si="146"/>
        <v>3.6440664828193067E-3</v>
      </c>
      <c r="CR141" s="183">
        <f t="shared" si="147"/>
        <v>7.6701984574005641E-4</v>
      </c>
      <c r="CS141" s="183">
        <f t="shared" si="148"/>
        <v>1.3815226664510676E-3</v>
      </c>
      <c r="CT141" s="183">
        <f t="shared" si="149"/>
        <v>3.2622236184281042E-3</v>
      </c>
      <c r="CU141" s="183">
        <f t="shared" si="150"/>
        <v>1.6615895675933063E-3</v>
      </c>
      <c r="CV141" s="183">
        <f t="shared" si="151"/>
        <v>1.169284032672969E-2</v>
      </c>
      <c r="CW141" s="183">
        <f t="shared" si="152"/>
        <v>5.8746500886623226E-3</v>
      </c>
      <c r="CX141" s="193">
        <f t="shared" si="194"/>
        <v>2.3985730760491221E-3</v>
      </c>
      <c r="CY141" s="193">
        <f t="shared" si="195"/>
        <v>2.8210089112803509E-3</v>
      </c>
      <c r="CZ141" s="193">
        <f t="shared" si="196"/>
        <v>4.884776525373437E-3</v>
      </c>
      <c r="DA141" s="193">
        <f t="shared" si="197"/>
        <v>2.6418254766554876E-3</v>
      </c>
      <c r="DB141" s="193">
        <f t="shared" si="198"/>
        <v>4.4056663299857585E-4</v>
      </c>
      <c r="DC141" s="193">
        <f t="shared" si="199"/>
        <v>9.9954537291244453E-4</v>
      </c>
      <c r="DD141" s="193">
        <f t="shared" si="200"/>
        <v>2.5593848433234823E-3</v>
      </c>
      <c r="DE141" s="193">
        <f t="shared" si="201"/>
        <v>1.1034406823480355E-3</v>
      </c>
      <c r="DF141" s="193">
        <f t="shared" si="202"/>
        <v>1.9724677550610739E-3</v>
      </c>
      <c r="DG141" s="193">
        <f t="shared" si="203"/>
        <v>2.740008527237367E-3</v>
      </c>
      <c r="DI141" s="83"/>
    </row>
    <row r="142" spans="1:113">
      <c r="A142" s="150">
        <v>44031</v>
      </c>
      <c r="B142" s="129">
        <v>63181</v>
      </c>
      <c r="C142" s="129">
        <v>9993</v>
      </c>
      <c r="D142" s="129">
        <v>133617</v>
      </c>
      <c r="E142" s="129">
        <v>43215</v>
      </c>
      <c r="F142" s="129">
        <v>4928</v>
      </c>
      <c r="G142" s="129">
        <v>7129</v>
      </c>
      <c r="H142" s="129">
        <v>14006</v>
      </c>
      <c r="I142" s="129">
        <v>2266</v>
      </c>
      <c r="J142" s="129">
        <v>85926</v>
      </c>
      <c r="K142" s="165">
        <f t="shared" si="189"/>
        <v>364261</v>
      </c>
      <c r="L142" s="80">
        <v>825</v>
      </c>
      <c r="M142" s="80">
        <v>47</v>
      </c>
      <c r="N142" s="80">
        <v>986</v>
      </c>
      <c r="O142" s="80">
        <v>416</v>
      </c>
      <c r="P142" s="80">
        <v>44</v>
      </c>
      <c r="Q142" s="80">
        <v>44</v>
      </c>
      <c r="R142" s="80">
        <v>48</v>
      </c>
      <c r="S142" s="80">
        <v>15</v>
      </c>
      <c r="T142" s="80">
        <v>2619</v>
      </c>
      <c r="U142" s="80">
        <f t="shared" si="190"/>
        <v>5044</v>
      </c>
      <c r="V142" s="130">
        <v>44317</v>
      </c>
      <c r="W142" s="130">
        <v>1103</v>
      </c>
      <c r="X142" s="130">
        <v>58512</v>
      </c>
      <c r="Y142" s="130">
        <v>11055</v>
      </c>
      <c r="Z142" s="130">
        <v>2042</v>
      </c>
      <c r="AA142" s="130">
        <v>1958</v>
      </c>
      <c r="AB142" s="130">
        <v>2890</v>
      </c>
      <c r="AC142" s="130">
        <v>772</v>
      </c>
      <c r="AD142" s="130">
        <v>68410</v>
      </c>
      <c r="AE142" s="130">
        <f t="shared" si="191"/>
        <v>191059</v>
      </c>
      <c r="AF142" s="131">
        <f t="shared" si="207"/>
        <v>18039</v>
      </c>
      <c r="AG142" s="131">
        <f t="shared" si="208"/>
        <v>8843</v>
      </c>
      <c r="AH142" s="131">
        <f t="shared" si="209"/>
        <v>74119</v>
      </c>
      <c r="AI142" s="131">
        <f t="shared" si="210"/>
        <v>31744</v>
      </c>
      <c r="AJ142" s="131">
        <f t="shared" si="211"/>
        <v>2842</v>
      </c>
      <c r="AK142" s="131">
        <f t="shared" si="212"/>
        <v>5127</v>
      </c>
      <c r="AL142" s="131">
        <f t="shared" si="213"/>
        <v>11068</v>
      </c>
      <c r="AM142" s="131">
        <f t="shared" si="214"/>
        <v>1479</v>
      </c>
      <c r="AN142" s="131">
        <f t="shared" si="215"/>
        <v>14897</v>
      </c>
      <c r="AO142" s="131">
        <f t="shared" si="192"/>
        <v>168158</v>
      </c>
      <c r="AP142" s="57">
        <f t="shared" si="105"/>
        <v>2205</v>
      </c>
      <c r="AQ142" s="57">
        <f t="shared" si="106"/>
        <v>989</v>
      </c>
      <c r="AR142" s="57">
        <f t="shared" si="107"/>
        <v>5013</v>
      </c>
      <c r="AS142" s="57">
        <f t="shared" si="108"/>
        <v>3129</v>
      </c>
      <c r="AT142" s="57">
        <f t="shared" si="109"/>
        <v>438</v>
      </c>
      <c r="AU142" s="57">
        <f t="shared" si="110"/>
        <v>485</v>
      </c>
      <c r="AV142" s="57">
        <f t="shared" si="111"/>
        <v>606</v>
      </c>
      <c r="AW142" s="57">
        <f t="shared" si="112"/>
        <v>69</v>
      </c>
      <c r="AX142" s="57">
        <f t="shared" si="113"/>
        <v>515</v>
      </c>
      <c r="AY142" s="57">
        <f t="shared" si="193"/>
        <v>13449</v>
      </c>
      <c r="AZ142" s="152">
        <f t="shared" ca="1" si="216"/>
        <v>145431.82802399885</v>
      </c>
      <c r="BA142" s="152">
        <f t="shared" ca="1" si="217"/>
        <v>7775.6169602040645</v>
      </c>
      <c r="BB142" s="152">
        <f t="shared" ca="1" si="218"/>
        <v>204939.75861356716</v>
      </c>
      <c r="BC142" s="152">
        <f t="shared" ca="1" si="219"/>
        <v>91169.795341790596</v>
      </c>
      <c r="BD142" s="152">
        <f t="shared" ca="1" si="220"/>
        <v>10387.64642614753</v>
      </c>
      <c r="BE142" s="152">
        <f t="shared" ca="1" si="221"/>
        <v>11910.862670801966</v>
      </c>
      <c r="BF142" s="152">
        <f t="shared" ca="1" si="222"/>
        <v>4250.5410867508108</v>
      </c>
      <c r="BG142" s="152">
        <f t="shared" ca="1" si="223"/>
        <v>3349.2099516270973</v>
      </c>
      <c r="BH142" s="152">
        <f t="shared" ca="1" si="224"/>
        <v>634492.69286992901</v>
      </c>
      <c r="BI142" s="152">
        <f t="shared" ca="1" si="204"/>
        <v>1113707.9519448171</v>
      </c>
      <c r="BJ142" s="163">
        <f t="shared" ca="1" si="225"/>
        <v>41522.684758470357</v>
      </c>
      <c r="BK142" s="163">
        <f t="shared" ca="1" si="226"/>
        <v>6880.7946341523611</v>
      </c>
      <c r="BL142" s="163">
        <f t="shared" ca="1" si="227"/>
        <v>113682.61500167631</v>
      </c>
      <c r="BM142" s="163">
        <f t="shared" ca="1" si="228"/>
        <v>66969.662925599929</v>
      </c>
      <c r="BN142" s="163">
        <f t="shared" ca="1" si="229"/>
        <v>5990.6029105339449</v>
      </c>
      <c r="BO142" s="163">
        <f t="shared" ca="1" si="230"/>
        <v>8565.9970421099279</v>
      </c>
      <c r="BP142" s="163">
        <f t="shared" ca="1" si="231"/>
        <v>3358.916803381263</v>
      </c>
      <c r="BQ142" s="163">
        <f t="shared" ca="1" si="232"/>
        <v>2186.0024353294248</v>
      </c>
      <c r="BR142" s="163">
        <f t="shared" ca="1" si="233"/>
        <v>110002.06742642893</v>
      </c>
      <c r="BS142" s="163">
        <f t="shared" ca="1" si="205"/>
        <v>359159.34393768245</v>
      </c>
      <c r="BT142" s="164">
        <f t="shared" si="234"/>
        <v>1.3057723049651002E-2</v>
      </c>
      <c r="BU142" s="164">
        <f t="shared" si="235"/>
        <v>4.7032923046132291E-3</v>
      </c>
      <c r="BV142" s="164">
        <f t="shared" si="236"/>
        <v>7.3793005381051812E-3</v>
      </c>
      <c r="BW142" s="164">
        <f t="shared" si="237"/>
        <v>9.626287168807127E-3</v>
      </c>
      <c r="BX142" s="164">
        <f t="shared" si="238"/>
        <v>8.9285714285714281E-3</v>
      </c>
      <c r="BY142" s="164">
        <f t="shared" si="239"/>
        <v>6.1719736288399496E-3</v>
      </c>
      <c r="BZ142" s="164">
        <f t="shared" si="240"/>
        <v>3.4271026702841641E-3</v>
      </c>
      <c r="CA142" s="164">
        <f t="shared" si="241"/>
        <v>6.6195939982347752E-3</v>
      </c>
      <c r="CB142" s="164">
        <f t="shared" si="242"/>
        <v>3.0479715103693877E-2</v>
      </c>
      <c r="CC142" s="164">
        <f t="shared" si="142"/>
        <v>1.384721394824041E-2</v>
      </c>
      <c r="CD142" s="180">
        <f t="shared" si="153"/>
        <v>27533</v>
      </c>
      <c r="CE142" s="180">
        <f t="shared" si="154"/>
        <v>7440</v>
      </c>
      <c r="CF142" s="180">
        <f t="shared" si="155"/>
        <v>70213</v>
      </c>
      <c r="CG142" s="180">
        <f t="shared" si="156"/>
        <v>28069</v>
      </c>
      <c r="CH142" s="180">
        <f t="shared" si="157"/>
        <v>3222</v>
      </c>
      <c r="CI142" s="180">
        <f t="shared" si="158"/>
        <v>5164</v>
      </c>
      <c r="CJ142" s="180">
        <f t="shared" si="159"/>
        <v>7943</v>
      </c>
      <c r="CK142" s="180">
        <f t="shared" si="160"/>
        <v>1532</v>
      </c>
      <c r="CL142" s="180">
        <f t="shared" si="161"/>
        <v>16395</v>
      </c>
      <c r="CM142" s="180">
        <f t="shared" si="161"/>
        <v>167511</v>
      </c>
      <c r="CN142" s="183">
        <f t="shared" si="143"/>
        <v>9.1956459658895373E-3</v>
      </c>
      <c r="CO142" s="183">
        <f t="shared" si="144"/>
        <v>3.5575898599728099E-3</v>
      </c>
      <c r="CP142" s="183">
        <f t="shared" si="145"/>
        <v>8.543946813682356E-3</v>
      </c>
      <c r="CQ142" s="183">
        <f t="shared" si="146"/>
        <v>3.9285120255210379E-3</v>
      </c>
      <c r="CR142" s="183">
        <f t="shared" si="147"/>
        <v>8.418427171062357E-4</v>
      </c>
      <c r="CS142" s="183">
        <f t="shared" si="148"/>
        <v>1.4823713258774324E-3</v>
      </c>
      <c r="CT142" s="183">
        <f t="shared" si="149"/>
        <v>3.4097540298286587E-3</v>
      </c>
      <c r="CU142" s="183">
        <f t="shared" si="150"/>
        <v>1.7137742194658317E-3</v>
      </c>
      <c r="CV142" s="183">
        <f t="shared" si="151"/>
        <v>1.1763344275498184E-2</v>
      </c>
      <c r="CW142" s="183">
        <f t="shared" si="152"/>
        <v>6.0998652154037663E-3</v>
      </c>
      <c r="CX142" s="193">
        <f t="shared" si="194"/>
        <v>2.625476924687507E-3</v>
      </c>
      <c r="CY142" s="193">
        <f t="shared" si="195"/>
        <v>3.148180439481593E-3</v>
      </c>
      <c r="CZ142" s="193">
        <f t="shared" si="196"/>
        <v>4.7394328108198991E-3</v>
      </c>
      <c r="DA142" s="193">
        <f t="shared" si="197"/>
        <v>2.8857268480421113E-3</v>
      </c>
      <c r="DB142" s="193">
        <f t="shared" si="198"/>
        <v>4.8549452151297115E-4</v>
      </c>
      <c r="DC142" s="193">
        <f t="shared" si="199"/>
        <v>1.0660846945958191E-3</v>
      </c>
      <c r="DD142" s="193">
        <f t="shared" si="200"/>
        <v>2.6944993290121087E-3</v>
      </c>
      <c r="DE142" s="193">
        <f t="shared" si="201"/>
        <v>1.118566668398043E-3</v>
      </c>
      <c r="DF142" s="193">
        <f t="shared" si="202"/>
        <v>2.0394122811732938E-3</v>
      </c>
      <c r="DG142" s="193">
        <f t="shared" si="203"/>
        <v>2.8159510210861625E-3</v>
      </c>
      <c r="DI142" s="83"/>
    </row>
    <row r="143" spans="1:113">
      <c r="A143" s="150">
        <v>44032</v>
      </c>
      <c r="B143" s="129">
        <v>65316</v>
      </c>
      <c r="C143" s="129">
        <v>10727</v>
      </c>
      <c r="D143" s="129">
        <v>136879</v>
      </c>
      <c r="E143" s="129">
        <v>45614</v>
      </c>
      <c r="F143" s="129">
        <v>5156</v>
      </c>
      <c r="G143" s="129">
        <v>7242</v>
      </c>
      <c r="H143" s="129">
        <v>14337</v>
      </c>
      <c r="I143" s="129">
        <v>2351</v>
      </c>
      <c r="J143" s="129">
        <v>85772</v>
      </c>
      <c r="K143" s="165">
        <f t="shared" si="189"/>
        <v>373394</v>
      </c>
      <c r="L143" s="80">
        <v>871</v>
      </c>
      <c r="M143" s="80">
        <v>57</v>
      </c>
      <c r="N143" s="80">
        <v>999</v>
      </c>
      <c r="O143" s="80">
        <v>429</v>
      </c>
      <c r="P143" s="80">
        <v>44</v>
      </c>
      <c r="Q143" s="80">
        <v>52</v>
      </c>
      <c r="R143" s="80">
        <v>48</v>
      </c>
      <c r="S143" s="80">
        <v>15</v>
      </c>
      <c r="T143" s="80">
        <v>2669</v>
      </c>
      <c r="U143" s="80">
        <f t="shared" si="190"/>
        <v>5184</v>
      </c>
      <c r="V143" s="130">
        <v>44807</v>
      </c>
      <c r="W143" s="130">
        <v>1128</v>
      </c>
      <c r="X143" s="130">
        <v>58512</v>
      </c>
      <c r="Y143" s="130">
        <v>13494</v>
      </c>
      <c r="Z143" s="130">
        <v>2144</v>
      </c>
      <c r="AA143" s="130">
        <v>2159</v>
      </c>
      <c r="AB143" s="130">
        <v>3241</v>
      </c>
      <c r="AC143" s="130">
        <v>970</v>
      </c>
      <c r="AD143" s="130">
        <v>68410</v>
      </c>
      <c r="AE143" s="130">
        <f t="shared" si="191"/>
        <v>194865</v>
      </c>
      <c r="AF143" s="131">
        <f t="shared" si="207"/>
        <v>19638</v>
      </c>
      <c r="AG143" s="131">
        <f t="shared" si="208"/>
        <v>9542</v>
      </c>
      <c r="AH143" s="131">
        <f t="shared" si="209"/>
        <v>77368</v>
      </c>
      <c r="AI143" s="131">
        <f t="shared" si="210"/>
        <v>31691</v>
      </c>
      <c r="AJ143" s="131">
        <f t="shared" si="211"/>
        <v>2968</v>
      </c>
      <c r="AK143" s="131">
        <f t="shared" si="212"/>
        <v>5031</v>
      </c>
      <c r="AL143" s="131">
        <f t="shared" si="213"/>
        <v>11048</v>
      </c>
      <c r="AM143" s="131">
        <f t="shared" si="214"/>
        <v>1366</v>
      </c>
      <c r="AN143" s="131">
        <f t="shared" si="215"/>
        <v>14693</v>
      </c>
      <c r="AO143" s="131">
        <f t="shared" si="192"/>
        <v>173345</v>
      </c>
      <c r="AP143" s="57">
        <f t="shared" si="105"/>
        <v>2135</v>
      </c>
      <c r="AQ143" s="57">
        <f t="shared" si="106"/>
        <v>734</v>
      </c>
      <c r="AR143" s="57">
        <f t="shared" si="107"/>
        <v>3262</v>
      </c>
      <c r="AS143" s="57">
        <f t="shared" si="108"/>
        <v>2399</v>
      </c>
      <c r="AT143" s="57">
        <f t="shared" si="109"/>
        <v>228</v>
      </c>
      <c r="AU143" s="57">
        <f t="shared" si="110"/>
        <v>113</v>
      </c>
      <c r="AV143" s="57">
        <f t="shared" si="111"/>
        <v>331</v>
      </c>
      <c r="AW143" s="57">
        <f t="shared" si="112"/>
        <v>85</v>
      </c>
      <c r="AX143" s="57">
        <f t="shared" si="113"/>
        <v>-154</v>
      </c>
      <c r="AY143" s="57">
        <f t="shared" si="193"/>
        <v>9133</v>
      </c>
      <c r="AZ143" s="152">
        <f t="shared" ca="1" si="216"/>
        <v>154928.57358654912</v>
      </c>
      <c r="BA143" s="152">
        <f t="shared" ca="1" si="217"/>
        <v>10822.173760247482</v>
      </c>
      <c r="BB143" s="152">
        <f t="shared" ca="1" si="218"/>
        <v>206141.48869670747</v>
      </c>
      <c r="BC143" s="152">
        <f t="shared" ca="1" si="219"/>
        <v>92970.320196221553</v>
      </c>
      <c r="BD143" s="152">
        <f t="shared" ca="1" si="220"/>
        <v>10159.64642614753</v>
      </c>
      <c r="BE143" s="152">
        <f t="shared" ca="1" si="221"/>
        <v>15259.655883675048</v>
      </c>
      <c r="BF143" s="152">
        <f t="shared" ca="1" si="222"/>
        <v>3919.5410867508108</v>
      </c>
      <c r="BG143" s="152">
        <f t="shared" ca="1" si="223"/>
        <v>3264.2099516270973</v>
      </c>
      <c r="BH143" s="152">
        <f t="shared" ca="1" si="224"/>
        <v>648400.39071013394</v>
      </c>
      <c r="BI143" s="152">
        <f t="shared" ca="1" si="204"/>
        <v>1145866.00029806</v>
      </c>
      <c r="BJ143" s="163">
        <f t="shared" ca="1" si="225"/>
        <v>46581.041828842113</v>
      </c>
      <c r="BK143" s="163">
        <f t="shared" ca="1" si="226"/>
        <v>9626.6600186707819</v>
      </c>
      <c r="BL143" s="163">
        <f t="shared" ca="1" si="227"/>
        <v>116517.17719655216</v>
      </c>
      <c r="BM143" s="163">
        <f t="shared" ca="1" si="228"/>
        <v>64592.50268203747</v>
      </c>
      <c r="BN143" s="163">
        <f t="shared" ca="1" si="229"/>
        <v>5848.2991840197574</v>
      </c>
      <c r="BO143" s="163">
        <f t="shared" ca="1" si="230"/>
        <v>10600.846278758516</v>
      </c>
      <c r="BP143" s="163">
        <f t="shared" ca="1" si="231"/>
        <v>3020.3731552223589</v>
      </c>
      <c r="BQ143" s="163">
        <f t="shared" ca="1" si="232"/>
        <v>1896.6017838888197</v>
      </c>
      <c r="BR143" s="163">
        <f t="shared" ca="1" si="233"/>
        <v>111072.92520524179</v>
      </c>
      <c r="BS143" s="163">
        <f t="shared" ca="1" si="205"/>
        <v>369756.42733323376</v>
      </c>
      <c r="BT143" s="164">
        <f t="shared" si="234"/>
        <v>1.3335170555453487E-2</v>
      </c>
      <c r="BU143" s="164">
        <f t="shared" si="235"/>
        <v>5.3136944159597275E-3</v>
      </c>
      <c r="BV143" s="164">
        <f t="shared" si="236"/>
        <v>7.2984168499185412E-3</v>
      </c>
      <c r="BW143" s="164">
        <f t="shared" si="237"/>
        <v>9.4050072346209494E-3</v>
      </c>
      <c r="BX143" s="164">
        <f t="shared" si="238"/>
        <v>8.5337470907680367E-3</v>
      </c>
      <c r="BY143" s="164">
        <f t="shared" si="239"/>
        <v>7.1803369235017948E-3</v>
      </c>
      <c r="BZ143" s="164">
        <f t="shared" si="240"/>
        <v>3.3479807491106927E-3</v>
      </c>
      <c r="CA143" s="164">
        <f t="shared" si="241"/>
        <v>6.3802637175669925E-3</v>
      </c>
      <c r="CB143" s="164">
        <f t="shared" si="242"/>
        <v>3.1117380963484587E-2</v>
      </c>
      <c r="CC143" s="164">
        <f t="shared" si="142"/>
        <v>1.3883458223752925E-2</v>
      </c>
      <c r="CD143" s="180">
        <f t="shared" si="153"/>
        <v>27235</v>
      </c>
      <c r="CE143" s="180">
        <f t="shared" si="154"/>
        <v>7923</v>
      </c>
      <c r="CF143" s="180">
        <f t="shared" si="155"/>
        <v>69988</v>
      </c>
      <c r="CG143" s="180">
        <f t="shared" si="156"/>
        <v>29795</v>
      </c>
      <c r="CH143" s="180">
        <f t="shared" si="157"/>
        <v>3371</v>
      </c>
      <c r="CI143" s="180">
        <f t="shared" si="158"/>
        <v>5069</v>
      </c>
      <c r="CJ143" s="180">
        <f t="shared" si="159"/>
        <v>7927</v>
      </c>
      <c r="CK143" s="180">
        <f t="shared" si="160"/>
        <v>1531</v>
      </c>
      <c r="CL143" s="180">
        <f t="shared" si="161"/>
        <v>14834</v>
      </c>
      <c r="CM143" s="180">
        <f t="shared" si="161"/>
        <v>167673</v>
      </c>
      <c r="CN143" s="183">
        <f t="shared" si="143"/>
        <v>9.5063834366034255E-3</v>
      </c>
      <c r="CO143" s="183">
        <f t="shared" si="144"/>
        <v>3.8188998727037259E-3</v>
      </c>
      <c r="CP143" s="183">
        <f t="shared" si="145"/>
        <v>8.7525307102391692E-3</v>
      </c>
      <c r="CQ143" s="183">
        <f t="shared" si="146"/>
        <v>4.1465960322137367E-3</v>
      </c>
      <c r="CR143" s="183">
        <f t="shared" si="147"/>
        <v>8.8079160905027421E-4</v>
      </c>
      <c r="CS143" s="183">
        <f t="shared" si="148"/>
        <v>1.505868023846874E-3</v>
      </c>
      <c r="CT143" s="183">
        <f t="shared" si="149"/>
        <v>3.4903358221943085E-3</v>
      </c>
      <c r="CU143" s="183">
        <f t="shared" si="150"/>
        <v>1.778059660178363E-3</v>
      </c>
      <c r="CV143" s="183">
        <f t="shared" si="151"/>
        <v>1.1742261541303332E-2</v>
      </c>
      <c r="CW143" s="183">
        <f t="shared" si="152"/>
        <v>6.2528051925418151E-3</v>
      </c>
      <c r="CX143" s="193">
        <f t="shared" si="194"/>
        <v>2.8582025526366905E-3</v>
      </c>
      <c r="CY143" s="193">
        <f t="shared" si="195"/>
        <v>3.3970301655019066E-3</v>
      </c>
      <c r="CZ143" s="193">
        <f t="shared" si="196"/>
        <v>4.9471854410814229E-3</v>
      </c>
      <c r="DA143" s="193">
        <f t="shared" si="197"/>
        <v>2.8809088187154281E-3</v>
      </c>
      <c r="DB143" s="193">
        <f t="shared" si="198"/>
        <v>5.0701890916625555E-4</v>
      </c>
      <c r="DC143" s="193">
        <f t="shared" si="199"/>
        <v>1.0461228980908068E-3</v>
      </c>
      <c r="DD143" s="193">
        <f t="shared" si="200"/>
        <v>2.6896303385368428E-3</v>
      </c>
      <c r="DE143" s="193">
        <f t="shared" si="201"/>
        <v>1.0331048472155015E-3</v>
      </c>
      <c r="DF143" s="193">
        <f t="shared" si="202"/>
        <v>2.0114845034086867E-3</v>
      </c>
      <c r="DG143" s="193">
        <f t="shared" si="203"/>
        <v>2.902811818350485E-3</v>
      </c>
      <c r="DI143" s="83"/>
    </row>
    <row r="144" spans="1:113">
      <c r="A144" s="150">
        <v>44033</v>
      </c>
      <c r="B144" s="129">
        <v>66759</v>
      </c>
      <c r="C144" s="129">
        <v>11352</v>
      </c>
      <c r="D144" s="129">
        <v>139435</v>
      </c>
      <c r="E144" s="129">
        <v>47685</v>
      </c>
      <c r="F144" s="129">
        <v>5355</v>
      </c>
      <c r="G144" s="129">
        <v>7664</v>
      </c>
      <c r="H144" s="129">
        <v>14634</v>
      </c>
      <c r="I144" s="129">
        <v>2539</v>
      </c>
      <c r="J144" s="129">
        <v>86329</v>
      </c>
      <c r="K144" s="165">
        <f t="shared" si="189"/>
        <v>381752</v>
      </c>
      <c r="L144" s="80">
        <v>945</v>
      </c>
      <c r="M144" s="80">
        <v>57</v>
      </c>
      <c r="N144" s="80">
        <v>1042</v>
      </c>
      <c r="O144" s="80">
        <v>459</v>
      </c>
      <c r="P144" s="80">
        <v>44</v>
      </c>
      <c r="Q144" s="80">
        <v>52</v>
      </c>
      <c r="R144" s="80">
        <v>48</v>
      </c>
      <c r="S144" s="80">
        <v>15</v>
      </c>
      <c r="T144" s="80">
        <v>2717</v>
      </c>
      <c r="U144" s="80">
        <f t="shared" si="190"/>
        <v>5379</v>
      </c>
      <c r="V144" s="130">
        <v>47263</v>
      </c>
      <c r="W144" s="130">
        <v>1272</v>
      </c>
      <c r="X144" s="130">
        <v>66434</v>
      </c>
      <c r="Y144" s="130">
        <v>13920</v>
      </c>
      <c r="Z144" s="130">
        <v>2518</v>
      </c>
      <c r="AA144" s="130">
        <v>2348</v>
      </c>
      <c r="AB144" s="130">
        <v>3241</v>
      </c>
      <c r="AC144" s="130">
        <v>1087</v>
      </c>
      <c r="AD144" s="130">
        <v>70061</v>
      </c>
      <c r="AE144" s="130">
        <f t="shared" si="191"/>
        <v>208144</v>
      </c>
      <c r="AF144" s="131">
        <f t="shared" si="207"/>
        <v>18551</v>
      </c>
      <c r="AG144" s="131">
        <f t="shared" si="208"/>
        <v>10023</v>
      </c>
      <c r="AH144" s="131">
        <f t="shared" si="209"/>
        <v>71959</v>
      </c>
      <c r="AI144" s="131">
        <f t="shared" si="210"/>
        <v>33306</v>
      </c>
      <c r="AJ144" s="131">
        <f t="shared" si="211"/>
        <v>2793</v>
      </c>
      <c r="AK144" s="131">
        <f t="shared" si="212"/>
        <v>5264</v>
      </c>
      <c r="AL144" s="131">
        <f t="shared" si="213"/>
        <v>11345</v>
      </c>
      <c r="AM144" s="131">
        <f t="shared" si="214"/>
        <v>1437</v>
      </c>
      <c r="AN144" s="131">
        <f t="shared" si="215"/>
        <v>13551</v>
      </c>
      <c r="AO144" s="131">
        <f t="shared" si="192"/>
        <v>168229</v>
      </c>
      <c r="AP144" s="57">
        <f t="shared" ref="AP144:AP156" si="243">B144-B143</f>
        <v>1443</v>
      </c>
      <c r="AQ144" s="57">
        <f t="shared" ref="AQ144:AQ157" si="244">C144-C143</f>
        <v>625</v>
      </c>
      <c r="AR144" s="57">
        <f t="shared" ref="AR144:AR157" si="245">D144-D143</f>
        <v>2556</v>
      </c>
      <c r="AS144" s="57">
        <f t="shared" ref="AS144:AS157" si="246">E144-E143</f>
        <v>2071</v>
      </c>
      <c r="AT144" s="57">
        <f t="shared" ref="AT144:AT157" si="247">F144-F143</f>
        <v>199</v>
      </c>
      <c r="AU144" s="57">
        <f t="shared" ref="AU144:AU157" si="248">G144-G143</f>
        <v>422</v>
      </c>
      <c r="AV144" s="57">
        <f t="shared" ref="AV144:AV157" si="249">H144-H143</f>
        <v>297</v>
      </c>
      <c r="AW144" s="57">
        <f t="shared" ref="AW144:AW157" si="250">I144-I143</f>
        <v>188</v>
      </c>
      <c r="AX144" s="57">
        <f t="shared" ref="AX144:AX157" si="251">J144-J143</f>
        <v>557</v>
      </c>
      <c r="AY144" s="57">
        <f t="shared" si="193"/>
        <v>8358</v>
      </c>
      <c r="AZ144" s="152">
        <f t="shared" ca="1" si="216"/>
        <v>172197.51210021687</v>
      </c>
      <c r="BA144" s="152">
        <f t="shared" ca="1" si="217"/>
        <v>10197.173760247482</v>
      </c>
      <c r="BB144" s="152">
        <f t="shared" ca="1" si="218"/>
        <v>218350.13435632555</v>
      </c>
      <c r="BC144" s="152">
        <f t="shared" ca="1" si="219"/>
        <v>100590.53139875451</v>
      </c>
      <c r="BD144" s="152">
        <f t="shared" ca="1" si="220"/>
        <v>9960.6464261475303</v>
      </c>
      <c r="BE144" s="152">
        <f t="shared" ca="1" si="221"/>
        <v>14837.655883675048</v>
      </c>
      <c r="BF144" s="152">
        <f t="shared" ca="1" si="222"/>
        <v>3622.5410867508108</v>
      </c>
      <c r="BG144" s="152">
        <f t="shared" ca="1" si="223"/>
        <v>3076.2099516270973</v>
      </c>
      <c r="BH144" s="152">
        <f t="shared" ca="1" si="224"/>
        <v>661046.94063673052</v>
      </c>
      <c r="BI144" s="152">
        <f t="shared" ca="1" si="204"/>
        <v>1193879.3456004756</v>
      </c>
      <c r="BJ144" s="163">
        <f t="shared" ca="1" si="225"/>
        <v>47850.26808327152</v>
      </c>
      <c r="BK144" s="163">
        <f t="shared" ca="1" si="226"/>
        <v>9003.3714410641751</v>
      </c>
      <c r="BL144" s="163">
        <f t="shared" ca="1" si="227"/>
        <v>112685.17458419214</v>
      </c>
      <c r="BM144" s="163">
        <f t="shared" ca="1" si="228"/>
        <v>70258.325233656651</v>
      </c>
      <c r="BN144" s="163">
        <f t="shared" ca="1" si="229"/>
        <v>5195.1606850102808</v>
      </c>
      <c r="BO144" s="163">
        <f t="shared" ca="1" si="230"/>
        <v>10191.20832093756</v>
      </c>
      <c r="BP144" s="163">
        <f t="shared" ca="1" si="231"/>
        <v>2808.3728733899106</v>
      </c>
      <c r="BQ144" s="163">
        <f t="shared" ca="1" si="232"/>
        <v>1741.045175458109</v>
      </c>
      <c r="BR144" s="163">
        <f t="shared" ca="1" si="233"/>
        <v>103764.0548664798</v>
      </c>
      <c r="BS144" s="163">
        <f t="shared" ca="1" si="205"/>
        <v>363496.98126346013</v>
      </c>
      <c r="BT144" s="164">
        <f t="shared" si="234"/>
        <v>1.4155394778232149E-2</v>
      </c>
      <c r="BU144" s="164">
        <f t="shared" si="235"/>
        <v>5.0211416490486254E-3</v>
      </c>
      <c r="BV144" s="164">
        <f t="shared" si="236"/>
        <v>7.4730161006920787E-3</v>
      </c>
      <c r="BW144" s="164">
        <f t="shared" si="237"/>
        <v>9.6256684491978616E-3</v>
      </c>
      <c r="BX144" s="164">
        <f t="shared" si="238"/>
        <v>8.216619981325864E-3</v>
      </c>
      <c r="BY144" s="164">
        <f t="shared" si="239"/>
        <v>6.7849686847599169E-3</v>
      </c>
      <c r="BZ144" s="164">
        <f t="shared" si="240"/>
        <v>3.2800328003280031E-3</v>
      </c>
      <c r="CA144" s="164">
        <f t="shared" si="241"/>
        <v>5.9078377313903111E-3</v>
      </c>
      <c r="CB144" s="164">
        <f t="shared" si="242"/>
        <v>3.1472622177947156E-2</v>
      </c>
      <c r="CC144" s="164">
        <f t="shared" si="142"/>
        <v>1.4090299461430457E-2</v>
      </c>
      <c r="CD144" s="180">
        <f t="shared" si="153"/>
        <v>26358</v>
      </c>
      <c r="CE144" s="180">
        <f t="shared" si="154"/>
        <v>8318</v>
      </c>
      <c r="CF144" s="180">
        <f t="shared" si="155"/>
        <v>67947</v>
      </c>
      <c r="CG144" s="180">
        <f t="shared" si="156"/>
        <v>30942</v>
      </c>
      <c r="CH144" s="180">
        <f t="shared" si="157"/>
        <v>3405</v>
      </c>
      <c r="CI144" s="180">
        <f t="shared" si="158"/>
        <v>5311</v>
      </c>
      <c r="CJ144" s="180">
        <f t="shared" si="159"/>
        <v>7792</v>
      </c>
      <c r="CK144" s="180">
        <f t="shared" si="160"/>
        <v>1651</v>
      </c>
      <c r="CL144" s="180">
        <f t="shared" si="161"/>
        <v>14173</v>
      </c>
      <c r="CM144" s="180">
        <f t="shared" si="161"/>
        <v>165897</v>
      </c>
      <c r="CN144" s="183">
        <f t="shared" si="143"/>
        <v>9.7164041252404947E-3</v>
      </c>
      <c r="CO144" s="183">
        <f t="shared" si="144"/>
        <v>4.0414049925359087E-3</v>
      </c>
      <c r="CP144" s="183">
        <f t="shared" si="145"/>
        <v>8.915970452605575E-3</v>
      </c>
      <c r="CQ144" s="183">
        <f t="shared" si="146"/>
        <v>4.3348628008092263E-3</v>
      </c>
      <c r="CR144" s="183">
        <f t="shared" si="147"/>
        <v>9.1478647526458843E-4</v>
      </c>
      <c r="CS144" s="183">
        <f t="shared" si="148"/>
        <v>1.5936167543168245E-3</v>
      </c>
      <c r="CT144" s="183">
        <f t="shared" si="149"/>
        <v>3.5626403307520058E-3</v>
      </c>
      <c r="CU144" s="183">
        <f t="shared" si="150"/>
        <v>1.920243929048432E-3</v>
      </c>
      <c r="CV144" s="183">
        <f t="shared" si="151"/>
        <v>1.1818515326670422E-2</v>
      </c>
      <c r="CW144" s="183">
        <f t="shared" si="152"/>
        <v>6.3927671249758245E-3</v>
      </c>
      <c r="CX144" s="193">
        <f t="shared" si="194"/>
        <v>2.6999956998657319E-3</v>
      </c>
      <c r="CY144" s="193">
        <f t="shared" si="195"/>
        <v>3.5682701057247546E-3</v>
      </c>
      <c r="CZ144" s="193">
        <f t="shared" si="196"/>
        <v>4.6013147186792745E-3</v>
      </c>
      <c r="DA144" s="193">
        <f t="shared" si="197"/>
        <v>3.0277223538586993E-3</v>
      </c>
      <c r="DB144" s="193">
        <f t="shared" si="198"/>
        <v>4.7712392631447161E-4</v>
      </c>
      <c r="DC144" s="193">
        <f t="shared" si="199"/>
        <v>1.0945718416915141E-3</v>
      </c>
      <c r="DD144" s="193">
        <f t="shared" si="200"/>
        <v>2.7619348470945405E-3</v>
      </c>
      <c r="DE144" s="193">
        <f t="shared" si="201"/>
        <v>1.0868020976930275E-3</v>
      </c>
      <c r="DF144" s="193">
        <f t="shared" si="202"/>
        <v>1.8551437082754449E-3</v>
      </c>
      <c r="DG144" s="193">
        <f t="shared" si="203"/>
        <v>2.8171399774396936E-3</v>
      </c>
      <c r="DI144" s="83"/>
    </row>
    <row r="145" spans="1:113">
      <c r="A145" s="150">
        <v>44034</v>
      </c>
      <c r="B145" s="129">
        <v>67818</v>
      </c>
      <c r="C145" s="129">
        <v>12332</v>
      </c>
      <c r="D145" s="129">
        <v>144582</v>
      </c>
      <c r="E145" s="129">
        <v>50521</v>
      </c>
      <c r="F145" s="129">
        <v>5712</v>
      </c>
      <c r="G145" s="129">
        <v>8286</v>
      </c>
      <c r="H145" s="129">
        <v>15073</v>
      </c>
      <c r="I145" s="129">
        <v>2727</v>
      </c>
      <c r="J145" s="129">
        <v>87847</v>
      </c>
      <c r="K145" s="165">
        <f t="shared" si="189"/>
        <v>394898</v>
      </c>
      <c r="L145" s="80">
        <v>1345</v>
      </c>
      <c r="M145" s="80">
        <v>62</v>
      </c>
      <c r="N145" s="80">
        <v>1156</v>
      </c>
      <c r="O145" s="80">
        <v>477</v>
      </c>
      <c r="P145" s="80">
        <v>44</v>
      </c>
      <c r="Q145" s="80">
        <v>52</v>
      </c>
      <c r="R145" s="80">
        <v>48</v>
      </c>
      <c r="S145" s="80">
        <v>15</v>
      </c>
      <c r="T145" s="80">
        <v>2752</v>
      </c>
      <c r="U145" s="80">
        <f t="shared" si="190"/>
        <v>5951</v>
      </c>
      <c r="V145" s="130">
        <v>49938</v>
      </c>
      <c r="W145" s="130">
        <v>1315</v>
      </c>
      <c r="X145" s="130">
        <v>77397</v>
      </c>
      <c r="Y145" s="130">
        <v>18067</v>
      </c>
      <c r="Z145" s="130">
        <v>2518</v>
      </c>
      <c r="AA145" s="130">
        <v>3435</v>
      </c>
      <c r="AB145" s="130">
        <v>3914</v>
      </c>
      <c r="AC145" s="130">
        <v>1100</v>
      </c>
      <c r="AD145" s="130">
        <v>71491</v>
      </c>
      <c r="AE145" s="130">
        <f t="shared" si="191"/>
        <v>229175</v>
      </c>
      <c r="AF145" s="131">
        <f t="shared" si="207"/>
        <v>16535</v>
      </c>
      <c r="AG145" s="131">
        <f t="shared" si="208"/>
        <v>10955</v>
      </c>
      <c r="AH145" s="131">
        <f t="shared" si="209"/>
        <v>66029</v>
      </c>
      <c r="AI145" s="131">
        <f t="shared" si="210"/>
        <v>31977</v>
      </c>
      <c r="AJ145" s="131">
        <f t="shared" si="211"/>
        <v>3150</v>
      </c>
      <c r="AK145" s="131">
        <f t="shared" si="212"/>
        <v>4799</v>
      </c>
      <c r="AL145" s="131">
        <f t="shared" si="213"/>
        <v>11111</v>
      </c>
      <c r="AM145" s="131">
        <f t="shared" si="214"/>
        <v>1612</v>
      </c>
      <c r="AN145" s="131">
        <f t="shared" si="215"/>
        <v>13604</v>
      </c>
      <c r="AO145" s="131">
        <f t="shared" si="192"/>
        <v>159772</v>
      </c>
      <c r="AP145" s="57">
        <f t="shared" si="243"/>
        <v>1059</v>
      </c>
      <c r="AQ145" s="57">
        <f t="shared" si="244"/>
        <v>980</v>
      </c>
      <c r="AR145" s="57">
        <f t="shared" si="245"/>
        <v>5147</v>
      </c>
      <c r="AS145" s="57">
        <f t="shared" si="246"/>
        <v>2836</v>
      </c>
      <c r="AT145" s="57">
        <f t="shared" si="247"/>
        <v>357</v>
      </c>
      <c r="AU145" s="57">
        <f t="shared" si="248"/>
        <v>622</v>
      </c>
      <c r="AV145" s="57">
        <f t="shared" si="249"/>
        <v>439</v>
      </c>
      <c r="AW145" s="57">
        <f t="shared" si="250"/>
        <v>188</v>
      </c>
      <c r="AX145" s="57">
        <f t="shared" si="251"/>
        <v>1518</v>
      </c>
      <c r="AY145" s="57">
        <f t="shared" si="193"/>
        <v>13146</v>
      </c>
      <c r="AZ145" s="152">
        <f t="shared" ca="1" si="216"/>
        <v>272284.12568761024</v>
      </c>
      <c r="BA145" s="152">
        <f t="shared" ca="1" si="217"/>
        <v>11107.452160269193</v>
      </c>
      <c r="BB145" s="152">
        <f t="shared" ca="1" si="218"/>
        <v>252346.61354694079</v>
      </c>
      <c r="BC145" s="152">
        <f t="shared" ca="1" si="219"/>
        <v>103569.25812027432</v>
      </c>
      <c r="BD145" s="152">
        <f t="shared" ca="1" si="220"/>
        <v>9603.6464261475303</v>
      </c>
      <c r="BE145" s="152">
        <f t="shared" ca="1" si="221"/>
        <v>14215.655883675048</v>
      </c>
      <c r="BF145" s="152">
        <f t="shared" ca="1" si="222"/>
        <v>3183.5410867508108</v>
      </c>
      <c r="BG145" s="152">
        <f t="shared" ca="1" si="223"/>
        <v>2888.2099516270973</v>
      </c>
      <c r="BH145" s="152">
        <f t="shared" ca="1" si="224"/>
        <v>669156.52912487392</v>
      </c>
      <c r="BI145" s="152">
        <f t="shared" ca="1" si="204"/>
        <v>1338355.0319881691</v>
      </c>
      <c r="BJ145" s="163">
        <f t="shared" ca="1" si="225"/>
        <v>66386.770742938985</v>
      </c>
      <c r="BK145" s="163">
        <f t="shared" ca="1" si="226"/>
        <v>9867.1860538233068</v>
      </c>
      <c r="BL145" s="163">
        <f t="shared" ca="1" si="227"/>
        <v>115243.90688945341</v>
      </c>
      <c r="BM145" s="163">
        <f t="shared" ca="1" si="228"/>
        <v>65553.614673343982</v>
      </c>
      <c r="BN145" s="163">
        <f t="shared" ca="1" si="229"/>
        <v>5296.1285438313589</v>
      </c>
      <c r="BO145" s="163">
        <f t="shared" ca="1" si="230"/>
        <v>8233.2769232146456</v>
      </c>
      <c r="BP145" s="163">
        <f t="shared" ca="1" si="231"/>
        <v>2346.7342277508296</v>
      </c>
      <c r="BQ145" s="163">
        <f t="shared" ca="1" si="232"/>
        <v>1707.2953582775506</v>
      </c>
      <c r="BR145" s="163">
        <f t="shared" ca="1" si="233"/>
        <v>103625.68354314643</v>
      </c>
      <c r="BS145" s="163">
        <f t="shared" ca="1" si="205"/>
        <v>378260.59695578058</v>
      </c>
      <c r="BT145" s="164">
        <f t="shared" si="234"/>
        <v>1.9832492848506297E-2</v>
      </c>
      <c r="BU145" s="164">
        <f t="shared" si="235"/>
        <v>5.0275705481673694E-3</v>
      </c>
      <c r="BV145" s="164">
        <f t="shared" si="236"/>
        <v>7.9954627823657157E-3</v>
      </c>
      <c r="BW145" s="164">
        <f t="shared" si="237"/>
        <v>9.4416183369291969E-3</v>
      </c>
      <c r="BX145" s="164">
        <f t="shared" si="238"/>
        <v>7.7030812324929976E-3</v>
      </c>
      <c r="BY145" s="164">
        <f t="shared" si="239"/>
        <v>6.2756456673907796E-3</v>
      </c>
      <c r="BZ145" s="164">
        <f t="shared" si="240"/>
        <v>3.1845020898294964E-3</v>
      </c>
      <c r="CA145" s="164">
        <f t="shared" si="241"/>
        <v>5.5005500550055009E-3</v>
      </c>
      <c r="CB145" s="164">
        <f t="shared" si="242"/>
        <v>3.1327193871162361E-2</v>
      </c>
      <c r="CC145" s="164">
        <f t="shared" ref="CC145:CC157" si="252">U145/(K145)</f>
        <v>1.5069714204680703E-2</v>
      </c>
      <c r="CD145" s="180">
        <f t="shared" si="153"/>
        <v>25461</v>
      </c>
      <c r="CE145" s="180">
        <f t="shared" si="154"/>
        <v>9073</v>
      </c>
      <c r="CF145" s="180">
        <f t="shared" si="155"/>
        <v>69567</v>
      </c>
      <c r="CG145" s="180">
        <f t="shared" si="156"/>
        <v>32559</v>
      </c>
      <c r="CH145" s="180">
        <f t="shared" si="157"/>
        <v>3581</v>
      </c>
      <c r="CI145" s="180">
        <f t="shared" si="158"/>
        <v>5758</v>
      </c>
      <c r="CJ145" s="180">
        <f t="shared" si="159"/>
        <v>7926</v>
      </c>
      <c r="CK145" s="180">
        <f t="shared" si="160"/>
        <v>1753</v>
      </c>
      <c r="CL145" s="180">
        <f t="shared" si="161"/>
        <v>14555</v>
      </c>
      <c r="CM145" s="180">
        <f t="shared" si="161"/>
        <v>170233</v>
      </c>
      <c r="CN145" s="183">
        <f t="shared" si="143"/>
        <v>9.8705357324938934E-3</v>
      </c>
      <c r="CO145" s="183">
        <f t="shared" si="144"/>
        <v>4.3902930204327718E-3</v>
      </c>
      <c r="CP145" s="183">
        <f t="shared" si="145"/>
        <v>9.2450879619795558E-3</v>
      </c>
      <c r="CQ145" s="183">
        <f t="shared" si="146"/>
        <v>4.5926728228936333E-3</v>
      </c>
      <c r="CR145" s="183">
        <f t="shared" si="147"/>
        <v>9.7577224028222768E-4</v>
      </c>
      <c r="CS145" s="183">
        <f t="shared" si="148"/>
        <v>1.722952560838884E-3</v>
      </c>
      <c r="CT145" s="183">
        <f t="shared" si="149"/>
        <v>3.6695146716840907E-3</v>
      </c>
      <c r="CU145" s="183">
        <f t="shared" si="150"/>
        <v>2.0624281979185009E-3</v>
      </c>
      <c r="CV145" s="183">
        <f t="shared" si="151"/>
        <v>1.2026330849448234E-2</v>
      </c>
      <c r="CW145" s="183">
        <f t="shared" si="152"/>
        <v>6.6129082548845933E-3</v>
      </c>
      <c r="CX145" s="193">
        <f t="shared" si="194"/>
        <v>2.4065780226014705E-3</v>
      </c>
      <c r="CY145" s="193">
        <f t="shared" si="195"/>
        <v>3.900069740418506E-3</v>
      </c>
      <c r="CZ145" s="193">
        <f t="shared" si="196"/>
        <v>4.2221294009043182E-3</v>
      </c>
      <c r="DA145" s="193">
        <f t="shared" si="197"/>
        <v>2.9069079958367753E-3</v>
      </c>
      <c r="DB145" s="193">
        <f t="shared" si="198"/>
        <v>5.3810969133211086E-4</v>
      </c>
      <c r="DC145" s="193">
        <f t="shared" si="199"/>
        <v>9.9788188987036007E-4</v>
      </c>
      <c r="DD145" s="193">
        <f t="shared" si="200"/>
        <v>2.7049676585339305E-3</v>
      </c>
      <c r="DE145" s="193">
        <f t="shared" si="201"/>
        <v>1.2191544756305916E-3</v>
      </c>
      <c r="DF145" s="193">
        <f t="shared" si="202"/>
        <v>1.862399454459387E-3</v>
      </c>
      <c r="DG145" s="193">
        <f t="shared" si="203"/>
        <v>2.6755202044563943E-3</v>
      </c>
      <c r="DI145" s="83"/>
    </row>
    <row r="146" spans="1:113">
      <c r="A146" s="150">
        <v>44035</v>
      </c>
      <c r="B146" s="129">
        <v>69445</v>
      </c>
      <c r="C146" s="129">
        <v>13443</v>
      </c>
      <c r="D146" s="129">
        <v>148854</v>
      </c>
      <c r="E146" s="129">
        <v>53406</v>
      </c>
      <c r="F146" s="129">
        <v>6068</v>
      </c>
      <c r="G146" s="129">
        <v>8987</v>
      </c>
      <c r="H146" s="129">
        <v>15901</v>
      </c>
      <c r="I146" s="129">
        <v>2970</v>
      </c>
      <c r="J146" s="129">
        <v>88928</v>
      </c>
      <c r="K146" s="165">
        <f t="shared" si="189"/>
        <v>408002</v>
      </c>
      <c r="L146" s="80">
        <v>1393</v>
      </c>
      <c r="M146" s="80">
        <v>62</v>
      </c>
      <c r="N146" s="80">
        <v>1187</v>
      </c>
      <c r="O146" s="80">
        <v>515</v>
      </c>
      <c r="P146" s="80">
        <v>44</v>
      </c>
      <c r="Q146" s="80">
        <v>52</v>
      </c>
      <c r="R146" s="80">
        <v>48</v>
      </c>
      <c r="S146" s="80">
        <v>23</v>
      </c>
      <c r="T146" s="80">
        <v>2780</v>
      </c>
      <c r="U146" s="80">
        <f t="shared" si="190"/>
        <v>6104</v>
      </c>
      <c r="V146" s="130">
        <v>53591</v>
      </c>
      <c r="W146" s="130">
        <v>1821</v>
      </c>
      <c r="X146" s="130">
        <v>77397</v>
      </c>
      <c r="Y146" s="130">
        <v>18786</v>
      </c>
      <c r="Z146" s="130">
        <v>2781</v>
      </c>
      <c r="AA146" s="130">
        <v>4018</v>
      </c>
      <c r="AB146" s="130">
        <v>4019</v>
      </c>
      <c r="AC146" s="130">
        <v>1152</v>
      </c>
      <c r="AD146" s="130">
        <v>72695</v>
      </c>
      <c r="AE146" s="130">
        <f t="shared" si="191"/>
        <v>236260</v>
      </c>
      <c r="AF146" s="131">
        <f t="shared" si="207"/>
        <v>14461</v>
      </c>
      <c r="AG146" s="131">
        <f t="shared" si="208"/>
        <v>11560</v>
      </c>
      <c r="AH146" s="131">
        <f t="shared" si="209"/>
        <v>70270</v>
      </c>
      <c r="AI146" s="131">
        <f t="shared" si="210"/>
        <v>34105</v>
      </c>
      <c r="AJ146" s="131">
        <f t="shared" si="211"/>
        <v>3243</v>
      </c>
      <c r="AK146" s="131">
        <f t="shared" si="212"/>
        <v>4917</v>
      </c>
      <c r="AL146" s="131">
        <f t="shared" si="213"/>
        <v>11834</v>
      </c>
      <c r="AM146" s="131">
        <f t="shared" si="214"/>
        <v>1795</v>
      </c>
      <c r="AN146" s="131">
        <f t="shared" si="215"/>
        <v>13453</v>
      </c>
      <c r="AO146" s="131">
        <f t="shared" si="192"/>
        <v>165638</v>
      </c>
      <c r="AP146" s="57">
        <f t="shared" si="243"/>
        <v>1627</v>
      </c>
      <c r="AQ146" s="57">
        <f t="shared" si="244"/>
        <v>1111</v>
      </c>
      <c r="AR146" s="57">
        <f t="shared" si="245"/>
        <v>4272</v>
      </c>
      <c r="AS146" s="57">
        <f t="shared" si="246"/>
        <v>2885</v>
      </c>
      <c r="AT146" s="57">
        <f t="shared" si="247"/>
        <v>356</v>
      </c>
      <c r="AU146" s="57">
        <f t="shared" si="248"/>
        <v>701</v>
      </c>
      <c r="AV146" s="57">
        <f t="shared" si="249"/>
        <v>828</v>
      </c>
      <c r="AW146" s="57">
        <f t="shared" si="250"/>
        <v>243</v>
      </c>
      <c r="AX146" s="57">
        <f t="shared" si="251"/>
        <v>1081</v>
      </c>
      <c r="AY146" s="57">
        <f t="shared" si="193"/>
        <v>13104</v>
      </c>
      <c r="AZ146" s="152">
        <f t="shared" ca="1" si="216"/>
        <v>282794.59931809746</v>
      </c>
      <c r="BA146" s="152">
        <f t="shared" ca="1" si="217"/>
        <v>9996.452160269193</v>
      </c>
      <c r="BB146" s="152">
        <f t="shared" ca="1" si="218"/>
        <v>258718.89297596773</v>
      </c>
      <c r="BC146" s="152">
        <f t="shared" ca="1" si="219"/>
        <v>112959.79231014941</v>
      </c>
      <c r="BD146" s="152">
        <f t="shared" ca="1" si="220"/>
        <v>9247.6464261475303</v>
      </c>
      <c r="BE146" s="152">
        <f t="shared" ca="1" si="221"/>
        <v>13514.655883675048</v>
      </c>
      <c r="BF146" s="152">
        <f t="shared" ca="1" si="222"/>
        <v>2355.5410867508108</v>
      </c>
      <c r="BG146" s="152">
        <f t="shared" ca="1" si="223"/>
        <v>5639.9885924948831</v>
      </c>
      <c r="BH146" s="152">
        <f t="shared" ca="1" si="224"/>
        <v>675777.59991538862</v>
      </c>
      <c r="BI146" s="152">
        <f t="shared" ca="1" si="204"/>
        <v>1371005.1686689407</v>
      </c>
      <c r="BJ146" s="163">
        <f t="shared" ca="1" si="225"/>
        <v>58888.223784851427</v>
      </c>
      <c r="BK146" s="163">
        <f t="shared" ca="1" si="226"/>
        <v>8596.2201125278498</v>
      </c>
      <c r="BL146" s="163">
        <f t="shared" ca="1" si="227"/>
        <v>122134.28332071193</v>
      </c>
      <c r="BM146" s="163">
        <f t="shared" ca="1" si="228"/>
        <v>72135.971927080202</v>
      </c>
      <c r="BN146" s="163">
        <f t="shared" ca="1" si="229"/>
        <v>4942.3397099532694</v>
      </c>
      <c r="BO146" s="163">
        <f t="shared" ca="1" si="230"/>
        <v>7394.1874908234349</v>
      </c>
      <c r="BP146" s="163">
        <f t="shared" ca="1" si="231"/>
        <v>1753.0641607829127</v>
      </c>
      <c r="BQ146" s="163">
        <f t="shared" ca="1" si="232"/>
        <v>3408.6799742519579</v>
      </c>
      <c r="BR146" s="163">
        <f t="shared" ca="1" si="233"/>
        <v>102231.42375474228</v>
      </c>
      <c r="BS146" s="163">
        <f t="shared" ca="1" si="205"/>
        <v>381484.39423572528</v>
      </c>
      <c r="BT146" s="164">
        <f t="shared" si="234"/>
        <v>2.0059039527683779E-2</v>
      </c>
      <c r="BU146" s="164">
        <f t="shared" si="235"/>
        <v>4.6120657591311462E-3</v>
      </c>
      <c r="BV146" s="164">
        <f t="shared" si="236"/>
        <v>7.9742566541712006E-3</v>
      </c>
      <c r="BW146" s="164">
        <f t="shared" si="237"/>
        <v>9.6431112609070141E-3</v>
      </c>
      <c r="BX146" s="164">
        <f t="shared" si="238"/>
        <v>7.2511535926170073E-3</v>
      </c>
      <c r="BY146" s="164">
        <f t="shared" si="239"/>
        <v>5.7861355290975856E-3</v>
      </c>
      <c r="BZ146" s="164">
        <f t="shared" si="240"/>
        <v>3.0186780705615999E-3</v>
      </c>
      <c r="CA146" s="164">
        <f t="shared" si="241"/>
        <v>7.7441077441077442E-3</v>
      </c>
      <c r="CB146" s="164">
        <f t="shared" si="242"/>
        <v>3.126124505217704E-2</v>
      </c>
      <c r="CC146" s="164">
        <f t="shared" si="252"/>
        <v>1.4960710976906976E-2</v>
      </c>
      <c r="CD146" s="180">
        <f t="shared" si="153"/>
        <v>25013</v>
      </c>
      <c r="CE146" s="180">
        <f t="shared" si="154"/>
        <v>9719</v>
      </c>
      <c r="CF146" s="180">
        <f t="shared" si="155"/>
        <v>67308</v>
      </c>
      <c r="CG146" s="180">
        <f t="shared" si="156"/>
        <v>33776</v>
      </c>
      <c r="CH146" s="180">
        <f t="shared" si="157"/>
        <v>3687</v>
      </c>
      <c r="CI146" s="180">
        <f t="shared" si="158"/>
        <v>6085</v>
      </c>
      <c r="CJ146" s="180">
        <f t="shared" si="159"/>
        <v>8031</v>
      </c>
      <c r="CK146" s="180">
        <f t="shared" si="160"/>
        <v>1931</v>
      </c>
      <c r="CL146" s="180">
        <f t="shared" si="161"/>
        <v>14113</v>
      </c>
      <c r="CM146" s="180">
        <f t="shared" si="161"/>
        <v>169663</v>
      </c>
      <c r="CN146" s="183">
        <f t="shared" si="143"/>
        <v>1.0107336605960636E-2</v>
      </c>
      <c r="CO146" s="183">
        <f t="shared" si="144"/>
        <v>4.7858181214464604E-3</v>
      </c>
      <c r="CP146" s="183">
        <f t="shared" si="145"/>
        <v>9.5182548553243481E-3</v>
      </c>
      <c r="CQ146" s="183">
        <f t="shared" si="146"/>
        <v>4.8549372494498802E-3</v>
      </c>
      <c r="CR146" s="183">
        <f t="shared" si="147"/>
        <v>1.0365871768264281E-3</v>
      </c>
      <c r="CS146" s="183">
        <f t="shared" si="148"/>
        <v>1.8687152624015267E-3</v>
      </c>
      <c r="CT146" s="183">
        <f t="shared" si="149"/>
        <v>3.8710908773600958E-3</v>
      </c>
      <c r="CU146" s="183">
        <f t="shared" si="150"/>
        <v>2.2462089284260903E-3</v>
      </c>
      <c r="CV146" s="183">
        <f t="shared" si="151"/>
        <v>1.2174320691426372E-2</v>
      </c>
      <c r="CW146" s="183">
        <f t="shared" si="152"/>
        <v>6.8323460584997229E-3</v>
      </c>
      <c r="CX146" s="193">
        <f t="shared" si="194"/>
        <v>2.1047187653365509E-3</v>
      </c>
      <c r="CY146" s="193">
        <f t="shared" si="195"/>
        <v>4.1154546964160595E-3</v>
      </c>
      <c r="CZ146" s="193">
        <f t="shared" si="196"/>
        <v>4.4933140438526472E-3</v>
      </c>
      <c r="DA146" s="193">
        <f t="shared" si="197"/>
        <v>3.1003564186137915E-3</v>
      </c>
      <c r="DB146" s="193">
        <f t="shared" si="198"/>
        <v>5.5399673936191605E-4</v>
      </c>
      <c r="DC146" s="193">
        <f t="shared" si="199"/>
        <v>1.0224182647411047E-3</v>
      </c>
      <c r="DD146" s="193">
        <f t="shared" si="200"/>
        <v>2.8809816642147898E-3</v>
      </c>
      <c r="DE146" s="193">
        <f t="shared" si="201"/>
        <v>1.3575572479881588E-3</v>
      </c>
      <c r="DF146" s="193">
        <f t="shared" si="202"/>
        <v>1.8417274228787219E-3</v>
      </c>
      <c r="DG146" s="193">
        <f t="shared" si="203"/>
        <v>2.773751443467868E-3</v>
      </c>
      <c r="DI146" s="83"/>
    </row>
    <row r="147" spans="1:113">
      <c r="A147" s="150">
        <v>44036</v>
      </c>
      <c r="B147" s="129">
        <v>71338</v>
      </c>
      <c r="C147" s="129">
        <v>14542</v>
      </c>
      <c r="D147" s="129">
        <v>153020</v>
      </c>
      <c r="E147" s="129">
        <v>57162</v>
      </c>
      <c r="F147" s="129">
        <v>6394</v>
      </c>
      <c r="G147" s="129">
        <v>9756</v>
      </c>
      <c r="H147" s="129">
        <v>16548</v>
      </c>
      <c r="I147" s="129">
        <v>3175</v>
      </c>
      <c r="J147" s="129">
        <v>90011</v>
      </c>
      <c r="K147" s="165">
        <f t="shared" si="189"/>
        <v>421946</v>
      </c>
      <c r="L147" s="80">
        <v>1406</v>
      </c>
      <c r="M147" s="80">
        <v>63</v>
      </c>
      <c r="N147" s="80">
        <v>1326</v>
      </c>
      <c r="O147" s="80">
        <v>565</v>
      </c>
      <c r="P147" s="80">
        <v>44</v>
      </c>
      <c r="Q147" s="80">
        <v>52</v>
      </c>
      <c r="R147" s="80">
        <v>48</v>
      </c>
      <c r="S147" s="80">
        <v>23</v>
      </c>
      <c r="T147" s="80">
        <v>2827</v>
      </c>
      <c r="U147" s="80">
        <f t="shared" si="190"/>
        <v>6354</v>
      </c>
      <c r="V147" s="130">
        <v>55692</v>
      </c>
      <c r="W147" s="130">
        <v>1873</v>
      </c>
      <c r="X147" s="130">
        <v>82126</v>
      </c>
      <c r="Y147" s="130">
        <v>18786</v>
      </c>
      <c r="Z147" s="130">
        <v>3022</v>
      </c>
      <c r="AA147" s="130">
        <v>4403</v>
      </c>
      <c r="AB147" s="130">
        <v>4795</v>
      </c>
      <c r="AC147" s="130">
        <v>1177</v>
      </c>
      <c r="AD147" s="130">
        <v>73897</v>
      </c>
      <c r="AE147" s="130">
        <f t="shared" si="191"/>
        <v>245771</v>
      </c>
      <c r="AF147" s="131">
        <f t="shared" si="207"/>
        <v>14240</v>
      </c>
      <c r="AG147" s="131">
        <f t="shared" si="208"/>
        <v>12606</v>
      </c>
      <c r="AH147" s="131">
        <f t="shared" si="209"/>
        <v>69568</v>
      </c>
      <c r="AI147" s="131">
        <f t="shared" si="210"/>
        <v>37811</v>
      </c>
      <c r="AJ147" s="131">
        <f t="shared" si="211"/>
        <v>3328</v>
      </c>
      <c r="AK147" s="131">
        <f t="shared" si="212"/>
        <v>5301</v>
      </c>
      <c r="AL147" s="131">
        <f t="shared" si="213"/>
        <v>11705</v>
      </c>
      <c r="AM147" s="131">
        <f t="shared" si="214"/>
        <v>1975</v>
      </c>
      <c r="AN147" s="131">
        <f t="shared" si="215"/>
        <v>13287</v>
      </c>
      <c r="AO147" s="131">
        <f t="shared" si="192"/>
        <v>169821</v>
      </c>
      <c r="AP147" s="57">
        <f t="shared" si="243"/>
        <v>1893</v>
      </c>
      <c r="AQ147" s="57">
        <f t="shared" si="244"/>
        <v>1099</v>
      </c>
      <c r="AR147" s="57">
        <f t="shared" si="245"/>
        <v>4166</v>
      </c>
      <c r="AS147" s="57">
        <f t="shared" si="246"/>
        <v>3756</v>
      </c>
      <c r="AT147" s="57">
        <f t="shared" si="247"/>
        <v>326</v>
      </c>
      <c r="AU147" s="57">
        <f t="shared" si="248"/>
        <v>769</v>
      </c>
      <c r="AV147" s="57">
        <f t="shared" si="249"/>
        <v>647</v>
      </c>
      <c r="AW147" s="57">
        <f t="shared" si="250"/>
        <v>205</v>
      </c>
      <c r="AX147" s="57">
        <f t="shared" si="251"/>
        <v>1083</v>
      </c>
      <c r="AY147" s="57">
        <f t="shared" si="193"/>
        <v>13944</v>
      </c>
      <c r="AZ147" s="152">
        <f t="shared" ca="1" si="216"/>
        <v>284188.83175968775</v>
      </c>
      <c r="BA147" s="152">
        <f t="shared" ca="1" si="217"/>
        <v>9275.5078402735344</v>
      </c>
      <c r="BB147" s="152">
        <f t="shared" ca="1" si="218"/>
        <v>302280.46848031442</v>
      </c>
      <c r="BC147" s="152">
        <f t="shared" ca="1" si="219"/>
        <v>125355.81098103771</v>
      </c>
      <c r="BD147" s="152">
        <f t="shared" ca="1" si="220"/>
        <v>8921.6464261475303</v>
      </c>
      <c r="BE147" s="152">
        <f t="shared" ca="1" si="221"/>
        <v>12745.655883675048</v>
      </c>
      <c r="BF147" s="152">
        <f t="shared" ca="1" si="222"/>
        <v>1708.5410867508108</v>
      </c>
      <c r="BG147" s="152">
        <f t="shared" ca="1" si="223"/>
        <v>5434.9885924948831</v>
      </c>
      <c r="BH147" s="152">
        <f t="shared" ca="1" si="224"/>
        <v>687623.0758851812</v>
      </c>
      <c r="BI147" s="152">
        <f t="shared" ca="1" si="204"/>
        <v>1437534.526935563</v>
      </c>
      <c r="BJ147" s="163">
        <f t="shared" ca="1" si="225"/>
        <v>56727.816370769484</v>
      </c>
      <c r="BK147" s="163">
        <f t="shared" ca="1" si="226"/>
        <v>8040.6444666818988</v>
      </c>
      <c r="BL147" s="163">
        <f t="shared" ca="1" si="227"/>
        <v>137426.79147326175</v>
      </c>
      <c r="BM147" s="163">
        <f t="shared" ca="1" si="228"/>
        <v>82919.222018194196</v>
      </c>
      <c r="BN147" s="163">
        <f t="shared" ca="1" si="229"/>
        <v>4643.6095255268974</v>
      </c>
      <c r="BO147" s="163">
        <f t="shared" ca="1" si="230"/>
        <v>6925.4532430669769</v>
      </c>
      <c r="BP147" s="163">
        <f t="shared" ca="1" si="231"/>
        <v>1208.5130179126324</v>
      </c>
      <c r="BQ147" s="163">
        <f t="shared" ca="1" si="232"/>
        <v>3380.8196756464231</v>
      </c>
      <c r="BR147" s="163">
        <f t="shared" ca="1" si="233"/>
        <v>101503.68076442214</v>
      </c>
      <c r="BS147" s="163">
        <f t="shared" ca="1" si="205"/>
        <v>402776.55055548239</v>
      </c>
      <c r="BT147" s="164">
        <f t="shared" si="234"/>
        <v>1.9708991000588746E-2</v>
      </c>
      <c r="BU147" s="164">
        <f t="shared" si="235"/>
        <v>4.332278916242608E-3</v>
      </c>
      <c r="BV147" s="164">
        <f t="shared" si="236"/>
        <v>8.6655339171350151E-3</v>
      </c>
      <c r="BW147" s="164">
        <f t="shared" si="237"/>
        <v>9.8841887967530875E-3</v>
      </c>
      <c r="BX147" s="164">
        <f t="shared" si="238"/>
        <v>6.8814513606506103E-3</v>
      </c>
      <c r="BY147" s="164">
        <f t="shared" si="239"/>
        <v>5.3300533005330051E-3</v>
      </c>
      <c r="BZ147" s="164">
        <f t="shared" si="240"/>
        <v>2.9006526468455403E-3</v>
      </c>
      <c r="CA147" s="164">
        <f t="shared" si="241"/>
        <v>7.2440944881889766E-3</v>
      </c>
      <c r="CB147" s="164">
        <f t="shared" si="242"/>
        <v>3.1407272444479009E-2</v>
      </c>
      <c r="CC147" s="164">
        <f t="shared" si="252"/>
        <v>1.5058798993236101E-2</v>
      </c>
      <c r="CD147" s="180">
        <f t="shared" si="153"/>
        <v>25054</v>
      </c>
      <c r="CE147" s="180">
        <f t="shared" si="154"/>
        <v>10321</v>
      </c>
      <c r="CF147" s="180">
        <f t="shared" si="155"/>
        <v>65987</v>
      </c>
      <c r="CG147" s="180">
        <f t="shared" si="156"/>
        <v>35776</v>
      </c>
      <c r="CH147" s="180">
        <f t="shared" si="157"/>
        <v>3815</v>
      </c>
      <c r="CI147" s="180">
        <f t="shared" si="158"/>
        <v>6483</v>
      </c>
      <c r="CJ147" s="180">
        <f t="shared" si="159"/>
        <v>7872</v>
      </c>
      <c r="CK147" s="180">
        <f t="shared" si="160"/>
        <v>2007</v>
      </c>
      <c r="CL147" s="180">
        <f t="shared" si="161"/>
        <v>13944</v>
      </c>
      <c r="CM147" s="180">
        <f t="shared" si="161"/>
        <v>171259</v>
      </c>
      <c r="CN147" s="183">
        <f t="shared" si="143"/>
        <v>1.0382852311844191E-2</v>
      </c>
      <c r="CO147" s="183">
        <f t="shared" si="144"/>
        <v>5.1770711241593713E-3</v>
      </c>
      <c r="CP147" s="183">
        <f t="shared" si="145"/>
        <v>9.7846437311844593E-3</v>
      </c>
      <c r="CQ147" s="183">
        <f t="shared" si="146"/>
        <v>5.1963809881484108E-3</v>
      </c>
      <c r="CR147" s="183">
        <f t="shared" si="147"/>
        <v>1.0922772591674657E-3</v>
      </c>
      <c r="CS147" s="183">
        <f t="shared" si="148"/>
        <v>2.0286175698218866E-3</v>
      </c>
      <c r="CT147" s="183">
        <f t="shared" si="149"/>
        <v>4.028602719234946E-3</v>
      </c>
      <c r="CU147" s="183">
        <f t="shared" si="150"/>
        <v>2.4012502854386655E-3</v>
      </c>
      <c r="CV147" s="183">
        <f t="shared" si="151"/>
        <v>1.2322584335147302E-2</v>
      </c>
      <c r="CW147" s="183">
        <f t="shared" si="152"/>
        <v>7.065850387987618E-3</v>
      </c>
      <c r="CX147" s="193">
        <f t="shared" si="194"/>
        <v>2.0725534346443873E-3</v>
      </c>
      <c r="CY147" s="193">
        <f t="shared" si="195"/>
        <v>4.4878392649672014E-3</v>
      </c>
      <c r="CZ147" s="193">
        <f t="shared" si="196"/>
        <v>4.448425663906944E-3</v>
      </c>
      <c r="DA147" s="193">
        <f t="shared" si="197"/>
        <v>3.4372548466267724E-3</v>
      </c>
      <c r="DB147" s="193">
        <f t="shared" si="198"/>
        <v>5.6851715960421108E-4</v>
      </c>
      <c r="DC147" s="193">
        <f t="shared" si="199"/>
        <v>1.1022654507611542E-3</v>
      </c>
      <c r="DD147" s="193">
        <f t="shared" si="200"/>
        <v>2.8495766756493255E-3</v>
      </c>
      <c r="DE147" s="193">
        <f t="shared" si="201"/>
        <v>1.4936911224382248E-3</v>
      </c>
      <c r="DF147" s="193">
        <f t="shared" si="202"/>
        <v>1.8190018782271299E-3</v>
      </c>
      <c r="DG147" s="193">
        <f t="shared" si="203"/>
        <v>2.8437993931414098E-3</v>
      </c>
      <c r="DI147" s="83"/>
    </row>
    <row r="148" spans="1:113">
      <c r="A148" s="150">
        <v>44037</v>
      </c>
      <c r="B148" s="129">
        <v>72772</v>
      </c>
      <c r="C148" s="129">
        <v>15512</v>
      </c>
      <c r="D148" s="129">
        <v>156821</v>
      </c>
      <c r="E148" s="129">
        <v>60532</v>
      </c>
      <c r="F148" s="129">
        <v>6732</v>
      </c>
      <c r="G148" s="129">
        <v>10417</v>
      </c>
      <c r="H148" s="129">
        <v>16942</v>
      </c>
      <c r="I148" s="129">
        <v>3389</v>
      </c>
      <c r="J148" s="129">
        <v>91033</v>
      </c>
      <c r="K148" s="165">
        <f t="shared" si="189"/>
        <v>434150</v>
      </c>
      <c r="L148" s="80">
        <v>1450</v>
      </c>
      <c r="M148" s="80">
        <v>63</v>
      </c>
      <c r="N148" s="80">
        <v>1535</v>
      </c>
      <c r="O148" s="80">
        <v>602</v>
      </c>
      <c r="P148" s="80">
        <v>44</v>
      </c>
      <c r="Q148" s="80">
        <v>52</v>
      </c>
      <c r="R148" s="80">
        <v>48</v>
      </c>
      <c r="S148" s="80">
        <v>27</v>
      </c>
      <c r="T148" s="80">
        <v>2845</v>
      </c>
      <c r="U148" s="80">
        <f t="shared" si="190"/>
        <v>6666</v>
      </c>
      <c r="V148" s="130">
        <v>57531</v>
      </c>
      <c r="W148" s="130">
        <v>2064</v>
      </c>
      <c r="X148" s="130">
        <v>92346</v>
      </c>
      <c r="Y148" s="130">
        <v>21251</v>
      </c>
      <c r="Z148" s="130">
        <v>3243</v>
      </c>
      <c r="AA148" s="130">
        <v>4995</v>
      </c>
      <c r="AB148" s="130">
        <v>5447</v>
      </c>
      <c r="AC148" s="130">
        <v>1190</v>
      </c>
      <c r="AD148" s="130">
        <v>74987</v>
      </c>
      <c r="AE148" s="130">
        <f t="shared" si="191"/>
        <v>263054</v>
      </c>
      <c r="AF148" s="131">
        <f t="shared" si="207"/>
        <v>13791</v>
      </c>
      <c r="AG148" s="131">
        <f t="shared" si="208"/>
        <v>13385</v>
      </c>
      <c r="AH148" s="131">
        <f t="shared" si="209"/>
        <v>62940</v>
      </c>
      <c r="AI148" s="131">
        <f t="shared" si="210"/>
        <v>38679</v>
      </c>
      <c r="AJ148" s="131">
        <f t="shared" si="211"/>
        <v>3445</v>
      </c>
      <c r="AK148" s="131">
        <f t="shared" si="212"/>
        <v>5370</v>
      </c>
      <c r="AL148" s="131">
        <f t="shared" si="213"/>
        <v>11447</v>
      </c>
      <c r="AM148" s="131">
        <f t="shared" si="214"/>
        <v>2172</v>
      </c>
      <c r="AN148" s="131">
        <f t="shared" si="215"/>
        <v>13201</v>
      </c>
      <c r="AO148" s="131">
        <f t="shared" si="192"/>
        <v>164430</v>
      </c>
      <c r="AP148" s="57">
        <f t="shared" si="243"/>
        <v>1434</v>
      </c>
      <c r="AQ148" s="57">
        <f t="shared" si="244"/>
        <v>970</v>
      </c>
      <c r="AR148" s="57">
        <f t="shared" si="245"/>
        <v>3801</v>
      </c>
      <c r="AS148" s="57">
        <f t="shared" si="246"/>
        <v>3370</v>
      </c>
      <c r="AT148" s="57">
        <f t="shared" si="247"/>
        <v>338</v>
      </c>
      <c r="AU148" s="57">
        <f t="shared" si="248"/>
        <v>661</v>
      </c>
      <c r="AV148" s="57">
        <f t="shared" si="249"/>
        <v>394</v>
      </c>
      <c r="AW148" s="57">
        <f t="shared" si="250"/>
        <v>214</v>
      </c>
      <c r="AX148" s="57">
        <f t="shared" si="251"/>
        <v>1022</v>
      </c>
      <c r="AY148" s="57">
        <f t="shared" si="193"/>
        <v>12204</v>
      </c>
      <c r="AZ148" s="152">
        <f t="shared" ca="1" si="216"/>
        <v>293880.84925430105</v>
      </c>
      <c r="BA148" s="152">
        <f t="shared" ca="1" si="217"/>
        <v>8305.5078402735344</v>
      </c>
      <c r="BB148" s="152">
        <f t="shared" ca="1" si="218"/>
        <v>370242.51366310904</v>
      </c>
      <c r="BC148" s="152">
        <f t="shared" ca="1" si="219"/>
        <v>133938.30479749505</v>
      </c>
      <c r="BD148" s="152">
        <f t="shared" ca="1" si="220"/>
        <v>8583.6464261475303</v>
      </c>
      <c r="BE148" s="152">
        <f t="shared" ca="1" si="221"/>
        <v>12084.655883675048</v>
      </c>
      <c r="BF148" s="152">
        <f t="shared" ca="1" si="222"/>
        <v>1314.5410867508108</v>
      </c>
      <c r="BG148" s="152">
        <f t="shared" ca="1" si="223"/>
        <v>6718.3779129287759</v>
      </c>
      <c r="BH148" s="152">
        <f t="shared" ca="1" si="224"/>
        <v>691552.40710765496</v>
      </c>
      <c r="BI148" s="152">
        <f t="shared" ca="1" si="204"/>
        <v>1526620.803972336</v>
      </c>
      <c r="BJ148" s="163">
        <f t="shared" ca="1" si="225"/>
        <v>55693.272028610809</v>
      </c>
      <c r="BK148" s="163">
        <f t="shared" ca="1" si="226"/>
        <v>7166.6595179255582</v>
      </c>
      <c r="BL148" s="163">
        <f t="shared" ca="1" si="227"/>
        <v>148596.57705253814</v>
      </c>
      <c r="BM148" s="163">
        <f t="shared" ca="1" si="228"/>
        <v>85584.479139336399</v>
      </c>
      <c r="BN148" s="163">
        <f t="shared" ca="1" si="229"/>
        <v>4392.5522783835777</v>
      </c>
      <c r="BO148" s="163">
        <f t="shared" ca="1" si="230"/>
        <v>6229.682451313719</v>
      </c>
      <c r="BP148" s="163">
        <f t="shared" ca="1" si="231"/>
        <v>888.18036949808345</v>
      </c>
      <c r="BQ148" s="163">
        <f t="shared" ca="1" si="232"/>
        <v>4305.7883820835941</v>
      </c>
      <c r="BR148" s="163">
        <f t="shared" ca="1" si="233"/>
        <v>100284.32904801724</v>
      </c>
      <c r="BS148" s="163">
        <f t="shared" ca="1" si="205"/>
        <v>413141.52026770706</v>
      </c>
      <c r="BT148" s="164">
        <f t="shared" si="234"/>
        <v>1.992524597372616E-2</v>
      </c>
      <c r="BU148" s="164">
        <f t="shared" si="235"/>
        <v>4.0613718411552343E-3</v>
      </c>
      <c r="BV148" s="164">
        <f t="shared" si="236"/>
        <v>9.7882298926801892E-3</v>
      </c>
      <c r="BW148" s="164">
        <f t="shared" si="237"/>
        <v>9.9451529769378176E-3</v>
      </c>
      <c r="BX148" s="164">
        <f t="shared" si="238"/>
        <v>6.5359477124183009E-3</v>
      </c>
      <c r="BY148" s="164">
        <f t="shared" si="239"/>
        <v>4.9918402611116445E-3</v>
      </c>
      <c r="BZ148" s="164">
        <f t="shared" si="240"/>
        <v>2.8331956085468069E-3</v>
      </c>
      <c r="CA148" s="164">
        <f t="shared" si="241"/>
        <v>7.9669519032162881E-3</v>
      </c>
      <c r="CB148" s="164">
        <f t="shared" si="242"/>
        <v>3.1252402974745422E-2</v>
      </c>
      <c r="CC148" s="164">
        <f t="shared" si="252"/>
        <v>1.5354140274098814E-2</v>
      </c>
      <c r="CD148" s="180">
        <f t="shared" si="153"/>
        <v>24540</v>
      </c>
      <c r="CE148" s="180">
        <f t="shared" si="154"/>
        <v>10833</v>
      </c>
      <c r="CF148" s="180">
        <f t="shared" si="155"/>
        <v>63777</v>
      </c>
      <c r="CG148" s="180">
        <f t="shared" si="156"/>
        <v>36779</v>
      </c>
      <c r="CH148" s="180">
        <f t="shared" si="157"/>
        <v>3897</v>
      </c>
      <c r="CI148" s="180">
        <f t="shared" si="158"/>
        <v>6796</v>
      </c>
      <c r="CJ148" s="180">
        <f t="shared" si="159"/>
        <v>7524</v>
      </c>
      <c r="CK148" s="180">
        <f t="shared" si="160"/>
        <v>2123</v>
      </c>
      <c r="CL148" s="180">
        <f t="shared" si="161"/>
        <v>13697</v>
      </c>
      <c r="CM148" s="180">
        <f t="shared" si="161"/>
        <v>169966</v>
      </c>
      <c r="CN148" s="183">
        <f t="shared" ref="CN148:CN157" si="253">B148/B$5</f>
        <v>1.059156310013633E-2</v>
      </c>
      <c r="CO148" s="183">
        <f t="shared" ref="CO148:CO157" si="254">C148/C$5</f>
        <v>5.5223990701389197E-3</v>
      </c>
      <c r="CP148" s="183">
        <f t="shared" ref="CP148:CP157" si="255">D148/D$5</f>
        <v>1.0027693207215254E-2</v>
      </c>
      <c r="CQ148" s="183">
        <f t="shared" ref="CQ148:CQ157" si="256">E148/E$5</f>
        <v>5.5027349283544944E-3</v>
      </c>
      <c r="CR148" s="183">
        <f t="shared" ref="CR148:CR157" si="257">F148/F$5</f>
        <v>1.1500172831897684E-3</v>
      </c>
      <c r="CS148" s="183">
        <f t="shared" ref="CS148:CS157" si="258">G148/G$5</f>
        <v>2.1660628561741076E-3</v>
      </c>
      <c r="CT148" s="183">
        <f t="shared" ref="CT148:CT157" si="259">H148/H$5</f>
        <v>4.1245218315976821E-3</v>
      </c>
      <c r="CU148" s="183">
        <f t="shared" ref="CU148:CU157" si="260">I148/I$5</f>
        <v>2.563098336173744E-3</v>
      </c>
      <c r="CV148" s="183">
        <f t="shared" ref="CV148:CV157" si="261">J148/J$5</f>
        <v>1.2462497025713127E-2</v>
      </c>
      <c r="CW148" s="183">
        <f t="shared" ref="CW148:CW157" si="262">K148/K$5</f>
        <v>7.2702169138819288E-3</v>
      </c>
      <c r="CX148" s="193">
        <f t="shared" si="194"/>
        <v>2.0072039618806701E-3</v>
      </c>
      <c r="CY148" s="193">
        <f t="shared" si="195"/>
        <v>4.765169646326034E-3</v>
      </c>
      <c r="CZ148" s="193">
        <f t="shared" si="196"/>
        <v>4.0246077404309886E-3</v>
      </c>
      <c r="DA148" s="193">
        <f t="shared" si="197"/>
        <v>3.516161440127924E-3</v>
      </c>
      <c r="DB148" s="193">
        <f t="shared" si="198"/>
        <v>5.8850409099654667E-4</v>
      </c>
      <c r="DC148" s="193">
        <f t="shared" si="199"/>
        <v>1.1166129919991318E-3</v>
      </c>
      <c r="DD148" s="193">
        <f t="shared" si="200"/>
        <v>2.7867666985183963E-3</v>
      </c>
      <c r="DE148" s="193">
        <f t="shared" si="201"/>
        <v>1.6426820850307972E-3</v>
      </c>
      <c r="DF148" s="193">
        <f t="shared" si="202"/>
        <v>1.8072284032871484E-3</v>
      </c>
      <c r="DG148" s="193">
        <f t="shared" si="203"/>
        <v>2.7535224395937017E-3</v>
      </c>
      <c r="DI148" s="83"/>
    </row>
    <row r="149" spans="1:113">
      <c r="A149" s="150">
        <v>44038</v>
      </c>
      <c r="B149" s="129">
        <v>73585</v>
      </c>
      <c r="C149" s="129">
        <v>16482</v>
      </c>
      <c r="D149" s="129">
        <v>160154</v>
      </c>
      <c r="E149" s="129">
        <v>64061</v>
      </c>
      <c r="F149" s="129">
        <v>7076</v>
      </c>
      <c r="G149" s="129">
        <v>11008</v>
      </c>
      <c r="H149" s="129">
        <v>17338</v>
      </c>
      <c r="I149" s="129">
        <v>3600</v>
      </c>
      <c r="J149" s="129">
        <v>92079</v>
      </c>
      <c r="K149" s="165">
        <f t="shared" si="189"/>
        <v>445383</v>
      </c>
      <c r="L149" s="80">
        <v>1457</v>
      </c>
      <c r="M149" s="80">
        <v>63</v>
      </c>
      <c r="N149" s="80">
        <v>1564</v>
      </c>
      <c r="O149" s="80">
        <v>614</v>
      </c>
      <c r="P149" s="80">
        <v>44</v>
      </c>
      <c r="Q149" s="80">
        <v>52</v>
      </c>
      <c r="R149" s="80">
        <v>48</v>
      </c>
      <c r="S149" s="80">
        <v>29</v>
      </c>
      <c r="T149" s="80">
        <v>2875</v>
      </c>
      <c r="U149" s="80">
        <f t="shared" si="190"/>
        <v>6746</v>
      </c>
      <c r="V149" s="130">
        <v>58290</v>
      </c>
      <c r="W149" s="130">
        <v>2075</v>
      </c>
      <c r="X149" s="130">
        <v>92346</v>
      </c>
      <c r="Y149" s="130">
        <v>21251</v>
      </c>
      <c r="Z149" s="130">
        <v>3466</v>
      </c>
      <c r="AA149" s="130">
        <v>4995</v>
      </c>
      <c r="AB149" s="130">
        <v>6076</v>
      </c>
      <c r="AC149" s="130">
        <v>1223</v>
      </c>
      <c r="AD149" s="130">
        <v>75355</v>
      </c>
      <c r="AE149" s="130">
        <f t="shared" si="191"/>
        <v>265077</v>
      </c>
      <c r="AF149" s="131">
        <f t="shared" si="207"/>
        <v>13838</v>
      </c>
      <c r="AG149" s="131">
        <f t="shared" si="208"/>
        <v>14344</v>
      </c>
      <c r="AH149" s="131">
        <f t="shared" si="209"/>
        <v>66244</v>
      </c>
      <c r="AI149" s="131">
        <f t="shared" si="210"/>
        <v>42196</v>
      </c>
      <c r="AJ149" s="131">
        <f t="shared" si="211"/>
        <v>3566</v>
      </c>
      <c r="AK149" s="131">
        <f t="shared" si="212"/>
        <v>5961</v>
      </c>
      <c r="AL149" s="131">
        <f t="shared" si="213"/>
        <v>11214</v>
      </c>
      <c r="AM149" s="131">
        <f t="shared" si="214"/>
        <v>2348</v>
      </c>
      <c r="AN149" s="131">
        <f t="shared" si="215"/>
        <v>13849</v>
      </c>
      <c r="AO149" s="131">
        <f t="shared" si="192"/>
        <v>173560</v>
      </c>
      <c r="AP149" s="57">
        <f t="shared" si="243"/>
        <v>813</v>
      </c>
      <c r="AQ149" s="57">
        <f t="shared" si="244"/>
        <v>970</v>
      </c>
      <c r="AR149" s="57">
        <f t="shared" si="245"/>
        <v>3333</v>
      </c>
      <c r="AS149" s="57">
        <f t="shared" si="246"/>
        <v>3529</v>
      </c>
      <c r="AT149" s="57">
        <f t="shared" si="247"/>
        <v>344</v>
      </c>
      <c r="AU149" s="57">
        <f t="shared" si="248"/>
        <v>591</v>
      </c>
      <c r="AV149" s="57">
        <f t="shared" si="249"/>
        <v>396</v>
      </c>
      <c r="AW149" s="57">
        <f t="shared" si="250"/>
        <v>211</v>
      </c>
      <c r="AX149" s="57">
        <f t="shared" si="251"/>
        <v>1046</v>
      </c>
      <c r="AY149" s="57">
        <f t="shared" si="193"/>
        <v>11233</v>
      </c>
      <c r="AZ149" s="152">
        <f t="shared" ca="1" si="216"/>
        <v>294837.8974920804</v>
      </c>
      <c r="BA149" s="152">
        <f t="shared" ca="1" si="217"/>
        <v>7335.5078402735344</v>
      </c>
      <c r="BB149" s="152">
        <f t="shared" ca="1" si="218"/>
        <v>376867.06538703758</v>
      </c>
      <c r="BC149" s="152">
        <f t="shared" ca="1" si="219"/>
        <v>134285.78927850822</v>
      </c>
      <c r="BD149" s="152">
        <f t="shared" ca="1" si="220"/>
        <v>8239.6464261475303</v>
      </c>
      <c r="BE149" s="152">
        <f t="shared" ca="1" si="221"/>
        <v>11493.655883675048</v>
      </c>
      <c r="BF149" s="152">
        <f t="shared" ca="1" si="222"/>
        <v>918.54108675081079</v>
      </c>
      <c r="BG149" s="152">
        <f t="shared" ca="1" si="223"/>
        <v>7256.0725731457205</v>
      </c>
      <c r="BH149" s="152">
        <f t="shared" ca="1" si="224"/>
        <v>698758.62581177778</v>
      </c>
      <c r="BI149" s="152">
        <f t="shared" ca="1" si="204"/>
        <v>1539992.8017793966</v>
      </c>
      <c r="BJ149" s="163">
        <f t="shared" ca="1" si="225"/>
        <v>55445.631928999232</v>
      </c>
      <c r="BK149" s="163">
        <f t="shared" ca="1" si="226"/>
        <v>6383.9658088146807</v>
      </c>
      <c r="BL149" s="163">
        <f t="shared" ca="1" si="227"/>
        <v>155882.34998500766</v>
      </c>
      <c r="BM149" s="163">
        <f t="shared" ca="1" si="228"/>
        <v>88451.993637250955</v>
      </c>
      <c r="BN149" s="163">
        <f t="shared" ca="1" si="229"/>
        <v>4152.4278060545639</v>
      </c>
      <c r="BO149" s="163">
        <f t="shared" ca="1" si="230"/>
        <v>6223.9900729094261</v>
      </c>
      <c r="BP149" s="163">
        <f t="shared" ca="1" si="231"/>
        <v>594.10080440786669</v>
      </c>
      <c r="BQ149" s="163">
        <f t="shared" ca="1" si="232"/>
        <v>4732.5717782628199</v>
      </c>
      <c r="BR149" s="163">
        <f t="shared" ca="1" si="233"/>
        <v>105095.71355974011</v>
      </c>
      <c r="BS149" s="163">
        <f t="shared" ca="1" si="205"/>
        <v>426962.74538144737</v>
      </c>
      <c r="BT149" s="164">
        <f t="shared" si="234"/>
        <v>1.9800231025344839E-2</v>
      </c>
      <c r="BU149" s="164">
        <f t="shared" si="235"/>
        <v>3.8223516563523842E-3</v>
      </c>
      <c r="BV149" s="164">
        <f t="shared" si="236"/>
        <v>9.7656006094134391E-3</v>
      </c>
      <c r="BW149" s="164">
        <f t="shared" si="237"/>
        <v>9.5846146641482329E-3</v>
      </c>
      <c r="BX149" s="164">
        <f t="shared" si="238"/>
        <v>6.2182023742227248E-3</v>
      </c>
      <c r="BY149" s="164">
        <f t="shared" si="239"/>
        <v>4.7238372093023253E-3</v>
      </c>
      <c r="BZ149" s="164">
        <f t="shared" si="240"/>
        <v>2.7684854077748297E-3</v>
      </c>
      <c r="CA149" s="164">
        <f t="shared" si="241"/>
        <v>8.0555555555555554E-3</v>
      </c>
      <c r="CB149" s="164">
        <f t="shared" si="242"/>
        <v>3.1223188783544565E-2</v>
      </c>
      <c r="CC149" s="164">
        <f t="shared" si="252"/>
        <v>1.5146514348324924E-2</v>
      </c>
      <c r="CD149" s="180">
        <f t="shared" ref="CD149:CD157" si="263">SUM(AP136:AP149)</f>
        <v>23285</v>
      </c>
      <c r="CE149" s="180">
        <f t="shared" ref="CE149:CE157" si="264">SUM(AQ136:AQ149)</f>
        <v>11258</v>
      </c>
      <c r="CF149" s="180">
        <f t="shared" ref="CF149:CF157" si="265">SUM(AR136:AR149)</f>
        <v>61723</v>
      </c>
      <c r="CG149" s="180">
        <f t="shared" ref="CG149:CG157" si="266">SUM(AS136:AS149)</f>
        <v>38489</v>
      </c>
      <c r="CH149" s="180">
        <f t="shared" ref="CH149:CH157" si="267">SUM(AT136:AT149)</f>
        <v>4062</v>
      </c>
      <c r="CI149" s="180">
        <f t="shared" ref="CI149:CI157" si="268">SUM(AU136:AU149)</f>
        <v>7031</v>
      </c>
      <c r="CJ149" s="180">
        <f t="shared" ref="CJ149:CJ157" si="269">SUM(AV136:AV149)</f>
        <v>7414</v>
      </c>
      <c r="CK149" s="180">
        <f t="shared" ref="CK149:CK157" si="270">SUM(AW136:AW149)</f>
        <v>2199</v>
      </c>
      <c r="CL149" s="180">
        <f t="shared" ref="CL149:CM157" si="271">SUM(AX136:AX149)</f>
        <v>13680</v>
      </c>
      <c r="CM149" s="180">
        <f t="shared" si="271"/>
        <v>169141</v>
      </c>
      <c r="CN149" s="183">
        <f t="shared" si="253"/>
        <v>1.0709890764628317E-2</v>
      </c>
      <c r="CO149" s="183">
        <f t="shared" si="254"/>
        <v>5.8677270161184682E-3</v>
      </c>
      <c r="CP149" s="183">
        <f t="shared" si="255"/>
        <v>1.0240817096615579E-2</v>
      </c>
      <c r="CQ149" s="183">
        <f t="shared" si="256"/>
        <v>5.8235429565406281E-3</v>
      </c>
      <c r="CR149" s="183">
        <f t="shared" si="257"/>
        <v>1.2087822780527037E-3</v>
      </c>
      <c r="CS149" s="183">
        <f t="shared" si="258"/>
        <v>2.2889526659080903E-3</v>
      </c>
      <c r="CT149" s="183">
        <f t="shared" si="259"/>
        <v>4.2209278430079458E-3</v>
      </c>
      <c r="CU149" s="183">
        <f t="shared" si="260"/>
        <v>2.7226774890013214E-3</v>
      </c>
      <c r="CV149" s="183">
        <f t="shared" si="261"/>
        <v>1.2605695337192436E-2</v>
      </c>
      <c r="CW149" s="183">
        <f t="shared" si="262"/>
        <v>7.4583232057018889E-3</v>
      </c>
      <c r="CX149" s="193">
        <f t="shared" si="194"/>
        <v>2.0140445525708589E-3</v>
      </c>
      <c r="CY149" s="193">
        <f t="shared" si="195"/>
        <v>5.1065815021965359E-3</v>
      </c>
      <c r="CZ149" s="193">
        <f t="shared" si="196"/>
        <v>4.2358772665572041E-3</v>
      </c>
      <c r="DA149" s="193">
        <f t="shared" si="197"/>
        <v>3.8358785937495253E-3</v>
      </c>
      <c r="DB149" s="193">
        <f t="shared" si="198"/>
        <v>6.0917433628263724E-4</v>
      </c>
      <c r="DC149" s="193">
        <f t="shared" si="199"/>
        <v>1.2395028017331145E-3</v>
      </c>
      <c r="DD149" s="193">
        <f t="shared" si="200"/>
        <v>2.7300429594815496E-3</v>
      </c>
      <c r="DE149" s="193">
        <f t="shared" si="201"/>
        <v>1.7757907622708618E-3</v>
      </c>
      <c r="DF149" s="193">
        <f t="shared" si="202"/>
        <v>1.8959401679511944E-3</v>
      </c>
      <c r="DG149" s="193">
        <f t="shared" si="203"/>
        <v>2.9064121791393472E-3</v>
      </c>
      <c r="DI149" s="83"/>
    </row>
    <row r="150" spans="1:113">
      <c r="A150" s="150">
        <v>44039</v>
      </c>
      <c r="B150" s="129">
        <v>74231</v>
      </c>
      <c r="C150" s="129">
        <v>17222</v>
      </c>
      <c r="D150" s="129">
        <v>162319</v>
      </c>
      <c r="E150" s="129">
        <v>65982</v>
      </c>
      <c r="F150" s="129">
        <v>7260</v>
      </c>
      <c r="G150" s="129">
        <v>11386</v>
      </c>
      <c r="H150" s="129">
        <v>17604</v>
      </c>
      <c r="I150" s="129">
        <v>3875</v>
      </c>
      <c r="J150" s="129">
        <v>92600</v>
      </c>
      <c r="K150" s="165">
        <f t="shared" si="189"/>
        <v>452479</v>
      </c>
      <c r="L150" s="80">
        <v>1534</v>
      </c>
      <c r="M150" s="80">
        <v>154</v>
      </c>
      <c r="N150" s="80">
        <v>1625</v>
      </c>
      <c r="O150" s="80">
        <v>623</v>
      </c>
      <c r="P150" s="80">
        <v>67</v>
      </c>
      <c r="Q150" s="80">
        <v>65</v>
      </c>
      <c r="R150" s="80">
        <v>59</v>
      </c>
      <c r="S150" s="80">
        <v>29</v>
      </c>
      <c r="T150" s="80">
        <v>2911</v>
      </c>
      <c r="U150" s="80">
        <f t="shared" si="190"/>
        <v>7067</v>
      </c>
      <c r="V150" s="130">
        <v>58685</v>
      </c>
      <c r="W150" s="130">
        <v>2087</v>
      </c>
      <c r="X150" s="130">
        <v>97485</v>
      </c>
      <c r="Y150" s="130">
        <v>24350</v>
      </c>
      <c r="Z150" s="130">
        <v>3565</v>
      </c>
      <c r="AA150" s="130">
        <v>5494</v>
      </c>
      <c r="AB150" s="130">
        <v>6441</v>
      </c>
      <c r="AC150" s="130">
        <v>1223</v>
      </c>
      <c r="AD150" s="130">
        <v>75595</v>
      </c>
      <c r="AE150" s="130">
        <f t="shared" si="191"/>
        <v>274925</v>
      </c>
      <c r="AF150" s="131">
        <f t="shared" si="207"/>
        <v>14012</v>
      </c>
      <c r="AG150" s="131">
        <f t="shared" si="208"/>
        <v>14981</v>
      </c>
      <c r="AH150" s="131">
        <f t="shared" si="209"/>
        <v>63209</v>
      </c>
      <c r="AI150" s="131">
        <f t="shared" si="210"/>
        <v>41009</v>
      </c>
      <c r="AJ150" s="131">
        <f t="shared" si="211"/>
        <v>3628</v>
      </c>
      <c r="AK150" s="131">
        <f t="shared" si="212"/>
        <v>5827</v>
      </c>
      <c r="AL150" s="131">
        <f t="shared" si="213"/>
        <v>11104</v>
      </c>
      <c r="AM150" s="131">
        <f t="shared" si="214"/>
        <v>2623</v>
      </c>
      <c r="AN150" s="131">
        <f t="shared" si="215"/>
        <v>14094</v>
      </c>
      <c r="AO150" s="131">
        <f t="shared" si="192"/>
        <v>170487</v>
      </c>
      <c r="AP150" s="57">
        <f t="shared" si="243"/>
        <v>646</v>
      </c>
      <c r="AQ150" s="57">
        <f t="shared" si="244"/>
        <v>740</v>
      </c>
      <c r="AR150" s="57">
        <f t="shared" si="245"/>
        <v>2165</v>
      </c>
      <c r="AS150" s="57">
        <f t="shared" si="246"/>
        <v>1921</v>
      </c>
      <c r="AT150" s="57">
        <f t="shared" si="247"/>
        <v>184</v>
      </c>
      <c r="AU150" s="57">
        <f t="shared" si="248"/>
        <v>378</v>
      </c>
      <c r="AV150" s="57">
        <f t="shared" si="249"/>
        <v>266</v>
      </c>
      <c r="AW150" s="57">
        <f t="shared" si="250"/>
        <v>275</v>
      </c>
      <c r="AX150" s="57">
        <f t="shared" si="251"/>
        <v>521</v>
      </c>
      <c r="AY150" s="57">
        <f>SUM(AP150:AX150)</f>
        <v>7096</v>
      </c>
      <c r="AZ150" s="152">
        <f t="shared" ca="1" si="216"/>
        <v>313662.42810765363</v>
      </c>
      <c r="BA150" s="152">
        <f t="shared" ca="1" si="217"/>
        <v>40998.574720668636</v>
      </c>
      <c r="BB150" s="152">
        <f t="shared" ca="1" si="218"/>
        <v>395647.26039254223</v>
      </c>
      <c r="BC150" s="152">
        <f t="shared" ca="1" si="219"/>
        <v>135272.15263926811</v>
      </c>
      <c r="BD150" s="152">
        <f t="shared" ca="1" si="220"/>
        <v>16061.552512542832</v>
      </c>
      <c r="BE150" s="152">
        <f t="shared" ca="1" si="221"/>
        <v>16741.069854593814</v>
      </c>
      <c r="BF150" s="152">
        <f t="shared" ca="1" si="222"/>
        <v>4836.3317524645354</v>
      </c>
      <c r="BG150" s="152">
        <f t="shared" ca="1" si="223"/>
        <v>6981.0725731457205</v>
      </c>
      <c r="BH150" s="152">
        <f t="shared" ca="1" si="224"/>
        <v>708140.2882567253</v>
      </c>
      <c r="BI150" s="152">
        <f t="shared" ca="1" si="204"/>
        <v>1638340.7308096047</v>
      </c>
      <c r="BJ150" s="163">
        <f t="shared" ca="1" si="225"/>
        <v>59207.58096542472</v>
      </c>
      <c r="BK150" s="163">
        <f t="shared" ca="1" si="226"/>
        <v>35663.665537703921</v>
      </c>
      <c r="BL150" s="163">
        <f t="shared" ca="1" si="227"/>
        <v>154069.87279463405</v>
      </c>
      <c r="BM150" s="163">
        <f t="shared" ca="1" si="228"/>
        <v>84074.076378159894</v>
      </c>
      <c r="BN150" s="163">
        <f t="shared" ca="1" si="229"/>
        <v>8026.351586157768</v>
      </c>
      <c r="BO150" s="163">
        <f t="shared" ca="1" si="230"/>
        <v>8567.5578818477206</v>
      </c>
      <c r="BP150" s="163">
        <f t="shared" ca="1" si="231"/>
        <v>3050.5923528383437</v>
      </c>
      <c r="BQ150" s="163">
        <f t="shared" ca="1" si="232"/>
        <v>4725.5105443512839</v>
      </c>
      <c r="BR150" s="163">
        <f t="shared" ca="1" si="233"/>
        <v>107781.09311760569</v>
      </c>
      <c r="BS150" s="163">
        <f t="shared" ca="1" si="205"/>
        <v>465166.30115872342</v>
      </c>
      <c r="BT150" s="164">
        <f t="shared" si="234"/>
        <v>2.0665220729883742E-2</v>
      </c>
      <c r="BU150" s="164">
        <f t="shared" si="235"/>
        <v>8.9420508651724545E-3</v>
      </c>
      <c r="BV150" s="164">
        <f t="shared" si="236"/>
        <v>1.0011150881905384E-2</v>
      </c>
      <c r="BW150" s="164">
        <f t="shared" si="237"/>
        <v>9.441969021854445E-3</v>
      </c>
      <c r="BX150" s="164">
        <f t="shared" si="238"/>
        <v>9.2286501377410474E-3</v>
      </c>
      <c r="BY150" s="164">
        <f t="shared" si="239"/>
        <v>5.7087651501844371E-3</v>
      </c>
      <c r="BZ150" s="164">
        <f t="shared" si="240"/>
        <v>3.3515110202226766E-3</v>
      </c>
      <c r="CA150" s="164">
        <f t="shared" si="241"/>
        <v>7.4838709677419353E-3</v>
      </c>
      <c r="CB150" s="164">
        <f t="shared" si="242"/>
        <v>3.1436285097192228E-2</v>
      </c>
      <c r="CC150" s="164">
        <f t="shared" si="252"/>
        <v>1.561840439003799E-2</v>
      </c>
      <c r="CD150" s="213">
        <f t="shared" si="263"/>
        <v>22173</v>
      </c>
      <c r="CE150" s="213">
        <f t="shared" si="264"/>
        <v>11590</v>
      </c>
      <c r="CF150" s="213">
        <f t="shared" si="265"/>
        <v>58606</v>
      </c>
      <c r="CG150" s="213">
        <f t="shared" si="266"/>
        <v>38595</v>
      </c>
      <c r="CH150" s="213">
        <f t="shared" si="267"/>
        <v>3944</v>
      </c>
      <c r="CI150" s="213">
        <f t="shared" si="268"/>
        <v>7087</v>
      </c>
      <c r="CJ150" s="213">
        <f t="shared" si="269"/>
        <v>7079</v>
      </c>
      <c r="CK150" s="213">
        <f t="shared" si="270"/>
        <v>2353</v>
      </c>
      <c r="CL150" s="213">
        <f t="shared" si="271"/>
        <v>13256</v>
      </c>
      <c r="CM150" s="213">
        <f t="shared" si="271"/>
        <v>164683</v>
      </c>
      <c r="CN150" s="214">
        <f t="shared" si="253"/>
        <v>1.0803912500497719E-2</v>
      </c>
      <c r="CO150" s="214">
        <f t="shared" si="254"/>
        <v>6.1311730779997726E-3</v>
      </c>
      <c r="CP150" s="214">
        <f t="shared" si="255"/>
        <v>1.0379254906562085E-2</v>
      </c>
      <c r="CQ150" s="214">
        <f t="shared" si="256"/>
        <v>5.9981737930794666E-3</v>
      </c>
      <c r="CR150" s="214">
        <f t="shared" si="257"/>
        <v>1.2402147171654365E-3</v>
      </c>
      <c r="CS150" s="214">
        <f t="shared" si="258"/>
        <v>2.3675522396465767E-3</v>
      </c>
      <c r="CT150" s="214">
        <f t="shared" si="259"/>
        <v>4.2856854163289809E-3</v>
      </c>
      <c r="CU150" s="214">
        <f t="shared" si="260"/>
        <v>2.9306597971889225E-3</v>
      </c>
      <c r="CV150" s="214">
        <f t="shared" si="261"/>
        <v>1.2677020691189299E-2</v>
      </c>
      <c r="CW150" s="214">
        <f t="shared" si="262"/>
        <v>7.5771518575984825E-3</v>
      </c>
      <c r="CX150" s="215">
        <f t="shared" si="194"/>
        <v>2.0393692925728337E-3</v>
      </c>
      <c r="CY150" s="215">
        <f t="shared" si="195"/>
        <v>5.3333587203294973E-3</v>
      </c>
      <c r="CZ150" s="215">
        <f t="shared" si="196"/>
        <v>4.041808558387391E-3</v>
      </c>
      <c r="DA150" s="215">
        <f t="shared" si="197"/>
        <v>3.7279729180745634E-3</v>
      </c>
      <c r="DB150" s="215">
        <f t="shared" si="198"/>
        <v>6.1976570163584067E-4</v>
      </c>
      <c r="DC150" s="215">
        <f t="shared" si="199"/>
        <v>1.2116394607782014E-3</v>
      </c>
      <c r="DD150" s="215">
        <f t="shared" si="200"/>
        <v>2.7032635118675874E-3</v>
      </c>
      <c r="DE150" s="215">
        <f t="shared" si="201"/>
        <v>1.9837730704584627E-3</v>
      </c>
      <c r="DF150" s="215">
        <f t="shared" si="202"/>
        <v>1.929480881443002E-3</v>
      </c>
      <c r="DG150" s="215">
        <f t="shared" si="203"/>
        <v>2.8549521386548159E-3</v>
      </c>
      <c r="DI150" s="83"/>
    </row>
    <row r="151" spans="1:113">
      <c r="A151" s="150">
        <v>44040</v>
      </c>
      <c r="B151" s="129">
        <v>75067</v>
      </c>
      <c r="C151" s="129">
        <v>18134</v>
      </c>
      <c r="D151" s="129">
        <v>164584</v>
      </c>
      <c r="E151" s="129">
        <v>68101</v>
      </c>
      <c r="F151" s="129">
        <v>7502</v>
      </c>
      <c r="G151" s="129">
        <v>11552</v>
      </c>
      <c r="H151" s="129">
        <v>17791</v>
      </c>
      <c r="I151" s="129">
        <v>3997</v>
      </c>
      <c r="J151" s="129">
        <v>92983</v>
      </c>
      <c r="K151" s="165">
        <f t="shared" si="189"/>
        <v>459711</v>
      </c>
      <c r="L151" s="80">
        <v>1545</v>
      </c>
      <c r="M151" s="80">
        <v>154</v>
      </c>
      <c r="N151" s="80">
        <v>1680</v>
      </c>
      <c r="O151" s="80">
        <v>685</v>
      </c>
      <c r="P151" s="80">
        <v>67</v>
      </c>
      <c r="Q151" s="80">
        <v>65</v>
      </c>
      <c r="R151" s="80">
        <v>72</v>
      </c>
      <c r="S151" s="80">
        <v>29</v>
      </c>
      <c r="T151" s="80">
        <v>2960</v>
      </c>
      <c r="U151" s="80">
        <f t="shared" si="190"/>
        <v>7257</v>
      </c>
      <c r="V151" s="130">
        <v>60745</v>
      </c>
      <c r="W151" s="130">
        <v>2178</v>
      </c>
      <c r="X151" s="130">
        <v>102614</v>
      </c>
      <c r="Y151" s="130">
        <v>27682</v>
      </c>
      <c r="Z151" s="130">
        <v>3565</v>
      </c>
      <c r="AA151" s="130">
        <v>5812</v>
      </c>
      <c r="AB151" s="130">
        <v>6638</v>
      </c>
      <c r="AC151" s="130">
        <v>1244</v>
      </c>
      <c r="AD151" s="130">
        <v>76835</v>
      </c>
      <c r="AE151" s="130">
        <f t="shared" si="191"/>
        <v>287313</v>
      </c>
      <c r="AF151" s="131">
        <f t="shared" si="207"/>
        <v>12777</v>
      </c>
      <c r="AG151" s="131">
        <f t="shared" si="208"/>
        <v>15802</v>
      </c>
      <c r="AH151" s="131">
        <f t="shared" si="209"/>
        <v>60290</v>
      </c>
      <c r="AI151" s="131">
        <f t="shared" si="210"/>
        <v>39734</v>
      </c>
      <c r="AJ151" s="131">
        <f t="shared" si="211"/>
        <v>3870</v>
      </c>
      <c r="AK151" s="131">
        <f t="shared" si="212"/>
        <v>5675</v>
      </c>
      <c r="AL151" s="131">
        <f t="shared" si="213"/>
        <v>11081</v>
      </c>
      <c r="AM151" s="131">
        <f t="shared" si="214"/>
        <v>2724</v>
      </c>
      <c r="AN151" s="131">
        <f t="shared" si="215"/>
        <v>13188</v>
      </c>
      <c r="AO151" s="131">
        <f t="shared" si="192"/>
        <v>165141</v>
      </c>
      <c r="AP151" s="57">
        <f t="shared" si="243"/>
        <v>836</v>
      </c>
      <c r="AQ151" s="57">
        <f t="shared" si="244"/>
        <v>912</v>
      </c>
      <c r="AR151" s="57">
        <f t="shared" si="245"/>
        <v>2265</v>
      </c>
      <c r="AS151" s="57">
        <f t="shared" si="246"/>
        <v>2119</v>
      </c>
      <c r="AT151" s="57">
        <f t="shared" si="247"/>
        <v>242</v>
      </c>
      <c r="AU151" s="57">
        <f t="shared" si="248"/>
        <v>166</v>
      </c>
      <c r="AV151" s="57">
        <f t="shared" si="249"/>
        <v>187</v>
      </c>
      <c r="AW151" s="57">
        <f t="shared" si="250"/>
        <v>122</v>
      </c>
      <c r="AX151" s="57">
        <f t="shared" si="251"/>
        <v>383</v>
      </c>
      <c r="AY151" s="57">
        <f t="shared" ref="AY151:AY157" si="272">SUM(AP151:AX151)</f>
        <v>7232</v>
      </c>
      <c r="AZ151" s="152">
        <f t="shared" ca="1" si="216"/>
        <v>315607.93248130695</v>
      </c>
      <c r="BA151" s="152">
        <f t="shared" ca="1" si="217"/>
        <v>40086.574720668636</v>
      </c>
      <c r="BB151" s="152">
        <f t="shared" ca="1" si="218"/>
        <v>412267.27228275128</v>
      </c>
      <c r="BC151" s="152">
        <f t="shared" ca="1" si="219"/>
        <v>153181.65579116961</v>
      </c>
      <c r="BD151" s="152">
        <f t="shared" ca="1" si="220"/>
        <v>15819.552512542832</v>
      </c>
      <c r="BE151" s="152">
        <f t="shared" ca="1" si="221"/>
        <v>16575.069854593814</v>
      </c>
      <c r="BF151" s="152">
        <f t="shared" ca="1" si="222"/>
        <v>9593.8116301262162</v>
      </c>
      <c r="BG151" s="152">
        <f t="shared" ca="1" si="223"/>
        <v>6859.0725731457205</v>
      </c>
      <c r="BH151" s="152">
        <f t="shared" ca="1" si="224"/>
        <v>721235.91214012599</v>
      </c>
      <c r="BI151" s="152">
        <f t="shared" ca="1" si="204"/>
        <v>1691226.8539864309</v>
      </c>
      <c r="BJ151" s="163">
        <f t="shared" ca="1" si="225"/>
        <v>53718.978423457171</v>
      </c>
      <c r="BK151" s="163">
        <f t="shared" ca="1" si="226"/>
        <v>34931.512834234352</v>
      </c>
      <c r="BL151" s="163">
        <f t="shared" ca="1" si="227"/>
        <v>151020.71796728158</v>
      </c>
      <c r="BM151" s="163">
        <f t="shared" ca="1" si="228"/>
        <v>89374.897743151101</v>
      </c>
      <c r="BN151" s="163">
        <f t="shared" ca="1" si="229"/>
        <v>8160.7129063637376</v>
      </c>
      <c r="BO151" s="163">
        <f t="shared" ca="1" si="230"/>
        <v>8142.6178518715278</v>
      </c>
      <c r="BP151" s="163">
        <f t="shared" ca="1" si="231"/>
        <v>5975.4385179826086</v>
      </c>
      <c r="BQ151" s="163">
        <f t="shared" ca="1" si="232"/>
        <v>4674.5343230545268</v>
      </c>
      <c r="BR151" s="163">
        <f t="shared" ca="1" si="233"/>
        <v>102294.6044901109</v>
      </c>
      <c r="BS151" s="163">
        <f t="shared" ca="1" si="205"/>
        <v>458294.01505750749</v>
      </c>
      <c r="BT151" s="164">
        <f t="shared" si="234"/>
        <v>2.058161375837585E-2</v>
      </c>
      <c r="BU151" s="164">
        <f t="shared" si="235"/>
        <v>8.492334840630859E-3</v>
      </c>
      <c r="BV151" s="164">
        <f t="shared" si="236"/>
        <v>1.0207553589656346E-2</v>
      </c>
      <c r="BW151" s="164">
        <f t="shared" si="237"/>
        <v>1.0058589448025727E-2</v>
      </c>
      <c r="BX151" s="164">
        <f t="shared" si="238"/>
        <v>8.9309517462010136E-3</v>
      </c>
      <c r="BY151" s="164">
        <f t="shared" si="239"/>
        <v>5.6267313019390582E-3</v>
      </c>
      <c r="BZ151" s="164">
        <f t="shared" si="240"/>
        <v>4.0469900511494574E-3</v>
      </c>
      <c r="CA151" s="164">
        <f t="shared" si="241"/>
        <v>7.2554415811858898E-3</v>
      </c>
      <c r="CB151" s="164">
        <f t="shared" si="242"/>
        <v>3.1833776066592816E-2</v>
      </c>
      <c r="CC151" s="164">
        <f t="shared" si="252"/>
        <v>1.5786004685552444E-2</v>
      </c>
      <c r="CD151" s="213">
        <f t="shared" si="263"/>
        <v>21108</v>
      </c>
      <c r="CE151" s="213">
        <f t="shared" si="264"/>
        <v>12161</v>
      </c>
      <c r="CF151" s="213">
        <f t="shared" si="265"/>
        <v>57514</v>
      </c>
      <c r="CG151" s="213">
        <f t="shared" si="266"/>
        <v>37514</v>
      </c>
      <c r="CH151" s="213">
        <f t="shared" si="267"/>
        <v>4044</v>
      </c>
      <c r="CI151" s="213">
        <f t="shared" si="268"/>
        <v>6976</v>
      </c>
      <c r="CJ151" s="213">
        <f t="shared" si="269"/>
        <v>7007</v>
      </c>
      <c r="CK151" s="213">
        <f t="shared" si="270"/>
        <v>2418</v>
      </c>
      <c r="CL151" s="213">
        <f t="shared" si="271"/>
        <v>12784</v>
      </c>
      <c r="CM151" s="213">
        <f t="shared" si="271"/>
        <v>161526</v>
      </c>
      <c r="CN151" s="214">
        <f t="shared" si="253"/>
        <v>1.0925587688093413E-2</v>
      </c>
      <c r="CO151" s="214">
        <f t="shared" si="254"/>
        <v>6.4558525488588947E-3</v>
      </c>
      <c r="CP151" s="214">
        <f t="shared" si="255"/>
        <v>1.0524087072626214E-2</v>
      </c>
      <c r="CQ151" s="214">
        <f t="shared" si="256"/>
        <v>6.1908040599330839E-3</v>
      </c>
      <c r="CR151" s="214">
        <f t="shared" si="257"/>
        <v>1.2815552077376177E-3</v>
      </c>
      <c r="CS151" s="214">
        <f t="shared" si="258"/>
        <v>2.4020695127698272E-3</v>
      </c>
      <c r="CT151" s="214">
        <f t="shared" si="259"/>
        <v>4.3312104772727164E-3</v>
      </c>
      <c r="CU151" s="214">
        <f t="shared" si="260"/>
        <v>3.0229283120939672E-3</v>
      </c>
      <c r="CV151" s="214">
        <f t="shared" si="261"/>
        <v>1.2729453724933636E-2</v>
      </c>
      <c r="CW151" s="214">
        <f t="shared" si="262"/>
        <v>7.6982579470173335E-3</v>
      </c>
      <c r="CX151" s="215">
        <f t="shared" si="194"/>
        <v>1.8596218563519196E-3</v>
      </c>
      <c r="CY151" s="215">
        <f t="shared" si="195"/>
        <v>5.6256414457410524E-3</v>
      </c>
      <c r="CZ151" s="215">
        <f t="shared" si="196"/>
        <v>3.8551573033140185E-3</v>
      </c>
      <c r="DA151" s="215">
        <f t="shared" si="197"/>
        <v>3.6120674955930332E-3</v>
      </c>
      <c r="DB151" s="215">
        <f t="shared" si="198"/>
        <v>6.6110619220802191E-4</v>
      </c>
      <c r="DC151" s="215">
        <f t="shared" si="199"/>
        <v>1.1800332829785985E-3</v>
      </c>
      <c r="DD151" s="215">
        <f t="shared" si="200"/>
        <v>2.6976641728210316E-3</v>
      </c>
      <c r="DE151" s="215">
        <f t="shared" si="201"/>
        <v>2.0601593000109998E-3</v>
      </c>
      <c r="DF151" s="215">
        <f t="shared" si="202"/>
        <v>1.8054486919590117E-3</v>
      </c>
      <c r="DG151" s="215">
        <f t="shared" si="203"/>
        <v>2.7654287489931491E-3</v>
      </c>
      <c r="DI151" s="83"/>
    </row>
    <row r="152" spans="1:113">
      <c r="A152" s="150">
        <v>44041</v>
      </c>
      <c r="B152" s="129">
        <v>75872</v>
      </c>
      <c r="C152" s="129">
        <v>19207</v>
      </c>
      <c r="D152" s="129">
        <v>168369</v>
      </c>
      <c r="E152" s="129">
        <v>71240</v>
      </c>
      <c r="F152" s="129">
        <v>7840</v>
      </c>
      <c r="G152" s="129">
        <v>12442</v>
      </c>
      <c r="H152" s="129">
        <v>18231</v>
      </c>
      <c r="I152" s="129">
        <v>4135</v>
      </c>
      <c r="J152" s="129">
        <v>93737</v>
      </c>
      <c r="K152" s="165">
        <f t="shared" si="189"/>
        <v>471073</v>
      </c>
      <c r="L152" s="80">
        <v>1579</v>
      </c>
      <c r="M152" s="80">
        <v>154</v>
      </c>
      <c r="N152" s="80">
        <v>1836</v>
      </c>
      <c r="O152" s="80">
        <v>712</v>
      </c>
      <c r="P152" s="80">
        <v>67</v>
      </c>
      <c r="Q152" s="80">
        <v>65</v>
      </c>
      <c r="R152" s="80">
        <v>72</v>
      </c>
      <c r="S152" s="80">
        <v>29</v>
      </c>
      <c r="T152" s="80">
        <v>2983</v>
      </c>
      <c r="U152" s="80">
        <f t="shared" si="190"/>
        <v>7497</v>
      </c>
      <c r="V152" s="130">
        <v>62371</v>
      </c>
      <c r="W152" s="130">
        <v>2178</v>
      </c>
      <c r="X152" s="130">
        <v>105614</v>
      </c>
      <c r="Y152" s="130">
        <v>32483</v>
      </c>
      <c r="Z152" s="130">
        <v>3637</v>
      </c>
      <c r="AA152" s="130">
        <v>6393</v>
      </c>
      <c r="AB152" s="130">
        <v>7181</v>
      </c>
      <c r="AC152" s="130">
        <v>1275</v>
      </c>
      <c r="AD152" s="130">
        <v>76835</v>
      </c>
      <c r="AE152" s="130">
        <f t="shared" si="191"/>
        <v>297967</v>
      </c>
      <c r="AF152" s="131">
        <f t="shared" si="207"/>
        <v>11922</v>
      </c>
      <c r="AG152" s="131">
        <f t="shared" si="208"/>
        <v>16875</v>
      </c>
      <c r="AH152" s="131">
        <f t="shared" si="209"/>
        <v>60919</v>
      </c>
      <c r="AI152" s="131">
        <f t="shared" si="210"/>
        <v>38045</v>
      </c>
      <c r="AJ152" s="131">
        <f t="shared" si="211"/>
        <v>4136</v>
      </c>
      <c r="AK152" s="131">
        <f t="shared" si="212"/>
        <v>5984</v>
      </c>
      <c r="AL152" s="131">
        <f t="shared" si="213"/>
        <v>10978</v>
      </c>
      <c r="AM152" s="131">
        <f t="shared" si="214"/>
        <v>2831</v>
      </c>
      <c r="AN152" s="131">
        <f t="shared" si="215"/>
        <v>13919</v>
      </c>
      <c r="AO152" s="131">
        <f t="shared" si="192"/>
        <v>165609</v>
      </c>
      <c r="AP152" s="57">
        <f t="shared" si="243"/>
        <v>805</v>
      </c>
      <c r="AQ152" s="57">
        <f t="shared" si="244"/>
        <v>1073</v>
      </c>
      <c r="AR152" s="57">
        <f t="shared" si="245"/>
        <v>3785</v>
      </c>
      <c r="AS152" s="57">
        <f t="shared" si="246"/>
        <v>3139</v>
      </c>
      <c r="AT152" s="57">
        <f t="shared" si="247"/>
        <v>338</v>
      </c>
      <c r="AU152" s="57">
        <f t="shared" si="248"/>
        <v>890</v>
      </c>
      <c r="AV152" s="57">
        <f t="shared" si="249"/>
        <v>440</v>
      </c>
      <c r="AW152" s="57">
        <f t="shared" si="250"/>
        <v>138</v>
      </c>
      <c r="AX152" s="57">
        <f t="shared" si="251"/>
        <v>754</v>
      </c>
      <c r="AY152" s="57">
        <f t="shared" si="272"/>
        <v>11362</v>
      </c>
      <c r="AZ152" s="152">
        <f t="shared" ca="1" si="216"/>
        <v>323400.30963623541</v>
      </c>
      <c r="BA152" s="152">
        <f t="shared" ca="1" si="217"/>
        <v>39013.574720668636</v>
      </c>
      <c r="BB152" s="152">
        <f t="shared" ca="1" si="218"/>
        <v>462047.03328043537</v>
      </c>
      <c r="BC152" s="152">
        <f t="shared" ca="1" si="219"/>
        <v>158764.74587344928</v>
      </c>
      <c r="BD152" s="152">
        <f t="shared" ca="1" si="220"/>
        <v>15481.552512542832</v>
      </c>
      <c r="BE152" s="152">
        <f t="shared" ca="1" si="221"/>
        <v>15685.069854593814</v>
      </c>
      <c r="BF152" s="152">
        <f t="shared" ca="1" si="222"/>
        <v>9153.8116301262162</v>
      </c>
      <c r="BG152" s="152">
        <f t="shared" ca="1" si="223"/>
        <v>6721.0725731457205</v>
      </c>
      <c r="BH152" s="152">
        <f t="shared" ca="1" si="224"/>
        <v>726808.61314662022</v>
      </c>
      <c r="BI152" s="152">
        <f t="shared" ca="1" si="204"/>
        <v>1757075.7832278176</v>
      </c>
      <c r="BJ152" s="163">
        <f t="shared" ca="1" si="225"/>
        <v>50816.882268599729</v>
      </c>
      <c r="BK152" s="163">
        <f t="shared" ca="1" si="226"/>
        <v>34276.777914889535</v>
      </c>
      <c r="BL152" s="163">
        <f t="shared" ca="1" si="227"/>
        <v>167177.11229745881</v>
      </c>
      <c r="BM152" s="163">
        <f t="shared" ca="1" si="228"/>
        <v>84786.703491793625</v>
      </c>
      <c r="BN152" s="163">
        <f t="shared" ca="1" si="229"/>
        <v>8167.3088254945351</v>
      </c>
      <c r="BO152" s="163">
        <f t="shared" ca="1" si="230"/>
        <v>7543.7596857329509</v>
      </c>
      <c r="BP152" s="163">
        <f t="shared" ca="1" si="231"/>
        <v>5512.0697754114199</v>
      </c>
      <c r="BQ152" s="163">
        <f t="shared" ca="1" si="232"/>
        <v>4601.537232061798</v>
      </c>
      <c r="BR152" s="163">
        <f t="shared" ca="1" si="233"/>
        <v>107923.75568225786</v>
      </c>
      <c r="BS152" s="163">
        <f t="shared" ca="1" si="205"/>
        <v>470805.90717370028</v>
      </c>
      <c r="BT152" s="164">
        <f t="shared" si="234"/>
        <v>2.0811366512020243E-2</v>
      </c>
      <c r="BU152" s="164">
        <f t="shared" si="235"/>
        <v>8.0179101369292453E-3</v>
      </c>
      <c r="BV152" s="164">
        <f t="shared" si="236"/>
        <v>1.09046202091834E-2</v>
      </c>
      <c r="BW152" s="164">
        <f t="shared" si="237"/>
        <v>9.9943851768669288E-3</v>
      </c>
      <c r="BX152" s="164">
        <f t="shared" si="238"/>
        <v>8.5459183673469389E-3</v>
      </c>
      <c r="BY152" s="164">
        <f t="shared" si="239"/>
        <v>5.224240475807748E-3</v>
      </c>
      <c r="BZ152" s="164">
        <f t="shared" si="240"/>
        <v>3.9493170972519339E-3</v>
      </c>
      <c r="CA152" s="164">
        <f t="shared" si="241"/>
        <v>7.0133010882708589E-3</v>
      </c>
      <c r="CB152" s="164">
        <f t="shared" si="242"/>
        <v>3.1823079467019427E-2</v>
      </c>
      <c r="CC152" s="164">
        <f t="shared" si="252"/>
        <v>1.5914730837895612E-2</v>
      </c>
      <c r="CD152" s="213">
        <f t="shared" si="263"/>
        <v>20288</v>
      </c>
      <c r="CE152" s="213">
        <f t="shared" si="264"/>
        <v>12646</v>
      </c>
      <c r="CF152" s="213">
        <f t="shared" si="265"/>
        <v>55655</v>
      </c>
      <c r="CG152" s="213">
        <f t="shared" si="266"/>
        <v>38301</v>
      </c>
      <c r="CH152" s="213">
        <f t="shared" si="267"/>
        <v>4195</v>
      </c>
      <c r="CI152" s="213">
        <f t="shared" si="268"/>
        <v>7391</v>
      </c>
      <c r="CJ152" s="213">
        <f t="shared" si="269"/>
        <v>7006</v>
      </c>
      <c r="CK152" s="213">
        <f t="shared" si="270"/>
        <v>2468</v>
      </c>
      <c r="CL152" s="213">
        <f t="shared" si="271"/>
        <v>12181</v>
      </c>
      <c r="CM152" s="213">
        <f t="shared" si="271"/>
        <v>160131</v>
      </c>
      <c r="CN152" s="214">
        <f t="shared" si="253"/>
        <v>1.1042750996723241E-2</v>
      </c>
      <c r="CO152" s="214">
        <f t="shared" si="254"/>
        <v>6.8378493385867862E-3</v>
      </c>
      <c r="CP152" s="214">
        <f t="shared" si="255"/>
        <v>1.0766113451678189E-2</v>
      </c>
      <c r="CQ152" s="214">
        <f t="shared" si="256"/>
        <v>6.4761586647719251E-3</v>
      </c>
      <c r="CR152" s="214">
        <f t="shared" si="257"/>
        <v>1.3392952317599204E-3</v>
      </c>
      <c r="CS152" s="214">
        <f t="shared" si="258"/>
        <v>2.587132001201713E-3</v>
      </c>
      <c r="CT152" s="214">
        <f t="shared" si="259"/>
        <v>4.4383282677285651E-3</v>
      </c>
      <c r="CU152" s="214">
        <f t="shared" si="260"/>
        <v>3.1272976158390176E-3</v>
      </c>
      <c r="CV152" s="214">
        <f t="shared" si="261"/>
        <v>1.2832676981965566E-2</v>
      </c>
      <c r="CW152" s="214">
        <f t="shared" si="262"/>
        <v>7.8885244553106113E-3</v>
      </c>
      <c r="CX152" s="215">
        <f t="shared" si="194"/>
        <v>1.7351813235835943E-3</v>
      </c>
      <c r="CY152" s="215">
        <f t="shared" si="195"/>
        <v>6.0076382354689447E-3</v>
      </c>
      <c r="CZ152" s="215">
        <f t="shared" si="196"/>
        <v>3.8953778032938579E-3</v>
      </c>
      <c r="DA152" s="215">
        <f t="shared" si="197"/>
        <v>3.4585269006351476E-3</v>
      </c>
      <c r="DB152" s="215">
        <f t="shared" si="198"/>
        <v>7.0654656614273345E-4</v>
      </c>
      <c r="DC152" s="215">
        <f t="shared" si="199"/>
        <v>1.2442853154791072E-3</v>
      </c>
      <c r="DD152" s="215">
        <f t="shared" si="200"/>
        <v>2.6725888718734125E-3</v>
      </c>
      <c r="DE152" s="215">
        <f t="shared" si="201"/>
        <v>2.141083325378539E-3</v>
      </c>
      <c r="DF152" s="215">
        <f t="shared" si="202"/>
        <v>1.9055232289488539E-3</v>
      </c>
      <c r="DG152" s="215">
        <f t="shared" si="203"/>
        <v>2.7732658134079751E-3</v>
      </c>
      <c r="DI152" s="83"/>
    </row>
    <row r="153" spans="1:113">
      <c r="A153" s="150">
        <v>44042</v>
      </c>
      <c r="B153" s="129">
        <v>77055</v>
      </c>
      <c r="C153" s="129">
        <v>20398</v>
      </c>
      <c r="D153" s="129">
        <v>171574</v>
      </c>
      <c r="E153" s="129">
        <v>73919</v>
      </c>
      <c r="F153" s="129">
        <v>8240</v>
      </c>
      <c r="G153" s="129">
        <v>13280</v>
      </c>
      <c r="H153" s="129">
        <v>18811</v>
      </c>
      <c r="I153" s="129">
        <v>4402</v>
      </c>
      <c r="J153" s="129">
        <v>94440</v>
      </c>
      <c r="K153" s="165">
        <f t="shared" si="189"/>
        <v>482119</v>
      </c>
      <c r="L153" s="80">
        <v>1700</v>
      </c>
      <c r="M153" s="80">
        <v>154</v>
      </c>
      <c r="N153" s="80">
        <v>1932</v>
      </c>
      <c r="O153" s="80">
        <v>767</v>
      </c>
      <c r="P153" s="80">
        <v>67</v>
      </c>
      <c r="Q153" s="80">
        <v>65</v>
      </c>
      <c r="R153" s="80">
        <v>81</v>
      </c>
      <c r="S153" s="80">
        <v>29</v>
      </c>
      <c r="T153" s="80">
        <v>3017</v>
      </c>
      <c r="U153" s="80">
        <f t="shared" si="190"/>
        <v>7812</v>
      </c>
      <c r="V153" s="130">
        <v>63903</v>
      </c>
      <c r="W153" s="130">
        <v>2178</v>
      </c>
      <c r="X153" s="130">
        <v>111061</v>
      </c>
      <c r="Y153" s="130">
        <v>32483</v>
      </c>
      <c r="Z153" s="130">
        <v>4700</v>
      </c>
      <c r="AA153" s="130">
        <v>6854</v>
      </c>
      <c r="AB153" s="130">
        <v>8160</v>
      </c>
      <c r="AC153" s="130">
        <v>1341</v>
      </c>
      <c r="AD153" s="130">
        <v>78921</v>
      </c>
      <c r="AE153" s="130">
        <f t="shared" si="191"/>
        <v>309601</v>
      </c>
      <c r="AF153" s="131">
        <f t="shared" si="207"/>
        <v>11452</v>
      </c>
      <c r="AG153" s="131">
        <f t="shared" si="208"/>
        <v>18066</v>
      </c>
      <c r="AH153" s="131">
        <f t="shared" si="209"/>
        <v>58581</v>
      </c>
      <c r="AI153" s="131">
        <f t="shared" si="210"/>
        <v>40669</v>
      </c>
      <c r="AJ153" s="131">
        <f t="shared" si="211"/>
        <v>3473</v>
      </c>
      <c r="AK153" s="131">
        <f t="shared" si="212"/>
        <v>6361</v>
      </c>
      <c r="AL153" s="131">
        <f t="shared" si="213"/>
        <v>10570</v>
      </c>
      <c r="AM153" s="131">
        <f t="shared" si="214"/>
        <v>3032</v>
      </c>
      <c r="AN153" s="131">
        <f t="shared" si="215"/>
        <v>12502</v>
      </c>
      <c r="AO153" s="131">
        <f t="shared" si="192"/>
        <v>164706</v>
      </c>
      <c r="AP153" s="57">
        <f t="shared" si="243"/>
        <v>1183</v>
      </c>
      <c r="AQ153" s="57">
        <f t="shared" si="244"/>
        <v>1191</v>
      </c>
      <c r="AR153" s="57">
        <f t="shared" si="245"/>
        <v>3205</v>
      </c>
      <c r="AS153" s="57">
        <f t="shared" si="246"/>
        <v>2679</v>
      </c>
      <c r="AT153" s="57">
        <f t="shared" si="247"/>
        <v>400</v>
      </c>
      <c r="AU153" s="57">
        <f t="shared" si="248"/>
        <v>838</v>
      </c>
      <c r="AV153" s="57">
        <f t="shared" si="249"/>
        <v>580</v>
      </c>
      <c r="AW153" s="57">
        <f t="shared" si="250"/>
        <v>267</v>
      </c>
      <c r="AX153" s="57">
        <f t="shared" si="251"/>
        <v>703</v>
      </c>
      <c r="AY153" s="57">
        <f t="shared" si="272"/>
        <v>11046</v>
      </c>
      <c r="AZ153" s="152">
        <f t="shared" ca="1" si="216"/>
        <v>352813.85774642188</v>
      </c>
      <c r="BA153" s="152">
        <f t="shared" ca="1" si="217"/>
        <v>37822.574720668636</v>
      </c>
      <c r="BB153" s="152">
        <f t="shared" ca="1" si="218"/>
        <v>491804.96312516404</v>
      </c>
      <c r="BC153" s="152">
        <f t="shared" ca="1" si="219"/>
        <v>173852.9664114264</v>
      </c>
      <c r="BD153" s="152">
        <f t="shared" ca="1" si="220"/>
        <v>15081.552512542832</v>
      </c>
      <c r="BE153" s="152">
        <f t="shared" ca="1" si="221"/>
        <v>14847.069854593814</v>
      </c>
      <c r="BF153" s="152">
        <f t="shared" ca="1" si="222"/>
        <v>11996.913083891992</v>
      </c>
      <c r="BG153" s="152">
        <f t="shared" ca="1" si="223"/>
        <v>6454.0725731457205</v>
      </c>
      <c r="BH153" s="152">
        <f t="shared" ca="1" si="224"/>
        <v>735458.12767795951</v>
      </c>
      <c r="BI153" s="152">
        <f t="shared" ca="1" si="204"/>
        <v>1840132.097705815</v>
      </c>
      <c r="BJ153" s="163">
        <f t="shared" ca="1" si="225"/>
        <v>52435.588850976877</v>
      </c>
      <c r="BK153" s="163">
        <f t="shared" ca="1" si="226"/>
        <v>33498.511368938111</v>
      </c>
      <c r="BL153" s="163">
        <f t="shared" ca="1" si="227"/>
        <v>167918.37076034385</v>
      </c>
      <c r="BM153" s="163">
        <f t="shared" ca="1" si="228"/>
        <v>95651.000297437742</v>
      </c>
      <c r="BN153" s="163">
        <f t="shared" ca="1" si="229"/>
        <v>6356.5815383569479</v>
      </c>
      <c r="BO153" s="163">
        <f t="shared" ca="1" si="230"/>
        <v>7111.6123000806665</v>
      </c>
      <c r="BP153" s="163">
        <f t="shared" ca="1" si="231"/>
        <v>6741.1286639061373</v>
      </c>
      <c r="BQ153" s="163">
        <f t="shared" ca="1" si="232"/>
        <v>4445.4220903629766</v>
      </c>
      <c r="BR153" s="163">
        <f t="shared" ca="1" si="233"/>
        <v>97360.202374310131</v>
      </c>
      <c r="BS153" s="163">
        <f t="shared" ca="1" si="205"/>
        <v>471518.41824471339</v>
      </c>
      <c r="BT153" s="164">
        <f t="shared" si="234"/>
        <v>2.2062163389786515E-2</v>
      </c>
      <c r="BU153" s="164">
        <f t="shared" si="235"/>
        <v>7.5497597803706245E-3</v>
      </c>
      <c r="BV153" s="164">
        <f t="shared" si="236"/>
        <v>1.1260447387133249E-2</v>
      </c>
      <c r="BW153" s="164">
        <f t="shared" si="237"/>
        <v>1.0376222622059282E-2</v>
      </c>
      <c r="BX153" s="164">
        <f t="shared" si="238"/>
        <v>8.1310679611650491E-3</v>
      </c>
      <c r="BY153" s="164">
        <f t="shared" si="239"/>
        <v>4.8945783132530122E-3</v>
      </c>
      <c r="BZ153" s="164">
        <f t="shared" si="240"/>
        <v>4.3059911753761098E-3</v>
      </c>
      <c r="CA153" s="164">
        <f t="shared" si="241"/>
        <v>6.587914584279873E-3</v>
      </c>
      <c r="CB153" s="164">
        <f t="shared" si="242"/>
        <v>3.194620923337569E-2</v>
      </c>
      <c r="CC153" s="164">
        <f t="shared" si="252"/>
        <v>1.6203468438290132E-2</v>
      </c>
      <c r="CD153" s="213">
        <f t="shared" si="263"/>
        <v>19869</v>
      </c>
      <c r="CE153" s="213">
        <f t="shared" si="264"/>
        <v>13086</v>
      </c>
      <c r="CF153" s="213">
        <f t="shared" si="265"/>
        <v>53679</v>
      </c>
      <c r="CG153" s="213">
        <f t="shared" si="266"/>
        <v>38315</v>
      </c>
      <c r="CH153" s="213">
        <f t="shared" si="267"/>
        <v>4357</v>
      </c>
      <c r="CI153" s="213">
        <f t="shared" si="268"/>
        <v>7708</v>
      </c>
      <c r="CJ153" s="213">
        <f t="shared" si="269"/>
        <v>6920</v>
      </c>
      <c r="CK153" s="213">
        <f t="shared" si="270"/>
        <v>2571</v>
      </c>
      <c r="CL153" s="213">
        <f t="shared" si="271"/>
        <v>11454</v>
      </c>
      <c r="CM153" s="213">
        <f t="shared" si="271"/>
        <v>157959</v>
      </c>
      <c r="CN153" s="214">
        <f t="shared" si="253"/>
        <v>1.1214930119840115E-2</v>
      </c>
      <c r="CO153" s="214">
        <f t="shared" si="254"/>
        <v>7.2618550949389944E-3</v>
      </c>
      <c r="CP153" s="214">
        <f t="shared" si="255"/>
        <v>1.0971052565247958E-2</v>
      </c>
      <c r="CQ153" s="214">
        <f t="shared" si="256"/>
        <v>6.7196964113037053E-3</v>
      </c>
      <c r="CR153" s="214">
        <f t="shared" si="257"/>
        <v>1.4076266211354264E-3</v>
      </c>
      <c r="CS153" s="214">
        <f t="shared" si="258"/>
        <v>2.7613818498600506E-3</v>
      </c>
      <c r="CT153" s="214">
        <f t="shared" si="259"/>
        <v>4.5795289915112735E-3</v>
      </c>
      <c r="CU153" s="214">
        <f t="shared" si="260"/>
        <v>3.3292295296066159E-3</v>
      </c>
      <c r="CV153" s="214">
        <f t="shared" si="261"/>
        <v>1.2928918294556344E-2</v>
      </c>
      <c r="CW153" s="214">
        <f t="shared" si="262"/>
        <v>8.0734992705374688E-3</v>
      </c>
      <c r="CX153" s="215">
        <f t="shared" si="194"/>
        <v>1.6667754166817079E-3</v>
      </c>
      <c r="CY153" s="215">
        <f t="shared" si="195"/>
        <v>6.4316439918211529E-3</v>
      </c>
      <c r="CZ153" s="215">
        <f t="shared" si="196"/>
        <v>3.7458777572638665E-3</v>
      </c>
      <c r="DA153" s="215">
        <f t="shared" si="197"/>
        <v>3.6970648054128218E-3</v>
      </c>
      <c r="DB153" s="215">
        <f t="shared" si="198"/>
        <v>5.9328728825283204E-4</v>
      </c>
      <c r="DC153" s="215">
        <f t="shared" si="199"/>
        <v>1.322676953837333E-3</v>
      </c>
      <c r="DD153" s="215">
        <f t="shared" si="200"/>
        <v>2.5732614661779897E-3</v>
      </c>
      <c r="DE153" s="215">
        <f t="shared" si="201"/>
        <v>2.293099485181113E-3</v>
      </c>
      <c r="DF153" s="215">
        <f t="shared" si="202"/>
        <v>1.7115346941819507E-3</v>
      </c>
      <c r="DG153" s="215">
        <f t="shared" si="203"/>
        <v>2.758144298094753E-3</v>
      </c>
      <c r="DI153" s="83"/>
    </row>
    <row r="154" spans="1:113">
      <c r="A154" s="150">
        <v>44043</v>
      </c>
      <c r="B154" s="129">
        <v>77938</v>
      </c>
      <c r="C154" s="129">
        <v>21262</v>
      </c>
      <c r="D154" s="129">
        <v>175272</v>
      </c>
      <c r="E154" s="129">
        <v>76706</v>
      </c>
      <c r="F154" s="129">
        <v>8565</v>
      </c>
      <c r="G154" s="129">
        <v>14101</v>
      </c>
      <c r="H154" s="129">
        <v>19325</v>
      </c>
      <c r="I154" s="129">
        <v>4741</v>
      </c>
      <c r="J154" s="129">
        <v>95223</v>
      </c>
      <c r="K154" s="165">
        <f>SUM(B154:J154)</f>
        <v>493133</v>
      </c>
      <c r="L154" s="80">
        <v>1708</v>
      </c>
      <c r="M154" s="80">
        <v>154</v>
      </c>
      <c r="N154" s="80">
        <v>2035</v>
      </c>
      <c r="O154" s="80">
        <v>803</v>
      </c>
      <c r="P154" s="80">
        <v>67</v>
      </c>
      <c r="Q154" s="80">
        <v>78</v>
      </c>
      <c r="R154" s="80">
        <v>81</v>
      </c>
      <c r="S154" s="80">
        <v>29</v>
      </c>
      <c r="T154" s="80">
        <v>3050</v>
      </c>
      <c r="U154" s="80">
        <f t="shared" si="190"/>
        <v>8005</v>
      </c>
      <c r="V154" s="130">
        <v>65512</v>
      </c>
      <c r="W154" s="130">
        <v>7063</v>
      </c>
      <c r="X154" s="130">
        <v>117099</v>
      </c>
      <c r="Y154" s="130">
        <v>35113</v>
      </c>
      <c r="Z154" s="130">
        <v>5044</v>
      </c>
      <c r="AA154" s="130">
        <v>6854</v>
      </c>
      <c r="AB154" s="130">
        <v>8256</v>
      </c>
      <c r="AC154" s="130">
        <v>1389</v>
      </c>
      <c r="AD154" s="130">
        <v>79841</v>
      </c>
      <c r="AE154" s="130">
        <f t="shared" si="191"/>
        <v>326171</v>
      </c>
      <c r="AF154" s="131">
        <f t="shared" si="207"/>
        <v>10718</v>
      </c>
      <c r="AG154" s="131">
        <f t="shared" si="208"/>
        <v>14045</v>
      </c>
      <c r="AH154" s="131">
        <f t="shared" si="209"/>
        <v>56138</v>
      </c>
      <c r="AI154" s="131">
        <f t="shared" si="210"/>
        <v>40790</v>
      </c>
      <c r="AJ154" s="131">
        <f t="shared" si="211"/>
        <v>3454</v>
      </c>
      <c r="AK154" s="131">
        <f t="shared" si="212"/>
        <v>7169</v>
      </c>
      <c r="AL154" s="131">
        <f t="shared" si="213"/>
        <v>10988</v>
      </c>
      <c r="AM154" s="131">
        <f t="shared" si="214"/>
        <v>3323</v>
      </c>
      <c r="AN154" s="131">
        <f t="shared" si="215"/>
        <v>12332</v>
      </c>
      <c r="AO154" s="131">
        <f t="shared" si="192"/>
        <v>158957</v>
      </c>
      <c r="AP154" s="57">
        <f t="shared" si="243"/>
        <v>883</v>
      </c>
      <c r="AQ154" s="57">
        <f t="shared" si="244"/>
        <v>864</v>
      </c>
      <c r="AR154" s="57">
        <f t="shared" si="245"/>
        <v>3698</v>
      </c>
      <c r="AS154" s="57">
        <f t="shared" si="246"/>
        <v>2787</v>
      </c>
      <c r="AT154" s="57">
        <f t="shared" si="247"/>
        <v>325</v>
      </c>
      <c r="AU154" s="57">
        <f t="shared" si="248"/>
        <v>821</v>
      </c>
      <c r="AV154" s="57">
        <f t="shared" si="249"/>
        <v>514</v>
      </c>
      <c r="AW154" s="57">
        <f t="shared" si="250"/>
        <v>339</v>
      </c>
      <c r="AX154" s="57">
        <f t="shared" si="251"/>
        <v>783</v>
      </c>
      <c r="AY154" s="57">
        <f t="shared" si="272"/>
        <v>11014</v>
      </c>
      <c r="AZ154" s="152">
        <f t="shared" ca="1" si="216"/>
        <v>353953.77001816977</v>
      </c>
      <c r="BA154" s="152">
        <f t="shared" ca="1" si="217"/>
        <v>36958.574720668636</v>
      </c>
      <c r="BB154" s="152">
        <f t="shared" ca="1" si="218"/>
        <v>523473.43993773742</v>
      </c>
      <c r="BC154" s="152">
        <f t="shared" ca="1" si="219"/>
        <v>182695.41985446596</v>
      </c>
      <c r="BD154" s="152">
        <f t="shared" ca="1" si="220"/>
        <v>14756.552512542832</v>
      </c>
      <c r="BE154" s="152">
        <f t="shared" ca="1" si="221"/>
        <v>19651.483825512572</v>
      </c>
      <c r="BF154" s="152">
        <f t="shared" ca="1" si="222"/>
        <v>11482.913083891992</v>
      </c>
      <c r="BG154" s="152">
        <f t="shared" ca="1" si="223"/>
        <v>6115.0725731457205</v>
      </c>
      <c r="BH154" s="152">
        <f t="shared" ca="1" si="224"/>
        <v>743752.56825249468</v>
      </c>
      <c r="BI154" s="152">
        <f t="shared" ca="1" si="204"/>
        <v>1892839.7947786292</v>
      </c>
      <c r="BJ154" s="163">
        <f t="shared" ca="1" si="225"/>
        <v>48675.569132576456</v>
      </c>
      <c r="BK154" s="163">
        <f t="shared" ca="1" si="226"/>
        <v>24413.657320656148</v>
      </c>
      <c r="BL154" s="163">
        <f t="shared" ca="1" si="227"/>
        <v>167663.69968520189</v>
      </c>
      <c r="BM154" s="163">
        <f t="shared" ca="1" si="228"/>
        <v>97152.063409168331</v>
      </c>
      <c r="BN154" s="163">
        <f t="shared" ca="1" si="229"/>
        <v>5950.8619239139452</v>
      </c>
      <c r="BO154" s="163">
        <f t="shared" ca="1" si="230"/>
        <v>9990.8862878589916</v>
      </c>
      <c r="BP154" s="163">
        <f t="shared" ca="1" si="231"/>
        <v>6529.0685105203211</v>
      </c>
      <c r="BQ154" s="163">
        <f t="shared" ca="1" si="232"/>
        <v>4286.0970598108479</v>
      </c>
      <c r="BR154" s="163">
        <f t="shared" ca="1" si="233"/>
        <v>96320.811901428897</v>
      </c>
      <c r="BS154" s="163">
        <f t="shared" ca="1" si="205"/>
        <v>460982.71523113584</v>
      </c>
      <c r="BT154" s="164">
        <f t="shared" si="234"/>
        <v>2.1914855397880368E-2</v>
      </c>
      <c r="BU154" s="164">
        <f t="shared" si="235"/>
        <v>7.2429686765120875E-3</v>
      </c>
      <c r="BV154" s="164">
        <f t="shared" si="236"/>
        <v>1.1610525354876991E-2</v>
      </c>
      <c r="BW154" s="164">
        <f t="shared" si="237"/>
        <v>1.046854222616223E-2</v>
      </c>
      <c r="BX154" s="164">
        <f t="shared" si="238"/>
        <v>7.8225335668417988E-3</v>
      </c>
      <c r="BY154" s="164">
        <f t="shared" si="239"/>
        <v>5.5315225870505641E-3</v>
      </c>
      <c r="BZ154" s="164">
        <f t="shared" si="240"/>
        <v>4.1914618369987061E-3</v>
      </c>
      <c r="CA154" s="164">
        <f t="shared" si="241"/>
        <v>6.1168529846024047E-3</v>
      </c>
      <c r="CB154" s="164">
        <f t="shared" si="242"/>
        <v>3.2030076767167598E-2</v>
      </c>
      <c r="CC154" s="164">
        <f t="shared" si="252"/>
        <v>1.623294324249239E-2</v>
      </c>
      <c r="CD154" s="213">
        <f t="shared" si="263"/>
        <v>19078</v>
      </c>
      <c r="CE154" s="213">
        <f t="shared" si="264"/>
        <v>12972</v>
      </c>
      <c r="CF154" s="213">
        <f t="shared" si="265"/>
        <v>51864</v>
      </c>
      <c r="CG154" s="213">
        <f t="shared" si="266"/>
        <v>38984</v>
      </c>
      <c r="CH154" s="213">
        <f t="shared" si="267"/>
        <v>4405</v>
      </c>
      <c r="CI154" s="213">
        <f t="shared" si="268"/>
        <v>8028</v>
      </c>
      <c r="CJ154" s="213">
        <f t="shared" si="269"/>
        <v>6603</v>
      </c>
      <c r="CK154" s="213">
        <f t="shared" si="270"/>
        <v>2697</v>
      </c>
      <c r="CL154" s="213">
        <f t="shared" si="271"/>
        <v>10969</v>
      </c>
      <c r="CM154" s="213">
        <f t="shared" si="271"/>
        <v>155600</v>
      </c>
      <c r="CN154" s="214">
        <f t="shared" si="253"/>
        <v>1.1343445898126E-2</v>
      </c>
      <c r="CO154" s="214">
        <f t="shared" si="254"/>
        <v>7.5694461725950048E-3</v>
      </c>
      <c r="CP154" s="214">
        <f t="shared" si="255"/>
        <v>1.1207515854477603E-2</v>
      </c>
      <c r="CQ154" s="214">
        <f t="shared" si="256"/>
        <v>6.9730520289162734E-3</v>
      </c>
      <c r="CR154" s="214">
        <f t="shared" si="257"/>
        <v>1.4631458750030252E-3</v>
      </c>
      <c r="CS154" s="214">
        <f t="shared" si="258"/>
        <v>2.9320967970539588E-3</v>
      </c>
      <c r="CT154" s="214">
        <f t="shared" si="259"/>
        <v>4.7046620467256052E-3</v>
      </c>
      <c r="CU154" s="214">
        <f t="shared" si="260"/>
        <v>3.5856149931542403E-3</v>
      </c>
      <c r="CV154" s="214">
        <f t="shared" si="261"/>
        <v>1.3036111676858734E-2</v>
      </c>
      <c r="CW154" s="214">
        <f t="shared" si="262"/>
        <v>8.2579382181120296E-3</v>
      </c>
      <c r="CX154" s="215">
        <f t="shared" si="194"/>
        <v>1.5599457663285493E-3</v>
      </c>
      <c r="CY154" s="215">
        <f t="shared" si="195"/>
        <v>5.0001350528688197E-3</v>
      </c>
      <c r="CZ154" s="215">
        <f t="shared" si="196"/>
        <v>3.5896636373103728E-3</v>
      </c>
      <c r="DA154" s="215">
        <f t="shared" si="197"/>
        <v>3.7080644572718533E-3</v>
      </c>
      <c r="DB154" s="215">
        <f t="shared" si="198"/>
        <v>5.9004154725749553E-4</v>
      </c>
      <c r="DC154" s="215">
        <f t="shared" si="199"/>
        <v>1.4906887410878541E-3</v>
      </c>
      <c r="DD154" s="215">
        <f t="shared" si="200"/>
        <v>2.6750233671110455E-3</v>
      </c>
      <c r="DE154" s="215">
        <f t="shared" si="201"/>
        <v>2.5131825822087197E-3</v>
      </c>
      <c r="DF154" s="215">
        <f t="shared" si="202"/>
        <v>1.6882615460447781E-3</v>
      </c>
      <c r="DG154" s="215">
        <f t="shared" si="203"/>
        <v>2.6618723251869854E-3</v>
      </c>
      <c r="DI154" s="83"/>
    </row>
    <row r="155" spans="1:113">
      <c r="A155" s="150">
        <v>44044</v>
      </c>
      <c r="B155" s="129">
        <v>78782</v>
      </c>
      <c r="C155" s="129">
        <v>22308</v>
      </c>
      <c r="D155" s="129">
        <v>178119</v>
      </c>
      <c r="E155" s="129">
        <v>79607</v>
      </c>
      <c r="F155" s="129">
        <v>8879</v>
      </c>
      <c r="G155" s="129">
        <v>14681</v>
      </c>
      <c r="H155" s="129">
        <v>19714</v>
      </c>
      <c r="I155" s="129">
        <v>4961</v>
      </c>
      <c r="J155" s="129">
        <v>96189</v>
      </c>
      <c r="K155" s="165">
        <f t="shared" si="189"/>
        <v>503240</v>
      </c>
      <c r="L155" s="80">
        <v>1744</v>
      </c>
      <c r="M155" s="80">
        <v>154</v>
      </c>
      <c r="N155" s="80">
        <v>2075</v>
      </c>
      <c r="O155" s="80">
        <v>844</v>
      </c>
      <c r="P155" s="80">
        <v>67</v>
      </c>
      <c r="Q155" s="80">
        <v>78</v>
      </c>
      <c r="R155" s="80">
        <v>81</v>
      </c>
      <c r="S155" s="80">
        <v>36</v>
      </c>
      <c r="T155" s="80">
        <v>3074</v>
      </c>
      <c r="U155" s="80">
        <f t="shared" si="190"/>
        <v>8153</v>
      </c>
      <c r="V155" s="130">
        <v>66543</v>
      </c>
      <c r="W155" s="130">
        <v>8897</v>
      </c>
      <c r="X155" s="130">
        <v>126784</v>
      </c>
      <c r="Y155" s="130">
        <v>36358</v>
      </c>
      <c r="Z155" s="130">
        <v>5044</v>
      </c>
      <c r="AA155" s="130">
        <v>8124</v>
      </c>
      <c r="AB155" s="130">
        <v>8444</v>
      </c>
      <c r="AC155" s="130">
        <v>1517</v>
      </c>
      <c r="AD155" s="130">
        <v>80750</v>
      </c>
      <c r="AE155" s="130">
        <f t="shared" si="191"/>
        <v>342461</v>
      </c>
      <c r="AF155" s="131">
        <f t="shared" si="207"/>
        <v>10495</v>
      </c>
      <c r="AG155" s="131">
        <f t="shared" si="208"/>
        <v>13257</v>
      </c>
      <c r="AH155" s="131">
        <f t="shared" si="209"/>
        <v>49260</v>
      </c>
      <c r="AI155" s="131">
        <f t="shared" si="210"/>
        <v>42405</v>
      </c>
      <c r="AJ155" s="131">
        <f t="shared" si="211"/>
        <v>3768</v>
      </c>
      <c r="AK155" s="131">
        <f t="shared" si="212"/>
        <v>6479</v>
      </c>
      <c r="AL155" s="131">
        <f t="shared" si="213"/>
        <v>11189</v>
      </c>
      <c r="AM155" s="131">
        <f t="shared" si="214"/>
        <v>3408</v>
      </c>
      <c r="AN155" s="131">
        <f t="shared" si="215"/>
        <v>12365</v>
      </c>
      <c r="AO155" s="131">
        <f t="shared" si="192"/>
        <v>152626</v>
      </c>
      <c r="AP155" s="57">
        <f t="shared" si="243"/>
        <v>844</v>
      </c>
      <c r="AQ155" s="57">
        <f t="shared" si="244"/>
        <v>1046</v>
      </c>
      <c r="AR155" s="57">
        <f t="shared" si="245"/>
        <v>2847</v>
      </c>
      <c r="AS155" s="57">
        <f t="shared" si="246"/>
        <v>2901</v>
      </c>
      <c r="AT155" s="57">
        <f t="shared" si="247"/>
        <v>314</v>
      </c>
      <c r="AU155" s="57">
        <f t="shared" si="248"/>
        <v>580</v>
      </c>
      <c r="AV155" s="57">
        <f t="shared" si="249"/>
        <v>389</v>
      </c>
      <c r="AW155" s="57">
        <f t="shared" si="250"/>
        <v>220</v>
      </c>
      <c r="AX155" s="57">
        <f t="shared" si="251"/>
        <v>966</v>
      </c>
      <c r="AY155" s="57">
        <f t="shared" si="272"/>
        <v>10107</v>
      </c>
      <c r="AZ155" s="152">
        <f t="shared" ca="1" si="216"/>
        <v>362212.87524103519</v>
      </c>
      <c r="BA155" s="152">
        <f t="shared" ca="1" si="217"/>
        <v>35912.574720668636</v>
      </c>
      <c r="BB155" s="152">
        <f t="shared" ca="1" si="218"/>
        <v>534360.9940397077</v>
      </c>
      <c r="BC155" s="152">
        <f t="shared" ca="1" si="219"/>
        <v>193039.0751645944</v>
      </c>
      <c r="BD155" s="152">
        <f t="shared" ca="1" si="220"/>
        <v>14442.552512542832</v>
      </c>
      <c r="BE155" s="152">
        <f t="shared" ca="1" si="221"/>
        <v>19071.483825512572</v>
      </c>
      <c r="BF155" s="152">
        <f t="shared" ca="1" si="222"/>
        <v>11093.913083891992</v>
      </c>
      <c r="BG155" s="152">
        <f t="shared" ca="1" si="223"/>
        <v>8515.5038839050339</v>
      </c>
      <c r="BH155" s="152">
        <f t="shared" ca="1" si="224"/>
        <v>749388.34321579302</v>
      </c>
      <c r="BI155" s="152">
        <f t="shared" ca="1" si="204"/>
        <v>1928037.3156876513</v>
      </c>
      <c r="BJ155" s="163">
        <f t="shared" ca="1" si="225"/>
        <v>48252.445046516521</v>
      </c>
      <c r="BK155" s="163">
        <f t="shared" ca="1" si="226"/>
        <v>21341.805767971317</v>
      </c>
      <c r="BL155" s="163">
        <f t="shared" ca="1" si="227"/>
        <v>147781.10457837739</v>
      </c>
      <c r="BM155" s="163">
        <f t="shared" ca="1" si="228"/>
        <v>102827.91692130874</v>
      </c>
      <c r="BN155" s="163">
        <f t="shared" ca="1" si="229"/>
        <v>6129.0165409687343</v>
      </c>
      <c r="BO155" s="163">
        <f t="shared" ca="1" si="230"/>
        <v>8416.6026636806728</v>
      </c>
      <c r="BP155" s="163">
        <f t="shared" ca="1" si="231"/>
        <v>6296.5300545636355</v>
      </c>
      <c r="BQ155" s="163">
        <f t="shared" ca="1" si="232"/>
        <v>5849.7958549381892</v>
      </c>
      <c r="BR155" s="163">
        <f t="shared" ca="1" si="233"/>
        <v>96333.123994045905</v>
      </c>
      <c r="BS155" s="163">
        <f t="shared" ca="1" si="205"/>
        <v>443228.34142237116</v>
      </c>
      <c r="BT155" s="164">
        <f t="shared" si="234"/>
        <v>2.2137036378868269E-2</v>
      </c>
      <c r="BU155" s="164">
        <f t="shared" si="235"/>
        <v>6.9033530571992107E-3</v>
      </c>
      <c r="BV155" s="164">
        <f t="shared" si="236"/>
        <v>1.1649515211740466E-2</v>
      </c>
      <c r="BW155" s="164">
        <f t="shared" si="237"/>
        <v>1.0602082731418092E-2</v>
      </c>
      <c r="BX155" s="164">
        <f t="shared" si="238"/>
        <v>7.545894807973871E-3</v>
      </c>
      <c r="BY155" s="164">
        <f t="shared" si="239"/>
        <v>5.3129895783665965E-3</v>
      </c>
      <c r="BZ155" s="164">
        <f t="shared" si="240"/>
        <v>4.1087551993507151E-3</v>
      </c>
      <c r="CA155" s="164">
        <f t="shared" si="241"/>
        <v>7.2566014916347508E-3</v>
      </c>
      <c r="CB155" s="164">
        <f t="shared" si="242"/>
        <v>3.1957916185842455E-2</v>
      </c>
      <c r="CC155" s="164">
        <f t="shared" si="252"/>
        <v>1.6201017407201337E-2</v>
      </c>
      <c r="CD155" s="213">
        <f t="shared" si="263"/>
        <v>17806</v>
      </c>
      <c r="CE155" s="213">
        <f t="shared" si="264"/>
        <v>13304</v>
      </c>
      <c r="CF155" s="213">
        <f t="shared" si="265"/>
        <v>49515</v>
      </c>
      <c r="CG155" s="213">
        <f t="shared" si="266"/>
        <v>39521</v>
      </c>
      <c r="CH155" s="213">
        <f t="shared" si="267"/>
        <v>4389</v>
      </c>
      <c r="CI155" s="213">
        <f t="shared" si="268"/>
        <v>8037</v>
      </c>
      <c r="CJ155" s="213">
        <f t="shared" si="269"/>
        <v>6314</v>
      </c>
      <c r="CK155" s="213">
        <f t="shared" si="270"/>
        <v>2764</v>
      </c>
      <c r="CL155" s="213">
        <f t="shared" si="271"/>
        <v>10778</v>
      </c>
      <c r="CM155" s="213">
        <f t="shared" si="271"/>
        <v>152428</v>
      </c>
      <c r="CN155" s="214">
        <f t="shared" si="253"/>
        <v>1.1466285441583856E-2</v>
      </c>
      <c r="CO155" s="214">
        <f t="shared" si="254"/>
        <v>7.9418307411461466E-3</v>
      </c>
      <c r="CP155" s="214">
        <f t="shared" si="255"/>
        <v>1.1389563173146287E-2</v>
      </c>
      <c r="CQ155" s="214">
        <f t="shared" si="256"/>
        <v>7.2367709548918956E-3</v>
      </c>
      <c r="CR155" s="214">
        <f t="shared" si="257"/>
        <v>1.5167860156627977E-3</v>
      </c>
      <c r="CS155" s="214">
        <f t="shared" si="258"/>
        <v>3.0526993176050753E-3</v>
      </c>
      <c r="CT155" s="214">
        <f t="shared" si="259"/>
        <v>4.7993639114695258E-3</v>
      </c>
      <c r="CU155" s="214">
        <f t="shared" si="260"/>
        <v>3.752000839704321E-3</v>
      </c>
      <c r="CV155" s="214">
        <f t="shared" si="261"/>
        <v>1.3168357918626432E-2</v>
      </c>
      <c r="CW155" s="214">
        <f t="shared" si="262"/>
        <v>8.4271886669168312E-3</v>
      </c>
      <c r="CX155" s="215">
        <f t="shared" si="194"/>
        <v>1.5274893466708456E-3</v>
      </c>
      <c r="CY155" s="215">
        <f t="shared" si="195"/>
        <v>4.7196005977844027E-3</v>
      </c>
      <c r="CZ155" s="215">
        <f t="shared" si="196"/>
        <v>3.149859823540364E-3</v>
      </c>
      <c r="DA155" s="215">
        <f t="shared" si="197"/>
        <v>3.8548779924151249E-3</v>
      </c>
      <c r="DB155" s="215">
        <f t="shared" si="198"/>
        <v>6.4368168791726786E-4</v>
      </c>
      <c r="DC155" s="215">
        <f t="shared" si="199"/>
        <v>1.3472133287080774E-3</v>
      </c>
      <c r="DD155" s="215">
        <f t="shared" si="200"/>
        <v>2.7239567213874672E-3</v>
      </c>
      <c r="DE155" s="215">
        <f t="shared" si="201"/>
        <v>2.5774680229212507E-3</v>
      </c>
      <c r="DF155" s="215">
        <f t="shared" si="202"/>
        <v>1.6927792748008175E-3</v>
      </c>
      <c r="DG155" s="215">
        <f t="shared" si="203"/>
        <v>2.5558542593530882E-3</v>
      </c>
      <c r="DI155" s="83"/>
    </row>
    <row r="156" spans="1:113">
      <c r="A156" s="150">
        <v>44045</v>
      </c>
      <c r="B156" s="129">
        <v>79410</v>
      </c>
      <c r="C156" s="129">
        <v>23099</v>
      </c>
      <c r="D156" s="129">
        <v>180532</v>
      </c>
      <c r="E156" s="129">
        <v>82300</v>
      </c>
      <c r="F156" s="129">
        <v>9044</v>
      </c>
      <c r="G156" s="129">
        <v>15120</v>
      </c>
      <c r="H156" s="129">
        <v>19961</v>
      </c>
      <c r="I156" s="129">
        <v>5131</v>
      </c>
      <c r="J156" s="129">
        <v>96838</v>
      </c>
      <c r="K156" s="165">
        <f t="shared" si="189"/>
        <v>511435</v>
      </c>
      <c r="L156" s="80">
        <v>1769</v>
      </c>
      <c r="M156" s="80">
        <v>205</v>
      </c>
      <c r="N156" s="80">
        <v>2115</v>
      </c>
      <c r="O156" s="80">
        <v>875</v>
      </c>
      <c r="P156" s="80">
        <v>90</v>
      </c>
      <c r="Q156" s="80">
        <v>78</v>
      </c>
      <c r="R156" s="80">
        <v>81</v>
      </c>
      <c r="S156" s="80">
        <v>36</v>
      </c>
      <c r="T156" s="80">
        <v>3117</v>
      </c>
      <c r="U156" s="80">
        <f t="shared" si="190"/>
        <v>8366</v>
      </c>
      <c r="V156" s="130">
        <v>68652</v>
      </c>
      <c r="W156" s="130">
        <v>8897</v>
      </c>
      <c r="X156" s="130">
        <v>126784</v>
      </c>
      <c r="Y156" s="130">
        <v>37127</v>
      </c>
      <c r="Z156" s="130">
        <v>5512</v>
      </c>
      <c r="AA156" s="130">
        <v>8674</v>
      </c>
      <c r="AB156" s="130">
        <v>8751</v>
      </c>
      <c r="AC156" s="130">
        <v>1874</v>
      </c>
      <c r="AD156" s="130">
        <v>80956</v>
      </c>
      <c r="AE156" s="130">
        <f t="shared" si="191"/>
        <v>347227</v>
      </c>
      <c r="AF156" s="131">
        <f t="shared" si="207"/>
        <v>8989</v>
      </c>
      <c r="AG156" s="131">
        <f t="shared" si="208"/>
        <v>13997</v>
      </c>
      <c r="AH156" s="131">
        <f t="shared" si="209"/>
        <v>51633</v>
      </c>
      <c r="AI156" s="131">
        <f t="shared" si="210"/>
        <v>44298</v>
      </c>
      <c r="AJ156" s="131">
        <f t="shared" si="211"/>
        <v>3442</v>
      </c>
      <c r="AK156" s="131">
        <f t="shared" si="212"/>
        <v>6368</v>
      </c>
      <c r="AL156" s="131">
        <f t="shared" si="213"/>
        <v>11129</v>
      </c>
      <c r="AM156" s="131">
        <f t="shared" si="214"/>
        <v>3221</v>
      </c>
      <c r="AN156" s="131">
        <f t="shared" si="215"/>
        <v>12765</v>
      </c>
      <c r="AO156" s="131">
        <f t="shared" si="192"/>
        <v>155842</v>
      </c>
      <c r="AP156" s="57">
        <f t="shared" si="243"/>
        <v>628</v>
      </c>
      <c r="AQ156" s="57">
        <f t="shared" si="244"/>
        <v>791</v>
      </c>
      <c r="AR156" s="57">
        <f t="shared" si="245"/>
        <v>2413</v>
      </c>
      <c r="AS156" s="57">
        <f t="shared" si="246"/>
        <v>2693</v>
      </c>
      <c r="AT156" s="57">
        <f t="shared" si="247"/>
        <v>165</v>
      </c>
      <c r="AU156" s="57">
        <f t="shared" si="248"/>
        <v>439</v>
      </c>
      <c r="AV156" s="57">
        <f t="shared" si="249"/>
        <v>247</v>
      </c>
      <c r="AW156" s="57">
        <f t="shared" si="250"/>
        <v>170</v>
      </c>
      <c r="AX156" s="57">
        <f t="shared" si="251"/>
        <v>649</v>
      </c>
      <c r="AY156" s="57">
        <f t="shared" si="272"/>
        <v>8195</v>
      </c>
      <c r="AZ156" s="152">
        <f t="shared" ca="1" si="216"/>
        <v>367906.47609024728</v>
      </c>
      <c r="BA156" s="152">
        <f t="shared" ca="1" si="217"/>
        <v>54402.414400890077</v>
      </c>
      <c r="BB156" s="152">
        <f t="shared" ca="1" si="218"/>
        <v>545682.54814167798</v>
      </c>
      <c r="BC156" s="152">
        <f t="shared" ca="1" si="219"/>
        <v>200360.3267405451</v>
      </c>
      <c r="BD156" s="152">
        <f t="shared" ca="1" si="220"/>
        <v>22283.45859893813</v>
      </c>
      <c r="BE156" s="152">
        <f t="shared" ca="1" si="221"/>
        <v>18632.483825512572</v>
      </c>
      <c r="BF156" s="152">
        <f t="shared" ca="1" si="222"/>
        <v>10846.913083891992</v>
      </c>
      <c r="BG156" s="152">
        <f t="shared" ca="1" si="223"/>
        <v>8345.5038839050339</v>
      </c>
      <c r="BH156" s="152">
        <f t="shared" ca="1" si="224"/>
        <v>760567.52335836913</v>
      </c>
      <c r="BI156" s="152">
        <f t="shared" ca="1" si="204"/>
        <v>1989027.6481239772</v>
      </c>
      <c r="BJ156" s="163">
        <f t="shared" ca="1" si="225"/>
        <v>41646.030897559918</v>
      </c>
      <c r="BK156" s="163">
        <f t="shared" ca="1" si="226"/>
        <v>32965.52207321782</v>
      </c>
      <c r="BL156" s="163">
        <f t="shared" ca="1" si="227"/>
        <v>156067.77196396905</v>
      </c>
      <c r="BM156" s="163">
        <f t="shared" ca="1" si="228"/>
        <v>107844.00673089511</v>
      </c>
      <c r="BN156" s="163">
        <f t="shared" ca="1" si="229"/>
        <v>8480.7236286538082</v>
      </c>
      <c r="BO156" s="163">
        <f t="shared" ca="1" si="230"/>
        <v>7847.3318122264591</v>
      </c>
      <c r="BP156" s="163">
        <f t="shared" ca="1" si="231"/>
        <v>6047.5575227009658</v>
      </c>
      <c r="BQ156" s="163">
        <f t="shared" ca="1" si="232"/>
        <v>5238.9140538020101</v>
      </c>
      <c r="BR156" s="163">
        <f t="shared" ca="1" si="233"/>
        <v>100256.55667888207</v>
      </c>
      <c r="BS156" s="163">
        <f t="shared" ca="1" si="205"/>
        <v>466394.41536190722</v>
      </c>
      <c r="BT156" s="164">
        <f t="shared" si="234"/>
        <v>2.2276791336103767E-2</v>
      </c>
      <c r="BU156" s="164">
        <f t="shared" si="235"/>
        <v>8.8748430667994292E-3</v>
      </c>
      <c r="BV156" s="164">
        <f t="shared" si="236"/>
        <v>1.1715374559634856E-2</v>
      </c>
      <c r="BW156" s="164">
        <f t="shared" si="237"/>
        <v>1.06318347509113E-2</v>
      </c>
      <c r="BX156" s="164">
        <f t="shared" si="238"/>
        <v>9.9513489606368865E-3</v>
      </c>
      <c r="BY156" s="164">
        <f t="shared" si="239"/>
        <v>5.1587301587301586E-3</v>
      </c>
      <c r="BZ156" s="164">
        <f t="shared" si="240"/>
        <v>4.0579129302139175E-3</v>
      </c>
      <c r="CA156" s="164">
        <f t="shared" si="241"/>
        <v>7.0161761839797315E-3</v>
      </c>
      <c r="CB156" s="164">
        <f t="shared" si="242"/>
        <v>3.2187777525351617E-2</v>
      </c>
      <c r="CC156" s="164">
        <f t="shared" si="252"/>
        <v>1.6357894942661336E-2</v>
      </c>
      <c r="CD156" s="213">
        <f t="shared" si="263"/>
        <v>16229</v>
      </c>
      <c r="CE156" s="213">
        <f t="shared" si="264"/>
        <v>13106</v>
      </c>
      <c r="CF156" s="213">
        <f t="shared" si="265"/>
        <v>46915</v>
      </c>
      <c r="CG156" s="213">
        <f t="shared" si="266"/>
        <v>39085</v>
      </c>
      <c r="CH156" s="213">
        <f t="shared" si="267"/>
        <v>4116</v>
      </c>
      <c r="CI156" s="213">
        <f t="shared" si="268"/>
        <v>7991</v>
      </c>
      <c r="CJ156" s="213">
        <f t="shared" si="269"/>
        <v>5955</v>
      </c>
      <c r="CK156" s="213">
        <f t="shared" si="270"/>
        <v>2865</v>
      </c>
      <c r="CL156" s="213">
        <f t="shared" si="271"/>
        <v>10912</v>
      </c>
      <c r="CM156" s="213">
        <f t="shared" si="271"/>
        <v>147174</v>
      </c>
      <c r="CN156" s="214">
        <f t="shared" si="253"/>
        <v>1.1557687376763397E-2</v>
      </c>
      <c r="CO156" s="214">
        <f t="shared" si="254"/>
        <v>8.2234332208057578E-3</v>
      </c>
      <c r="CP156" s="214">
        <f t="shared" si="255"/>
        <v>1.1543858986264494E-2</v>
      </c>
      <c r="CQ156" s="214">
        <f t="shared" si="256"/>
        <v>7.4815813884156297E-3</v>
      </c>
      <c r="CR156" s="214">
        <f t="shared" si="257"/>
        <v>1.5449727137801939E-3</v>
      </c>
      <c r="CS156" s="214">
        <f t="shared" si="258"/>
        <v>3.1439829495394553E-3</v>
      </c>
      <c r="CT156" s="214">
        <f t="shared" si="259"/>
        <v>4.8594959438390591E-3</v>
      </c>
      <c r="CU156" s="214">
        <f t="shared" si="260"/>
        <v>3.8805717211293834E-3</v>
      </c>
      <c r="CV156" s="214">
        <f t="shared" si="261"/>
        <v>1.3257206584161872E-2</v>
      </c>
      <c r="CW156" s="214">
        <f t="shared" si="262"/>
        <v>8.5644210234969587E-3</v>
      </c>
      <c r="CX156" s="215">
        <f t="shared" si="194"/>
        <v>1.3082993556192695E-3</v>
      </c>
      <c r="CY156" s="215">
        <f t="shared" si="195"/>
        <v>4.983046659665708E-3</v>
      </c>
      <c r="CZ156" s="215">
        <f t="shared" si="196"/>
        <v>3.3015978942115228E-3</v>
      </c>
      <c r="DA156" s="215">
        <f t="shared" si="197"/>
        <v>4.0269634549700553E-3</v>
      </c>
      <c r="DB156" s="215">
        <f t="shared" si="198"/>
        <v>5.8799160557623039E-4</v>
      </c>
      <c r="DC156" s="215">
        <f t="shared" si="199"/>
        <v>1.3241325014991569E-3</v>
      </c>
      <c r="DD156" s="215">
        <f t="shared" si="200"/>
        <v>2.7093497499616698E-3</v>
      </c>
      <c r="DE156" s="215">
        <f t="shared" si="201"/>
        <v>2.4360400533536821E-3</v>
      </c>
      <c r="DF156" s="215">
        <f t="shared" si="202"/>
        <v>1.7475396233588706E-3</v>
      </c>
      <c r="DG156" s="215">
        <f t="shared" si="203"/>
        <v>2.6097089584088164E-3</v>
      </c>
      <c r="DI156" s="83"/>
    </row>
    <row r="157" spans="1:113">
      <c r="A157" s="150">
        <v>44046</v>
      </c>
      <c r="B157" s="129">
        <v>79674</v>
      </c>
      <c r="C157" s="129">
        <v>23705</v>
      </c>
      <c r="D157" s="129">
        <v>181946</v>
      </c>
      <c r="E157" s="129">
        <v>84361</v>
      </c>
      <c r="F157" s="129">
        <v>9204</v>
      </c>
      <c r="G157" s="129">
        <v>15395</v>
      </c>
      <c r="H157" s="129">
        <v>20149</v>
      </c>
      <c r="I157" s="129">
        <v>5302</v>
      </c>
      <c r="J157" s="129">
        <v>97076</v>
      </c>
      <c r="K157" s="165">
        <f t="shared" si="189"/>
        <v>516812</v>
      </c>
      <c r="L157" s="80">
        <v>1789</v>
      </c>
      <c r="M157" s="80">
        <v>205</v>
      </c>
      <c r="N157" s="80">
        <v>2152</v>
      </c>
      <c r="O157" s="80">
        <v>887</v>
      </c>
      <c r="P157" s="80">
        <v>90</v>
      </c>
      <c r="Q157" s="80">
        <v>123</v>
      </c>
      <c r="R157" s="80">
        <v>109</v>
      </c>
      <c r="S157" s="80">
        <v>36</v>
      </c>
      <c r="T157" s="80">
        <v>3148</v>
      </c>
      <c r="U157" s="80">
        <f t="shared" si="190"/>
        <v>8539</v>
      </c>
      <c r="V157" s="130">
        <v>70074</v>
      </c>
      <c r="W157" s="130">
        <v>10149</v>
      </c>
      <c r="X157" s="130">
        <v>126784</v>
      </c>
      <c r="Y157" s="130">
        <v>44266</v>
      </c>
      <c r="Z157" s="130">
        <v>5524</v>
      </c>
      <c r="AA157" s="130">
        <v>8674</v>
      </c>
      <c r="AB157" s="130">
        <v>8872</v>
      </c>
      <c r="AC157" s="130">
        <v>2381</v>
      </c>
      <c r="AD157" s="130">
        <v>81313</v>
      </c>
      <c r="AE157" s="130">
        <f t="shared" si="191"/>
        <v>358037</v>
      </c>
      <c r="AF157" s="131">
        <f t="shared" si="207"/>
        <v>7811</v>
      </c>
      <c r="AG157" s="131">
        <f t="shared" si="208"/>
        <v>13351</v>
      </c>
      <c r="AH157" s="131">
        <f t="shared" si="209"/>
        <v>53010</v>
      </c>
      <c r="AI157" s="131">
        <f t="shared" si="210"/>
        <v>39208</v>
      </c>
      <c r="AJ157" s="131">
        <f t="shared" si="211"/>
        <v>3590</v>
      </c>
      <c r="AK157" s="131">
        <f t="shared" si="212"/>
        <v>6598</v>
      </c>
      <c r="AL157" s="131">
        <f t="shared" si="213"/>
        <v>11168</v>
      </c>
      <c r="AM157" s="131">
        <f t="shared" si="214"/>
        <v>2885</v>
      </c>
      <c r="AN157" s="131">
        <f t="shared" si="215"/>
        <v>12615</v>
      </c>
      <c r="AO157" s="131">
        <f t="shared" si="192"/>
        <v>150236</v>
      </c>
      <c r="AP157" s="57">
        <f>B157-B156</f>
        <v>264</v>
      </c>
      <c r="AQ157" s="57">
        <f t="shared" si="244"/>
        <v>606</v>
      </c>
      <c r="AR157" s="57">
        <f t="shared" si="245"/>
        <v>1414</v>
      </c>
      <c r="AS157" s="57">
        <f t="shared" si="246"/>
        <v>2061</v>
      </c>
      <c r="AT157" s="57">
        <f t="shared" si="247"/>
        <v>160</v>
      </c>
      <c r="AU157" s="57">
        <f t="shared" si="248"/>
        <v>275</v>
      </c>
      <c r="AV157" s="57">
        <f t="shared" si="249"/>
        <v>188</v>
      </c>
      <c r="AW157" s="57">
        <f t="shared" si="250"/>
        <v>171</v>
      </c>
      <c r="AX157" s="57">
        <f t="shared" si="251"/>
        <v>238</v>
      </c>
      <c r="AY157" s="57">
        <f t="shared" si="272"/>
        <v>5377</v>
      </c>
      <c r="AZ157" s="152">
        <f t="shared" ref="AZ157" ca="1" si="273">L157/AZ$6-B157</f>
        <v>372699.75676961691</v>
      </c>
      <c r="BA157" s="152">
        <f t="shared" ca="1" si="217"/>
        <v>53796.414400890077</v>
      </c>
      <c r="BB157" s="152">
        <f t="shared" ca="1" si="218"/>
        <v>556973.01068600046</v>
      </c>
      <c r="BC157" s="152">
        <f t="shared" ca="1" si="219"/>
        <v>202175.81122155831</v>
      </c>
      <c r="BD157" s="152">
        <f t="shared" ca="1" si="220"/>
        <v>22123.45859893813</v>
      </c>
      <c r="BE157" s="152">
        <f t="shared" ca="1" si="221"/>
        <v>37830.070647923676</v>
      </c>
      <c r="BF157" s="152">
        <f t="shared" ca="1" si="222"/>
        <v>21308.562051163295</v>
      </c>
      <c r="BG157" s="152">
        <f t="shared" ca="1" si="223"/>
        <v>8174.5038839050339</v>
      </c>
      <c r="BH157" s="152">
        <f t="shared" ca="1" si="224"/>
        <v>768856.81601929618</v>
      </c>
      <c r="BI157" s="152">
        <f t="shared" ca="1" si="204"/>
        <v>2043938.4042792921</v>
      </c>
      <c r="BJ157" s="163">
        <f t="shared" ca="1" si="225"/>
        <v>36538.366344447095</v>
      </c>
      <c r="BK157" s="163">
        <f t="shared" ca="1" si="226"/>
        <v>30298.921268351965</v>
      </c>
      <c r="BL157" s="163">
        <f t="shared" ca="1" si="227"/>
        <v>162274.18737683096</v>
      </c>
      <c r="BM157" s="163">
        <f t="shared" ca="1" si="228"/>
        <v>93964.144644739368</v>
      </c>
      <c r="BN157" s="163">
        <f t="shared" ca="1" si="229"/>
        <v>8629.2064722064206</v>
      </c>
      <c r="BO157" s="163">
        <f t="shared" ca="1" si="230"/>
        <v>16213.238462812627</v>
      </c>
      <c r="BP157" s="163">
        <f t="shared" ca="1" si="231"/>
        <v>11810.711250552964</v>
      </c>
      <c r="BQ157" s="163">
        <f t="shared" ca="1" si="232"/>
        <v>4448.02785836779</v>
      </c>
      <c r="BR157" s="163">
        <f t="shared" ca="1" si="233"/>
        <v>99912.735733687237</v>
      </c>
      <c r="BS157" s="163">
        <f t="shared" ca="1" si="205"/>
        <v>464089.53941199637</v>
      </c>
      <c r="BT157" s="164">
        <f t="shared" si="234"/>
        <v>2.2454000050204585E-2</v>
      </c>
      <c r="BU157" s="164">
        <f t="shared" si="235"/>
        <v>8.6479645644378829E-3</v>
      </c>
      <c r="BV157" s="164">
        <f t="shared" si="236"/>
        <v>1.1827685137348444E-2</v>
      </c>
      <c r="BW157" s="164">
        <f t="shared" si="237"/>
        <v>1.0514337193726958E-2</v>
      </c>
      <c r="BX157" s="164">
        <f t="shared" si="238"/>
        <v>9.778357235984355E-3</v>
      </c>
      <c r="BY157" s="164">
        <f t="shared" si="239"/>
        <v>7.9896070152646968E-3</v>
      </c>
      <c r="BZ157" s="164">
        <f t="shared" si="240"/>
        <v>5.4096977517494663E-3</v>
      </c>
      <c r="CA157" s="164">
        <f t="shared" si="241"/>
        <v>6.7898906073179935E-3</v>
      </c>
      <c r="CB157" s="164">
        <f t="shared" si="242"/>
        <v>3.2428200585108577E-2</v>
      </c>
      <c r="CC157" s="164">
        <f t="shared" si="252"/>
        <v>1.6522449169136939E-2</v>
      </c>
      <c r="CD157" s="213">
        <f t="shared" si="263"/>
        <v>14358</v>
      </c>
      <c r="CE157" s="213">
        <f t="shared" si="264"/>
        <v>12978</v>
      </c>
      <c r="CF157" s="213">
        <f t="shared" si="265"/>
        <v>45067</v>
      </c>
      <c r="CG157" s="213">
        <f t="shared" si="266"/>
        <v>38747</v>
      </c>
      <c r="CH157" s="213">
        <f t="shared" si="267"/>
        <v>4048</v>
      </c>
      <c r="CI157" s="213">
        <f t="shared" si="268"/>
        <v>8153</v>
      </c>
      <c r="CJ157" s="213">
        <f t="shared" si="269"/>
        <v>5812</v>
      </c>
      <c r="CK157" s="213">
        <f t="shared" si="270"/>
        <v>2951</v>
      </c>
      <c r="CL157" s="213">
        <f t="shared" si="271"/>
        <v>11304</v>
      </c>
      <c r="CM157" s="213">
        <f t="shared" si="271"/>
        <v>143418</v>
      </c>
      <c r="CN157" s="214">
        <f t="shared" si="253"/>
        <v>1.1596111120214669E-2</v>
      </c>
      <c r="CO157" s="214">
        <f t="shared" si="254"/>
        <v>8.4391741849950425E-3</v>
      </c>
      <c r="CP157" s="214">
        <f t="shared" si="255"/>
        <v>1.1634275181767663E-2</v>
      </c>
      <c r="CQ157" s="214">
        <f t="shared" si="256"/>
        <v>7.6689390948740093E-3</v>
      </c>
      <c r="CR157" s="214">
        <f t="shared" si="257"/>
        <v>1.5723052695303962E-3</v>
      </c>
      <c r="CS157" s="214">
        <f t="shared" si="258"/>
        <v>3.2011651791111055E-3</v>
      </c>
      <c r="CT157" s="214">
        <f t="shared" si="259"/>
        <v>4.905264454306558E-3</v>
      </c>
      <c r="CU157" s="214">
        <f t="shared" si="260"/>
        <v>4.0098989018569463E-3</v>
      </c>
      <c r="CV157" s="214">
        <f t="shared" si="261"/>
        <v>1.3289788991553914E-2</v>
      </c>
      <c r="CW157" s="214">
        <f t="shared" si="262"/>
        <v>8.6544635349467876E-3</v>
      </c>
      <c r="CX157" s="215">
        <f t="shared" si="194"/>
        <v>1.1368479549162436E-3</v>
      </c>
      <c r="CY157" s="215">
        <f t="shared" si="195"/>
        <v>4.7530653678071631E-3</v>
      </c>
      <c r="CZ157" s="215">
        <f t="shared" si="196"/>
        <v>3.3896481779511715E-3</v>
      </c>
      <c r="DA157" s="215">
        <f t="shared" si="197"/>
        <v>3.5642508271810452E-3</v>
      </c>
      <c r="DB157" s="215">
        <f t="shared" si="198"/>
        <v>6.1327421964516764E-4</v>
      </c>
      <c r="DC157" s="215">
        <f t="shared" si="199"/>
        <v>1.3719576389590823E-3</v>
      </c>
      <c r="DD157" s="215">
        <f t="shared" si="200"/>
        <v>2.7188442813884379E-3</v>
      </c>
      <c r="DE157" s="215">
        <f t="shared" si="201"/>
        <v>2.1819234877135589E-3</v>
      </c>
      <c r="DF157" s="215">
        <f t="shared" si="202"/>
        <v>1.7270044926496007E-3</v>
      </c>
      <c r="DG157" s="215">
        <f t="shared" si="203"/>
        <v>2.5158316440722457E-3</v>
      </c>
      <c r="DI157" s="83"/>
    </row>
    <row r="158" spans="1:113">
      <c r="A158" s="150">
        <v>44047</v>
      </c>
      <c r="B158" s="129">
        <v>79844</v>
      </c>
      <c r="C158" s="129">
        <v>24333</v>
      </c>
      <c r="D158" s="129">
        <v>183090</v>
      </c>
      <c r="E158" s="129">
        <v>85986</v>
      </c>
      <c r="F158" s="129">
        <v>9389</v>
      </c>
      <c r="G158" s="129">
        <v>15716</v>
      </c>
      <c r="H158" s="129">
        <v>20270</v>
      </c>
      <c r="I158" s="129">
        <v>5379</v>
      </c>
      <c r="J158" s="129">
        <v>97261</v>
      </c>
      <c r="K158" s="129">
        <f t="shared" si="189"/>
        <v>521268</v>
      </c>
      <c r="L158" s="80">
        <v>1832</v>
      </c>
      <c r="M158" s="80">
        <v>205</v>
      </c>
      <c r="N158" s="80">
        <v>2268</v>
      </c>
      <c r="O158" s="80">
        <v>976</v>
      </c>
      <c r="P158" s="80">
        <v>90</v>
      </c>
      <c r="Q158" s="80">
        <v>123</v>
      </c>
      <c r="R158" s="80">
        <v>109</v>
      </c>
      <c r="S158" s="80">
        <v>36</v>
      </c>
      <c r="T158" s="80">
        <v>3245</v>
      </c>
      <c r="U158" s="80">
        <f t="shared" si="190"/>
        <v>8884</v>
      </c>
      <c r="V158" s="130">
        <v>71420</v>
      </c>
      <c r="W158" s="130">
        <v>10582</v>
      </c>
      <c r="X158" s="130">
        <v>126784</v>
      </c>
      <c r="Y158" s="130">
        <v>44664</v>
      </c>
      <c r="Z158" s="130">
        <v>5524</v>
      </c>
      <c r="AA158" s="130">
        <v>10736</v>
      </c>
      <c r="AB158" s="130">
        <v>9206</v>
      </c>
      <c r="AC158" s="130">
        <v>2388</v>
      </c>
      <c r="AD158" s="130">
        <v>82447</v>
      </c>
      <c r="AE158" s="130">
        <f t="shared" si="191"/>
        <v>363751</v>
      </c>
      <c r="AF158" s="131">
        <f t="shared" ref="AF158:AF173" si="274">B158-L158-V158</f>
        <v>6592</v>
      </c>
      <c r="AG158" s="131">
        <f t="shared" ref="AG158:AG173" si="275">C158-M158-W158</f>
        <v>13546</v>
      </c>
      <c r="AH158" s="131">
        <f t="shared" ref="AH158:AH173" si="276">D158-N158-X158</f>
        <v>54038</v>
      </c>
      <c r="AI158" s="131">
        <f t="shared" ref="AI158:AI173" si="277">E158-O158-Y158</f>
        <v>40346</v>
      </c>
      <c r="AJ158" s="131">
        <f t="shared" ref="AJ158:AJ173" si="278">F158-P158-Z158</f>
        <v>3775</v>
      </c>
      <c r="AK158" s="131">
        <f t="shared" ref="AK158:AK173" si="279">G158-Q158-AA158</f>
        <v>4857</v>
      </c>
      <c r="AL158" s="131">
        <f t="shared" ref="AL158:AL173" si="280">H158-R158-AB158</f>
        <v>10955</v>
      </c>
      <c r="AM158" s="131">
        <f t="shared" ref="AM158:AM173" si="281">I158-S158-AC158</f>
        <v>2955</v>
      </c>
      <c r="AN158" s="131">
        <f t="shared" ref="AN158:AN173" si="282">J158-T158-AD158</f>
        <v>11569</v>
      </c>
      <c r="AO158" s="131">
        <f t="shared" ref="AO158:AO173" si="283">SUM(AF158:AN158)</f>
        <v>148633</v>
      </c>
      <c r="AP158" s="57">
        <f t="shared" ref="AP158:AP172" si="284">B158-B157</f>
        <v>170</v>
      </c>
      <c r="AQ158" s="57">
        <f t="shared" ref="AQ158:AQ172" si="285">C158-C157</f>
        <v>628</v>
      </c>
      <c r="AR158" s="57">
        <f t="shared" ref="AR158:AR172" si="286">D158-D157</f>
        <v>1144</v>
      </c>
      <c r="AS158" s="57">
        <f t="shared" ref="AS158:AS172" si="287">E158-E157</f>
        <v>1625</v>
      </c>
      <c r="AT158" s="57">
        <f t="shared" ref="AT158:AT172" si="288">F158-F157</f>
        <v>185</v>
      </c>
      <c r="AU158" s="57">
        <f t="shared" ref="AU158:AU172" si="289">G158-G157</f>
        <v>321</v>
      </c>
      <c r="AV158" s="57">
        <f t="shared" ref="AV158:AV172" si="290">H158-H157</f>
        <v>121</v>
      </c>
      <c r="AW158" s="57">
        <f t="shared" ref="AW158:AW172" si="291">I158-I157</f>
        <v>77</v>
      </c>
      <c r="AX158" s="57">
        <f t="shared" ref="AX158:AX172" si="292">J158-J157</f>
        <v>185</v>
      </c>
      <c r="AY158" s="57">
        <f t="shared" ref="AY158:AY172" si="293">SUM(AP158:AX158)</f>
        <v>4456</v>
      </c>
      <c r="AZ158" s="152">
        <f t="shared" ref="AZ158:AZ172" ca="1" si="294">L158/AZ$6-B158</f>
        <v>383402.91023026174</v>
      </c>
      <c r="BA158" s="152">
        <f t="shared" ref="BA158:BA172" ca="1" si="295">M158/BA$6-C158</f>
        <v>53168.414400890077</v>
      </c>
      <c r="BB158" s="152">
        <f t="shared" ref="BB158:BB172" ca="1" si="296">N158/BB$6-D158</f>
        <v>595659.21758171427</v>
      </c>
      <c r="BC158" s="152">
        <f t="shared" ref="BC158:BC172" ca="1" si="297">O158/BC$6-E158</f>
        <v>229301.40445573948</v>
      </c>
      <c r="BD158" s="152">
        <f t="shared" ref="BD158:BD172" ca="1" si="298">P158/BD$6-F158</f>
        <v>21938.45859893813</v>
      </c>
      <c r="BE158" s="152">
        <f t="shared" ref="BE158:BE172" ca="1" si="299">Q158/BE$6-G158</f>
        <v>37509.070647923676</v>
      </c>
      <c r="BF158" s="152">
        <f t="shared" ref="BF158:BF172" ca="1" si="300">R158/BF$6-H158</f>
        <v>21187.562051163295</v>
      </c>
      <c r="BG158" s="152">
        <f t="shared" ref="BG158:BG172" ca="1" si="301">S158/BG$6-I158</f>
        <v>8097.5038839050339</v>
      </c>
      <c r="BH158" s="152">
        <f t="shared" ref="BH158:BH172" ca="1" si="302">T158/BH$6-J158</f>
        <v>795353.98982929357</v>
      </c>
      <c r="BI158" s="152">
        <f t="shared" ref="BI158:BI172" ca="1" si="303">SUM(AZ158:BH158)</f>
        <v>2145618.5316798291</v>
      </c>
      <c r="BJ158" s="163">
        <f t="shared" ref="BJ158:BJ172" ca="1" si="304">AZ158*AF158/B158</f>
        <v>31654.125347401001</v>
      </c>
      <c r="BK158" s="163">
        <f t="shared" ref="BK158:BK172" ca="1" si="305">BA158*AG158/C158</f>
        <v>29598.460587451485</v>
      </c>
      <c r="BL158" s="163">
        <f t="shared" ref="BL158:BL172" ca="1" si="306">BB158*AH158/D158</f>
        <v>175805.52078038492</v>
      </c>
      <c r="BM158" s="163">
        <f t="shared" ref="BM158:BM172" ca="1" si="307">BC158*AI158/E158</f>
        <v>107591.86918999912</v>
      </c>
      <c r="BN158" s="163">
        <f t="shared" ref="BN158:BN172" ca="1" si="308">BD158*AJ158/F158</f>
        <v>8820.7137300022841</v>
      </c>
      <c r="BO158" s="163">
        <f t="shared" ref="BO158:BO172" ca="1" si="309">BE158*AK158/G158</f>
        <v>11592.107160662084</v>
      </c>
      <c r="BP158" s="163">
        <f t="shared" ref="BP158:BP172" ca="1" si="310">BF158*AL158/H158</f>
        <v>11450.899964010552</v>
      </c>
      <c r="BQ158" s="163">
        <f t="shared" ref="BQ158:BQ172" ca="1" si="311">BG158*AM158/I158</f>
        <v>4448.4335335451524</v>
      </c>
      <c r="BR158" s="163">
        <f t="shared" ref="BR158:BR172" ca="1" si="312">BH158*AN158/J158</f>
        <v>94605.75470471305</v>
      </c>
      <c r="BS158" s="163">
        <f t="shared" ref="BS158:BS172" ca="1" si="313">SUM(BJ158:BR158)</f>
        <v>475567.88499816973</v>
      </c>
      <c r="BT158" s="164">
        <f t="shared" ref="BT158:BT172" si="314">L158/(B158)</f>
        <v>2.2944742247382396E-2</v>
      </c>
      <c r="BU158" s="164">
        <f t="shared" ref="BU158:BU172" si="315">M158/(C158)</f>
        <v>8.4247729420950969E-3</v>
      </c>
      <c r="BV158" s="164">
        <f t="shared" ref="BV158:BV172" si="316">N158/(D158)</f>
        <v>1.2387350483368835E-2</v>
      </c>
      <c r="BW158" s="164">
        <f t="shared" ref="BW158:BW172" si="317">O158/(E158)</f>
        <v>1.1350684995231782E-2</v>
      </c>
      <c r="BX158" s="164">
        <f t="shared" ref="BX158:BX172" si="318">P158/(F158)</f>
        <v>9.5856853765044197E-3</v>
      </c>
      <c r="BY158" s="164">
        <f t="shared" ref="BY158:BY172" si="319">Q158/(G158)</f>
        <v>7.8264189361160596E-3</v>
      </c>
      <c r="BZ158" s="164">
        <f t="shared" ref="BZ158:BZ172" si="320">R158/(H158)</f>
        <v>5.3774050320670938E-3</v>
      </c>
      <c r="CA158" s="164">
        <f t="shared" ref="CA158:CA172" si="321">S158/(I158)</f>
        <v>6.6926938092582268E-3</v>
      </c>
      <c r="CB158" s="164">
        <f t="shared" ref="CB158:CB172" si="322">T158/(J158)</f>
        <v>3.3363835453059293E-2</v>
      </c>
      <c r="CC158" s="164">
        <f t="shared" ref="CC158:CC172" si="323">U158/(K158)</f>
        <v>1.7043056546728361E-2</v>
      </c>
      <c r="CD158" s="213">
        <f t="shared" ref="CD158:CD172" si="324">SUM(AP145:AP158)</f>
        <v>13085</v>
      </c>
      <c r="CE158" s="213">
        <f t="shared" ref="CE158:CE172" si="325">SUM(AQ145:AQ158)</f>
        <v>12981</v>
      </c>
      <c r="CF158" s="213">
        <f t="shared" ref="CF158:CF172" si="326">SUM(AR145:AR158)</f>
        <v>43655</v>
      </c>
      <c r="CG158" s="213">
        <f t="shared" ref="CG158:CG172" si="327">SUM(AS145:AS158)</f>
        <v>38301</v>
      </c>
      <c r="CH158" s="213">
        <f t="shared" ref="CH158:CH172" si="328">SUM(AT145:AT158)</f>
        <v>4034</v>
      </c>
      <c r="CI158" s="213">
        <f t="shared" ref="CI158:CI172" si="329">SUM(AU145:AU158)</f>
        <v>8052</v>
      </c>
      <c r="CJ158" s="213">
        <f t="shared" ref="CJ158:CJ172" si="330">SUM(AV145:AV158)</f>
        <v>5636</v>
      </c>
      <c r="CK158" s="213">
        <f t="shared" ref="CK158:CK172" si="331">SUM(AW145:AW158)</f>
        <v>2840</v>
      </c>
      <c r="CL158" s="213">
        <f t="shared" ref="CL158:CL172" si="332">SUM(AX145:AX158)</f>
        <v>10932</v>
      </c>
      <c r="CM158" s="213">
        <f t="shared" ref="CM158:CM172" si="333">SUM(AY145:AY158)</f>
        <v>139516</v>
      </c>
      <c r="CN158" s="214">
        <f t="shared" ref="CN158:CN172" si="334">B158/B$5</f>
        <v>1.1620853682285565E-2</v>
      </c>
      <c r="CO158" s="214">
        <f t="shared" ref="CO158:CO172" si="335">C158/C$5</f>
        <v>8.6627473294024204E-3</v>
      </c>
      <c r="CP158" s="214">
        <f t="shared" ref="CP158:CP172" si="336">D158/D$5</f>
        <v>1.1707426615753254E-2</v>
      </c>
      <c r="CQ158" s="214">
        <f t="shared" ref="CQ158:CQ172" si="337">E158/E$5</f>
        <v>7.8166616921543901E-3</v>
      </c>
      <c r="CR158" s="214">
        <f t="shared" ref="CR158:CR172" si="338">F158/F$5</f>
        <v>1.6039085371165678E-3</v>
      </c>
      <c r="CS158" s="214">
        <f t="shared" ref="CS158:CS172" si="339">G158/G$5</f>
        <v>3.2679124361747408E-3</v>
      </c>
      <c r="CT158" s="214">
        <f t="shared" ref="CT158:CT172" si="340">H158/H$5</f>
        <v>4.934721846681916E-3</v>
      </c>
      <c r="CU158" s="214">
        <f t="shared" ref="CU158:CU172" si="341">I158/I$5</f>
        <v>4.0681339481494746E-3</v>
      </c>
      <c r="CV158" s="214">
        <f t="shared" ref="CV158:CV172" si="342">J158/J$5</f>
        <v>1.3315115652762013E-2</v>
      </c>
      <c r="CW158" s="214">
        <f t="shared" ref="CW158:CW172" si="343">K158/K$5</f>
        <v>8.7290831055289765E-3</v>
      </c>
      <c r="CX158" s="215">
        <f t="shared" ref="CX158:CX172" si="344">AF158/AF$5</f>
        <v>9.5942923041964889E-4</v>
      </c>
      <c r="CY158" s="215">
        <f t="shared" ref="CY158:CY172" si="345">AG158/AG$5</f>
        <v>4.8224869651948042E-3</v>
      </c>
      <c r="CZ158" s="215">
        <f t="shared" ref="CZ158:CZ172" si="346">AH158/AH$5</f>
        <v>3.4553821588403206E-3</v>
      </c>
      <c r="DA158" s="215">
        <f t="shared" ref="DA158:DA172" si="347">AI158/AI$5</f>
        <v>3.6677020983841677E-3</v>
      </c>
      <c r="DB158" s="215">
        <f t="shared" ref="DB158:DB172" si="348">AJ158/AJ$5</f>
        <v>6.4487748723133923E-4</v>
      </c>
      <c r="DC158" s="215">
        <f t="shared" ref="DC158:DC172" si="349">AK158/AK$5</f>
        <v>1.0099421419254718E-3</v>
      </c>
      <c r="DD158" s="215">
        <f t="shared" ref="DD158:DD172" si="350">AL158/AL$5</f>
        <v>2.6669895328268571E-3</v>
      </c>
      <c r="DE158" s="215">
        <f t="shared" ref="DE158:DE172" si="351">AM158/AM$5</f>
        <v>2.2348644388885848E-3</v>
      </c>
      <c r="DF158" s="215">
        <f t="shared" ref="DF158:DF172" si="352">AN158/AN$5</f>
        <v>1.5838061811702918E-3</v>
      </c>
      <c r="DG158" s="215">
        <f t="shared" ref="DG158:DG172" si="353">AO158/AO$5</f>
        <v>2.4889880238650529E-3</v>
      </c>
    </row>
    <row r="159" spans="1:113">
      <c r="A159" s="150">
        <v>44048</v>
      </c>
      <c r="B159" s="129">
        <v>80400</v>
      </c>
      <c r="C159" s="129">
        <v>25232</v>
      </c>
      <c r="D159" s="129">
        <v>185282</v>
      </c>
      <c r="E159" s="129">
        <v>87798</v>
      </c>
      <c r="F159" s="129">
        <v>9625</v>
      </c>
      <c r="G159" s="129">
        <v>17135</v>
      </c>
      <c r="H159" s="129">
        <v>20686</v>
      </c>
      <c r="I159" s="129">
        <v>5638</v>
      </c>
      <c r="J159" s="129">
        <v>98031</v>
      </c>
      <c r="K159" s="129">
        <f t="shared" si="189"/>
        <v>529827</v>
      </c>
      <c r="L159" s="80">
        <v>1967</v>
      </c>
      <c r="M159" s="80">
        <v>327</v>
      </c>
      <c r="N159" s="80">
        <v>2313</v>
      </c>
      <c r="O159" s="80">
        <v>1038</v>
      </c>
      <c r="P159" s="80">
        <v>90</v>
      </c>
      <c r="Q159" s="80">
        <v>139</v>
      </c>
      <c r="R159" s="80">
        <v>109</v>
      </c>
      <c r="S159" s="80">
        <v>36</v>
      </c>
      <c r="T159" s="80">
        <v>3279</v>
      </c>
      <c r="U159" s="80">
        <f t="shared" si="190"/>
        <v>9298</v>
      </c>
      <c r="V159" s="130">
        <v>72570</v>
      </c>
      <c r="W159" s="130">
        <v>10582</v>
      </c>
      <c r="X159" s="130">
        <v>129375</v>
      </c>
      <c r="Y159" s="130">
        <v>51857</v>
      </c>
      <c r="Z159" s="130">
        <v>5620</v>
      </c>
      <c r="AA159" s="130">
        <v>11632</v>
      </c>
      <c r="AB159" s="130">
        <v>9243</v>
      </c>
      <c r="AC159" s="130">
        <v>2859</v>
      </c>
      <c r="AD159" s="130">
        <v>83528</v>
      </c>
      <c r="AE159" s="130">
        <f t="shared" si="191"/>
        <v>377266</v>
      </c>
      <c r="AF159" s="131">
        <f t="shared" si="274"/>
        <v>5863</v>
      </c>
      <c r="AG159" s="131">
        <f t="shared" si="275"/>
        <v>14323</v>
      </c>
      <c r="AH159" s="131">
        <f t="shared" si="276"/>
        <v>53594</v>
      </c>
      <c r="AI159" s="131">
        <f t="shared" si="277"/>
        <v>34903</v>
      </c>
      <c r="AJ159" s="131">
        <f t="shared" si="278"/>
        <v>3915</v>
      </c>
      <c r="AK159" s="131">
        <f t="shared" si="279"/>
        <v>5364</v>
      </c>
      <c r="AL159" s="131">
        <f t="shared" si="280"/>
        <v>11334</v>
      </c>
      <c r="AM159" s="131">
        <f t="shared" si="281"/>
        <v>2743</v>
      </c>
      <c r="AN159" s="131">
        <f t="shared" si="282"/>
        <v>11224</v>
      </c>
      <c r="AO159" s="131">
        <f t="shared" si="283"/>
        <v>143263</v>
      </c>
      <c r="AP159" s="57">
        <f t="shared" si="284"/>
        <v>556</v>
      </c>
      <c r="AQ159" s="57">
        <f t="shared" si="285"/>
        <v>899</v>
      </c>
      <c r="AR159" s="57">
        <f t="shared" si="286"/>
        <v>2192</v>
      </c>
      <c r="AS159" s="57">
        <f t="shared" si="287"/>
        <v>1812</v>
      </c>
      <c r="AT159" s="57">
        <f t="shared" si="288"/>
        <v>236</v>
      </c>
      <c r="AU159" s="57">
        <f t="shared" si="289"/>
        <v>1419</v>
      </c>
      <c r="AV159" s="57">
        <f t="shared" si="290"/>
        <v>416</v>
      </c>
      <c r="AW159" s="57">
        <f t="shared" si="291"/>
        <v>259</v>
      </c>
      <c r="AX159" s="57">
        <f t="shared" si="292"/>
        <v>770</v>
      </c>
      <c r="AY159" s="57">
        <f t="shared" si="293"/>
        <v>8559</v>
      </c>
      <c r="AZ159" s="152">
        <f t="shared" ca="1" si="294"/>
        <v>416983.55481600697</v>
      </c>
      <c r="BA159" s="152">
        <f t="shared" ca="1" si="295"/>
        <v>98392.207361419772</v>
      </c>
      <c r="BB159" s="152">
        <f t="shared" ca="1" si="296"/>
        <v>608918.59094643081</v>
      </c>
      <c r="BC159" s="152">
        <f t="shared" ca="1" si="297"/>
        <v>247517.90760764095</v>
      </c>
      <c r="BD159" s="152">
        <f t="shared" ca="1" si="298"/>
        <v>21702.45859893813</v>
      </c>
      <c r="BE159" s="152">
        <f t="shared" ca="1" si="299"/>
        <v>43013.657073669849</v>
      </c>
      <c r="BF159" s="152">
        <f t="shared" ca="1" si="300"/>
        <v>20771.562051163295</v>
      </c>
      <c r="BG159" s="152">
        <f t="shared" ca="1" si="301"/>
        <v>7838.5038839050339</v>
      </c>
      <c r="BH159" s="152">
        <f t="shared" ca="1" si="302"/>
        <v>803936.50436063285</v>
      </c>
      <c r="BI159" s="152">
        <f t="shared" ca="1" si="303"/>
        <v>2269074.9466998079</v>
      </c>
      <c r="BJ159" s="163">
        <f t="shared" ca="1" si="304"/>
        <v>30407.644053311556</v>
      </c>
      <c r="BK159" s="163">
        <f t="shared" ca="1" si="305"/>
        <v>55852.551761161034</v>
      </c>
      <c r="BL159" s="163">
        <f t="shared" ca="1" si="306"/>
        <v>176133.58536276061</v>
      </c>
      <c r="BM159" s="163">
        <f t="shared" ca="1" si="307"/>
        <v>98397.657454947635</v>
      </c>
      <c r="BN159" s="163">
        <f t="shared" ca="1" si="308"/>
        <v>8827.5454976460042</v>
      </c>
      <c r="BO159" s="163">
        <f t="shared" ca="1" si="309"/>
        <v>13465.144823061864</v>
      </c>
      <c r="BP159" s="163">
        <f t="shared" ca="1" si="310"/>
        <v>11380.88002938629</v>
      </c>
      <c r="BQ159" s="163">
        <f t="shared" ca="1" si="311"/>
        <v>3813.5892432691571</v>
      </c>
      <c r="BR159" s="163">
        <f t="shared" ca="1" si="312"/>
        <v>92046.223387946084</v>
      </c>
      <c r="BS159" s="163">
        <f t="shared" ca="1" si="313"/>
        <v>490324.82161349035</v>
      </c>
      <c r="BT159" s="164">
        <f t="shared" si="314"/>
        <v>2.4465174129353232E-2</v>
      </c>
      <c r="BU159" s="164">
        <f t="shared" si="315"/>
        <v>1.2959733671528218E-2</v>
      </c>
      <c r="BV159" s="164">
        <f t="shared" si="316"/>
        <v>1.2483673535475654E-2</v>
      </c>
      <c r="BW159" s="164">
        <f t="shared" si="317"/>
        <v>1.1822592769766965E-2</v>
      </c>
      <c r="BX159" s="164">
        <f t="shared" si="318"/>
        <v>9.3506493506493506E-3</v>
      </c>
      <c r="BY159" s="164">
        <f t="shared" si="319"/>
        <v>8.1120513568719004E-3</v>
      </c>
      <c r="BZ159" s="164">
        <f t="shared" si="320"/>
        <v>5.269264236681814E-3</v>
      </c>
      <c r="CA159" s="164">
        <f t="shared" si="321"/>
        <v>6.3852429939694928E-3</v>
      </c>
      <c r="CB159" s="164">
        <f t="shared" si="322"/>
        <v>3.3448602992930808E-2</v>
      </c>
      <c r="CC159" s="164">
        <f t="shared" si="323"/>
        <v>1.7549124525552681E-2</v>
      </c>
      <c r="CD159" s="213">
        <f t="shared" si="324"/>
        <v>12582</v>
      </c>
      <c r="CE159" s="213">
        <f t="shared" si="325"/>
        <v>12900</v>
      </c>
      <c r="CF159" s="213">
        <f t="shared" si="326"/>
        <v>40700</v>
      </c>
      <c r="CG159" s="213">
        <f t="shared" si="327"/>
        <v>37277</v>
      </c>
      <c r="CH159" s="213">
        <f t="shared" si="328"/>
        <v>3913</v>
      </c>
      <c r="CI159" s="213">
        <f t="shared" si="329"/>
        <v>8849</v>
      </c>
      <c r="CJ159" s="213">
        <f t="shared" si="330"/>
        <v>5613</v>
      </c>
      <c r="CK159" s="213">
        <f t="shared" si="331"/>
        <v>2911</v>
      </c>
      <c r="CL159" s="213">
        <f t="shared" si="332"/>
        <v>10184</v>
      </c>
      <c r="CM159" s="213">
        <f t="shared" si="333"/>
        <v>134929</v>
      </c>
      <c r="CN159" s="214">
        <f t="shared" si="334"/>
        <v>1.1701776414705668E-2</v>
      </c>
      <c r="CO159" s="214">
        <f t="shared" si="335"/>
        <v>8.982798693769032E-3</v>
      </c>
      <c r="CP159" s="214">
        <f t="shared" si="336"/>
        <v>1.1847590901851517E-2</v>
      </c>
      <c r="CQ159" s="214">
        <f t="shared" si="337"/>
        <v>7.9813837513987296E-3</v>
      </c>
      <c r="CR159" s="214">
        <f t="shared" si="338"/>
        <v>1.6442240568481166E-3</v>
      </c>
      <c r="CS159" s="214">
        <f t="shared" si="339"/>
        <v>3.5629727407644552E-3</v>
      </c>
      <c r="CT159" s="214">
        <f t="shared" si="340"/>
        <v>5.0359968485674455E-3</v>
      </c>
      <c r="CU159" s="214">
        <f t="shared" si="341"/>
        <v>4.2640154674970692E-3</v>
      </c>
      <c r="CV159" s="214">
        <f t="shared" si="342"/>
        <v>1.3420529323736266E-2</v>
      </c>
      <c r="CW159" s="214">
        <f t="shared" si="343"/>
        <v>8.8724109566539686E-3</v>
      </c>
      <c r="CX159" s="215">
        <f t="shared" si="344"/>
        <v>8.5332730248034001E-4</v>
      </c>
      <c r="CY159" s="215">
        <f t="shared" si="345"/>
        <v>5.0991053301701747E-3</v>
      </c>
      <c r="CZ159" s="215">
        <f t="shared" si="346"/>
        <v>3.4269912176780812E-3</v>
      </c>
      <c r="DA159" s="215">
        <f t="shared" si="347"/>
        <v>3.1728995771551729E-3</v>
      </c>
      <c r="DB159" s="215">
        <f t="shared" si="348"/>
        <v>6.6879347351276631E-4</v>
      </c>
      <c r="DC159" s="215">
        <f t="shared" si="349"/>
        <v>1.1153653797175687E-3</v>
      </c>
      <c r="DD159" s="215">
        <f t="shared" si="350"/>
        <v>2.7592569023331443E-3</v>
      </c>
      <c r="DE159" s="215">
        <f t="shared" si="351"/>
        <v>2.0745289867585069E-3</v>
      </c>
      <c r="DF159" s="215">
        <f t="shared" si="352"/>
        <v>1.5365753805389709E-3</v>
      </c>
      <c r="DG159" s="215">
        <f t="shared" si="353"/>
        <v>2.399062733464164E-3</v>
      </c>
    </row>
    <row r="160" spans="1:113">
      <c r="A160" s="150">
        <v>44049</v>
      </c>
      <c r="B160" s="129">
        <v>81014</v>
      </c>
      <c r="C160" s="129">
        <v>26123</v>
      </c>
      <c r="D160" s="129">
        <v>187631</v>
      </c>
      <c r="E160" s="129">
        <v>90115</v>
      </c>
      <c r="F160" s="129">
        <v>9873</v>
      </c>
      <c r="G160" s="129">
        <v>17803</v>
      </c>
      <c r="H160" s="129">
        <v>21044</v>
      </c>
      <c r="I160" s="129">
        <v>5932</v>
      </c>
      <c r="J160" s="129">
        <v>98599</v>
      </c>
      <c r="K160" s="129">
        <f t="shared" si="189"/>
        <v>538134</v>
      </c>
      <c r="L160" s="80">
        <v>2033</v>
      </c>
      <c r="M160" s="80">
        <v>350</v>
      </c>
      <c r="N160" s="80">
        <v>2388</v>
      </c>
      <c r="O160" s="80">
        <v>1116</v>
      </c>
      <c r="P160" s="80">
        <v>90</v>
      </c>
      <c r="Q160" s="80">
        <v>139</v>
      </c>
      <c r="R160" s="80">
        <v>109</v>
      </c>
      <c r="S160" s="80">
        <v>54</v>
      </c>
      <c r="T160" s="80">
        <v>3325</v>
      </c>
      <c r="U160" s="80">
        <f t="shared" si="190"/>
        <v>9604</v>
      </c>
      <c r="V160" s="130">
        <v>74004</v>
      </c>
      <c r="W160" s="130">
        <v>11575</v>
      </c>
      <c r="X160" s="130">
        <v>132002</v>
      </c>
      <c r="Y160" s="130">
        <v>53444</v>
      </c>
      <c r="Z160" s="130">
        <v>6876</v>
      </c>
      <c r="AA160" s="130">
        <v>12290</v>
      </c>
      <c r="AB160" s="130">
        <v>9527</v>
      </c>
      <c r="AC160" s="130">
        <v>3069</v>
      </c>
      <c r="AD160" s="130">
        <v>84529</v>
      </c>
      <c r="AE160" s="130">
        <f t="shared" si="191"/>
        <v>387316</v>
      </c>
      <c r="AF160" s="131">
        <f t="shared" si="274"/>
        <v>4977</v>
      </c>
      <c r="AG160" s="131">
        <f t="shared" si="275"/>
        <v>14198</v>
      </c>
      <c r="AH160" s="131">
        <f t="shared" si="276"/>
        <v>53241</v>
      </c>
      <c r="AI160" s="131">
        <f t="shared" si="277"/>
        <v>35555</v>
      </c>
      <c r="AJ160" s="131">
        <f t="shared" si="278"/>
        <v>2907</v>
      </c>
      <c r="AK160" s="131">
        <f t="shared" si="279"/>
        <v>5374</v>
      </c>
      <c r="AL160" s="131">
        <f t="shared" si="280"/>
        <v>11408</v>
      </c>
      <c r="AM160" s="131">
        <f t="shared" si="281"/>
        <v>2809</v>
      </c>
      <c r="AN160" s="131">
        <f t="shared" si="282"/>
        <v>10745</v>
      </c>
      <c r="AO160" s="131">
        <f t="shared" si="283"/>
        <v>141214</v>
      </c>
      <c r="AP160" s="57">
        <f t="shared" si="284"/>
        <v>614</v>
      </c>
      <c r="AQ160" s="57">
        <f t="shared" si="285"/>
        <v>891</v>
      </c>
      <c r="AR160" s="57">
        <f t="shared" si="286"/>
        <v>2349</v>
      </c>
      <c r="AS160" s="57">
        <f t="shared" si="287"/>
        <v>2317</v>
      </c>
      <c r="AT160" s="57">
        <f t="shared" si="288"/>
        <v>248</v>
      </c>
      <c r="AU160" s="57">
        <f t="shared" si="289"/>
        <v>668</v>
      </c>
      <c r="AV160" s="57">
        <f t="shared" si="290"/>
        <v>358</v>
      </c>
      <c r="AW160" s="57">
        <f t="shared" si="291"/>
        <v>294</v>
      </c>
      <c r="AX160" s="57">
        <f t="shared" si="292"/>
        <v>568</v>
      </c>
      <c r="AY160" s="57">
        <f t="shared" si="293"/>
        <v>8307</v>
      </c>
      <c r="AZ160" s="152">
        <f t="shared" ca="1" si="294"/>
        <v>433058.58105792687</v>
      </c>
      <c r="BA160" s="152">
        <f t="shared" ca="1" si="295"/>
        <v>106196.48800151964</v>
      </c>
      <c r="BB160" s="152">
        <f t="shared" ca="1" si="296"/>
        <v>632321.87988762511</v>
      </c>
      <c r="BC160" s="152">
        <f t="shared" ca="1" si="297"/>
        <v>270398.0567342267</v>
      </c>
      <c r="BD160" s="152">
        <f t="shared" ca="1" si="298"/>
        <v>21454.45859893813</v>
      </c>
      <c r="BE160" s="152">
        <f t="shared" ca="1" si="299"/>
        <v>42345.657073669849</v>
      </c>
      <c r="BF160" s="152">
        <f t="shared" ca="1" si="300"/>
        <v>20413.562051163295</v>
      </c>
      <c r="BG160" s="152">
        <f t="shared" ca="1" si="301"/>
        <v>14282.755825857552</v>
      </c>
      <c r="BH160" s="152">
        <f t="shared" ca="1" si="302"/>
        <v>816021.90637362131</v>
      </c>
      <c r="BI160" s="152">
        <f t="shared" ca="1" si="303"/>
        <v>2356493.3456045482</v>
      </c>
      <c r="BJ160" s="163">
        <f t="shared" ca="1" si="304"/>
        <v>26604.44562575977</v>
      </c>
      <c r="BK160" s="163">
        <f t="shared" ca="1" si="305"/>
        <v>57718.398983484891</v>
      </c>
      <c r="BL160" s="163">
        <f t="shared" ca="1" si="306"/>
        <v>179423.70507590455</v>
      </c>
      <c r="BM160" s="163">
        <f t="shared" ca="1" si="307"/>
        <v>106685.93360911535</v>
      </c>
      <c r="BN160" s="163">
        <f t="shared" ca="1" si="308"/>
        <v>6317.0374908450467</v>
      </c>
      <c r="BO160" s="163">
        <f t="shared" ca="1" si="309"/>
        <v>12782.427743296174</v>
      </c>
      <c r="BP160" s="163">
        <f t="shared" ca="1" si="310"/>
        <v>11066.238161930758</v>
      </c>
      <c r="BQ160" s="163">
        <f t="shared" ca="1" si="311"/>
        <v>6763.3616174703075</v>
      </c>
      <c r="BR160" s="163">
        <f t="shared" ca="1" si="312"/>
        <v>88927.4270934245</v>
      </c>
      <c r="BS160" s="163">
        <f t="shared" ca="1" si="313"/>
        <v>496288.97540123138</v>
      </c>
      <c r="BT160" s="164">
        <f t="shared" si="314"/>
        <v>2.5094428123534206E-2</v>
      </c>
      <c r="BU160" s="164">
        <f t="shared" si="315"/>
        <v>1.3398154882670444E-2</v>
      </c>
      <c r="BV160" s="164">
        <f t="shared" si="316"/>
        <v>1.2727107993881609E-2</v>
      </c>
      <c r="BW160" s="164">
        <f t="shared" si="317"/>
        <v>1.2384175775398102E-2</v>
      </c>
      <c r="BX160" s="164">
        <f t="shared" si="318"/>
        <v>9.1157702825888781E-3</v>
      </c>
      <c r="BY160" s="164">
        <f t="shared" si="319"/>
        <v>7.8076728641240239E-3</v>
      </c>
      <c r="BZ160" s="164">
        <f t="shared" si="320"/>
        <v>5.179623645694735E-3</v>
      </c>
      <c r="CA160" s="164">
        <f t="shared" si="321"/>
        <v>9.1031692515171955E-3</v>
      </c>
      <c r="CB160" s="164">
        <f t="shared" si="322"/>
        <v>3.3722451546161727E-2</v>
      </c>
      <c r="CC160" s="164">
        <f t="shared" si="323"/>
        <v>1.7846855987542137E-2</v>
      </c>
      <c r="CD160" s="213">
        <f t="shared" si="324"/>
        <v>11569</v>
      </c>
      <c r="CE160" s="213">
        <f t="shared" si="325"/>
        <v>12680</v>
      </c>
      <c r="CF160" s="213">
        <f t="shared" si="326"/>
        <v>38777</v>
      </c>
      <c r="CG160" s="213">
        <f t="shared" si="327"/>
        <v>36709</v>
      </c>
      <c r="CH160" s="213">
        <f t="shared" si="328"/>
        <v>3805</v>
      </c>
      <c r="CI160" s="213">
        <f t="shared" si="329"/>
        <v>8816</v>
      </c>
      <c r="CJ160" s="213">
        <f t="shared" si="330"/>
        <v>5143</v>
      </c>
      <c r="CK160" s="213">
        <f t="shared" si="331"/>
        <v>2962</v>
      </c>
      <c r="CL160" s="213">
        <f t="shared" si="332"/>
        <v>9671</v>
      </c>
      <c r="CM160" s="213">
        <f t="shared" si="333"/>
        <v>130132</v>
      </c>
      <c r="CN160" s="214">
        <f t="shared" si="334"/>
        <v>1.1791140727126431E-2</v>
      </c>
      <c r="CO160" s="214">
        <f t="shared" si="335"/>
        <v>9.3000019926017929E-3</v>
      </c>
      <c r="CP160" s="214">
        <f t="shared" si="336"/>
        <v>1.1997794327054447E-2</v>
      </c>
      <c r="CQ160" s="214">
        <f t="shared" si="337"/>
        <v>8.1920134485671259E-3</v>
      </c>
      <c r="CR160" s="214">
        <f t="shared" si="338"/>
        <v>1.6865895182609303E-3</v>
      </c>
      <c r="CS160" s="214">
        <f t="shared" si="339"/>
        <v>3.7018735747785E-3</v>
      </c>
      <c r="CT160" s="214">
        <f t="shared" si="340"/>
        <v>5.1231517780747039E-3</v>
      </c>
      <c r="CU160" s="214">
        <f t="shared" si="341"/>
        <v>4.4863674624321774E-3</v>
      </c>
      <c r="CV160" s="214">
        <f t="shared" si="342"/>
        <v>1.3498289018688702E-2</v>
      </c>
      <c r="CW160" s="214">
        <f t="shared" si="343"/>
        <v>9.0115188500171327E-3</v>
      </c>
      <c r="CX160" s="215">
        <f t="shared" si="344"/>
        <v>7.2437489074614564E-4</v>
      </c>
      <c r="CY160" s="215">
        <f t="shared" si="345"/>
        <v>5.0546043062037376E-3</v>
      </c>
      <c r="CZ160" s="215">
        <f t="shared" si="346"/>
        <v>3.404419140582877E-3</v>
      </c>
      <c r="DA160" s="215">
        <f t="shared" si="347"/>
        <v>3.2321704284947474E-3</v>
      </c>
      <c r="DB160" s="215">
        <f t="shared" si="348"/>
        <v>4.9659837228649092E-4</v>
      </c>
      <c r="DC160" s="215">
        <f t="shared" si="349"/>
        <v>1.1174447335201741E-3</v>
      </c>
      <c r="DD160" s="215">
        <f t="shared" si="350"/>
        <v>2.7772721670916278E-3</v>
      </c>
      <c r="DE160" s="215">
        <f t="shared" si="351"/>
        <v>2.1244447407235312E-3</v>
      </c>
      <c r="DF160" s="215">
        <f t="shared" si="352"/>
        <v>1.4709998631407023E-3</v>
      </c>
      <c r="DG160" s="215">
        <f t="shared" si="353"/>
        <v>2.3647504578530984E-3</v>
      </c>
    </row>
    <row r="161" spans="1:111">
      <c r="A161" s="150">
        <v>44050</v>
      </c>
      <c r="B161" s="129">
        <v>81615</v>
      </c>
      <c r="C161" s="129">
        <v>26877</v>
      </c>
      <c r="D161" s="129">
        <v>189159</v>
      </c>
      <c r="E161" s="129">
        <v>92844</v>
      </c>
      <c r="F161" s="129">
        <v>10138</v>
      </c>
      <c r="G161" s="129">
        <v>18266</v>
      </c>
      <c r="H161" s="129">
        <v>21315</v>
      </c>
      <c r="I161" s="129">
        <v>6185</v>
      </c>
      <c r="J161" s="129">
        <v>99027</v>
      </c>
      <c r="K161" s="129">
        <f t="shared" si="189"/>
        <v>545426</v>
      </c>
      <c r="L161" s="80">
        <v>2090</v>
      </c>
      <c r="M161" s="80">
        <v>350</v>
      </c>
      <c r="N161" s="80">
        <v>2524</v>
      </c>
      <c r="O161" s="80">
        <v>1192</v>
      </c>
      <c r="P161" s="80">
        <v>90</v>
      </c>
      <c r="Q161" s="80">
        <v>139</v>
      </c>
      <c r="R161" s="80">
        <v>109</v>
      </c>
      <c r="S161" s="80">
        <v>61</v>
      </c>
      <c r="T161" s="80">
        <v>3354</v>
      </c>
      <c r="U161" s="80">
        <f t="shared" si="190"/>
        <v>9909</v>
      </c>
      <c r="V161" s="130">
        <v>74936</v>
      </c>
      <c r="W161" s="130">
        <v>11832</v>
      </c>
      <c r="X161" s="130">
        <v>135485</v>
      </c>
      <c r="Y161" s="130">
        <v>53509</v>
      </c>
      <c r="Z161" s="130">
        <v>6876</v>
      </c>
      <c r="AA161" s="130">
        <v>13322</v>
      </c>
      <c r="AB161" s="130">
        <v>10182</v>
      </c>
      <c r="AC161" s="130">
        <v>3089</v>
      </c>
      <c r="AD161" s="130">
        <v>85528</v>
      </c>
      <c r="AE161" s="130">
        <f t="shared" si="191"/>
        <v>394759</v>
      </c>
      <c r="AF161" s="131">
        <f t="shared" si="274"/>
        <v>4589</v>
      </c>
      <c r="AG161" s="131">
        <f t="shared" si="275"/>
        <v>14695</v>
      </c>
      <c r="AH161" s="131">
        <f t="shared" si="276"/>
        <v>51150</v>
      </c>
      <c r="AI161" s="131">
        <f t="shared" si="277"/>
        <v>38143</v>
      </c>
      <c r="AJ161" s="131">
        <f t="shared" si="278"/>
        <v>3172</v>
      </c>
      <c r="AK161" s="131">
        <f t="shared" si="279"/>
        <v>4805</v>
      </c>
      <c r="AL161" s="131">
        <f t="shared" si="280"/>
        <v>11024</v>
      </c>
      <c r="AM161" s="131">
        <f t="shared" si="281"/>
        <v>3035</v>
      </c>
      <c r="AN161" s="131">
        <f t="shared" si="282"/>
        <v>10145</v>
      </c>
      <c r="AO161" s="131">
        <f t="shared" si="283"/>
        <v>140758</v>
      </c>
      <c r="AP161" s="57">
        <f t="shared" si="284"/>
        <v>601</v>
      </c>
      <c r="AQ161" s="57">
        <f t="shared" si="285"/>
        <v>754</v>
      </c>
      <c r="AR161" s="57">
        <f t="shared" si="286"/>
        <v>1528</v>
      </c>
      <c r="AS161" s="57">
        <f t="shared" si="287"/>
        <v>2729</v>
      </c>
      <c r="AT161" s="57">
        <f t="shared" si="288"/>
        <v>265</v>
      </c>
      <c r="AU161" s="57">
        <f t="shared" si="289"/>
        <v>463</v>
      </c>
      <c r="AV161" s="57">
        <f t="shared" si="290"/>
        <v>271</v>
      </c>
      <c r="AW161" s="57">
        <f t="shared" si="291"/>
        <v>253</v>
      </c>
      <c r="AX161" s="57">
        <f t="shared" si="292"/>
        <v>428</v>
      </c>
      <c r="AY161" s="57">
        <f t="shared" si="293"/>
        <v>7292</v>
      </c>
      <c r="AZ161" s="152">
        <f t="shared" ca="1" si="294"/>
        <v>446870.83099413046</v>
      </c>
      <c r="BA161" s="152">
        <f t="shared" ca="1" si="295"/>
        <v>105442.48800151964</v>
      </c>
      <c r="BB161" s="152">
        <f t="shared" ca="1" si="296"/>
        <v>677491.36383432406</v>
      </c>
      <c r="BC161" s="152">
        <f t="shared" ca="1" si="297"/>
        <v>292220.12511397689</v>
      </c>
      <c r="BD161" s="152">
        <f t="shared" ca="1" si="298"/>
        <v>21189.45859893813</v>
      </c>
      <c r="BE161" s="152">
        <f t="shared" ca="1" si="299"/>
        <v>41882.657073669849</v>
      </c>
      <c r="BF161" s="152">
        <f t="shared" ca="1" si="300"/>
        <v>20142.562051163295</v>
      </c>
      <c r="BG161" s="152">
        <f t="shared" ca="1" si="301"/>
        <v>16650.187136616863</v>
      </c>
      <c r="BH161" s="152">
        <f t="shared" ca="1" si="302"/>
        <v>823571.05112094013</v>
      </c>
      <c r="BI161" s="152">
        <f t="shared" ca="1" si="303"/>
        <v>2445460.7239252795</v>
      </c>
      <c r="BJ161" s="163">
        <f t="shared" ca="1" si="304"/>
        <v>25126.389063677812</v>
      </c>
      <c r="BK161" s="163">
        <f t="shared" ca="1" si="305"/>
        <v>57650.681295618226</v>
      </c>
      <c r="BL161" s="163">
        <f t="shared" ca="1" si="306"/>
        <v>183198.70193924519</v>
      </c>
      <c r="BM161" s="163">
        <f t="shared" ca="1" si="307"/>
        <v>120052.47762076622</v>
      </c>
      <c r="BN161" s="163">
        <f t="shared" ca="1" si="308"/>
        <v>6629.8049591469471</v>
      </c>
      <c r="BO161" s="163">
        <f t="shared" ca="1" si="309"/>
        <v>11017.528043303604</v>
      </c>
      <c r="BP161" s="163">
        <f t="shared" ca="1" si="310"/>
        <v>10417.621583486942</v>
      </c>
      <c r="BQ161" s="163">
        <f t="shared" ca="1" si="311"/>
        <v>8170.3020144918646</v>
      </c>
      <c r="BR161" s="163">
        <f t="shared" ca="1" si="312"/>
        <v>84372.224884344047</v>
      </c>
      <c r="BS161" s="163">
        <f t="shared" ca="1" si="313"/>
        <v>506635.73140408081</v>
      </c>
      <c r="BT161" s="164">
        <f t="shared" si="314"/>
        <v>2.5608037738160876E-2</v>
      </c>
      <c r="BU161" s="164">
        <f t="shared" si="315"/>
        <v>1.30222867135469E-2</v>
      </c>
      <c r="BV161" s="164">
        <f t="shared" si="316"/>
        <v>1.3343272062127627E-2</v>
      </c>
      <c r="BW161" s="164">
        <f t="shared" si="317"/>
        <v>1.2838740252466502E-2</v>
      </c>
      <c r="BX161" s="164">
        <f t="shared" si="318"/>
        <v>8.877490629315447E-3</v>
      </c>
      <c r="BY161" s="164">
        <f t="shared" si="319"/>
        <v>7.6097667798094822E-3</v>
      </c>
      <c r="BZ161" s="164">
        <f t="shared" si="320"/>
        <v>5.1137696457893506E-3</v>
      </c>
      <c r="CA161" s="164">
        <f t="shared" si="321"/>
        <v>9.8625707356507688E-3</v>
      </c>
      <c r="CB161" s="164">
        <f t="shared" si="322"/>
        <v>3.3869550728589173E-2</v>
      </c>
      <c r="CC161" s="164">
        <f t="shared" si="323"/>
        <v>1.8167450763256609E-2</v>
      </c>
      <c r="CD161" s="213">
        <f t="shared" si="324"/>
        <v>10277</v>
      </c>
      <c r="CE161" s="213">
        <f t="shared" si="325"/>
        <v>12335</v>
      </c>
      <c r="CF161" s="213">
        <f t="shared" si="326"/>
        <v>36139</v>
      </c>
      <c r="CG161" s="213">
        <f t="shared" si="327"/>
        <v>35682</v>
      </c>
      <c r="CH161" s="213">
        <f t="shared" si="328"/>
        <v>3744</v>
      </c>
      <c r="CI161" s="213">
        <f t="shared" si="329"/>
        <v>8510</v>
      </c>
      <c r="CJ161" s="213">
        <f t="shared" si="330"/>
        <v>4767</v>
      </c>
      <c r="CK161" s="213">
        <f t="shared" si="331"/>
        <v>3010</v>
      </c>
      <c r="CL161" s="213">
        <f t="shared" si="332"/>
        <v>9016</v>
      </c>
      <c r="CM161" s="213">
        <f t="shared" si="333"/>
        <v>123480</v>
      </c>
      <c r="CN161" s="214">
        <f t="shared" si="334"/>
        <v>1.1878612961271184E-2</v>
      </c>
      <c r="CO161" s="214">
        <f t="shared" si="335"/>
        <v>9.5684321691673381E-3</v>
      </c>
      <c r="CP161" s="214">
        <f t="shared" si="336"/>
        <v>1.2095500088531703E-2</v>
      </c>
      <c r="CQ161" s="214">
        <f t="shared" si="337"/>
        <v>8.4400965057844553E-3</v>
      </c>
      <c r="CR161" s="214">
        <f t="shared" si="338"/>
        <v>1.7318590637222032E-3</v>
      </c>
      <c r="CS161" s="214">
        <f t="shared" si="339"/>
        <v>3.798147655839133E-3</v>
      </c>
      <c r="CT161" s="214">
        <f t="shared" si="340"/>
        <v>5.1891265990145555E-3</v>
      </c>
      <c r="CU161" s="214">
        <f t="shared" si="341"/>
        <v>4.6777111859647698E-3</v>
      </c>
      <c r="CV161" s="214">
        <f t="shared" si="342"/>
        <v>1.3556882591645818E-2</v>
      </c>
      <c r="CW161" s="214">
        <f t="shared" si="343"/>
        <v>9.1336296912840377E-3</v>
      </c>
      <c r="CX161" s="215">
        <f t="shared" si="344"/>
        <v>6.6790363143139693E-4</v>
      </c>
      <c r="CY161" s="215">
        <f t="shared" si="345"/>
        <v>5.23154037749429E-3</v>
      </c>
      <c r="CZ161" s="215">
        <f t="shared" si="346"/>
        <v>3.2707131541634109E-3</v>
      </c>
      <c r="DA161" s="215">
        <f t="shared" si="347"/>
        <v>3.4674357095788259E-3</v>
      </c>
      <c r="DB161" s="215">
        <f t="shared" si="348"/>
        <v>5.4186791774776366E-4</v>
      </c>
      <c r="DC161" s="215">
        <f t="shared" si="349"/>
        <v>9.9912950215192342E-4</v>
      </c>
      <c r="DD161" s="215">
        <f t="shared" si="350"/>
        <v>2.6837875499665241E-3</v>
      </c>
      <c r="DE161" s="215">
        <f t="shared" si="351"/>
        <v>2.2953683830886141E-3</v>
      </c>
      <c r="DF161" s="215">
        <f t="shared" si="352"/>
        <v>1.3888593403036226E-3</v>
      </c>
      <c r="DG161" s="215">
        <f t="shared" si="353"/>
        <v>2.3571143438078832E-3</v>
      </c>
    </row>
    <row r="162" spans="1:111">
      <c r="A162" s="150">
        <v>44051</v>
      </c>
      <c r="B162" s="129">
        <v>82074</v>
      </c>
      <c r="C162" s="129">
        <v>27742</v>
      </c>
      <c r="D162" s="129">
        <v>190999</v>
      </c>
      <c r="E162" s="129">
        <v>95648</v>
      </c>
      <c r="F162" s="129">
        <v>10345</v>
      </c>
      <c r="G162" s="129">
        <v>18734</v>
      </c>
      <c r="H162" s="129">
        <v>21642</v>
      </c>
      <c r="I162" s="129">
        <v>6366</v>
      </c>
      <c r="J162" s="129">
        <v>99588</v>
      </c>
      <c r="K162" s="129">
        <f t="shared" si="189"/>
        <v>553138</v>
      </c>
      <c r="L162" s="80">
        <v>2129</v>
      </c>
      <c r="M162" s="80">
        <v>350</v>
      </c>
      <c r="N162" s="80">
        <v>2547</v>
      </c>
      <c r="O162" s="80">
        <v>1346</v>
      </c>
      <c r="P162" s="80">
        <v>127</v>
      </c>
      <c r="Q162" s="80">
        <v>139</v>
      </c>
      <c r="R162" s="80">
        <v>130</v>
      </c>
      <c r="S162" s="80">
        <v>66</v>
      </c>
      <c r="T162" s="80">
        <v>3376</v>
      </c>
      <c r="U162" s="80">
        <f t="shared" si="190"/>
        <v>10210</v>
      </c>
      <c r="V162" s="130">
        <v>74941</v>
      </c>
      <c r="W162" s="130">
        <v>12155</v>
      </c>
      <c r="X162" s="130">
        <v>139745</v>
      </c>
      <c r="Y162" s="130">
        <v>54161</v>
      </c>
      <c r="Z162" s="130">
        <v>7813</v>
      </c>
      <c r="AA162" s="130">
        <v>14257</v>
      </c>
      <c r="AB162" s="130">
        <v>11923</v>
      </c>
      <c r="AC162" s="130">
        <v>3158</v>
      </c>
      <c r="AD162" s="130">
        <v>86415</v>
      </c>
      <c r="AE162" s="130">
        <f t="shared" si="191"/>
        <v>404568</v>
      </c>
      <c r="AF162" s="131">
        <f t="shared" si="274"/>
        <v>5004</v>
      </c>
      <c r="AG162" s="131">
        <f t="shared" si="275"/>
        <v>15237</v>
      </c>
      <c r="AH162" s="131">
        <f t="shared" si="276"/>
        <v>48707</v>
      </c>
      <c r="AI162" s="131">
        <f t="shared" si="277"/>
        <v>40141</v>
      </c>
      <c r="AJ162" s="131">
        <f t="shared" si="278"/>
        <v>2405</v>
      </c>
      <c r="AK162" s="131">
        <f t="shared" si="279"/>
        <v>4338</v>
      </c>
      <c r="AL162" s="131">
        <f t="shared" si="280"/>
        <v>9589</v>
      </c>
      <c r="AM162" s="131">
        <f t="shared" si="281"/>
        <v>3142</v>
      </c>
      <c r="AN162" s="131">
        <f t="shared" si="282"/>
        <v>9797</v>
      </c>
      <c r="AO162" s="131">
        <f t="shared" si="283"/>
        <v>138360</v>
      </c>
      <c r="AP162" s="57">
        <f t="shared" si="284"/>
        <v>459</v>
      </c>
      <c r="AQ162" s="57">
        <f t="shared" si="285"/>
        <v>865</v>
      </c>
      <c r="AR162" s="57">
        <f t="shared" si="286"/>
        <v>1840</v>
      </c>
      <c r="AS162" s="57">
        <f t="shared" si="287"/>
        <v>2804</v>
      </c>
      <c r="AT162" s="57">
        <f t="shared" si="288"/>
        <v>207</v>
      </c>
      <c r="AU162" s="57">
        <f t="shared" si="289"/>
        <v>468</v>
      </c>
      <c r="AV162" s="57">
        <f t="shared" si="290"/>
        <v>327</v>
      </c>
      <c r="AW162" s="57">
        <f t="shared" si="291"/>
        <v>181</v>
      </c>
      <c r="AX162" s="57">
        <f t="shared" si="292"/>
        <v>561</v>
      </c>
      <c r="AY162" s="57">
        <f t="shared" si="293"/>
        <v>7712</v>
      </c>
      <c r="AZ162" s="152">
        <f t="shared" ca="1" si="294"/>
        <v>456273.52831890131</v>
      </c>
      <c r="BA162" s="152">
        <f t="shared" ca="1" si="295"/>
        <v>104577.48800151964</v>
      </c>
      <c r="BB162" s="152">
        <f t="shared" ca="1" si="296"/>
        <v>683548.73244295688</v>
      </c>
      <c r="BC162" s="152">
        <f t="shared" ca="1" si="297"/>
        <v>339164.34262031282</v>
      </c>
      <c r="BD162" s="152">
        <f t="shared" ca="1" si="298"/>
        <v>33861.524911834917</v>
      </c>
      <c r="BE162" s="152">
        <f t="shared" ca="1" si="299"/>
        <v>41414.657073669849</v>
      </c>
      <c r="BF162" s="152">
        <f t="shared" ca="1" si="300"/>
        <v>27802.798776616779</v>
      </c>
      <c r="BG162" s="152">
        <f t="shared" ca="1" si="301"/>
        <v>18340.923787159227</v>
      </c>
      <c r="BH162" s="152">
        <f t="shared" ca="1" si="302"/>
        <v>829061.67817063024</v>
      </c>
      <c r="BI162" s="152">
        <f t="shared" ca="1" si="303"/>
        <v>2534045.6741036014</v>
      </c>
      <c r="BJ162" s="163">
        <f t="shared" ca="1" si="304"/>
        <v>27818.70916133955</v>
      </c>
      <c r="BK162" s="163">
        <f t="shared" ca="1" si="305"/>
        <v>57438.078894065125</v>
      </c>
      <c r="BL162" s="163">
        <f t="shared" ca="1" si="306"/>
        <v>174312.99698479628</v>
      </c>
      <c r="BM162" s="163">
        <f t="shared" ca="1" si="307"/>
        <v>142338.53166947534</v>
      </c>
      <c r="BN162" s="163">
        <f t="shared" ca="1" si="308"/>
        <v>7872.1089814367306</v>
      </c>
      <c r="BO162" s="163">
        <f t="shared" ca="1" si="309"/>
        <v>9589.8784234856303</v>
      </c>
      <c r="BP162" s="163">
        <f t="shared" ca="1" si="310"/>
        <v>12318.687619858529</v>
      </c>
      <c r="BQ162" s="163">
        <f t="shared" ca="1" si="311"/>
        <v>9052.3378164081514</v>
      </c>
      <c r="BR162" s="163">
        <f t="shared" ca="1" si="312"/>
        <v>81559.196499956466</v>
      </c>
      <c r="BS162" s="163">
        <f t="shared" ca="1" si="313"/>
        <v>522300.52605082182</v>
      </c>
      <c r="BT162" s="164">
        <f t="shared" si="314"/>
        <v>2.5940005361015667E-2</v>
      </c>
      <c r="BU162" s="164">
        <f t="shared" si="315"/>
        <v>1.2616249729651792E-2</v>
      </c>
      <c r="BV162" s="164">
        <f t="shared" si="316"/>
        <v>1.333514835156205E-2</v>
      </c>
      <c r="BW162" s="164">
        <f t="shared" si="317"/>
        <v>1.407243225158916E-2</v>
      </c>
      <c r="BX162" s="164">
        <f t="shared" si="318"/>
        <v>1.2276462058965683E-2</v>
      </c>
      <c r="BY162" s="164">
        <f t="shared" si="319"/>
        <v>7.41966478061279E-3</v>
      </c>
      <c r="BZ162" s="164">
        <f t="shared" si="320"/>
        <v>6.0068385546622307E-3</v>
      </c>
      <c r="CA162" s="164">
        <f t="shared" si="321"/>
        <v>1.0367577756833177E-2</v>
      </c>
      <c r="CB162" s="164">
        <f t="shared" si="322"/>
        <v>3.3899666626501186E-2</v>
      </c>
      <c r="CC162" s="164">
        <f t="shared" si="323"/>
        <v>1.845832323940861E-2</v>
      </c>
      <c r="CD162" s="213">
        <f t="shared" si="324"/>
        <v>9302</v>
      </c>
      <c r="CE162" s="213">
        <f t="shared" si="325"/>
        <v>12230</v>
      </c>
      <c r="CF162" s="213">
        <f t="shared" si="326"/>
        <v>34178</v>
      </c>
      <c r="CG162" s="213">
        <f t="shared" si="327"/>
        <v>35116</v>
      </c>
      <c r="CH162" s="213">
        <f t="shared" si="328"/>
        <v>3613</v>
      </c>
      <c r="CI162" s="213">
        <f t="shared" si="329"/>
        <v>8317</v>
      </c>
      <c r="CJ162" s="213">
        <f t="shared" si="330"/>
        <v>4700</v>
      </c>
      <c r="CK162" s="213">
        <f t="shared" si="331"/>
        <v>2977</v>
      </c>
      <c r="CL162" s="213">
        <f t="shared" si="332"/>
        <v>8555</v>
      </c>
      <c r="CM162" s="213">
        <f t="shared" si="333"/>
        <v>118988</v>
      </c>
      <c r="CN162" s="214">
        <f t="shared" si="334"/>
        <v>1.1945417878862601E-2</v>
      </c>
      <c r="CO162" s="214">
        <f t="shared" si="335"/>
        <v>9.8763792550150796E-3</v>
      </c>
      <c r="CP162" s="214">
        <f t="shared" si="336"/>
        <v>1.2213156241095939E-2</v>
      </c>
      <c r="CQ162" s="214">
        <f t="shared" si="337"/>
        <v>8.6949975290301108E-3</v>
      </c>
      <c r="CR162" s="214">
        <f t="shared" si="338"/>
        <v>1.7672205577240277E-3</v>
      </c>
      <c r="CS162" s="214">
        <f t="shared" si="339"/>
        <v>3.8954614138010683E-3</v>
      </c>
      <c r="CT162" s="214">
        <f t="shared" si="340"/>
        <v>5.2687345932851517E-3</v>
      </c>
      <c r="CU162" s="214">
        <f t="shared" si="341"/>
        <v>4.8146013597173366E-3</v>
      </c>
      <c r="CV162" s="214">
        <f t="shared" si="342"/>
        <v>1.3633683980498489E-2</v>
      </c>
      <c r="CW162" s="214">
        <f t="shared" si="343"/>
        <v>9.2627737954873255E-3</v>
      </c>
      <c r="CX162" s="215">
        <f t="shared" si="344"/>
        <v>7.2830459178093495E-4</v>
      </c>
      <c r="CY162" s="215">
        <f t="shared" si="345"/>
        <v>5.424496817412759E-3</v>
      </c>
      <c r="CZ162" s="215">
        <f t="shared" si="346"/>
        <v>3.1144990342099172E-3</v>
      </c>
      <c r="DA162" s="215">
        <f t="shared" si="347"/>
        <v>3.6490663245734118E-3</v>
      </c>
      <c r="DB162" s="215">
        <f t="shared" si="348"/>
        <v>4.1084247862023066E-4</v>
      </c>
      <c r="DC162" s="215">
        <f t="shared" si="349"/>
        <v>9.0202367957024844E-4</v>
      </c>
      <c r="DD162" s="215">
        <f t="shared" si="350"/>
        <v>2.3344374833662008E-3</v>
      </c>
      <c r="DE162" s="215">
        <f t="shared" si="351"/>
        <v>2.3762924084561533E-3</v>
      </c>
      <c r="DF162" s="215">
        <f t="shared" si="352"/>
        <v>1.3412178370581164E-3</v>
      </c>
      <c r="DG162" s="215">
        <f t="shared" si="353"/>
        <v>2.3169577616139669E-3</v>
      </c>
    </row>
    <row r="163" spans="1:111">
      <c r="A163" s="150">
        <v>44052</v>
      </c>
      <c r="B163" s="129">
        <v>82401</v>
      </c>
      <c r="C163" s="129">
        <v>28379</v>
      </c>
      <c r="D163" s="129">
        <v>192767</v>
      </c>
      <c r="E163" s="129">
        <v>98068</v>
      </c>
      <c r="F163" s="129">
        <v>10546</v>
      </c>
      <c r="G163" s="129">
        <v>19239</v>
      </c>
      <c r="H163" s="129">
        <v>21837</v>
      </c>
      <c r="I163" s="129">
        <v>6621</v>
      </c>
      <c r="J163" s="129">
        <v>99959</v>
      </c>
      <c r="K163" s="129">
        <f t="shared" si="189"/>
        <v>559817</v>
      </c>
      <c r="L163" s="80">
        <v>2209</v>
      </c>
      <c r="M163" s="80">
        <v>350</v>
      </c>
      <c r="N163" s="80">
        <v>2579</v>
      </c>
      <c r="O163" s="80">
        <v>1409</v>
      </c>
      <c r="P163" s="80">
        <v>127</v>
      </c>
      <c r="Q163" s="80">
        <v>139</v>
      </c>
      <c r="R163" s="80">
        <v>130</v>
      </c>
      <c r="S163" s="80">
        <v>66</v>
      </c>
      <c r="T163" s="80">
        <v>3399</v>
      </c>
      <c r="U163" s="80">
        <f t="shared" si="190"/>
        <v>10408</v>
      </c>
      <c r="V163" s="130">
        <v>76061</v>
      </c>
      <c r="W163" s="130">
        <v>12642</v>
      </c>
      <c r="X163" s="130">
        <v>143068</v>
      </c>
      <c r="Y163" s="130">
        <v>55065</v>
      </c>
      <c r="Z163" s="130">
        <v>7813</v>
      </c>
      <c r="AA163" s="130">
        <v>14592</v>
      </c>
      <c r="AB163" s="130">
        <v>11923</v>
      </c>
      <c r="AC163" s="130">
        <v>3306</v>
      </c>
      <c r="AD163" s="130">
        <v>86677</v>
      </c>
      <c r="AE163" s="130">
        <f t="shared" si="191"/>
        <v>411147</v>
      </c>
      <c r="AF163" s="131">
        <f t="shared" si="274"/>
        <v>4131</v>
      </c>
      <c r="AG163" s="131">
        <f t="shared" si="275"/>
        <v>15387</v>
      </c>
      <c r="AH163" s="131">
        <f t="shared" si="276"/>
        <v>47120</v>
      </c>
      <c r="AI163" s="131">
        <f t="shared" si="277"/>
        <v>41594</v>
      </c>
      <c r="AJ163" s="131">
        <f t="shared" si="278"/>
        <v>2606</v>
      </c>
      <c r="AK163" s="131">
        <f t="shared" si="279"/>
        <v>4508</v>
      </c>
      <c r="AL163" s="131">
        <f t="shared" si="280"/>
        <v>9784</v>
      </c>
      <c r="AM163" s="131">
        <f t="shared" si="281"/>
        <v>3249</v>
      </c>
      <c r="AN163" s="131">
        <f t="shared" si="282"/>
        <v>9883</v>
      </c>
      <c r="AO163" s="131">
        <f t="shared" si="283"/>
        <v>138262</v>
      </c>
      <c r="AP163" s="57">
        <f t="shared" si="284"/>
        <v>327</v>
      </c>
      <c r="AQ163" s="57">
        <f t="shared" si="285"/>
        <v>637</v>
      </c>
      <c r="AR163" s="57">
        <f t="shared" si="286"/>
        <v>1768</v>
      </c>
      <c r="AS163" s="57">
        <f t="shared" si="287"/>
        <v>2420</v>
      </c>
      <c r="AT163" s="57">
        <f t="shared" si="288"/>
        <v>201</v>
      </c>
      <c r="AU163" s="57">
        <f t="shared" si="289"/>
        <v>505</v>
      </c>
      <c r="AV163" s="57">
        <f t="shared" si="290"/>
        <v>195</v>
      </c>
      <c r="AW163" s="57">
        <f t="shared" si="291"/>
        <v>255</v>
      </c>
      <c r="AX163" s="57">
        <f t="shared" si="292"/>
        <v>371</v>
      </c>
      <c r="AY163" s="57">
        <f t="shared" si="293"/>
        <v>6679</v>
      </c>
      <c r="AZ163" s="152">
        <f t="shared" ca="1" si="294"/>
        <v>476175.65103637998</v>
      </c>
      <c r="BA163" s="152">
        <f t="shared" ca="1" si="295"/>
        <v>103940.48800151964</v>
      </c>
      <c r="BB163" s="152">
        <f t="shared" ca="1" si="296"/>
        <v>692768.37572453311</v>
      </c>
      <c r="BC163" s="152">
        <f t="shared" ca="1" si="297"/>
        <v>357095.88614563207</v>
      </c>
      <c r="BD163" s="152">
        <f t="shared" ca="1" si="298"/>
        <v>33660.524911834917</v>
      </c>
      <c r="BE163" s="152">
        <f t="shared" ca="1" si="299"/>
        <v>40909.657073669849</v>
      </c>
      <c r="BF163" s="152">
        <f t="shared" ca="1" si="300"/>
        <v>27607.798776616779</v>
      </c>
      <c r="BG163" s="152">
        <f t="shared" ca="1" si="301"/>
        <v>18085.923787159227</v>
      </c>
      <c r="BH163" s="152">
        <f t="shared" ca="1" si="302"/>
        <v>835017.37917712447</v>
      </c>
      <c r="BI163" s="152">
        <f t="shared" ca="1" si="303"/>
        <v>2585261.6846344699</v>
      </c>
      <c r="BJ163" s="163">
        <f t="shared" ca="1" si="304"/>
        <v>23872.059980234288</v>
      </c>
      <c r="BK163" s="163">
        <f t="shared" ca="1" si="305"/>
        <v>56356.18904398966</v>
      </c>
      <c r="BL163" s="163">
        <f t="shared" ca="1" si="306"/>
        <v>169340.42582049832</v>
      </c>
      <c r="BM163" s="163">
        <f t="shared" ca="1" si="307"/>
        <v>151456.60448200657</v>
      </c>
      <c r="BN163" s="163">
        <f t="shared" ca="1" si="308"/>
        <v>8317.7819002694669</v>
      </c>
      <c r="BO163" s="163">
        <f t="shared" ca="1" si="309"/>
        <v>9585.7754606842191</v>
      </c>
      <c r="BP163" s="163">
        <f t="shared" ca="1" si="310"/>
        <v>12369.588461346273</v>
      </c>
      <c r="BQ163" s="163">
        <f t="shared" ca="1" si="311"/>
        <v>8874.9684918411604</v>
      </c>
      <c r="BR163" s="163">
        <f t="shared" ca="1" si="312"/>
        <v>82558.616616888132</v>
      </c>
      <c r="BS163" s="163">
        <f t="shared" ca="1" si="313"/>
        <v>522732.01025775808</v>
      </c>
      <c r="BT163" s="164">
        <f t="shared" si="314"/>
        <v>2.6807927088263492E-2</v>
      </c>
      <c r="BU163" s="164">
        <f t="shared" si="315"/>
        <v>1.2333063180520808E-2</v>
      </c>
      <c r="BV163" s="164">
        <f t="shared" si="316"/>
        <v>1.3378845964298869E-2</v>
      </c>
      <c r="BW163" s="164">
        <f t="shared" si="317"/>
        <v>1.4367581678019334E-2</v>
      </c>
      <c r="BX163" s="164">
        <f t="shared" si="318"/>
        <v>1.2042480561350275E-2</v>
      </c>
      <c r="BY163" s="164">
        <f t="shared" si="319"/>
        <v>7.224907739487499E-3</v>
      </c>
      <c r="BZ163" s="164">
        <f t="shared" si="320"/>
        <v>5.9531986994550536E-3</v>
      </c>
      <c r="CA163" s="164">
        <f t="shared" si="321"/>
        <v>9.9682827367467142E-3</v>
      </c>
      <c r="CB163" s="164">
        <f t="shared" si="322"/>
        <v>3.4003941616062586E-2</v>
      </c>
      <c r="CC163" s="164">
        <f t="shared" si="323"/>
        <v>1.8591789817029494E-2</v>
      </c>
      <c r="CD163" s="213">
        <f t="shared" si="324"/>
        <v>8816</v>
      </c>
      <c r="CE163" s="213">
        <f t="shared" si="325"/>
        <v>11897</v>
      </c>
      <c r="CF163" s="213">
        <f t="shared" si="326"/>
        <v>32613</v>
      </c>
      <c r="CG163" s="213">
        <f t="shared" si="327"/>
        <v>34007</v>
      </c>
      <c r="CH163" s="213">
        <f t="shared" si="328"/>
        <v>3470</v>
      </c>
      <c r="CI163" s="213">
        <f t="shared" si="329"/>
        <v>8231</v>
      </c>
      <c r="CJ163" s="213">
        <f t="shared" si="330"/>
        <v>4499</v>
      </c>
      <c r="CK163" s="213">
        <f t="shared" si="331"/>
        <v>3021</v>
      </c>
      <c r="CL163" s="213">
        <f t="shared" si="332"/>
        <v>7880</v>
      </c>
      <c r="CM163" s="213">
        <f t="shared" si="333"/>
        <v>114434</v>
      </c>
      <c r="CN163" s="214">
        <f t="shared" si="334"/>
        <v>1.1993010924728381E-2</v>
      </c>
      <c r="CO163" s="214">
        <f t="shared" si="335"/>
        <v>1.010315647314804E-2</v>
      </c>
      <c r="CP163" s="214">
        <f t="shared" si="336"/>
        <v>1.2326208457255489E-2</v>
      </c>
      <c r="CQ163" s="214">
        <f t="shared" si="337"/>
        <v>8.9149905662107409E-3</v>
      </c>
      <c r="CR163" s="214">
        <f t="shared" si="338"/>
        <v>1.8015570808852194E-3</v>
      </c>
      <c r="CS163" s="214">
        <f t="shared" si="339"/>
        <v>4.0004687808326443E-3</v>
      </c>
      <c r="CT163" s="214">
        <f t="shared" si="340"/>
        <v>5.3162072504189936E-3</v>
      </c>
      <c r="CU163" s="214">
        <f t="shared" si="341"/>
        <v>5.00745768185493E-3</v>
      </c>
      <c r="CV163" s="214">
        <f t="shared" si="342"/>
        <v>1.3684474203786082E-2</v>
      </c>
      <c r="CW163" s="214">
        <f t="shared" si="343"/>
        <v>9.3746194220399402E-3</v>
      </c>
      <c r="CX163" s="215">
        <f t="shared" si="344"/>
        <v>6.0124425832275025E-4</v>
      </c>
      <c r="CY163" s="215">
        <f t="shared" si="345"/>
        <v>5.4778980461724835E-3</v>
      </c>
      <c r="CZ163" s="215">
        <f t="shared" si="346"/>
        <v>3.0130206026232633E-3</v>
      </c>
      <c r="DA163" s="215">
        <f t="shared" si="347"/>
        <v>3.7811530530955009E-3</v>
      </c>
      <c r="DB163" s="215">
        <f t="shared" si="348"/>
        <v>4.4517900178142253E-4</v>
      </c>
      <c r="DC163" s="215">
        <f t="shared" si="349"/>
        <v>9.3737269421454133E-4</v>
      </c>
      <c r="DD163" s="215">
        <f t="shared" si="350"/>
        <v>2.3819101405000427E-3</v>
      </c>
      <c r="DE163" s="215">
        <f t="shared" si="351"/>
        <v>2.4572164338236926E-3</v>
      </c>
      <c r="DF163" s="215">
        <f t="shared" si="352"/>
        <v>1.3529913119980977E-3</v>
      </c>
      <c r="DG163" s="215">
        <f t="shared" si="353"/>
        <v>2.3153166669288108E-3</v>
      </c>
    </row>
    <row r="164" spans="1:111">
      <c r="A164" s="150">
        <v>44053</v>
      </c>
      <c r="B164" s="129">
        <v>82578</v>
      </c>
      <c r="C164" s="129">
        <v>28909</v>
      </c>
      <c r="D164" s="129">
        <v>193561</v>
      </c>
      <c r="E164" s="129">
        <v>99386</v>
      </c>
      <c r="F164" s="129">
        <v>10711</v>
      </c>
      <c r="G164" s="129">
        <v>19455</v>
      </c>
      <c r="H164" s="129">
        <v>21933</v>
      </c>
      <c r="I164" s="129">
        <v>6802</v>
      </c>
      <c r="J164" s="129">
        <v>100213</v>
      </c>
      <c r="K164" s="129">
        <f t="shared" si="189"/>
        <v>563548</v>
      </c>
      <c r="L164" s="80">
        <v>2266</v>
      </c>
      <c r="M164" s="80">
        <v>414</v>
      </c>
      <c r="N164" s="80">
        <v>2618</v>
      </c>
      <c r="O164" s="80">
        <v>1420</v>
      </c>
      <c r="P164" s="80">
        <v>127</v>
      </c>
      <c r="Q164" s="80">
        <v>149</v>
      </c>
      <c r="R164" s="80">
        <v>130</v>
      </c>
      <c r="S164" s="80">
        <v>68</v>
      </c>
      <c r="T164" s="80">
        <v>3429</v>
      </c>
      <c r="U164" s="80">
        <f t="shared" si="190"/>
        <v>10621</v>
      </c>
      <c r="V164" s="130">
        <v>76886</v>
      </c>
      <c r="W164" s="130">
        <v>13039</v>
      </c>
      <c r="X164" s="130">
        <v>145776</v>
      </c>
      <c r="Y164" s="130">
        <v>55155</v>
      </c>
      <c r="Z164" s="130">
        <v>8207</v>
      </c>
      <c r="AA164" s="130">
        <v>15833</v>
      </c>
      <c r="AB164" s="130">
        <v>12136</v>
      </c>
      <c r="AC164" s="130">
        <v>3307</v>
      </c>
      <c r="AD164" s="130">
        <v>86861</v>
      </c>
      <c r="AE164" s="130">
        <f t="shared" si="191"/>
        <v>417200</v>
      </c>
      <c r="AF164" s="131">
        <f t="shared" si="274"/>
        <v>3426</v>
      </c>
      <c r="AG164" s="131">
        <f t="shared" si="275"/>
        <v>15456</v>
      </c>
      <c r="AH164" s="131">
        <f t="shared" si="276"/>
        <v>45167</v>
      </c>
      <c r="AI164" s="131">
        <f t="shared" si="277"/>
        <v>42811</v>
      </c>
      <c r="AJ164" s="131">
        <f t="shared" si="278"/>
        <v>2377</v>
      </c>
      <c r="AK164" s="131">
        <f t="shared" si="279"/>
        <v>3473</v>
      </c>
      <c r="AL164" s="131">
        <f t="shared" si="280"/>
        <v>9667</v>
      </c>
      <c r="AM164" s="131">
        <f t="shared" si="281"/>
        <v>3427</v>
      </c>
      <c r="AN164" s="131">
        <f t="shared" si="282"/>
        <v>9923</v>
      </c>
      <c r="AO164" s="131">
        <f t="shared" si="283"/>
        <v>135727</v>
      </c>
      <c r="AP164" s="57">
        <f t="shared" si="284"/>
        <v>177</v>
      </c>
      <c r="AQ164" s="57">
        <f t="shared" si="285"/>
        <v>530</v>
      </c>
      <c r="AR164" s="57">
        <f t="shared" si="286"/>
        <v>794</v>
      </c>
      <c r="AS164" s="57">
        <f t="shared" si="287"/>
        <v>1318</v>
      </c>
      <c r="AT164" s="57">
        <f t="shared" si="288"/>
        <v>165</v>
      </c>
      <c r="AU164" s="57">
        <f t="shared" si="289"/>
        <v>216</v>
      </c>
      <c r="AV164" s="57">
        <f t="shared" si="290"/>
        <v>96</v>
      </c>
      <c r="AW164" s="57">
        <f t="shared" si="291"/>
        <v>181</v>
      </c>
      <c r="AX164" s="57">
        <f t="shared" si="292"/>
        <v>254</v>
      </c>
      <c r="AY164" s="57">
        <f t="shared" si="293"/>
        <v>3731</v>
      </c>
      <c r="AZ164" s="152">
        <f t="shared" ca="1" si="294"/>
        <v>490411.90097258356</v>
      </c>
      <c r="BA164" s="152">
        <f t="shared" ca="1" si="295"/>
        <v>127606.05152179752</v>
      </c>
      <c r="BB164" s="152">
        <f t="shared" ca="1" si="296"/>
        <v>705365.56597395416</v>
      </c>
      <c r="BC164" s="152">
        <f t="shared" ca="1" si="297"/>
        <v>359331.3302532275</v>
      </c>
      <c r="BD164" s="152">
        <f t="shared" ca="1" si="298"/>
        <v>33495.524911834917</v>
      </c>
      <c r="BE164" s="152">
        <f t="shared" ca="1" si="299"/>
        <v>45020.8985897612</v>
      </c>
      <c r="BF164" s="152">
        <f t="shared" ca="1" si="300"/>
        <v>27511.798776616779</v>
      </c>
      <c r="BG164" s="152">
        <f t="shared" ca="1" si="301"/>
        <v>18653.618447376175</v>
      </c>
      <c r="BH164" s="152">
        <f t="shared" ca="1" si="302"/>
        <v>843015.59788124729</v>
      </c>
      <c r="BI164" s="152">
        <f t="shared" ca="1" si="303"/>
        <v>2650412.2873283993</v>
      </c>
      <c r="BJ164" s="163">
        <f t="shared" ca="1" si="304"/>
        <v>20346.232322556509</v>
      </c>
      <c r="BK164" s="163">
        <f t="shared" ca="1" si="305"/>
        <v>68223.70653847944</v>
      </c>
      <c r="BL164" s="163">
        <f t="shared" ca="1" si="306"/>
        <v>164595.38087913158</v>
      </c>
      <c r="BM164" s="163">
        <f t="shared" ca="1" si="307"/>
        <v>154783.70776035782</v>
      </c>
      <c r="BN164" s="163">
        <f t="shared" ca="1" si="308"/>
        <v>7433.3734212894778</v>
      </c>
      <c r="BO164" s="163">
        <f t="shared" ca="1" si="309"/>
        <v>8036.8841327288947</v>
      </c>
      <c r="BP164" s="163">
        <f t="shared" ca="1" si="310"/>
        <v>12125.863255074746</v>
      </c>
      <c r="BQ164" s="163">
        <f t="shared" ca="1" si="311"/>
        <v>9398.1109113728544</v>
      </c>
      <c r="BR164" s="163">
        <f t="shared" ca="1" si="312"/>
        <v>83474.636801369255</v>
      </c>
      <c r="BS164" s="163">
        <f t="shared" ca="1" si="313"/>
        <v>528417.89602236066</v>
      </c>
      <c r="BT164" s="164">
        <f t="shared" si="314"/>
        <v>2.7440722710649325E-2</v>
      </c>
      <c r="BU164" s="164">
        <f t="shared" si="315"/>
        <v>1.4320799750942612E-2</v>
      </c>
      <c r="BV164" s="164">
        <f t="shared" si="316"/>
        <v>1.352545192471624E-2</v>
      </c>
      <c r="BW164" s="164">
        <f t="shared" si="317"/>
        <v>1.4287726641579297E-2</v>
      </c>
      <c r="BX164" s="164">
        <f t="shared" si="318"/>
        <v>1.1856969470637663E-2</v>
      </c>
      <c r="BY164" s="164">
        <f t="shared" si="319"/>
        <v>7.65869956309432E-3</v>
      </c>
      <c r="BZ164" s="164">
        <f t="shared" si="320"/>
        <v>5.9271417498746185E-3</v>
      </c>
      <c r="CA164" s="164">
        <f t="shared" si="321"/>
        <v>9.9970596883269622E-3</v>
      </c>
      <c r="CB164" s="164">
        <f t="shared" si="322"/>
        <v>3.4217117539640567E-2</v>
      </c>
      <c r="CC164" s="164">
        <f t="shared" si="323"/>
        <v>1.8846664348023592E-2</v>
      </c>
      <c r="CD164" s="213">
        <f t="shared" si="324"/>
        <v>8347</v>
      </c>
      <c r="CE164" s="213">
        <f t="shared" si="325"/>
        <v>11687</v>
      </c>
      <c r="CF164" s="213">
        <f t="shared" si="326"/>
        <v>31242</v>
      </c>
      <c r="CG164" s="213">
        <f t="shared" si="327"/>
        <v>33404</v>
      </c>
      <c r="CH164" s="213">
        <f t="shared" si="328"/>
        <v>3451</v>
      </c>
      <c r="CI164" s="213">
        <f t="shared" si="329"/>
        <v>8069</v>
      </c>
      <c r="CJ164" s="213">
        <f t="shared" si="330"/>
        <v>4329</v>
      </c>
      <c r="CK164" s="213">
        <f t="shared" si="331"/>
        <v>2927</v>
      </c>
      <c r="CL164" s="213">
        <f t="shared" si="332"/>
        <v>7613</v>
      </c>
      <c r="CM164" s="213">
        <f t="shared" si="333"/>
        <v>111069</v>
      </c>
      <c r="CN164" s="214">
        <f t="shared" si="334"/>
        <v>1.2018772298178666E-2</v>
      </c>
      <c r="CO164" s="214">
        <f t="shared" si="335"/>
        <v>1.0291840814765732E-2</v>
      </c>
      <c r="CP164" s="214">
        <f t="shared" si="336"/>
        <v>1.2376979644829403E-2</v>
      </c>
      <c r="CQ164" s="214">
        <f t="shared" si="337"/>
        <v>9.0348049558818446E-3</v>
      </c>
      <c r="CR164" s="214">
        <f t="shared" si="338"/>
        <v>1.8297437790026157E-3</v>
      </c>
      <c r="CS164" s="214">
        <f t="shared" si="339"/>
        <v>4.0453828229689223E-3</v>
      </c>
      <c r="CT164" s="214">
        <f t="shared" si="340"/>
        <v>5.3395784047002692E-3</v>
      </c>
      <c r="CU164" s="214">
        <f t="shared" si="341"/>
        <v>5.1443478556074968E-3</v>
      </c>
      <c r="CV164" s="214">
        <f t="shared" si="342"/>
        <v>1.3719247025120446E-2</v>
      </c>
      <c r="CW164" s="214">
        <f t="shared" si="343"/>
        <v>9.4370982411248038E-3</v>
      </c>
      <c r="CX164" s="215">
        <f t="shared" si="344"/>
        <v>4.9863539796992068E-4</v>
      </c>
      <c r="CY164" s="215">
        <f t="shared" si="345"/>
        <v>5.5024626114019565E-3</v>
      </c>
      <c r="CZ164" s="215">
        <f t="shared" si="346"/>
        <v>2.888138827646115E-3</v>
      </c>
      <c r="DA164" s="215">
        <f t="shared" si="347"/>
        <v>3.8917859151817924E-3</v>
      </c>
      <c r="DB164" s="215">
        <f t="shared" si="348"/>
        <v>4.0605928136394523E-4</v>
      </c>
      <c r="DC164" s="215">
        <f t="shared" si="349"/>
        <v>7.2215957564487616E-4</v>
      </c>
      <c r="DD164" s="215">
        <f t="shared" si="350"/>
        <v>2.3534265462197375E-3</v>
      </c>
      <c r="DE164" s="215">
        <f t="shared" si="351"/>
        <v>2.5918377096687578E-3</v>
      </c>
      <c r="DF164" s="215">
        <f t="shared" si="352"/>
        <v>1.3584673468539032E-3</v>
      </c>
      <c r="DG164" s="215">
        <f t="shared" si="353"/>
        <v>2.272865901348503E-3</v>
      </c>
    </row>
    <row r="165" spans="1:111">
      <c r="A165" s="150">
        <v>44054</v>
      </c>
      <c r="B165" s="129">
        <v>82715</v>
      </c>
      <c r="C165" s="129">
        <v>29209</v>
      </c>
      <c r="D165" s="129">
        <v>194093</v>
      </c>
      <c r="E165" s="129">
        <v>100494</v>
      </c>
      <c r="F165" s="129">
        <v>10807</v>
      </c>
      <c r="G165" s="129">
        <v>19533</v>
      </c>
      <c r="H165" s="129">
        <v>22031</v>
      </c>
      <c r="I165" s="129">
        <v>6861</v>
      </c>
      <c r="J165" s="129">
        <v>100316</v>
      </c>
      <c r="K165" s="129">
        <f t="shared" si="189"/>
        <v>566059</v>
      </c>
      <c r="L165" s="80">
        <v>2286</v>
      </c>
      <c r="M165" s="80">
        <v>414</v>
      </c>
      <c r="N165" s="80">
        <v>2653</v>
      </c>
      <c r="O165" s="80">
        <v>1450</v>
      </c>
      <c r="P165" s="80">
        <v>127</v>
      </c>
      <c r="Q165" s="80">
        <v>149</v>
      </c>
      <c r="R165" s="80">
        <v>150</v>
      </c>
      <c r="S165" s="80">
        <v>68</v>
      </c>
      <c r="T165" s="80">
        <v>3454</v>
      </c>
      <c r="U165" s="80">
        <f t="shared" si="190"/>
        <v>10751</v>
      </c>
      <c r="V165" s="130">
        <v>77650</v>
      </c>
      <c r="W165" s="130">
        <v>13478</v>
      </c>
      <c r="X165" s="130">
        <v>150082</v>
      </c>
      <c r="Y165" s="130">
        <v>56758</v>
      </c>
      <c r="Z165" s="130">
        <v>8207</v>
      </c>
      <c r="AA165" s="130">
        <v>16416</v>
      </c>
      <c r="AB165" s="130">
        <v>12245</v>
      </c>
      <c r="AC165" s="130">
        <v>3391</v>
      </c>
      <c r="AD165" s="130">
        <v>87998</v>
      </c>
      <c r="AE165" s="130">
        <f t="shared" si="191"/>
        <v>426225</v>
      </c>
      <c r="AF165" s="131">
        <f t="shared" si="274"/>
        <v>2779</v>
      </c>
      <c r="AG165" s="131">
        <f t="shared" si="275"/>
        <v>15317</v>
      </c>
      <c r="AH165" s="131">
        <f t="shared" si="276"/>
        <v>41358</v>
      </c>
      <c r="AI165" s="131">
        <f t="shared" si="277"/>
        <v>42286</v>
      </c>
      <c r="AJ165" s="131">
        <f t="shared" si="278"/>
        <v>2473</v>
      </c>
      <c r="AK165" s="131">
        <f t="shared" si="279"/>
        <v>2968</v>
      </c>
      <c r="AL165" s="131">
        <f t="shared" si="280"/>
        <v>9636</v>
      </c>
      <c r="AM165" s="131">
        <f t="shared" si="281"/>
        <v>3402</v>
      </c>
      <c r="AN165" s="131">
        <f t="shared" si="282"/>
        <v>8864</v>
      </c>
      <c r="AO165" s="131">
        <f t="shared" si="283"/>
        <v>129083</v>
      </c>
      <c r="AP165" s="57">
        <f t="shared" si="284"/>
        <v>137</v>
      </c>
      <c r="AQ165" s="57">
        <f t="shared" si="285"/>
        <v>300</v>
      </c>
      <c r="AR165" s="57">
        <f t="shared" si="286"/>
        <v>532</v>
      </c>
      <c r="AS165" s="57">
        <f t="shared" si="287"/>
        <v>1108</v>
      </c>
      <c r="AT165" s="57">
        <f t="shared" si="288"/>
        <v>96</v>
      </c>
      <c r="AU165" s="57">
        <f t="shared" si="289"/>
        <v>78</v>
      </c>
      <c r="AV165" s="57">
        <f t="shared" si="290"/>
        <v>98</v>
      </c>
      <c r="AW165" s="57">
        <f t="shared" si="291"/>
        <v>59</v>
      </c>
      <c r="AX165" s="57">
        <f t="shared" si="292"/>
        <v>103</v>
      </c>
      <c r="AY165" s="57">
        <f t="shared" si="293"/>
        <v>2511</v>
      </c>
      <c r="AZ165" s="152">
        <f t="shared" ca="1" si="294"/>
        <v>495332.18165195326</v>
      </c>
      <c r="BA165" s="152">
        <f t="shared" ca="1" si="295"/>
        <v>127306.05152179752</v>
      </c>
      <c r="BB165" s="152">
        <f t="shared" ca="1" si="296"/>
        <v>716851.30081317818</v>
      </c>
      <c r="BC165" s="152">
        <f t="shared" ca="1" si="297"/>
        <v>367914.54145576048</v>
      </c>
      <c r="BD165" s="152">
        <f t="shared" ca="1" si="298"/>
        <v>33399.524911834917</v>
      </c>
      <c r="BE165" s="152">
        <f t="shared" ca="1" si="299"/>
        <v>44942.8985897612</v>
      </c>
      <c r="BF165" s="152">
        <f t="shared" ca="1" si="300"/>
        <v>35020.690896096283</v>
      </c>
      <c r="BG165" s="152">
        <f t="shared" ca="1" si="301"/>
        <v>18594.618447376175</v>
      </c>
      <c r="BH165" s="152">
        <f t="shared" ca="1" si="302"/>
        <v>849789.44680134975</v>
      </c>
      <c r="BI165" s="152">
        <f t="shared" ca="1" si="303"/>
        <v>2689151.2550891079</v>
      </c>
      <c r="BJ165" s="163">
        <f t="shared" ca="1" si="304"/>
        <v>16641.819897367808</v>
      </c>
      <c r="BK165" s="163">
        <f t="shared" ca="1" si="305"/>
        <v>66758.423470826543</v>
      </c>
      <c r="BL165" s="163">
        <f t="shared" ca="1" si="306"/>
        <v>152749.12592948443</v>
      </c>
      <c r="BM165" s="163">
        <f t="shared" ca="1" si="307"/>
        <v>154811.57382528597</v>
      </c>
      <c r="BN165" s="163">
        <f t="shared" ca="1" si="308"/>
        <v>7642.9189513248584</v>
      </c>
      <c r="BO165" s="163">
        <f t="shared" ca="1" si="309"/>
        <v>6828.9829014698835</v>
      </c>
      <c r="BP165" s="163">
        <f t="shared" ca="1" si="310"/>
        <v>15317.478892232935</v>
      </c>
      <c r="BQ165" s="163">
        <f t="shared" ca="1" si="311"/>
        <v>9220.0687885109674</v>
      </c>
      <c r="BR165" s="163">
        <f t="shared" ca="1" si="312"/>
        <v>75088.058300242876</v>
      </c>
      <c r="BS165" s="163">
        <f t="shared" ca="1" si="313"/>
        <v>505058.4509567463</v>
      </c>
      <c r="BT165" s="164">
        <f t="shared" si="314"/>
        <v>2.763706703741764E-2</v>
      </c>
      <c r="BU165" s="164">
        <f t="shared" si="315"/>
        <v>1.4173713581430381E-2</v>
      </c>
      <c r="BV165" s="164">
        <f t="shared" si="316"/>
        <v>1.3668705208327966E-2</v>
      </c>
      <c r="BW165" s="164">
        <f t="shared" si="317"/>
        <v>1.4428722112762951E-2</v>
      </c>
      <c r="BX165" s="164">
        <f t="shared" si="318"/>
        <v>1.1751642453965023E-2</v>
      </c>
      <c r="BY165" s="164">
        <f t="shared" si="319"/>
        <v>7.6281165207597399E-3</v>
      </c>
      <c r="BZ165" s="164">
        <f t="shared" si="320"/>
        <v>6.8085878988697742E-3</v>
      </c>
      <c r="CA165" s="164">
        <f t="shared" si="321"/>
        <v>9.911091677598018E-3</v>
      </c>
      <c r="CB165" s="164">
        <f t="shared" si="322"/>
        <v>3.4431197416164919E-2</v>
      </c>
      <c r="CC165" s="164">
        <f t="shared" si="323"/>
        <v>1.8992719840158004E-2</v>
      </c>
      <c r="CD165" s="213">
        <f t="shared" si="324"/>
        <v>7648</v>
      </c>
      <c r="CE165" s="213">
        <f t="shared" si="325"/>
        <v>11075</v>
      </c>
      <c r="CF165" s="213">
        <f t="shared" si="326"/>
        <v>29509</v>
      </c>
      <c r="CG165" s="213">
        <f t="shared" si="327"/>
        <v>32393</v>
      </c>
      <c r="CH165" s="213">
        <f t="shared" si="328"/>
        <v>3305</v>
      </c>
      <c r="CI165" s="213">
        <f t="shared" si="329"/>
        <v>7981</v>
      </c>
      <c r="CJ165" s="213">
        <f t="shared" si="330"/>
        <v>4240</v>
      </c>
      <c r="CK165" s="213">
        <f t="shared" si="331"/>
        <v>2864</v>
      </c>
      <c r="CL165" s="213">
        <f t="shared" si="332"/>
        <v>7333</v>
      </c>
      <c r="CM165" s="213">
        <f t="shared" si="333"/>
        <v>106348</v>
      </c>
      <c r="CN165" s="214">
        <f t="shared" si="334"/>
        <v>1.2038711892318152E-2</v>
      </c>
      <c r="CO165" s="214">
        <f t="shared" si="335"/>
        <v>1.039864327228518E-2</v>
      </c>
      <c r="CP165" s="214">
        <f t="shared" si="336"/>
        <v>1.241099761937515E-2</v>
      </c>
      <c r="CQ165" s="214">
        <f t="shared" si="337"/>
        <v>9.1355290406736362E-3</v>
      </c>
      <c r="CR165" s="214">
        <f t="shared" si="338"/>
        <v>1.8461433124527373E-3</v>
      </c>
      <c r="CS165" s="214">
        <f t="shared" si="339"/>
        <v>4.061601782629245E-3</v>
      </c>
      <c r="CT165" s="214">
        <f t="shared" si="340"/>
        <v>5.3634364580290722E-3</v>
      </c>
      <c r="CU165" s="214">
        <f t="shared" si="341"/>
        <v>5.1889695144550184E-3</v>
      </c>
      <c r="CV165" s="214">
        <f t="shared" si="342"/>
        <v>1.3733347814874146E-2</v>
      </c>
      <c r="CW165" s="214">
        <f t="shared" si="343"/>
        <v>9.4791471059658891E-3</v>
      </c>
      <c r="CX165" s="215">
        <f t="shared" si="344"/>
        <v>4.0446811761774942E-4</v>
      </c>
      <c r="CY165" s="215">
        <f t="shared" si="345"/>
        <v>5.4529774727512786E-3</v>
      </c>
      <c r="CZ165" s="215">
        <f t="shared" si="346"/>
        <v>2.6445778031259108E-3</v>
      </c>
      <c r="DA165" s="215">
        <f t="shared" si="347"/>
        <v>3.8440601529835155E-3</v>
      </c>
      <c r="DB165" s="215">
        <f t="shared" si="348"/>
        <v>4.2245881481406671E-4</v>
      </c>
      <c r="DC165" s="215">
        <f t="shared" si="349"/>
        <v>6.1715220861330051E-4</v>
      </c>
      <c r="DD165" s="215">
        <f t="shared" si="350"/>
        <v>2.3458796109830757E-3</v>
      </c>
      <c r="DE165" s="215">
        <f t="shared" si="351"/>
        <v>2.5729302271062489E-3</v>
      </c>
      <c r="DF165" s="215">
        <f t="shared" si="352"/>
        <v>1.2134893240464573E-3</v>
      </c>
      <c r="DG165" s="215">
        <f t="shared" si="353"/>
        <v>2.1616063800405875E-3</v>
      </c>
    </row>
    <row r="166" spans="1:111">
      <c r="A166" s="150">
        <v>44055</v>
      </c>
      <c r="B166" s="129">
        <v>82779</v>
      </c>
      <c r="C166" s="129">
        <v>29578</v>
      </c>
      <c r="D166" s="129">
        <v>194685</v>
      </c>
      <c r="E166" s="129">
        <v>101499</v>
      </c>
      <c r="F166" s="129">
        <v>10875</v>
      </c>
      <c r="G166" s="129">
        <v>19755</v>
      </c>
      <c r="H166" s="129">
        <v>22205</v>
      </c>
      <c r="I166" s="129">
        <v>6957</v>
      </c>
      <c r="J166" s="129">
        <v>100536</v>
      </c>
      <c r="K166" s="129">
        <f t="shared" si="189"/>
        <v>568869</v>
      </c>
      <c r="L166" s="80">
        <v>2332</v>
      </c>
      <c r="M166" s="80">
        <v>414</v>
      </c>
      <c r="N166" s="80">
        <v>2761</v>
      </c>
      <c r="O166" s="80">
        <v>1524</v>
      </c>
      <c r="P166" s="80">
        <v>127</v>
      </c>
      <c r="Q166" s="80">
        <v>149</v>
      </c>
      <c r="R166" s="80">
        <v>150</v>
      </c>
      <c r="S166" s="80">
        <v>68</v>
      </c>
      <c r="T166" s="80">
        <v>3485</v>
      </c>
      <c r="U166" s="80">
        <f t="shared" si="190"/>
        <v>11010</v>
      </c>
      <c r="V166" s="130">
        <v>78210</v>
      </c>
      <c r="W166" s="130">
        <v>14522</v>
      </c>
      <c r="X166" s="130">
        <v>152061</v>
      </c>
      <c r="Y166" s="130">
        <v>56758</v>
      </c>
      <c r="Z166" s="130">
        <v>8901</v>
      </c>
      <c r="AA166" s="130">
        <v>16658</v>
      </c>
      <c r="AB166" s="130">
        <v>12486</v>
      </c>
      <c r="AC166" s="130">
        <v>3698</v>
      </c>
      <c r="AD166" s="130">
        <v>88735</v>
      </c>
      <c r="AE166" s="130">
        <f t="shared" si="191"/>
        <v>432029</v>
      </c>
      <c r="AF166" s="131">
        <f t="shared" si="274"/>
        <v>2237</v>
      </c>
      <c r="AG166" s="131">
        <f t="shared" si="275"/>
        <v>14642</v>
      </c>
      <c r="AH166" s="131">
        <f t="shared" si="276"/>
        <v>39863</v>
      </c>
      <c r="AI166" s="131">
        <f t="shared" si="277"/>
        <v>43217</v>
      </c>
      <c r="AJ166" s="131">
        <f t="shared" si="278"/>
        <v>1847</v>
      </c>
      <c r="AK166" s="131">
        <f t="shared" si="279"/>
        <v>2948</v>
      </c>
      <c r="AL166" s="131">
        <f t="shared" si="280"/>
        <v>9569</v>
      </c>
      <c r="AM166" s="131">
        <f t="shared" si="281"/>
        <v>3191</v>
      </c>
      <c r="AN166" s="131">
        <f t="shared" si="282"/>
        <v>8316</v>
      </c>
      <c r="AO166" s="131">
        <f t="shared" si="283"/>
        <v>125830</v>
      </c>
      <c r="AP166" s="57">
        <f t="shared" si="284"/>
        <v>64</v>
      </c>
      <c r="AQ166" s="57">
        <f t="shared" si="285"/>
        <v>369</v>
      </c>
      <c r="AR166" s="57">
        <f t="shared" si="286"/>
        <v>592</v>
      </c>
      <c r="AS166" s="57">
        <f t="shared" si="287"/>
        <v>1005</v>
      </c>
      <c r="AT166" s="57">
        <f t="shared" si="288"/>
        <v>68</v>
      </c>
      <c r="AU166" s="57">
        <f t="shared" si="289"/>
        <v>222</v>
      </c>
      <c r="AV166" s="57">
        <f t="shared" si="290"/>
        <v>174</v>
      </c>
      <c r="AW166" s="57">
        <f t="shared" si="291"/>
        <v>96</v>
      </c>
      <c r="AX166" s="57">
        <f t="shared" si="292"/>
        <v>220</v>
      </c>
      <c r="AY166" s="57">
        <f t="shared" si="293"/>
        <v>2810</v>
      </c>
      <c r="AZ166" s="152">
        <f t="shared" ca="1" si="294"/>
        <v>506899.9272145034</v>
      </c>
      <c r="BA166" s="152">
        <f t="shared" ca="1" si="295"/>
        <v>126937.05152179752</v>
      </c>
      <c r="BB166" s="152">
        <f t="shared" ca="1" si="296"/>
        <v>753342.59688849782</v>
      </c>
      <c r="BC166" s="152">
        <f t="shared" ca="1" si="297"/>
        <v>390814.52908867516</v>
      </c>
      <c r="BD166" s="152">
        <f t="shared" ca="1" si="298"/>
        <v>33331.524911834917</v>
      </c>
      <c r="BE166" s="152">
        <f t="shared" ca="1" si="299"/>
        <v>44720.8985897612</v>
      </c>
      <c r="BF166" s="152">
        <f t="shared" ca="1" si="300"/>
        <v>34846.690896096283</v>
      </c>
      <c r="BG166" s="152">
        <f t="shared" ca="1" si="301"/>
        <v>18498.618447376175</v>
      </c>
      <c r="BH166" s="152">
        <f t="shared" ca="1" si="302"/>
        <v>858096.73946227669</v>
      </c>
      <c r="BI166" s="152">
        <f t="shared" ca="1" si="303"/>
        <v>2767488.5770208193</v>
      </c>
      <c r="BJ166" s="163">
        <f t="shared" ca="1" si="304"/>
        <v>13698.343023941388</v>
      </c>
      <c r="BK166" s="163">
        <f t="shared" ca="1" si="305"/>
        <v>62837.660030501022</v>
      </c>
      <c r="BL166" s="163">
        <f t="shared" ca="1" si="306"/>
        <v>154251.71913483931</v>
      </c>
      <c r="BM166" s="163">
        <f t="shared" ca="1" si="307"/>
        <v>166403.9202713847</v>
      </c>
      <c r="BN166" s="163">
        <f t="shared" ca="1" si="308"/>
        <v>5660.9955413479629</v>
      </c>
      <c r="BO166" s="163">
        <f t="shared" ca="1" si="309"/>
        <v>6673.6122016004065</v>
      </c>
      <c r="BP166" s="163">
        <f t="shared" ca="1" si="310"/>
        <v>15016.797351260766</v>
      </c>
      <c r="BQ166" s="163">
        <f t="shared" ca="1" si="311"/>
        <v>8484.8485648379137</v>
      </c>
      <c r="BR166" s="163">
        <f t="shared" ca="1" si="312"/>
        <v>70978.878067242505</v>
      </c>
      <c r="BS166" s="163">
        <f t="shared" ca="1" si="313"/>
        <v>504006.77418695594</v>
      </c>
      <c r="BT166" s="164">
        <f t="shared" si="314"/>
        <v>2.8171396127037049E-2</v>
      </c>
      <c r="BU166" s="164">
        <f t="shared" si="315"/>
        <v>1.3996889580093312E-2</v>
      </c>
      <c r="BV166" s="164">
        <f t="shared" si="316"/>
        <v>1.4181883555487069E-2</v>
      </c>
      <c r="BW166" s="164">
        <f t="shared" si="317"/>
        <v>1.5014926255431087E-2</v>
      </c>
      <c r="BX166" s="164">
        <f t="shared" si="318"/>
        <v>1.167816091954023E-2</v>
      </c>
      <c r="BY166" s="164">
        <f t="shared" si="319"/>
        <v>7.5423943305492278E-3</v>
      </c>
      <c r="BZ166" s="164">
        <f t="shared" si="320"/>
        <v>6.7552353073632061E-3</v>
      </c>
      <c r="CA166" s="164">
        <f t="shared" si="321"/>
        <v>9.7743280149489714E-3</v>
      </c>
      <c r="CB166" s="164">
        <f t="shared" si="322"/>
        <v>3.4664199888597119E-2</v>
      </c>
      <c r="CC166" s="164">
        <f t="shared" si="323"/>
        <v>1.9354192265706165E-2</v>
      </c>
      <c r="CD166" s="213">
        <f t="shared" si="324"/>
        <v>6907</v>
      </c>
      <c r="CE166" s="213">
        <f t="shared" si="325"/>
        <v>10371</v>
      </c>
      <c r="CF166" s="213">
        <f t="shared" si="326"/>
        <v>26316</v>
      </c>
      <c r="CG166" s="213">
        <f t="shared" si="327"/>
        <v>30259</v>
      </c>
      <c r="CH166" s="213">
        <f t="shared" si="328"/>
        <v>3035</v>
      </c>
      <c r="CI166" s="213">
        <f t="shared" si="329"/>
        <v>7313</v>
      </c>
      <c r="CJ166" s="213">
        <f t="shared" si="330"/>
        <v>3974</v>
      </c>
      <c r="CK166" s="213">
        <f t="shared" si="331"/>
        <v>2822</v>
      </c>
      <c r="CL166" s="213">
        <f t="shared" si="332"/>
        <v>6799</v>
      </c>
      <c r="CM166" s="213">
        <f t="shared" si="333"/>
        <v>97796</v>
      </c>
      <c r="CN166" s="214">
        <f t="shared" si="334"/>
        <v>1.204802673921543E-2</v>
      </c>
      <c r="CO166" s="214">
        <f t="shared" si="335"/>
        <v>1.0530010295034101E-2</v>
      </c>
      <c r="CP166" s="214">
        <f t="shared" si="336"/>
        <v>1.244885220759147E-2</v>
      </c>
      <c r="CQ166" s="214">
        <f t="shared" si="337"/>
        <v>9.2268897854531958E-3</v>
      </c>
      <c r="CR166" s="214">
        <f t="shared" si="338"/>
        <v>1.8577596486465731E-3</v>
      </c>
      <c r="CS166" s="214">
        <f t="shared" si="339"/>
        <v>4.1077634370470855E-3</v>
      </c>
      <c r="CT166" s="214">
        <f t="shared" si="340"/>
        <v>5.4057966751638849E-3</v>
      </c>
      <c r="CU166" s="214">
        <f t="shared" si="341"/>
        <v>5.2615742474950537E-3</v>
      </c>
      <c r="CV166" s="214">
        <f t="shared" si="342"/>
        <v>1.3763466006581074E-2</v>
      </c>
      <c r="CW166" s="214">
        <f t="shared" si="343"/>
        <v>9.5262029841831145E-3</v>
      </c>
      <c r="CX166" s="215">
        <f t="shared" si="344"/>
        <v>3.2558300795642513E-4</v>
      </c>
      <c r="CY166" s="215">
        <f t="shared" si="345"/>
        <v>5.2126719433325209E-3</v>
      </c>
      <c r="CZ166" s="215">
        <f t="shared" si="346"/>
        <v>2.548982179167469E-3</v>
      </c>
      <c r="DA166" s="215">
        <f t="shared" si="347"/>
        <v>3.9286938379484602E-3</v>
      </c>
      <c r="DB166" s="215">
        <f t="shared" si="348"/>
        <v>3.1552019044139959E-4</v>
      </c>
      <c r="DC166" s="215">
        <f t="shared" si="349"/>
        <v>6.1299350100808955E-4</v>
      </c>
      <c r="DD166" s="215">
        <f t="shared" si="350"/>
        <v>2.3295684928909353E-3</v>
      </c>
      <c r="DE166" s="215">
        <f t="shared" si="351"/>
        <v>2.4133510742786711E-3</v>
      </c>
      <c r="DF166" s="215">
        <f t="shared" si="352"/>
        <v>1.1384676465219245E-3</v>
      </c>
      <c r="DG166" s="215">
        <f t="shared" si="353"/>
        <v>2.1071320840118923E-3</v>
      </c>
    </row>
    <row r="167" spans="1:111">
      <c r="A167" s="150">
        <v>44056</v>
      </c>
      <c r="B167" s="129">
        <v>83002</v>
      </c>
      <c r="C167" s="129">
        <v>30049</v>
      </c>
      <c r="D167" s="129">
        <v>195820</v>
      </c>
      <c r="E167" s="129">
        <v>102233</v>
      </c>
      <c r="F167" s="129">
        <v>11019</v>
      </c>
      <c r="G167" s="129">
        <v>20111</v>
      </c>
      <c r="H167" s="129">
        <v>22483</v>
      </c>
      <c r="I167" s="129">
        <v>7122</v>
      </c>
      <c r="J167" s="129">
        <v>100976</v>
      </c>
      <c r="K167" s="129">
        <f t="shared" si="189"/>
        <v>572815</v>
      </c>
      <c r="L167" s="80">
        <v>2400</v>
      </c>
      <c r="M167" s="80">
        <v>476</v>
      </c>
      <c r="N167" s="80">
        <v>2791</v>
      </c>
      <c r="O167" s="80">
        <v>1563</v>
      </c>
      <c r="P167" s="80">
        <v>141</v>
      </c>
      <c r="Q167" s="80">
        <v>167</v>
      </c>
      <c r="R167" s="80">
        <v>150</v>
      </c>
      <c r="S167" s="80">
        <v>76</v>
      </c>
      <c r="T167" s="80">
        <v>3506</v>
      </c>
      <c r="U167" s="80">
        <f t="shared" si="190"/>
        <v>11270</v>
      </c>
      <c r="V167" s="130">
        <v>78385</v>
      </c>
      <c r="W167" s="130">
        <v>14911</v>
      </c>
      <c r="X167" s="130">
        <v>154392</v>
      </c>
      <c r="Y167" s="130">
        <v>57525</v>
      </c>
      <c r="Z167" s="130">
        <v>9728</v>
      </c>
      <c r="AA167" s="130">
        <v>16794</v>
      </c>
      <c r="AB167" s="130">
        <v>12559</v>
      </c>
      <c r="AC167" s="130">
        <v>3794</v>
      </c>
      <c r="AD167" s="130">
        <v>89529</v>
      </c>
      <c r="AE167" s="130">
        <f t="shared" si="191"/>
        <v>437617</v>
      </c>
      <c r="AF167" s="131">
        <f t="shared" si="274"/>
        <v>2217</v>
      </c>
      <c r="AG167" s="131">
        <f t="shared" si="275"/>
        <v>14662</v>
      </c>
      <c r="AH167" s="131">
        <f t="shared" si="276"/>
        <v>38637</v>
      </c>
      <c r="AI167" s="131">
        <f t="shared" si="277"/>
        <v>43145</v>
      </c>
      <c r="AJ167" s="131">
        <f t="shared" si="278"/>
        <v>1150</v>
      </c>
      <c r="AK167" s="131">
        <f t="shared" si="279"/>
        <v>3150</v>
      </c>
      <c r="AL167" s="131">
        <f t="shared" si="280"/>
        <v>9774</v>
      </c>
      <c r="AM167" s="131">
        <f t="shared" si="281"/>
        <v>3252</v>
      </c>
      <c r="AN167" s="131">
        <f t="shared" si="282"/>
        <v>7941</v>
      </c>
      <c r="AO167" s="131">
        <f t="shared" si="283"/>
        <v>123928</v>
      </c>
      <c r="AP167" s="57">
        <f t="shared" si="284"/>
        <v>223</v>
      </c>
      <c r="AQ167" s="57">
        <f t="shared" si="285"/>
        <v>471</v>
      </c>
      <c r="AR167" s="57">
        <f t="shared" si="286"/>
        <v>1135</v>
      </c>
      <c r="AS167" s="57">
        <f t="shared" si="287"/>
        <v>734</v>
      </c>
      <c r="AT167" s="57">
        <f t="shared" si="288"/>
        <v>144</v>
      </c>
      <c r="AU167" s="57">
        <f t="shared" si="289"/>
        <v>356</v>
      </c>
      <c r="AV167" s="57">
        <f t="shared" si="290"/>
        <v>278</v>
      </c>
      <c r="AW167" s="57">
        <f t="shared" si="291"/>
        <v>165</v>
      </c>
      <c r="AX167" s="57">
        <f t="shared" si="292"/>
        <v>440</v>
      </c>
      <c r="AY167" s="57">
        <f t="shared" si="293"/>
        <v>3946</v>
      </c>
      <c r="AZ167" s="152">
        <f t="shared" ca="1" si="294"/>
        <v>523871.68152436032</v>
      </c>
      <c r="BA167" s="152">
        <f t="shared" ca="1" si="295"/>
        <v>149905.50368206672</v>
      </c>
      <c r="BB167" s="152">
        <f t="shared" ca="1" si="296"/>
        <v>762508.51246497559</v>
      </c>
      <c r="BC167" s="152">
        <f t="shared" ca="1" si="297"/>
        <v>402679.10365196801</v>
      </c>
      <c r="BD167" s="152">
        <f t="shared" ca="1" si="298"/>
        <v>38060.685138336405</v>
      </c>
      <c r="BE167" s="152">
        <f t="shared" ca="1" si="299"/>
        <v>52153.933318725642</v>
      </c>
      <c r="BF167" s="152">
        <f t="shared" ca="1" si="300"/>
        <v>34568.690896096283</v>
      </c>
      <c r="BG167" s="152">
        <f t="shared" ca="1" si="301"/>
        <v>21328.397088243961</v>
      </c>
      <c r="BH167" s="152">
        <f t="shared" ca="1" si="302"/>
        <v>863433.2925551628</v>
      </c>
      <c r="BI167" s="152">
        <f t="shared" ca="1" si="303"/>
        <v>2848509.8003199357</v>
      </c>
      <c r="BJ167" s="163">
        <f t="shared" ca="1" si="304"/>
        <v>13992.717259096247</v>
      </c>
      <c r="BK167" s="163">
        <f t="shared" ca="1" si="305"/>
        <v>73144.34739879737</v>
      </c>
      <c r="BL167" s="163">
        <f t="shared" ca="1" si="306"/>
        <v>150449.60369783096</v>
      </c>
      <c r="BM167" s="163">
        <f t="shared" ca="1" si="307"/>
        <v>169941.11419076187</v>
      </c>
      <c r="BN167" s="163">
        <f t="shared" ca="1" si="308"/>
        <v>3972.2105371709654</v>
      </c>
      <c r="BO167" s="163">
        <f t="shared" ca="1" si="309"/>
        <v>8168.9070634968812</v>
      </c>
      <c r="BP167" s="163">
        <f t="shared" ca="1" si="310"/>
        <v>15027.993809475831</v>
      </c>
      <c r="BQ167" s="163">
        <f t="shared" ca="1" si="311"/>
        <v>9738.8300099648077</v>
      </c>
      <c r="BR167" s="163">
        <f t="shared" ca="1" si="312"/>
        <v>67902.509271317424</v>
      </c>
      <c r="BS167" s="163">
        <f t="shared" ca="1" si="313"/>
        <v>512338.23323791241</v>
      </c>
      <c r="BT167" s="164">
        <f t="shared" si="314"/>
        <v>2.8914965904436037E-2</v>
      </c>
      <c r="BU167" s="164">
        <f t="shared" si="315"/>
        <v>1.5840793370827649E-2</v>
      </c>
      <c r="BV167" s="164">
        <f t="shared" si="316"/>
        <v>1.4252885302829128E-2</v>
      </c>
      <c r="BW167" s="164">
        <f t="shared" si="317"/>
        <v>1.5288605440513338E-2</v>
      </c>
      <c r="BX167" s="164">
        <f t="shared" si="318"/>
        <v>1.2796079499047101E-2</v>
      </c>
      <c r="BY167" s="164">
        <f t="shared" si="319"/>
        <v>8.3039132812888477E-3</v>
      </c>
      <c r="BZ167" s="164">
        <f t="shared" si="320"/>
        <v>6.6717075123426586E-3</v>
      </c>
      <c r="CA167" s="164">
        <f t="shared" si="321"/>
        <v>1.0671159786576805E-2</v>
      </c>
      <c r="CB167" s="164">
        <f t="shared" si="322"/>
        <v>3.4721121850736808E-2</v>
      </c>
      <c r="CC167" s="164">
        <f t="shared" si="323"/>
        <v>1.9674764103593655E-2</v>
      </c>
      <c r="CD167" s="213">
        <f t="shared" si="324"/>
        <v>5947</v>
      </c>
      <c r="CE167" s="213">
        <f t="shared" si="325"/>
        <v>9651</v>
      </c>
      <c r="CF167" s="213">
        <f t="shared" si="326"/>
        <v>24246</v>
      </c>
      <c r="CG167" s="213">
        <f t="shared" si="327"/>
        <v>28314</v>
      </c>
      <c r="CH167" s="213">
        <f t="shared" si="328"/>
        <v>2779</v>
      </c>
      <c r="CI167" s="213">
        <f t="shared" si="329"/>
        <v>6831</v>
      </c>
      <c r="CJ167" s="213">
        <f t="shared" si="330"/>
        <v>3672</v>
      </c>
      <c r="CK167" s="213">
        <f t="shared" si="331"/>
        <v>2720</v>
      </c>
      <c r="CL167" s="213">
        <f t="shared" si="332"/>
        <v>6536</v>
      </c>
      <c r="CM167" s="213">
        <f t="shared" si="333"/>
        <v>90696</v>
      </c>
      <c r="CN167" s="214">
        <f t="shared" si="334"/>
        <v>1.2080483158873133E-2</v>
      </c>
      <c r="CO167" s="214">
        <f t="shared" si="335"/>
        <v>1.0697690153339634E-2</v>
      </c>
      <c r="CP167" s="214">
        <f t="shared" si="336"/>
        <v>1.2521428149526474E-2</v>
      </c>
      <c r="CQ167" s="214">
        <f t="shared" si="337"/>
        <v>9.293614946317072E-3</v>
      </c>
      <c r="CR167" s="214">
        <f t="shared" si="338"/>
        <v>1.8823589488217553E-3</v>
      </c>
      <c r="CS167" s="214">
        <f t="shared" si="339"/>
        <v>4.18178843241984E-3</v>
      </c>
      <c r="CT167" s="214">
        <f t="shared" si="340"/>
        <v>5.4734756427700796E-3</v>
      </c>
      <c r="CU167" s="214">
        <f t="shared" si="341"/>
        <v>5.386363632407614E-3</v>
      </c>
      <c r="CV167" s="214">
        <f t="shared" si="342"/>
        <v>1.3823702389994932E-2</v>
      </c>
      <c r="CW167" s="214">
        <f t="shared" si="343"/>
        <v>9.5922821640568399E-3</v>
      </c>
      <c r="CX167" s="215">
        <f t="shared" si="344"/>
        <v>3.2267211830102574E-4</v>
      </c>
      <c r="CY167" s="215">
        <f t="shared" si="345"/>
        <v>5.219792107167151E-3</v>
      </c>
      <c r="CZ167" s="215">
        <f t="shared" si="346"/>
        <v>2.4705873731654293E-3</v>
      </c>
      <c r="DA167" s="215">
        <f t="shared" si="347"/>
        <v>3.9221485905612677E-3</v>
      </c>
      <c r="DB167" s="215">
        <f t="shared" si="348"/>
        <v>1.9645274445458016E-4</v>
      </c>
      <c r="DC167" s="215">
        <f t="shared" si="349"/>
        <v>6.5499644782071988E-4</v>
      </c>
      <c r="DD167" s="215">
        <f t="shared" si="350"/>
        <v>2.3794756452624097E-3</v>
      </c>
      <c r="DE167" s="215">
        <f t="shared" si="351"/>
        <v>2.4594853317311937E-3</v>
      </c>
      <c r="DF167" s="215">
        <f t="shared" si="352"/>
        <v>1.0871298197487498E-3</v>
      </c>
      <c r="DG167" s="215">
        <f t="shared" si="353"/>
        <v>2.0752814504285608E-3</v>
      </c>
    </row>
    <row r="168" spans="1:111">
      <c r="A168" s="150">
        <v>44057</v>
      </c>
      <c r="B168" s="129">
        <v>83372</v>
      </c>
      <c r="C168" s="129">
        <v>30837</v>
      </c>
      <c r="D168" s="129">
        <v>197531</v>
      </c>
      <c r="E168" s="129">
        <v>103744</v>
      </c>
      <c r="F168" s="129">
        <v>11214</v>
      </c>
      <c r="G168" s="129">
        <v>20554</v>
      </c>
      <c r="H168" s="129">
        <v>22816</v>
      </c>
      <c r="I168" s="129">
        <v>7443</v>
      </c>
      <c r="J168" s="129">
        <v>101579</v>
      </c>
      <c r="K168" s="129">
        <f t="shared" si="189"/>
        <v>579090</v>
      </c>
      <c r="L168" s="80">
        <v>2442</v>
      </c>
      <c r="M168" s="80">
        <v>496</v>
      </c>
      <c r="N168" s="80">
        <v>2867</v>
      </c>
      <c r="O168" s="80">
        <v>1617</v>
      </c>
      <c r="P168" s="80">
        <v>141</v>
      </c>
      <c r="Q168" s="80">
        <v>189</v>
      </c>
      <c r="R168" s="80">
        <v>176</v>
      </c>
      <c r="S168" s="80">
        <v>94</v>
      </c>
      <c r="T168" s="80">
        <v>3534</v>
      </c>
      <c r="U168" s="80">
        <f t="shared" si="190"/>
        <v>11556</v>
      </c>
      <c r="V168" s="130">
        <v>78862</v>
      </c>
      <c r="W168" s="130">
        <v>15217</v>
      </c>
      <c r="X168" s="130">
        <v>156402</v>
      </c>
      <c r="Y168" s="130">
        <v>77301</v>
      </c>
      <c r="Z168" s="130">
        <v>9937</v>
      </c>
      <c r="AA168" s="130">
        <v>17404</v>
      </c>
      <c r="AB168" s="130">
        <v>12559</v>
      </c>
      <c r="AC168" s="130">
        <v>3937</v>
      </c>
      <c r="AD168" s="130">
        <v>90115</v>
      </c>
      <c r="AE168" s="130">
        <f t="shared" si="191"/>
        <v>461734</v>
      </c>
      <c r="AF168" s="131">
        <f t="shared" si="274"/>
        <v>2068</v>
      </c>
      <c r="AG168" s="131">
        <f t="shared" si="275"/>
        <v>15124</v>
      </c>
      <c r="AH168" s="131">
        <f t="shared" si="276"/>
        <v>38262</v>
      </c>
      <c r="AI168" s="131">
        <f t="shared" si="277"/>
        <v>24826</v>
      </c>
      <c r="AJ168" s="131">
        <f t="shared" si="278"/>
        <v>1136</v>
      </c>
      <c r="AK168" s="131">
        <f t="shared" si="279"/>
        <v>2961</v>
      </c>
      <c r="AL168" s="131">
        <f t="shared" si="280"/>
        <v>10081</v>
      </c>
      <c r="AM168" s="131">
        <f t="shared" si="281"/>
        <v>3412</v>
      </c>
      <c r="AN168" s="131">
        <f t="shared" si="282"/>
        <v>7930</v>
      </c>
      <c r="AO168" s="131">
        <f t="shared" si="283"/>
        <v>105800</v>
      </c>
      <c r="AP168" s="57">
        <f t="shared" si="284"/>
        <v>370</v>
      </c>
      <c r="AQ168" s="57">
        <f t="shared" si="285"/>
        <v>788</v>
      </c>
      <c r="AR168" s="57">
        <f t="shared" si="286"/>
        <v>1711</v>
      </c>
      <c r="AS168" s="57">
        <f t="shared" si="287"/>
        <v>1511</v>
      </c>
      <c r="AT168" s="57">
        <f t="shared" si="288"/>
        <v>195</v>
      </c>
      <c r="AU168" s="57">
        <f t="shared" si="289"/>
        <v>443</v>
      </c>
      <c r="AV168" s="57">
        <f t="shared" si="290"/>
        <v>333</v>
      </c>
      <c r="AW168" s="57">
        <f t="shared" si="291"/>
        <v>321</v>
      </c>
      <c r="AX168" s="57">
        <f t="shared" si="292"/>
        <v>603</v>
      </c>
      <c r="AY168" s="57">
        <f t="shared" si="293"/>
        <v>6275</v>
      </c>
      <c r="AZ168" s="152">
        <f t="shared" ca="1" si="294"/>
        <v>534121.97095103667</v>
      </c>
      <c r="BA168" s="152">
        <f t="shared" ca="1" si="295"/>
        <v>156678.61728215354</v>
      </c>
      <c r="BB168" s="152">
        <f t="shared" ca="1" si="296"/>
        <v>786893.16525871912</v>
      </c>
      <c r="BC168" s="152">
        <f t="shared" ca="1" si="297"/>
        <v>418612.28381652734</v>
      </c>
      <c r="BD168" s="152">
        <f t="shared" ca="1" si="298"/>
        <v>37865.685138336405</v>
      </c>
      <c r="BE168" s="152">
        <f t="shared" ca="1" si="299"/>
        <v>61230.864654126621</v>
      </c>
      <c r="BF168" s="152">
        <f t="shared" ca="1" si="300"/>
        <v>44124.650651419637</v>
      </c>
      <c r="BG168" s="152">
        <f t="shared" ca="1" si="301"/>
        <v>27745.649030196473</v>
      </c>
      <c r="BH168" s="152">
        <f t="shared" ca="1" si="302"/>
        <v>870532.3633456775</v>
      </c>
      <c r="BI168" s="152">
        <f t="shared" ca="1" si="303"/>
        <v>2937805.2501281928</v>
      </c>
      <c r="BJ168" s="163">
        <f t="shared" ca="1" si="304"/>
        <v>13248.623469830924</v>
      </c>
      <c r="BK168" s="163">
        <f t="shared" ca="1" si="305"/>
        <v>76842.994058283555</v>
      </c>
      <c r="BL168" s="163">
        <f t="shared" ca="1" si="306"/>
        <v>152422.18329846513</v>
      </c>
      <c r="BM168" s="163">
        <f t="shared" ca="1" si="307"/>
        <v>100174.16484836818</v>
      </c>
      <c r="BN168" s="163">
        <f t="shared" ca="1" si="308"/>
        <v>3835.86751535136</v>
      </c>
      <c r="BO168" s="163">
        <f t="shared" ca="1" si="309"/>
        <v>8820.8908358893132</v>
      </c>
      <c r="BP168" s="163">
        <f t="shared" ca="1" si="310"/>
        <v>19495.994180266542</v>
      </c>
      <c r="BQ168" s="163">
        <f t="shared" ca="1" si="311"/>
        <v>12719.085649742088</v>
      </c>
      <c r="BR168" s="163">
        <f t="shared" ca="1" si="312"/>
        <v>67960.1260234027</v>
      </c>
      <c r="BS168" s="163">
        <f t="shared" ca="1" si="313"/>
        <v>455519.92987959983</v>
      </c>
      <c r="BT168" s="164">
        <f t="shared" si="314"/>
        <v>2.9290409250107952E-2</v>
      </c>
      <c r="BU168" s="164">
        <f t="shared" si="315"/>
        <v>1.6084573726367676E-2</v>
      </c>
      <c r="BV168" s="164">
        <f t="shared" si="316"/>
        <v>1.4514177521502953E-2</v>
      </c>
      <c r="BW168" s="164">
        <f t="shared" si="317"/>
        <v>1.5586443553362122E-2</v>
      </c>
      <c r="BX168" s="164">
        <f t="shared" si="318"/>
        <v>1.2573568753344035E-2</v>
      </c>
      <c r="BY168" s="164">
        <f t="shared" si="319"/>
        <v>9.1952904544127662E-3</v>
      </c>
      <c r="BZ168" s="164">
        <f t="shared" si="320"/>
        <v>7.7138849929873771E-3</v>
      </c>
      <c r="CA168" s="164">
        <f t="shared" si="321"/>
        <v>1.262931613596668E-2</v>
      </c>
      <c r="CB168" s="164">
        <f t="shared" si="322"/>
        <v>3.4790655548883137E-2</v>
      </c>
      <c r="CC168" s="164">
        <f t="shared" si="323"/>
        <v>1.9955447339791741E-2</v>
      </c>
      <c r="CD168" s="213">
        <f t="shared" si="324"/>
        <v>5434</v>
      </c>
      <c r="CE168" s="213">
        <f t="shared" si="325"/>
        <v>9575</v>
      </c>
      <c r="CF168" s="213">
        <f t="shared" si="326"/>
        <v>22259</v>
      </c>
      <c r="CG168" s="213">
        <f t="shared" si="327"/>
        <v>27038</v>
      </c>
      <c r="CH168" s="213">
        <f t="shared" si="328"/>
        <v>2649</v>
      </c>
      <c r="CI168" s="213">
        <f t="shared" si="329"/>
        <v>6453</v>
      </c>
      <c r="CJ168" s="213">
        <f t="shared" si="330"/>
        <v>3491</v>
      </c>
      <c r="CK168" s="213">
        <f t="shared" si="331"/>
        <v>2702</v>
      </c>
      <c r="CL168" s="213">
        <f t="shared" si="332"/>
        <v>6356</v>
      </c>
      <c r="CM168" s="213">
        <f t="shared" si="333"/>
        <v>85957</v>
      </c>
      <c r="CN168" s="214">
        <f t="shared" si="334"/>
        <v>1.2134334617498023E-2</v>
      </c>
      <c r="CO168" s="214">
        <f t="shared" si="335"/>
        <v>1.0978224608424051E-2</v>
      </c>
      <c r="CP168" s="214">
        <f t="shared" si="336"/>
        <v>1.2630835582698978E-2</v>
      </c>
      <c r="CQ168" s="214">
        <f t="shared" si="337"/>
        <v>9.4309742352343996E-3</v>
      </c>
      <c r="CR168" s="214">
        <f t="shared" si="338"/>
        <v>1.9156705011423147E-3</v>
      </c>
      <c r="CS168" s="214">
        <f t="shared" si="339"/>
        <v>4.2739038058752623E-3</v>
      </c>
      <c r="CT168" s="214">
        <f t="shared" si="340"/>
        <v>5.5545443341832555E-3</v>
      </c>
      <c r="CU168" s="214">
        <f t="shared" si="341"/>
        <v>5.6291357085102318E-3</v>
      </c>
      <c r="CV168" s="214">
        <f t="shared" si="342"/>
        <v>1.3906253615446198E-2</v>
      </c>
      <c r="CW168" s="214">
        <f t="shared" si="343"/>
        <v>9.6973624614992201E-3</v>
      </c>
      <c r="CX168" s="215">
        <f t="shared" si="344"/>
        <v>3.0098599036830004E-4</v>
      </c>
      <c r="CY168" s="215">
        <f t="shared" si="345"/>
        <v>5.3842678917471005E-3</v>
      </c>
      <c r="CZ168" s="215">
        <f t="shared" si="346"/>
        <v>2.4466085377243484E-3</v>
      </c>
      <c r="DA168" s="215">
        <f t="shared" si="347"/>
        <v>2.2568376615893855E-3</v>
      </c>
      <c r="DB168" s="215">
        <f t="shared" si="348"/>
        <v>1.9406114582643744E-4</v>
      </c>
      <c r="DC168" s="215">
        <f t="shared" si="349"/>
        <v>6.156966609514766E-4</v>
      </c>
      <c r="DD168" s="215">
        <f t="shared" si="350"/>
        <v>2.4542146490577404E-3</v>
      </c>
      <c r="DE168" s="215">
        <f t="shared" si="351"/>
        <v>2.5804932201312523E-3</v>
      </c>
      <c r="DF168" s="215">
        <f t="shared" si="352"/>
        <v>1.0856239101634034E-3</v>
      </c>
      <c r="DG168" s="215">
        <f t="shared" si="353"/>
        <v>1.7717124254029899E-3</v>
      </c>
    </row>
    <row r="169" spans="1:111">
      <c r="A169" s="150">
        <v>44058</v>
      </c>
      <c r="B169" s="129">
        <v>83671</v>
      </c>
      <c r="C169" s="129">
        <v>31465</v>
      </c>
      <c r="D169" s="129">
        <v>198671</v>
      </c>
      <c r="E169" s="129">
        <v>104619</v>
      </c>
      <c r="F169" s="129">
        <v>11445</v>
      </c>
      <c r="G169" s="129">
        <v>20915</v>
      </c>
      <c r="H169" s="129">
        <v>23093</v>
      </c>
      <c r="I169" s="129">
        <v>7735</v>
      </c>
      <c r="J169" s="129">
        <v>101989</v>
      </c>
      <c r="K169" s="129">
        <f t="shared" si="189"/>
        <v>583603</v>
      </c>
      <c r="L169" s="80">
        <v>2447</v>
      </c>
      <c r="M169" s="80">
        <v>513</v>
      </c>
      <c r="N169" s="80">
        <v>2888</v>
      </c>
      <c r="O169" s="80">
        <v>1651</v>
      </c>
      <c r="P169" s="80">
        <v>159</v>
      </c>
      <c r="Q169" s="80">
        <v>189</v>
      </c>
      <c r="R169" s="80">
        <v>176</v>
      </c>
      <c r="S169" s="80">
        <v>94</v>
      </c>
      <c r="T169" s="80">
        <v>3560</v>
      </c>
      <c r="U169" s="80">
        <f t="shared" si="190"/>
        <v>11677</v>
      </c>
      <c r="V169" s="130">
        <v>78862</v>
      </c>
      <c r="W169" s="130">
        <v>15819</v>
      </c>
      <c r="X169" s="130">
        <v>158705</v>
      </c>
      <c r="Y169" s="130">
        <v>77838</v>
      </c>
      <c r="Z169" s="130">
        <v>10039</v>
      </c>
      <c r="AA169" s="130">
        <v>17969</v>
      </c>
      <c r="AB169" s="130">
        <v>13073</v>
      </c>
      <c r="AC169" s="130">
        <v>3984</v>
      </c>
      <c r="AD169" s="130">
        <v>90652</v>
      </c>
      <c r="AE169" s="130">
        <f t="shared" si="191"/>
        <v>466941</v>
      </c>
      <c r="AF169" s="131">
        <f t="shared" si="274"/>
        <v>2362</v>
      </c>
      <c r="AG169" s="131">
        <f t="shared" si="275"/>
        <v>15133</v>
      </c>
      <c r="AH169" s="131">
        <f t="shared" si="276"/>
        <v>37078</v>
      </c>
      <c r="AI169" s="131">
        <f t="shared" si="277"/>
        <v>25130</v>
      </c>
      <c r="AJ169" s="131">
        <f t="shared" si="278"/>
        <v>1247</v>
      </c>
      <c r="AK169" s="131">
        <f t="shared" si="279"/>
        <v>2757</v>
      </c>
      <c r="AL169" s="131">
        <f t="shared" si="280"/>
        <v>9844</v>
      </c>
      <c r="AM169" s="131">
        <f t="shared" si="281"/>
        <v>3657</v>
      </c>
      <c r="AN169" s="131">
        <f t="shared" si="282"/>
        <v>7777</v>
      </c>
      <c r="AO169" s="131">
        <f t="shared" si="283"/>
        <v>104985</v>
      </c>
      <c r="AP169" s="57">
        <f t="shared" si="284"/>
        <v>299</v>
      </c>
      <c r="AQ169" s="57">
        <f t="shared" si="285"/>
        <v>628</v>
      </c>
      <c r="AR169" s="57">
        <f t="shared" si="286"/>
        <v>1140</v>
      </c>
      <c r="AS169" s="57">
        <f t="shared" si="287"/>
        <v>875</v>
      </c>
      <c r="AT169" s="57">
        <f t="shared" si="288"/>
        <v>231</v>
      </c>
      <c r="AU169" s="57">
        <f t="shared" si="289"/>
        <v>361</v>
      </c>
      <c r="AV169" s="57">
        <f t="shared" si="290"/>
        <v>277</v>
      </c>
      <c r="AW169" s="57">
        <f t="shared" si="291"/>
        <v>292</v>
      </c>
      <c r="AX169" s="57">
        <f t="shared" si="292"/>
        <v>410</v>
      </c>
      <c r="AY169" s="57">
        <f t="shared" si="293"/>
        <v>4513</v>
      </c>
      <c r="AZ169" s="152">
        <f t="shared" ca="1" si="294"/>
        <v>535087.291120879</v>
      </c>
      <c r="BA169" s="152">
        <f t="shared" ca="1" si="295"/>
        <v>162477.56384222736</v>
      </c>
      <c r="BB169" s="152">
        <f t="shared" ca="1" si="296"/>
        <v>792963.80616225349</v>
      </c>
      <c r="BC169" s="152">
        <f t="shared" ca="1" si="297"/>
        <v>428720.65651273145</v>
      </c>
      <c r="BD169" s="152">
        <f t="shared" ca="1" si="298"/>
        <v>43900.176858124032</v>
      </c>
      <c r="BE169" s="152">
        <f t="shared" ca="1" si="299"/>
        <v>60869.864654126621</v>
      </c>
      <c r="BF169" s="152">
        <f t="shared" ca="1" si="300"/>
        <v>43847.650651419637</v>
      </c>
      <c r="BG169" s="152">
        <f t="shared" ca="1" si="301"/>
        <v>27453.649030196473</v>
      </c>
      <c r="BH169" s="152">
        <f t="shared" ca="1" si="302"/>
        <v>877274.28622258396</v>
      </c>
      <c r="BI169" s="152">
        <f t="shared" ca="1" si="303"/>
        <v>2972594.9450545418</v>
      </c>
      <c r="BJ169" s="163">
        <f t="shared" ca="1" si="304"/>
        <v>15105.307473646977</v>
      </c>
      <c r="BK169" s="163">
        <f t="shared" ca="1" si="305"/>
        <v>78143.110555360778</v>
      </c>
      <c r="BL169" s="163">
        <f t="shared" ca="1" si="306"/>
        <v>147990.95995330991</v>
      </c>
      <c r="BM169" s="163">
        <f t="shared" ca="1" si="307"/>
        <v>102980.81704245826</v>
      </c>
      <c r="BN169" s="163">
        <f t="shared" ca="1" si="308"/>
        <v>4783.1822229865156</v>
      </c>
      <c r="BO169" s="163">
        <f t="shared" ca="1" si="309"/>
        <v>8023.8210304292188</v>
      </c>
      <c r="BP169" s="163">
        <f t="shared" ca="1" si="310"/>
        <v>18691.216949403493</v>
      </c>
      <c r="BQ169" s="163">
        <f t="shared" ca="1" si="311"/>
        <v>12979.701939680479</v>
      </c>
      <c r="BR169" s="163">
        <f t="shared" ca="1" si="312"/>
        <v>66895.078135416916</v>
      </c>
      <c r="BS169" s="163">
        <f t="shared" ca="1" si="313"/>
        <v>455593.19530269259</v>
      </c>
      <c r="BT169" s="164">
        <f t="shared" si="314"/>
        <v>2.9245497245162601E-2</v>
      </c>
      <c r="BU169" s="164">
        <f t="shared" si="315"/>
        <v>1.630382965199428E-2</v>
      </c>
      <c r="BV169" s="164">
        <f t="shared" si="316"/>
        <v>1.4536595678282185E-2</v>
      </c>
      <c r="BW169" s="164">
        <f t="shared" si="317"/>
        <v>1.5781072271767078E-2</v>
      </c>
      <c r="BX169" s="164">
        <f t="shared" si="318"/>
        <v>1.3892529488859764E-2</v>
      </c>
      <c r="BY169" s="164">
        <f t="shared" si="319"/>
        <v>9.0365766196509687E-3</v>
      </c>
      <c r="BZ169" s="164">
        <f t="shared" si="320"/>
        <v>7.62135712120556E-3</v>
      </c>
      <c r="CA169" s="164">
        <f t="shared" si="321"/>
        <v>1.2152553329023917E-2</v>
      </c>
      <c r="CB169" s="164">
        <f t="shared" si="322"/>
        <v>3.4905725127219601E-2</v>
      </c>
      <c r="CC169" s="164">
        <f t="shared" si="323"/>
        <v>2.0008464658337947E-2</v>
      </c>
      <c r="CD169" s="213">
        <f t="shared" si="324"/>
        <v>4889</v>
      </c>
      <c r="CE169" s="213">
        <f t="shared" si="325"/>
        <v>9157</v>
      </c>
      <c r="CF169" s="213">
        <f t="shared" si="326"/>
        <v>20552</v>
      </c>
      <c r="CG169" s="213">
        <f t="shared" si="327"/>
        <v>25012</v>
      </c>
      <c r="CH169" s="213">
        <f t="shared" si="328"/>
        <v>2566</v>
      </c>
      <c r="CI169" s="213">
        <f t="shared" si="329"/>
        <v>6234</v>
      </c>
      <c r="CJ169" s="213">
        <f t="shared" si="330"/>
        <v>3379</v>
      </c>
      <c r="CK169" s="213">
        <f t="shared" si="331"/>
        <v>2774</v>
      </c>
      <c r="CL169" s="213">
        <f t="shared" si="332"/>
        <v>5800</v>
      </c>
      <c r="CM169" s="213">
        <f t="shared" si="333"/>
        <v>80363</v>
      </c>
      <c r="CN169" s="214">
        <f t="shared" si="334"/>
        <v>1.2177852417846243E-2</v>
      </c>
      <c r="CO169" s="214">
        <f t="shared" si="335"/>
        <v>1.1201797752831429E-2</v>
      </c>
      <c r="CP169" s="214">
        <f t="shared" si="336"/>
        <v>1.2703731242439863E-2</v>
      </c>
      <c r="CQ169" s="214">
        <f t="shared" si="337"/>
        <v>9.510517172231529E-3</v>
      </c>
      <c r="CR169" s="214">
        <f t="shared" si="338"/>
        <v>1.9551318785066695E-3</v>
      </c>
      <c r="CS169" s="214">
        <f t="shared" si="339"/>
        <v>4.3489684781493195E-3</v>
      </c>
      <c r="CT169" s="214">
        <f t="shared" si="340"/>
        <v>5.6219798522656877E-3</v>
      </c>
      <c r="CU169" s="214">
        <f t="shared" si="341"/>
        <v>5.849975104840339E-3</v>
      </c>
      <c r="CV169" s="214">
        <f t="shared" si="342"/>
        <v>1.3962382972718202E-2</v>
      </c>
      <c r="CW169" s="214">
        <f t="shared" si="343"/>
        <v>9.7729365463370618E-3</v>
      </c>
      <c r="CX169" s="215">
        <f t="shared" si="344"/>
        <v>3.4377606830267153E-4</v>
      </c>
      <c r="CY169" s="215">
        <f t="shared" si="345"/>
        <v>5.387471965472684E-3</v>
      </c>
      <c r="CZ169" s="215">
        <f t="shared" si="346"/>
        <v>2.3708993612917098E-3</v>
      </c>
      <c r="DA169" s="215">
        <f t="shared" si="347"/>
        <v>2.2844731505575308E-3</v>
      </c>
      <c r="DB169" s="215">
        <f t="shared" si="348"/>
        <v>2.1302310637814038E-4</v>
      </c>
      <c r="DC169" s="215">
        <f t="shared" si="349"/>
        <v>5.7327784337832526E-4</v>
      </c>
      <c r="DD169" s="215">
        <f t="shared" si="350"/>
        <v>2.39651711192584E-3</v>
      </c>
      <c r="DE169" s="215">
        <f t="shared" si="351"/>
        <v>2.7657865492438424E-3</v>
      </c>
      <c r="DF169" s="215">
        <f t="shared" si="352"/>
        <v>1.0646780768399479E-3</v>
      </c>
      <c r="DG169" s="215">
        <f t="shared" si="353"/>
        <v>1.7580645461335812E-3</v>
      </c>
    </row>
    <row r="170" spans="1:111">
      <c r="A170" s="150">
        <v>44059</v>
      </c>
      <c r="B170" s="129">
        <v>84006</v>
      </c>
      <c r="C170" s="129">
        <v>31870</v>
      </c>
      <c r="D170" s="129">
        <v>199635</v>
      </c>
      <c r="E170" s="129">
        <v>105383</v>
      </c>
      <c r="F170" s="129">
        <v>11573</v>
      </c>
      <c r="G170" s="129">
        <v>21289</v>
      </c>
      <c r="H170" s="129">
        <v>23250</v>
      </c>
      <c r="I170" s="129">
        <v>7840</v>
      </c>
      <c r="J170" s="129">
        <v>102449</v>
      </c>
      <c r="K170" s="129">
        <f t="shared" si="189"/>
        <v>587295</v>
      </c>
      <c r="L170" s="80">
        <v>2517</v>
      </c>
      <c r="M170" s="80">
        <v>519</v>
      </c>
      <c r="N170" s="80">
        <v>2915</v>
      </c>
      <c r="O170" s="80">
        <v>1672</v>
      </c>
      <c r="P170" s="80">
        <v>159</v>
      </c>
      <c r="Q170" s="80">
        <v>189</v>
      </c>
      <c r="R170" s="80">
        <v>194</v>
      </c>
      <c r="S170" s="80">
        <v>94</v>
      </c>
      <c r="T170" s="80">
        <v>3580</v>
      </c>
      <c r="U170" s="80">
        <f t="shared" si="190"/>
        <v>11839</v>
      </c>
      <c r="V170" s="130">
        <v>78862</v>
      </c>
      <c r="W170" s="130">
        <v>15819</v>
      </c>
      <c r="X170" s="130">
        <v>159712</v>
      </c>
      <c r="Y170" s="130">
        <v>78909</v>
      </c>
      <c r="Z170" s="130">
        <v>10281</v>
      </c>
      <c r="AA170" s="130">
        <v>18430</v>
      </c>
      <c r="AB170" s="130">
        <v>14980</v>
      </c>
      <c r="AC170" s="130">
        <v>4515</v>
      </c>
      <c r="AD170" s="130">
        <v>90869</v>
      </c>
      <c r="AE170" s="130">
        <f t="shared" si="191"/>
        <v>472377</v>
      </c>
      <c r="AF170" s="131">
        <f t="shared" si="274"/>
        <v>2627</v>
      </c>
      <c r="AG170" s="131">
        <f t="shared" si="275"/>
        <v>15532</v>
      </c>
      <c r="AH170" s="131">
        <f t="shared" si="276"/>
        <v>37008</v>
      </c>
      <c r="AI170" s="131">
        <f t="shared" si="277"/>
        <v>24802</v>
      </c>
      <c r="AJ170" s="131">
        <f t="shared" si="278"/>
        <v>1133</v>
      </c>
      <c r="AK170" s="131">
        <f t="shared" si="279"/>
        <v>2670</v>
      </c>
      <c r="AL170" s="131">
        <f t="shared" si="280"/>
        <v>8076</v>
      </c>
      <c r="AM170" s="131">
        <f t="shared" si="281"/>
        <v>3231</v>
      </c>
      <c r="AN170" s="131">
        <f t="shared" si="282"/>
        <v>8000</v>
      </c>
      <c r="AO170" s="131">
        <f t="shared" si="283"/>
        <v>103079</v>
      </c>
      <c r="AP170" s="57">
        <f t="shared" si="284"/>
        <v>335</v>
      </c>
      <c r="AQ170" s="57">
        <f t="shared" si="285"/>
        <v>405</v>
      </c>
      <c r="AR170" s="57">
        <f t="shared" si="286"/>
        <v>964</v>
      </c>
      <c r="AS170" s="57">
        <f t="shared" si="287"/>
        <v>764</v>
      </c>
      <c r="AT170" s="57">
        <f t="shared" si="288"/>
        <v>128</v>
      </c>
      <c r="AU170" s="57">
        <f t="shared" si="289"/>
        <v>374</v>
      </c>
      <c r="AV170" s="57">
        <f t="shared" si="290"/>
        <v>157</v>
      </c>
      <c r="AW170" s="57">
        <f t="shared" si="291"/>
        <v>105</v>
      </c>
      <c r="AX170" s="57">
        <f t="shared" si="292"/>
        <v>460</v>
      </c>
      <c r="AY170" s="57">
        <f t="shared" si="293"/>
        <v>3692</v>
      </c>
      <c r="AZ170" s="152">
        <f t="shared" ca="1" si="294"/>
        <v>552452.77349867288</v>
      </c>
      <c r="BA170" s="152">
        <f t="shared" ca="1" si="295"/>
        <v>164340.89792225341</v>
      </c>
      <c r="BB170" s="152">
        <f t="shared" ca="1" si="296"/>
        <v>801270.63018108346</v>
      </c>
      <c r="BC170" s="152">
        <f t="shared" ca="1" si="297"/>
        <v>434740.50435450452</v>
      </c>
      <c r="BD170" s="152">
        <f t="shared" ca="1" si="298"/>
        <v>43772.176858124032</v>
      </c>
      <c r="BE170" s="152">
        <f t="shared" ca="1" si="299"/>
        <v>60495.864654126621</v>
      </c>
      <c r="BF170" s="152">
        <f t="shared" ca="1" si="300"/>
        <v>50536.853558951188</v>
      </c>
      <c r="BG170" s="152">
        <f t="shared" ca="1" si="301"/>
        <v>27348.649030196473</v>
      </c>
      <c r="BH170" s="152">
        <f t="shared" ca="1" si="302"/>
        <v>882315.76535866596</v>
      </c>
      <c r="BI170" s="152">
        <f t="shared" ca="1" si="303"/>
        <v>3017274.1154165785</v>
      </c>
      <c r="BJ170" s="163">
        <f t="shared" ca="1" si="304"/>
        <v>17276.06880438318</v>
      </c>
      <c r="BK170" s="163">
        <f t="shared" ca="1" si="305"/>
        <v>80092.338453983059</v>
      </c>
      <c r="BL170" s="163">
        <f t="shared" ca="1" si="306"/>
        <v>148538.1996230197</v>
      </c>
      <c r="BM170" s="163">
        <f t="shared" ca="1" si="307"/>
        <v>102316.63540609417</v>
      </c>
      <c r="BN170" s="163">
        <f t="shared" ca="1" si="308"/>
        <v>4285.3085958916899</v>
      </c>
      <c r="BO170" s="163">
        <f t="shared" ca="1" si="309"/>
        <v>7587.2027162627683</v>
      </c>
      <c r="BP170" s="163">
        <f t="shared" ca="1" si="310"/>
        <v>17554.220616864077</v>
      </c>
      <c r="BQ170" s="163">
        <f t="shared" ca="1" si="311"/>
        <v>11270.852680684286</v>
      </c>
      <c r="BR170" s="163">
        <f t="shared" ca="1" si="312"/>
        <v>68897.950422837966</v>
      </c>
      <c r="BS170" s="163">
        <f t="shared" ca="1" si="313"/>
        <v>457818.77732002095</v>
      </c>
      <c r="BT170" s="164">
        <f t="shared" si="314"/>
        <v>2.9962145561031356E-2</v>
      </c>
      <c r="BU170" s="164">
        <f t="shared" si="315"/>
        <v>1.6284907436460622E-2</v>
      </c>
      <c r="BV170" s="164">
        <f t="shared" si="316"/>
        <v>1.4601648007613896E-2</v>
      </c>
      <c r="BW170" s="164">
        <f t="shared" si="317"/>
        <v>1.5865936631145442E-2</v>
      </c>
      <c r="BX170" s="164">
        <f t="shared" si="318"/>
        <v>1.3738874967596994E-2</v>
      </c>
      <c r="BY170" s="164">
        <f t="shared" si="319"/>
        <v>8.8778242284747993E-3</v>
      </c>
      <c r="BZ170" s="164">
        <f t="shared" si="320"/>
        <v>8.3440860215053762E-3</v>
      </c>
      <c r="CA170" s="164">
        <f t="shared" si="321"/>
        <v>1.1989795918367347E-2</v>
      </c>
      <c r="CB170" s="164">
        <f t="shared" si="322"/>
        <v>3.4944216146570492E-2</v>
      </c>
      <c r="CC170" s="164">
        <f t="shared" si="323"/>
        <v>2.0158523399654349E-2</v>
      </c>
      <c r="CD170" s="213">
        <f t="shared" si="324"/>
        <v>4596</v>
      </c>
      <c r="CE170" s="213">
        <f t="shared" si="325"/>
        <v>8771</v>
      </c>
      <c r="CF170" s="213">
        <f t="shared" si="326"/>
        <v>19103</v>
      </c>
      <c r="CG170" s="213">
        <f t="shared" si="327"/>
        <v>23083</v>
      </c>
      <c r="CH170" s="213">
        <f t="shared" si="328"/>
        <v>2529</v>
      </c>
      <c r="CI170" s="213">
        <f t="shared" si="329"/>
        <v>6169</v>
      </c>
      <c r="CJ170" s="213">
        <f t="shared" si="330"/>
        <v>3289</v>
      </c>
      <c r="CK170" s="213">
        <f t="shared" si="331"/>
        <v>2709</v>
      </c>
      <c r="CL170" s="213">
        <f t="shared" si="332"/>
        <v>5611</v>
      </c>
      <c r="CM170" s="213">
        <f t="shared" si="333"/>
        <v>75860</v>
      </c>
      <c r="CN170" s="214">
        <f t="shared" si="334"/>
        <v>1.2226609819574184E-2</v>
      </c>
      <c r="CO170" s="214">
        <f t="shared" si="335"/>
        <v>1.1345981070482682E-2</v>
      </c>
      <c r="CP170" s="214">
        <f t="shared" si="336"/>
        <v>1.2765372835413735E-2</v>
      </c>
      <c r="CQ170" s="214">
        <f t="shared" si="337"/>
        <v>9.5799695195067352E-3</v>
      </c>
      <c r="CR170" s="214">
        <f t="shared" si="338"/>
        <v>1.9769979231068313E-3</v>
      </c>
      <c r="CS170" s="214">
        <f t="shared" si="339"/>
        <v>4.4267363103667632E-3</v>
      </c>
      <c r="CT170" s="214">
        <f t="shared" si="340"/>
        <v>5.6602014274965244E-3</v>
      </c>
      <c r="CU170" s="214">
        <f t="shared" si="341"/>
        <v>5.9293865316028781E-3</v>
      </c>
      <c r="CV170" s="214">
        <f t="shared" si="342"/>
        <v>1.4025357373559963E-2</v>
      </c>
      <c r="CW170" s="214">
        <f t="shared" si="343"/>
        <v>9.8347622767206901E-3</v>
      </c>
      <c r="CX170" s="215">
        <f t="shared" si="344"/>
        <v>3.8234535623671382E-4</v>
      </c>
      <c r="CY170" s="215">
        <f t="shared" si="345"/>
        <v>5.5295192339735498E-3</v>
      </c>
      <c r="CZ170" s="215">
        <f t="shared" si="346"/>
        <v>2.3664233120093744E-3</v>
      </c>
      <c r="DA170" s="215">
        <f t="shared" si="347"/>
        <v>2.2546559124603212E-3</v>
      </c>
      <c r="DB170" s="215">
        <f t="shared" si="348"/>
        <v>1.9354866040612116E-4</v>
      </c>
      <c r="DC170" s="215">
        <f t="shared" si="349"/>
        <v>5.5518746529565775E-4</v>
      </c>
      <c r="DD170" s="215">
        <f t="shared" si="350"/>
        <v>1.9660983539123412E-3</v>
      </c>
      <c r="DE170" s="215">
        <f t="shared" si="351"/>
        <v>2.443603046378686E-3</v>
      </c>
      <c r="DF170" s="215">
        <f t="shared" si="352"/>
        <v>1.0952069711610626E-3</v>
      </c>
      <c r="DG170" s="215">
        <f t="shared" si="353"/>
        <v>1.7261469290937126E-3</v>
      </c>
    </row>
    <row r="171" spans="1:111">
      <c r="A171" s="150">
        <v>44060</v>
      </c>
      <c r="B171" s="129">
        <v>84092</v>
      </c>
      <c r="C171" s="129">
        <v>32304</v>
      </c>
      <c r="D171" s="129">
        <v>200237</v>
      </c>
      <c r="E171" s="129">
        <v>106037</v>
      </c>
      <c r="F171" s="129">
        <v>11757</v>
      </c>
      <c r="G171" s="129">
        <v>21474</v>
      </c>
      <c r="H171" s="129">
        <v>23305</v>
      </c>
      <c r="I171" s="129">
        <v>8021</v>
      </c>
      <c r="J171" s="129">
        <v>102609</v>
      </c>
      <c r="K171" s="129">
        <f t="shared" si="189"/>
        <v>589836</v>
      </c>
      <c r="L171" s="80">
        <v>2567</v>
      </c>
      <c r="M171" s="80">
        <v>524</v>
      </c>
      <c r="N171" s="80">
        <v>2929</v>
      </c>
      <c r="O171" s="80">
        <v>1686</v>
      </c>
      <c r="P171" s="80">
        <v>159</v>
      </c>
      <c r="Q171" s="80">
        <v>214</v>
      </c>
      <c r="R171" s="80">
        <v>194</v>
      </c>
      <c r="S171" s="80">
        <v>97</v>
      </c>
      <c r="T171" s="80">
        <v>3612</v>
      </c>
      <c r="U171" s="80">
        <f t="shared" si="190"/>
        <v>11982</v>
      </c>
      <c r="V171" s="130">
        <v>79947</v>
      </c>
      <c r="W171" s="130">
        <v>17000</v>
      </c>
      <c r="X171" s="130">
        <v>161078</v>
      </c>
      <c r="Y171" s="130">
        <v>79955</v>
      </c>
      <c r="Z171" s="130">
        <v>10281</v>
      </c>
      <c r="AA171" s="130">
        <v>18661</v>
      </c>
      <c r="AB171" s="130">
        <v>14980</v>
      </c>
      <c r="AC171" s="130">
        <v>4728</v>
      </c>
      <c r="AD171" s="130">
        <v>91041</v>
      </c>
      <c r="AE171" s="130">
        <f t="shared" si="191"/>
        <v>477671</v>
      </c>
      <c r="AF171" s="131">
        <f t="shared" si="274"/>
        <v>1578</v>
      </c>
      <c r="AG171" s="131">
        <f t="shared" si="275"/>
        <v>14780</v>
      </c>
      <c r="AH171" s="131">
        <f t="shared" si="276"/>
        <v>36230</v>
      </c>
      <c r="AI171" s="131">
        <f t="shared" si="277"/>
        <v>24396</v>
      </c>
      <c r="AJ171" s="131">
        <f t="shared" si="278"/>
        <v>1317</v>
      </c>
      <c r="AK171" s="131">
        <f t="shared" si="279"/>
        <v>2599</v>
      </c>
      <c r="AL171" s="131">
        <f t="shared" si="280"/>
        <v>8131</v>
      </c>
      <c r="AM171" s="131">
        <f t="shared" si="281"/>
        <v>3196</v>
      </c>
      <c r="AN171" s="131">
        <f t="shared" si="282"/>
        <v>7956</v>
      </c>
      <c r="AO171" s="131">
        <f t="shared" si="283"/>
        <v>100183</v>
      </c>
      <c r="AP171" s="57">
        <f t="shared" si="284"/>
        <v>86</v>
      </c>
      <c r="AQ171" s="57">
        <f t="shared" si="285"/>
        <v>434</v>
      </c>
      <c r="AR171" s="57">
        <f t="shared" si="286"/>
        <v>602</v>
      </c>
      <c r="AS171" s="57">
        <f t="shared" si="287"/>
        <v>654</v>
      </c>
      <c r="AT171" s="57">
        <f t="shared" si="288"/>
        <v>184</v>
      </c>
      <c r="AU171" s="57">
        <f t="shared" si="289"/>
        <v>185</v>
      </c>
      <c r="AV171" s="57">
        <f t="shared" si="290"/>
        <v>55</v>
      </c>
      <c r="AW171" s="57">
        <f t="shared" si="291"/>
        <v>181</v>
      </c>
      <c r="AX171" s="57">
        <f t="shared" si="292"/>
        <v>160</v>
      </c>
      <c r="AY171" s="57">
        <f t="shared" si="293"/>
        <v>2541</v>
      </c>
      <c r="AZ171" s="152">
        <f t="shared" ca="1" si="294"/>
        <v>565009.97519709705</v>
      </c>
      <c r="BA171" s="152">
        <f t="shared" ca="1" si="295"/>
        <v>165797.1763222751</v>
      </c>
      <c r="BB171" s="152">
        <f t="shared" ca="1" si="296"/>
        <v>805475.724116773</v>
      </c>
      <c r="BC171" s="152">
        <f t="shared" ca="1" si="297"/>
        <v>438609.06958235323</v>
      </c>
      <c r="BD171" s="152">
        <f t="shared" ca="1" si="298"/>
        <v>43588.176858124032</v>
      </c>
      <c r="BE171" s="152">
        <f t="shared" ca="1" si="299"/>
        <v>71128.968444355007</v>
      </c>
      <c r="BF171" s="152">
        <f t="shared" ca="1" si="300"/>
        <v>50481.853558951188</v>
      </c>
      <c r="BG171" s="152">
        <f t="shared" ca="1" si="301"/>
        <v>28290.691020521896</v>
      </c>
      <c r="BH171" s="152">
        <f t="shared" ca="1" si="302"/>
        <v>890958.13197639701</v>
      </c>
      <c r="BI171" s="152">
        <f t="shared" ca="1" si="303"/>
        <v>3059339.7670768471</v>
      </c>
      <c r="BJ171" s="163">
        <f t="shared" ca="1" si="304"/>
        <v>10602.503696677675</v>
      </c>
      <c r="BK171" s="163">
        <f t="shared" ca="1" si="305"/>
        <v>75856.929979049848</v>
      </c>
      <c r="BL171" s="163">
        <f t="shared" ca="1" si="306"/>
        <v>145739.22644042154</v>
      </c>
      <c r="BM171" s="163">
        <f t="shared" ca="1" si="307"/>
        <v>100911.06747202476</v>
      </c>
      <c r="BN171" s="163">
        <f t="shared" ca="1" si="308"/>
        <v>4882.676611563269</v>
      </c>
      <c r="BO171" s="163">
        <f t="shared" ca="1" si="309"/>
        <v>8608.7449467671904</v>
      </c>
      <c r="BP171" s="163">
        <f t="shared" ca="1" si="310"/>
        <v>17612.870683880374</v>
      </c>
      <c r="BQ171" s="163">
        <f t="shared" ca="1" si="311"/>
        <v>11272.540643509285</v>
      </c>
      <c r="BR171" s="163">
        <f t="shared" ca="1" si="312"/>
        <v>69082.27249075826</v>
      </c>
      <c r="BS171" s="163">
        <f t="shared" ca="1" si="313"/>
        <v>444568.83296465216</v>
      </c>
      <c r="BT171" s="164">
        <f t="shared" si="314"/>
        <v>3.0526090472339819E-2</v>
      </c>
      <c r="BU171" s="164">
        <f t="shared" si="315"/>
        <v>1.6220901436354632E-2</v>
      </c>
      <c r="BV171" s="164">
        <f t="shared" si="316"/>
        <v>1.4627666215534591E-2</v>
      </c>
      <c r="BW171" s="164">
        <f t="shared" si="317"/>
        <v>1.590011033884399E-2</v>
      </c>
      <c r="BX171" s="164">
        <f t="shared" si="318"/>
        <v>1.3523858127073234E-2</v>
      </c>
      <c r="BY171" s="164">
        <f t="shared" si="319"/>
        <v>9.9655397224550617E-3</v>
      </c>
      <c r="BZ171" s="164">
        <f t="shared" si="320"/>
        <v>8.3243939068869347E-3</v>
      </c>
      <c r="CA171" s="164">
        <f t="shared" si="321"/>
        <v>1.2093255205086648E-2</v>
      </c>
      <c r="CB171" s="164">
        <f t="shared" si="322"/>
        <v>3.5201590503756978E-2</v>
      </c>
      <c r="CC171" s="164">
        <f t="shared" si="323"/>
        <v>2.0314121213354221E-2</v>
      </c>
      <c r="CD171" s="213">
        <f t="shared" si="324"/>
        <v>4418</v>
      </c>
      <c r="CE171" s="213">
        <f t="shared" si="325"/>
        <v>8599</v>
      </c>
      <c r="CF171" s="213">
        <f t="shared" si="326"/>
        <v>18291</v>
      </c>
      <c r="CG171" s="213">
        <f t="shared" si="327"/>
        <v>21676</v>
      </c>
      <c r="CH171" s="213">
        <f t="shared" si="328"/>
        <v>2553</v>
      </c>
      <c r="CI171" s="213">
        <f t="shared" si="329"/>
        <v>6079</v>
      </c>
      <c r="CJ171" s="213">
        <f t="shared" si="330"/>
        <v>3156</v>
      </c>
      <c r="CK171" s="213">
        <f t="shared" si="331"/>
        <v>2719</v>
      </c>
      <c r="CL171" s="213">
        <f t="shared" si="332"/>
        <v>5533</v>
      </c>
      <c r="CM171" s="213">
        <f t="shared" si="333"/>
        <v>73024</v>
      </c>
      <c r="CN171" s="214">
        <f t="shared" si="334"/>
        <v>1.2239126645092401E-2</v>
      </c>
      <c r="CO171" s="214">
        <f t="shared" si="335"/>
        <v>1.1500488625694151E-2</v>
      </c>
      <c r="CP171" s="214">
        <f t="shared" si="336"/>
        <v>1.2803866859241817E-2</v>
      </c>
      <c r="CQ171" s="214">
        <f t="shared" si="337"/>
        <v>9.6394221832737312E-3</v>
      </c>
      <c r="CR171" s="214">
        <f t="shared" si="338"/>
        <v>2.0084303622195641E-3</v>
      </c>
      <c r="CS171" s="214">
        <f t="shared" si="339"/>
        <v>4.4652043557149648E-3</v>
      </c>
      <c r="CT171" s="214">
        <f t="shared" si="340"/>
        <v>5.6735911513035057E-3</v>
      </c>
      <c r="CU171" s="214">
        <f t="shared" si="341"/>
        <v>6.066276705355444E-3</v>
      </c>
      <c r="CV171" s="214">
        <f t="shared" si="342"/>
        <v>1.4047261512983184E-2</v>
      </c>
      <c r="CW171" s="214">
        <f t="shared" si="343"/>
        <v>9.8773135174858029E-3</v>
      </c>
      <c r="CX171" s="215">
        <f t="shared" si="344"/>
        <v>2.2966919381101425E-4</v>
      </c>
      <c r="CY171" s="215">
        <f t="shared" si="345"/>
        <v>5.2618010737914668E-3</v>
      </c>
      <c r="CZ171" s="215">
        <f t="shared" si="346"/>
        <v>2.3166752214142791E-3</v>
      </c>
      <c r="DA171" s="215">
        <f t="shared" si="347"/>
        <v>2.2177479896936538E-3</v>
      </c>
      <c r="DB171" s="215">
        <f t="shared" si="348"/>
        <v>2.2498109951885398E-4</v>
      </c>
      <c r="DC171" s="215">
        <f t="shared" si="349"/>
        <v>5.4042405329715896E-4</v>
      </c>
      <c r="DD171" s="215">
        <f t="shared" si="350"/>
        <v>1.979488077719322E-3</v>
      </c>
      <c r="DE171" s="215">
        <f t="shared" si="351"/>
        <v>2.4171325707911732E-3</v>
      </c>
      <c r="DF171" s="215">
        <f t="shared" si="352"/>
        <v>1.0891833328196768E-3</v>
      </c>
      <c r="DG171" s="215">
        <f t="shared" si="353"/>
        <v>1.6776509065609428E-3</v>
      </c>
    </row>
    <row r="172" spans="1:111">
      <c r="A172" s="150">
        <v>44061</v>
      </c>
      <c r="B172" s="129">
        <v>84144</v>
      </c>
      <c r="C172" s="129">
        <v>32593</v>
      </c>
      <c r="D172" s="129">
        <v>200949</v>
      </c>
      <c r="E172" s="129">
        <v>106565</v>
      </c>
      <c r="F172" s="129">
        <v>11813</v>
      </c>
      <c r="G172" s="129">
        <v>21717</v>
      </c>
      <c r="H172" s="129">
        <v>23445</v>
      </c>
      <c r="I172" s="129">
        <v>8129</v>
      </c>
      <c r="J172" s="129">
        <v>102739</v>
      </c>
      <c r="K172" s="129">
        <f t="shared" si="189"/>
        <v>592094</v>
      </c>
      <c r="L172" s="80">
        <v>2633</v>
      </c>
      <c r="M172" s="80">
        <v>537</v>
      </c>
      <c r="N172" s="80">
        <v>3018</v>
      </c>
      <c r="O172" s="80">
        <v>1743</v>
      </c>
      <c r="P172" s="80">
        <v>159</v>
      </c>
      <c r="Q172" s="80">
        <v>214</v>
      </c>
      <c r="R172" s="80">
        <v>214</v>
      </c>
      <c r="S172" s="80">
        <v>100</v>
      </c>
      <c r="T172" s="80">
        <v>3646</v>
      </c>
      <c r="U172" s="80">
        <f t="shared" si="190"/>
        <v>12264</v>
      </c>
      <c r="V172" s="130">
        <v>79947</v>
      </c>
      <c r="W172" s="130">
        <v>17547</v>
      </c>
      <c r="X172" s="130">
        <v>166143</v>
      </c>
      <c r="Y172" s="130">
        <v>80684</v>
      </c>
      <c r="Z172" s="130">
        <v>10281</v>
      </c>
      <c r="AA172" s="130">
        <v>19252</v>
      </c>
      <c r="AB172" s="130">
        <v>14980</v>
      </c>
      <c r="AC172" s="130">
        <v>4757</v>
      </c>
      <c r="AD172" s="130">
        <v>91877</v>
      </c>
      <c r="AE172" s="130">
        <f t="shared" si="191"/>
        <v>485468</v>
      </c>
      <c r="AF172" s="131">
        <f t="shared" si="274"/>
        <v>1564</v>
      </c>
      <c r="AG172" s="131">
        <f t="shared" si="275"/>
        <v>14509</v>
      </c>
      <c r="AH172" s="131">
        <f t="shared" si="276"/>
        <v>31788</v>
      </c>
      <c r="AI172" s="131">
        <f t="shared" si="277"/>
        <v>24138</v>
      </c>
      <c r="AJ172" s="131">
        <f t="shared" si="278"/>
        <v>1373</v>
      </c>
      <c r="AK172" s="131">
        <f t="shared" si="279"/>
        <v>2251</v>
      </c>
      <c r="AL172" s="131">
        <f t="shared" si="280"/>
        <v>8251</v>
      </c>
      <c r="AM172" s="131">
        <f t="shared" si="281"/>
        <v>3272</v>
      </c>
      <c r="AN172" s="131">
        <f t="shared" si="282"/>
        <v>7216</v>
      </c>
      <c r="AO172" s="131">
        <f t="shared" si="283"/>
        <v>94362</v>
      </c>
      <c r="AP172" s="57">
        <f t="shared" si="284"/>
        <v>52</v>
      </c>
      <c r="AQ172" s="57">
        <f t="shared" si="285"/>
        <v>289</v>
      </c>
      <c r="AR172" s="57">
        <f t="shared" si="286"/>
        <v>712</v>
      </c>
      <c r="AS172" s="57">
        <f t="shared" si="287"/>
        <v>528</v>
      </c>
      <c r="AT172" s="57">
        <f t="shared" si="288"/>
        <v>56</v>
      </c>
      <c r="AU172" s="57">
        <f t="shared" si="289"/>
        <v>243</v>
      </c>
      <c r="AV172" s="57">
        <f t="shared" si="290"/>
        <v>140</v>
      </c>
      <c r="AW172" s="57">
        <f t="shared" si="291"/>
        <v>108</v>
      </c>
      <c r="AX172" s="57">
        <f t="shared" si="292"/>
        <v>130</v>
      </c>
      <c r="AY172" s="57">
        <f t="shared" si="293"/>
        <v>2258</v>
      </c>
      <c r="AZ172" s="152">
        <f t="shared" ca="1" si="294"/>
        <v>581647.00143901701</v>
      </c>
      <c r="BA172" s="152">
        <f t="shared" ca="1" si="295"/>
        <v>170422.90016233156</v>
      </c>
      <c r="BB172" s="152">
        <f t="shared" ca="1" si="296"/>
        <v>835323.10699365684</v>
      </c>
      <c r="BC172" s="152">
        <f t="shared" ca="1" si="297"/>
        <v>456494.37086716585</v>
      </c>
      <c r="BD172" s="152">
        <f t="shared" ca="1" si="298"/>
        <v>43532.176858124032</v>
      </c>
      <c r="BE172" s="152">
        <f t="shared" ca="1" si="299"/>
        <v>70885.968444355007</v>
      </c>
      <c r="BF172" s="152">
        <f t="shared" ca="1" si="300"/>
        <v>57948.7456784307</v>
      </c>
      <c r="BG172" s="152">
        <f t="shared" ca="1" si="301"/>
        <v>29305.733010847318</v>
      </c>
      <c r="BH172" s="152">
        <f t="shared" ca="1" si="302"/>
        <v>900180.6465077363</v>
      </c>
      <c r="BI172" s="152">
        <f t="shared" ca="1" si="303"/>
        <v>3145740.6499616648</v>
      </c>
      <c r="BJ172" s="163">
        <f t="shared" ca="1" si="304"/>
        <v>10811.179766241474</v>
      </c>
      <c r="BK172" s="163">
        <f t="shared" ca="1" si="305"/>
        <v>75864.935981814138</v>
      </c>
      <c r="BL172" s="163">
        <f t="shared" ca="1" si="306"/>
        <v>132139.25386597775</v>
      </c>
      <c r="BM172" s="163">
        <f t="shared" ca="1" si="307"/>
        <v>103400.37652129357</v>
      </c>
      <c r="BN172" s="163">
        <f t="shared" ca="1" si="308"/>
        <v>5059.652825379183</v>
      </c>
      <c r="BO172" s="163">
        <f t="shared" ca="1" si="309"/>
        <v>7347.4381806070414</v>
      </c>
      <c r="BP172" s="163">
        <f t="shared" ca="1" si="310"/>
        <v>20393.904909052322</v>
      </c>
      <c r="BQ172" s="163">
        <f t="shared" ca="1" si="311"/>
        <v>11795.836930925381</v>
      </c>
      <c r="BR172" s="163">
        <f t="shared" ca="1" si="312"/>
        <v>63225.294632027035</v>
      </c>
      <c r="BS172" s="163">
        <f t="shared" ca="1" si="313"/>
        <v>430037.87361331785</v>
      </c>
      <c r="BT172" s="164">
        <f t="shared" si="314"/>
        <v>3.1291595360334663E-2</v>
      </c>
      <c r="BU172" s="164">
        <f t="shared" si="315"/>
        <v>1.6475930414506183E-2</v>
      </c>
      <c r="BV172" s="164">
        <f t="shared" si="316"/>
        <v>1.5018736097218698E-2</v>
      </c>
      <c r="BW172" s="164">
        <f t="shared" si="317"/>
        <v>1.6356214516961478E-2</v>
      </c>
      <c r="BX172" s="164">
        <f t="shared" si="318"/>
        <v>1.3459747735545586E-2</v>
      </c>
      <c r="BY172" s="164">
        <f t="shared" si="319"/>
        <v>9.8540314039692409E-3</v>
      </c>
      <c r="BZ172" s="164">
        <f t="shared" si="320"/>
        <v>9.1277457880145022E-3</v>
      </c>
      <c r="CA172" s="164">
        <f t="shared" si="321"/>
        <v>1.2301636117603642E-2</v>
      </c>
      <c r="CB172" s="164">
        <f t="shared" si="322"/>
        <v>3.5487984115087745E-2</v>
      </c>
      <c r="CC172" s="164">
        <f t="shared" si="323"/>
        <v>2.0712927339240052E-2</v>
      </c>
      <c r="CD172" s="213">
        <f t="shared" si="324"/>
        <v>4300</v>
      </c>
      <c r="CE172" s="213">
        <f t="shared" si="325"/>
        <v>8260</v>
      </c>
      <c r="CF172" s="213">
        <f t="shared" si="326"/>
        <v>17859</v>
      </c>
      <c r="CG172" s="213">
        <f t="shared" si="327"/>
        <v>20579</v>
      </c>
      <c r="CH172" s="213">
        <f t="shared" si="328"/>
        <v>2424</v>
      </c>
      <c r="CI172" s="213">
        <f t="shared" si="329"/>
        <v>6001</v>
      </c>
      <c r="CJ172" s="213">
        <f t="shared" si="330"/>
        <v>3175</v>
      </c>
      <c r="CK172" s="213">
        <f t="shared" si="331"/>
        <v>2750</v>
      </c>
      <c r="CL172" s="213">
        <f t="shared" si="332"/>
        <v>5478</v>
      </c>
      <c r="CM172" s="213">
        <f t="shared" si="333"/>
        <v>70826</v>
      </c>
      <c r="CN172" s="214">
        <f t="shared" si="334"/>
        <v>1.224669495819644E-2</v>
      </c>
      <c r="CO172" s="214">
        <f t="shared" si="335"/>
        <v>1.1603374993104551E-2</v>
      </c>
      <c r="CP172" s="214">
        <f t="shared" si="336"/>
        <v>1.2849394674799281E-2</v>
      </c>
      <c r="CQ172" s="214">
        <f t="shared" si="337"/>
        <v>9.6874206641131416E-3</v>
      </c>
      <c r="CR172" s="214">
        <f t="shared" si="338"/>
        <v>2.0179967567321351E-3</v>
      </c>
      <c r="CS172" s="214">
        <f t="shared" si="339"/>
        <v>4.5157326531182771E-3</v>
      </c>
      <c r="CT172" s="214">
        <f t="shared" si="340"/>
        <v>5.7076740846303663E-3</v>
      </c>
      <c r="CU172" s="214">
        <f t="shared" si="341"/>
        <v>6.1479570300254837E-3</v>
      </c>
      <c r="CV172" s="214">
        <f t="shared" si="342"/>
        <v>1.4065058626264552E-2</v>
      </c>
      <c r="CW172" s="214">
        <f t="shared" si="343"/>
        <v>9.9151256787009256E-3</v>
      </c>
      <c r="CX172" s="215">
        <f t="shared" si="344"/>
        <v>2.2763157105223466E-4</v>
      </c>
      <c r="CY172" s="215">
        <f t="shared" si="345"/>
        <v>5.1653228538322323E-3</v>
      </c>
      <c r="CZ172" s="215">
        <f t="shared" si="346"/>
        <v>2.032637922669531E-3</v>
      </c>
      <c r="DA172" s="215">
        <f t="shared" si="347"/>
        <v>2.1942941865562148E-3</v>
      </c>
      <c r="DB172" s="215">
        <f t="shared" si="348"/>
        <v>2.3454749403142483E-4</v>
      </c>
      <c r="DC172" s="215">
        <f t="shared" si="349"/>
        <v>4.6806254096648899E-4</v>
      </c>
      <c r="DD172" s="215">
        <f t="shared" si="350"/>
        <v>2.0087020205709172E-3</v>
      </c>
      <c r="DE172" s="215">
        <f t="shared" si="351"/>
        <v>2.4746113177812009E-3</v>
      </c>
      <c r="DF172" s="215">
        <f t="shared" si="352"/>
        <v>9.8787668798727842E-4</v>
      </c>
      <c r="DG172" s="215">
        <f t="shared" si="353"/>
        <v>1.5801732314355099E-3</v>
      </c>
    </row>
    <row r="173" spans="1:111">
      <c r="A173" s="150">
        <v>44062</v>
      </c>
      <c r="B173" s="129">
        <v>84362</v>
      </c>
      <c r="C173" s="129">
        <v>33163</v>
      </c>
      <c r="D173" s="129">
        <v>202011</v>
      </c>
      <c r="E173" s="129">
        <v>107271</v>
      </c>
      <c r="F173" s="129">
        <v>11944</v>
      </c>
      <c r="G173" s="129">
        <v>22067</v>
      </c>
      <c r="H173" s="129">
        <v>23641</v>
      </c>
      <c r="I173" s="129">
        <v>8341</v>
      </c>
      <c r="J173" s="129">
        <v>103210</v>
      </c>
      <c r="K173" s="129">
        <f t="shared" si="189"/>
        <v>596010</v>
      </c>
      <c r="L173" s="80">
        <v>2670</v>
      </c>
      <c r="M173" s="80">
        <v>542</v>
      </c>
      <c r="N173" s="80">
        <v>3061</v>
      </c>
      <c r="O173" s="80">
        <v>1788</v>
      </c>
      <c r="P173" s="80">
        <v>159</v>
      </c>
      <c r="Q173" s="80">
        <v>214</v>
      </c>
      <c r="R173" s="80">
        <v>214</v>
      </c>
      <c r="S173" s="80">
        <v>100</v>
      </c>
      <c r="T173" s="80">
        <v>3675</v>
      </c>
      <c r="U173" s="80">
        <f t="shared" si="190"/>
        <v>12423</v>
      </c>
      <c r="V173" s="130">
        <v>79947</v>
      </c>
      <c r="W173" s="130">
        <v>19548</v>
      </c>
      <c r="X173" s="130">
        <v>167812</v>
      </c>
      <c r="Y173" s="130">
        <v>82599</v>
      </c>
      <c r="Z173" s="130">
        <v>10281</v>
      </c>
      <c r="AA173" s="130">
        <v>19436</v>
      </c>
      <c r="AB173" s="130">
        <v>14980</v>
      </c>
      <c r="AC173" s="130">
        <v>4961</v>
      </c>
      <c r="AD173" s="130">
        <v>91877</v>
      </c>
      <c r="AE173" s="130">
        <f t="shared" si="191"/>
        <v>491441</v>
      </c>
      <c r="AF173" s="131">
        <f t="shared" si="274"/>
        <v>1745</v>
      </c>
      <c r="AG173" s="131">
        <f t="shared" si="275"/>
        <v>13073</v>
      </c>
      <c r="AH173" s="131">
        <f t="shared" si="276"/>
        <v>31138</v>
      </c>
      <c r="AI173" s="131">
        <f t="shared" si="277"/>
        <v>22884</v>
      </c>
      <c r="AJ173" s="131">
        <f t="shared" si="278"/>
        <v>1504</v>
      </c>
      <c r="AK173" s="131">
        <f t="shared" si="279"/>
        <v>2417</v>
      </c>
      <c r="AL173" s="131">
        <f t="shared" si="280"/>
        <v>8447</v>
      </c>
      <c r="AM173" s="131">
        <f t="shared" si="281"/>
        <v>3280</v>
      </c>
      <c r="AN173" s="131">
        <f t="shared" si="282"/>
        <v>7658</v>
      </c>
      <c r="AO173" s="131">
        <f t="shared" si="283"/>
        <v>92146</v>
      </c>
      <c r="AP173" s="57">
        <f t="shared" ref="AP173" si="354">B173-B172</f>
        <v>218</v>
      </c>
      <c r="AQ173" s="57">
        <f t="shared" ref="AQ173" si="355">C173-C172</f>
        <v>570</v>
      </c>
      <c r="AR173" s="57">
        <f t="shared" ref="AR173" si="356">D173-D172</f>
        <v>1062</v>
      </c>
      <c r="AS173" s="57">
        <f t="shared" ref="AS173" si="357">E173-E172</f>
        <v>706</v>
      </c>
      <c r="AT173" s="57">
        <f t="shared" ref="AT173" si="358">F173-F172</f>
        <v>131</v>
      </c>
      <c r="AU173" s="57">
        <f t="shared" ref="AU173" si="359">G173-G172</f>
        <v>350</v>
      </c>
      <c r="AV173" s="57">
        <f t="shared" ref="AV173" si="360">H173-H172</f>
        <v>196</v>
      </c>
      <c r="AW173" s="57">
        <f t="shared" ref="AW173" si="361">I173-I172</f>
        <v>212</v>
      </c>
      <c r="AX173" s="57">
        <f t="shared" ref="AX173" si="362">J173-J172</f>
        <v>471</v>
      </c>
      <c r="AY173" s="57">
        <f t="shared" ref="AY173" si="363">SUM(AP173:AX173)</f>
        <v>3916</v>
      </c>
      <c r="AZ173" s="152">
        <f t="shared" ref="AZ173" ca="1" si="364">L173/AZ$6-B173</f>
        <v>590784.97069585091</v>
      </c>
      <c r="BA173" s="152">
        <f t="shared" ref="BA173" ca="1" si="365">M173/BA$6-C173</f>
        <v>171743.17856235325</v>
      </c>
      <c r="BB173" s="152">
        <f t="shared" ref="BB173" ca="1" si="366">N173/BB$6-D173</f>
        <v>849025.75265327492</v>
      </c>
      <c r="BC173" s="152">
        <f t="shared" ref="BC173" ca="1" si="367">O173/BC$6-E173</f>
        <v>470325.18767096533</v>
      </c>
      <c r="BD173" s="152">
        <f t="shared" ref="BD173" ca="1" si="368">P173/BD$6-F173</f>
        <v>43401.176858124032</v>
      </c>
      <c r="BE173" s="152">
        <f t="shared" ref="BE173" ca="1" si="369">Q173/BE$6-G173</f>
        <v>70535.968444355007</v>
      </c>
      <c r="BF173" s="152">
        <f t="shared" ref="BF173" ca="1" si="370">R173/BF$6-H173</f>
        <v>57752.7456784307</v>
      </c>
      <c r="BG173" s="152">
        <f t="shared" ref="BG173" ca="1" si="371">S173/BG$6-I173</f>
        <v>29093.733010847318</v>
      </c>
      <c r="BH173" s="152">
        <f t="shared" ref="BH173" ca="1" si="372">T173/BH$6-J173</f>
        <v>907686.79125505511</v>
      </c>
      <c r="BI173" s="152">
        <f t="shared" ref="BI173" ca="1" si="373">SUM(AZ173:BH173)</f>
        <v>3190349.5048292559</v>
      </c>
      <c r="BJ173" s="163">
        <f t="shared" ref="BJ173" ca="1" si="374">AZ173*AF173/B173</f>
        <v>12220.191245635</v>
      </c>
      <c r="BK173" s="163">
        <f t="shared" ref="BK173" ca="1" si="375">BA173*AG173/C173</f>
        <v>67701.913980811267</v>
      </c>
      <c r="BL173" s="163">
        <f t="shared" ref="BL173" ca="1" si="376">BB173*AH173/D173</f>
        <v>130868.9323161495</v>
      </c>
      <c r="BM173" s="163">
        <f t="shared" ref="BM173" ca="1" si="377">BC173*AI173/E173</f>
        <v>100333.93549666145</v>
      </c>
      <c r="BN173" s="163">
        <f t="shared" ref="BN173" ca="1" si="378">BD173*AJ173/F173</f>
        <v>5465.1180504536624</v>
      </c>
      <c r="BO173" s="163">
        <f t="shared" ref="BO173" ca="1" si="379">BE173*AK173/G173</f>
        <v>7725.8093864143766</v>
      </c>
      <c r="BP173" s="163">
        <f t="shared" ref="BP173" ca="1" si="380">BF173*AL173/H173</f>
        <v>20635.228744372238</v>
      </c>
      <c r="BQ173" s="163">
        <f t="shared" ref="BQ173" ca="1" si="381">BG173*AM173/I173</f>
        <v>11440.767806687352</v>
      </c>
      <c r="BR173" s="163">
        <f t="shared" ref="BR173" ca="1" si="382">BH173*AN173/J173</f>
        <v>67348.759300757796</v>
      </c>
      <c r="BS173" s="163">
        <f t="shared" ref="BS173" ca="1" si="383">SUM(BJ173:BR173)</f>
        <v>423740.65632794262</v>
      </c>
      <c r="BT173" s="164">
        <f t="shared" ref="BT173" si="384">L173/(B173)</f>
        <v>3.1649320784239349E-2</v>
      </c>
      <c r="BU173" s="164">
        <f t="shared" ref="BU173" si="385">M173/(C173)</f>
        <v>1.6343515363507522E-2</v>
      </c>
      <c r="BV173" s="164">
        <f t="shared" ref="BV173" si="386">N173/(D173)</f>
        <v>1.5152640202761235E-2</v>
      </c>
      <c r="BW173" s="164">
        <f t="shared" ref="BW173" si="387">O173/(E173)</f>
        <v>1.6668064994266856E-2</v>
      </c>
      <c r="BX173" s="164">
        <f t="shared" ref="BX173" si="388">P173/(F173)</f>
        <v>1.3312123241795043E-2</v>
      </c>
      <c r="BY173" s="164">
        <f t="shared" ref="BY173" si="389">Q173/(G173)</f>
        <v>9.6977387048534005E-3</v>
      </c>
      <c r="BZ173" s="164">
        <f t="shared" ref="BZ173" si="390">R173/(H173)</f>
        <v>9.0520705553910584E-3</v>
      </c>
      <c r="CA173" s="164">
        <f t="shared" ref="CA173" si="391">S173/(I173)</f>
        <v>1.1988970147464332E-2</v>
      </c>
      <c r="CB173" s="164">
        <f t="shared" ref="CB173" si="392">T173/(J173)</f>
        <v>3.5607014824144946E-2</v>
      </c>
      <c r="CC173" s="164">
        <f t="shared" ref="CC173" si="393">U173/(K173)</f>
        <v>2.0843610006543514E-2</v>
      </c>
      <c r="CD173" s="213">
        <f t="shared" ref="CD173" si="394">SUM(AP160:AP173)</f>
        <v>3962</v>
      </c>
      <c r="CE173" s="213">
        <f t="shared" ref="CE173" si="395">SUM(AQ160:AQ173)</f>
        <v>7931</v>
      </c>
      <c r="CF173" s="213">
        <f t="shared" ref="CF173" si="396">SUM(AR160:AR173)</f>
        <v>16729</v>
      </c>
      <c r="CG173" s="213">
        <f t="shared" ref="CG173" si="397">SUM(AS160:AS173)</f>
        <v>19473</v>
      </c>
      <c r="CH173" s="213">
        <f t="shared" ref="CH173" si="398">SUM(AT160:AT173)</f>
        <v>2319</v>
      </c>
      <c r="CI173" s="213">
        <f t="shared" ref="CI173" si="399">SUM(AU160:AU173)</f>
        <v>4932</v>
      </c>
      <c r="CJ173" s="213">
        <f t="shared" ref="CJ173" si="400">SUM(AV160:AV173)</f>
        <v>2955</v>
      </c>
      <c r="CK173" s="213">
        <f t="shared" ref="CK173" si="401">SUM(AW160:AW173)</f>
        <v>2703</v>
      </c>
      <c r="CL173" s="213">
        <f t="shared" ref="CL173" si="402">SUM(AX160:AX173)</f>
        <v>5179</v>
      </c>
      <c r="CM173" s="213">
        <f t="shared" ref="CM173" si="403">SUM(AY160:AY173)</f>
        <v>66183</v>
      </c>
      <c r="CN173" s="214">
        <f t="shared" ref="CN173" si="404">B173/B$5</f>
        <v>1.2278423655440294E-2</v>
      </c>
      <c r="CO173" s="214">
        <f t="shared" ref="CO173" si="405">C173/C$5</f>
        <v>1.1806299662391504E-2</v>
      </c>
      <c r="CP173" s="214">
        <f t="shared" ref="CP173" si="406">D173/D$5</f>
        <v>1.2917302736768423E-2</v>
      </c>
      <c r="CQ173" s="214">
        <f t="shared" ref="CQ173" si="407">E173/E$5</f>
        <v>9.7516004509931101E-3</v>
      </c>
      <c r="CR173" s="214">
        <f t="shared" ref="CR173" si="408">F173/F$5</f>
        <v>2.0403752867526135E-3</v>
      </c>
      <c r="CS173" s="214">
        <f t="shared" ref="CS173" si="409">G173/G$5</f>
        <v>4.5885100362094682E-3</v>
      </c>
      <c r="CT173" s="214">
        <f t="shared" ref="CT173" si="410">H173/H$5</f>
        <v>5.7553901912879716E-3</v>
      </c>
      <c r="CU173" s="214">
        <f t="shared" ref="CU173" si="411">I173/I$5</f>
        <v>6.3082924821555612E-3</v>
      </c>
      <c r="CV173" s="214">
        <f t="shared" ref="CV173" si="412">J173/J$5</f>
        <v>1.4129538936691659E-2</v>
      </c>
      <c r="CW173" s="214">
        <f t="shared" ref="CW173" si="413">K173/K$5</f>
        <v>9.9807024826506236E-3</v>
      </c>
      <c r="CX173" s="215">
        <f t="shared" ref="CX173" si="414">AF173/AF$5</f>
        <v>2.5397512243359943E-4</v>
      </c>
      <c r="CY173" s="215">
        <f t="shared" ref="CY173" si="415">AG173/AG$5</f>
        <v>4.6540950905058082E-3</v>
      </c>
      <c r="CZ173" s="215">
        <f t="shared" ref="CZ173" si="416">AH173/AH$5</f>
        <v>1.9910746079049909E-3</v>
      </c>
      <c r="DA173" s="215">
        <f t="shared" ref="DA173" si="417">AI173/AI$5</f>
        <v>2.0802977945626158E-3</v>
      </c>
      <c r="DB173" s="215">
        <f t="shared" ref="DB173" si="418">AJ173/AJ$5</f>
        <v>2.5692602405190309E-4</v>
      </c>
      <c r="DC173" s="215">
        <f t="shared" ref="DC173" si="419">AK173/AK$5</f>
        <v>5.0257981408973959E-4</v>
      </c>
      <c r="DD173" s="215">
        <f t="shared" ref="DD173" si="420">AL173/AL$5</f>
        <v>2.0564181272285224E-3</v>
      </c>
      <c r="DE173" s="215">
        <f t="shared" ref="DE173" si="421">AM173/AM$5</f>
        <v>2.4806617122012037E-3</v>
      </c>
      <c r="DF173" s="215">
        <f t="shared" ref="DF173" si="422">AN173/AN$5</f>
        <v>1.0483868731439273E-3</v>
      </c>
      <c r="DG173" s="215">
        <f t="shared" ref="DG173" si="423">AO173/AO$5</f>
        <v>1.5430643965140256E-3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33452-DA28-496F-9F97-FD92F6CC4930}">
  <sheetPr codeName="Sheet48"/>
  <dimension ref="A2:AP140"/>
  <sheetViews>
    <sheetView topLeftCell="S32" zoomScaleNormal="100" workbookViewId="0">
      <selection activeCell="AG63" sqref="AG63"/>
    </sheetView>
  </sheetViews>
  <sheetFormatPr baseColWidth="10" defaultColWidth="8.6640625" defaultRowHeight="15"/>
  <cols>
    <col min="1" max="1" width="8.6640625" style="100"/>
    <col min="2" max="2" width="9.33203125" style="118" bestFit="1" customWidth="1"/>
    <col min="3" max="3" width="13.5" style="118" bestFit="1" customWidth="1"/>
    <col min="4" max="9" width="11.1640625" style="118" customWidth="1"/>
    <col min="10" max="11" width="8.6640625" style="118"/>
    <col min="12" max="12" width="21.1640625" style="100" bestFit="1" customWidth="1"/>
    <col min="13" max="13" width="9.33203125" style="100" bestFit="1" customWidth="1"/>
    <col min="14" max="17" width="10.5" style="100" customWidth="1"/>
    <col min="18" max="19" width="15.83203125" style="100" bestFit="1" customWidth="1"/>
    <col min="20" max="20" width="13.6640625" style="100" bestFit="1" customWidth="1"/>
    <col min="21" max="21" width="13.33203125" style="100" bestFit="1" customWidth="1"/>
    <col min="22" max="22" width="12.5" style="100" bestFit="1" customWidth="1"/>
    <col min="23" max="23" width="9.33203125" style="100" bestFit="1" customWidth="1"/>
    <col min="24" max="24" width="11.5" style="100" bestFit="1" customWidth="1"/>
    <col min="25" max="25" width="10.33203125" style="100" bestFit="1" customWidth="1"/>
    <col min="26" max="26" width="16.1640625" style="100" bestFit="1" customWidth="1"/>
    <col min="27" max="27" width="12.83203125" style="100" bestFit="1" customWidth="1"/>
    <col min="28" max="28" width="13.33203125" style="100" bestFit="1" customWidth="1"/>
    <col min="29" max="29" width="12.5" style="100" bestFit="1" customWidth="1"/>
    <col min="30" max="30" width="9" style="100" bestFit="1" customWidth="1"/>
    <col min="31" max="31" width="14.33203125" style="100" bestFit="1" customWidth="1"/>
    <col min="32" max="32" width="9.6640625" style="100" bestFit="1" customWidth="1"/>
    <col min="33" max="33" width="15.33203125" style="100" bestFit="1" customWidth="1"/>
    <col min="34" max="34" width="12.83203125" style="100" bestFit="1" customWidth="1"/>
    <col min="35" max="35" width="13.33203125" style="100" bestFit="1" customWidth="1"/>
    <col min="36" max="36" width="12.5" style="100" bestFit="1" customWidth="1"/>
    <col min="37" max="37" width="8.83203125" style="100" bestFit="1" customWidth="1"/>
    <col min="38" max="38" width="14.33203125" style="100" bestFit="1" customWidth="1"/>
    <col min="39" max="39" width="9.6640625" style="100" bestFit="1" customWidth="1"/>
    <col min="40" max="42" width="15.6640625" style="100" bestFit="1" customWidth="1"/>
    <col min="43" max="16384" width="8.6640625" style="100"/>
  </cols>
  <sheetData>
    <row r="2" spans="2:42">
      <c r="L2" s="110">
        <v>44021</v>
      </c>
    </row>
    <row r="3" spans="2:42">
      <c r="L3" s="110"/>
      <c r="N3" s="238" t="s">
        <v>2441</v>
      </c>
      <c r="O3" s="238"/>
      <c r="P3" s="238"/>
      <c r="Q3" s="238"/>
      <c r="U3" s="239" t="s">
        <v>2442</v>
      </c>
      <c r="V3" s="239"/>
      <c r="W3" s="239"/>
      <c r="Z3" s="240" t="s">
        <v>2443</v>
      </c>
      <c r="AA3" s="240"/>
      <c r="AB3" s="240"/>
      <c r="AC3" s="240"/>
      <c r="AD3" s="240"/>
      <c r="AE3" s="240"/>
      <c r="AF3" s="240"/>
      <c r="AH3" s="241" t="s">
        <v>2445</v>
      </c>
      <c r="AI3" s="241"/>
      <c r="AJ3" s="241"/>
      <c r="AK3" s="241"/>
      <c r="AL3" s="241"/>
      <c r="AM3" s="241"/>
      <c r="AN3" s="241"/>
      <c r="AO3" s="241"/>
      <c r="AP3" s="241"/>
    </row>
    <row r="4" spans="2:42" s="108" customFormat="1" ht="48">
      <c r="D4" s="216" t="s">
        <v>2422</v>
      </c>
      <c r="E4" s="216" t="s">
        <v>2423</v>
      </c>
      <c r="F4" s="216" t="s">
        <v>2424</v>
      </c>
      <c r="G4" s="216" t="s">
        <v>2425</v>
      </c>
      <c r="H4" s="216" t="s">
        <v>2426</v>
      </c>
      <c r="I4" s="216" t="s">
        <v>2427</v>
      </c>
      <c r="N4" s="111" t="s">
        <v>2412</v>
      </c>
      <c r="O4" s="111" t="s">
        <v>1506</v>
      </c>
      <c r="P4" s="111" t="s">
        <v>0</v>
      </c>
      <c r="Q4" s="111" t="s">
        <v>1</v>
      </c>
      <c r="R4" s="108" t="s">
        <v>2413</v>
      </c>
      <c r="S4" s="108" t="s">
        <v>2414</v>
      </c>
      <c r="T4" s="108" t="s">
        <v>2415</v>
      </c>
      <c r="U4" s="111" t="s">
        <v>2416</v>
      </c>
      <c r="V4" s="111" t="s">
        <v>2417</v>
      </c>
      <c r="W4" s="111" t="s">
        <v>2418</v>
      </c>
      <c r="X4" s="108" t="s">
        <v>2420</v>
      </c>
      <c r="Y4" s="108" t="s">
        <v>2421</v>
      </c>
      <c r="Z4" s="111" t="s">
        <v>2419</v>
      </c>
      <c r="AA4" s="111" t="s">
        <v>2422</v>
      </c>
      <c r="AB4" s="111" t="s">
        <v>2423</v>
      </c>
      <c r="AC4" s="111" t="s">
        <v>2424</v>
      </c>
      <c r="AD4" s="111" t="s">
        <v>2425</v>
      </c>
      <c r="AE4" s="111" t="s">
        <v>2426</v>
      </c>
      <c r="AF4" s="111" t="s">
        <v>2427</v>
      </c>
      <c r="AG4" s="112" t="s">
        <v>2444</v>
      </c>
      <c r="AH4" s="111" t="s">
        <v>2422</v>
      </c>
      <c r="AI4" s="111" t="s">
        <v>2423</v>
      </c>
      <c r="AJ4" s="111" t="s">
        <v>2424</v>
      </c>
      <c r="AK4" s="111" t="s">
        <v>2425</v>
      </c>
      <c r="AL4" s="111" t="s">
        <v>2426</v>
      </c>
      <c r="AM4" s="111" t="s">
        <v>2427</v>
      </c>
      <c r="AN4" s="111" t="s">
        <v>2431</v>
      </c>
      <c r="AO4" s="111" t="s">
        <v>2432</v>
      </c>
      <c r="AP4" s="111" t="s">
        <v>2433</v>
      </c>
    </row>
    <row r="5" spans="2:42">
      <c r="L5" s="100" t="s">
        <v>105</v>
      </c>
      <c r="M5" s="100" t="s">
        <v>2411</v>
      </c>
      <c r="N5" s="100">
        <f ca="1">OFFSET('National statistics'!$A$6,MATCH($L$2,'National statistics'!$A$7:$A$2000,0),MATCH($L5 &amp; "_Confirmed Cases",'National statistics'!$B$1:$DG$1,0))</f>
        <v>44432</v>
      </c>
      <c r="O5" s="118">
        <f ca="1">OFFSET('National statistics'!$A$6,MATCH($L$2,'National statistics'!$A$7:$A$2000,0),MATCH($L5 &amp; "_Active Cases",'National statistics'!$B$1:$DG$1,0))</f>
        <v>20518</v>
      </c>
      <c r="P5" s="118">
        <f ca="1">OFFSET('National statistics'!$A$6,MATCH($L$2,'National statistics'!$A$7:$A$2000,0),MATCH($L5 &amp; "_Recoveries",'National statistics'!$B$1:$DG$1,0))</f>
        <v>23304</v>
      </c>
      <c r="Q5" s="118">
        <f ca="1">OFFSET('National statistics'!$A$6,MATCH($L$2,'National statistics'!$A$7:$A$2000,0),MATCH($L5 &amp; "_Deaths",'National statistics'!$B$1:$DG$1,0))</f>
        <v>610</v>
      </c>
      <c r="R5" s="73">
        <f t="shared" ref="R5:R13" ca="1" si="0">Q5/N5</f>
        <v>1.3728844076341376E-2</v>
      </c>
      <c r="S5" s="73">
        <f ca="1">R5/10</f>
        <v>1.3728844076341376E-3</v>
      </c>
      <c r="T5" s="73">
        <f t="shared" ref="T5:T13" ca="1" si="1">Q5/(Q5+P5)</f>
        <v>2.5508070586267459E-2</v>
      </c>
      <c r="U5" s="100">
        <f>Hospitals!S5</f>
        <v>90</v>
      </c>
      <c r="V5" s="100">
        <f>Hospitals!S18</f>
        <v>12472</v>
      </c>
      <c r="W5" s="100">
        <f>Hospitals!S31</f>
        <v>316</v>
      </c>
      <c r="X5" s="107">
        <f>V5/U5</f>
        <v>138.57777777777778</v>
      </c>
      <c r="Y5" s="107">
        <f>W5/U5</f>
        <v>3.5111111111111111</v>
      </c>
      <c r="Z5" s="100">
        <v>23</v>
      </c>
      <c r="AA5" s="100">
        <v>1455</v>
      </c>
      <c r="AB5" s="100">
        <v>343</v>
      </c>
      <c r="AC5" s="100">
        <v>623</v>
      </c>
      <c r="AD5" s="100">
        <v>408</v>
      </c>
      <c r="AE5" s="100">
        <v>68</v>
      </c>
      <c r="AF5" s="100">
        <v>29</v>
      </c>
      <c r="AG5" s="113">
        <f ca="1">Q5/AB5</f>
        <v>1.7784256559766765</v>
      </c>
      <c r="AH5" s="100">
        <f ca="1">ROUND(AA5*$AG5,0)</f>
        <v>2588</v>
      </c>
      <c r="AI5" s="100">
        <f t="shared" ref="AI5:AL5" ca="1" si="2">ROUND(AB5*$AG5,0)</f>
        <v>610</v>
      </c>
      <c r="AJ5" s="100">
        <f t="shared" ca="1" si="2"/>
        <v>1108</v>
      </c>
      <c r="AK5" s="100">
        <f t="shared" ca="1" si="2"/>
        <v>726</v>
      </c>
      <c r="AL5" s="100">
        <f t="shared" ca="1" si="2"/>
        <v>121</v>
      </c>
      <c r="AM5" s="100">
        <f ca="1">ROUND(AF5*$AG5,0)</f>
        <v>52</v>
      </c>
      <c r="AN5" s="71">
        <f ca="1">AH5/N5</f>
        <v>5.8246308966510625E-2</v>
      </c>
      <c r="AO5" s="71">
        <f ca="1">AL5/AK5</f>
        <v>0.16666666666666666</v>
      </c>
      <c r="AP5" s="71">
        <f ca="1">AM5/AK5</f>
        <v>7.1625344352617082E-2</v>
      </c>
    </row>
    <row r="6" spans="2:42">
      <c r="B6" s="99">
        <v>44041</v>
      </c>
      <c r="C6" s="118" t="s">
        <v>111</v>
      </c>
      <c r="D6" s="118">
        <v>9955</v>
      </c>
      <c r="E6" s="118">
        <v>1162</v>
      </c>
      <c r="F6" s="118">
        <v>5888</v>
      </c>
      <c r="G6" s="118">
        <v>2849</v>
      </c>
      <c r="H6" s="118">
        <v>555</v>
      </c>
      <c r="I6" s="118">
        <v>325</v>
      </c>
      <c r="L6" s="100" t="s">
        <v>107</v>
      </c>
      <c r="M6" s="100" t="s">
        <v>2411</v>
      </c>
      <c r="N6" s="118">
        <f ca="1">OFFSET('National statistics'!$A$6,MATCH($L$2,'National statistics'!$A$7:$A$2000,0),MATCH($L6 &amp; "_Confirmed Cases",'National statistics'!$B$1:$DG$1,0))</f>
        <v>3724</v>
      </c>
      <c r="O6" s="118">
        <f ca="1">OFFSET('National statistics'!$A$6,MATCH($L$2,'National statistics'!$A$7:$A$2000,0),MATCH($L6 &amp; "_Active Cases",'National statistics'!$B$1:$DG$1,0))</f>
        <v>3076</v>
      </c>
      <c r="P6" s="118">
        <f ca="1">OFFSET('National statistics'!$A$6,MATCH($L$2,'National statistics'!$A$7:$A$2000,0),MATCH($L6 &amp; "_Recoveries",'National statistics'!$B$1:$DG$1,0))</f>
        <v>629</v>
      </c>
      <c r="Q6" s="118">
        <f ca="1">OFFSET('National statistics'!$A$6,MATCH($L$2,'National statistics'!$A$7:$A$2000,0),MATCH($L6 &amp; "_Deaths",'National statistics'!$B$1:$DG$1,0))</f>
        <v>19</v>
      </c>
      <c r="R6" s="73">
        <f t="shared" ca="1" si="0"/>
        <v>5.1020408163265302E-3</v>
      </c>
      <c r="S6" s="73">
        <f t="shared" ref="S6:S13" ca="1" si="3">R6/10</f>
        <v>5.10204081632653E-4</v>
      </c>
      <c r="T6" s="73">
        <f t="shared" ca="1" si="1"/>
        <v>2.9320987654320986E-2</v>
      </c>
      <c r="U6" s="100">
        <f>Hospitals!S6</f>
        <v>47</v>
      </c>
      <c r="V6" s="100">
        <f>Hospitals!S19</f>
        <v>6177</v>
      </c>
      <c r="W6" s="100">
        <f>Hospitals!S32</f>
        <v>241</v>
      </c>
      <c r="X6" s="107">
        <f t="shared" ref="X6:X13" si="4">V6/U6</f>
        <v>131.42553191489361</v>
      </c>
      <c r="Y6" s="107">
        <f t="shared" ref="Y6:Y13" si="5">W6/U6</f>
        <v>5.1276595744680851</v>
      </c>
      <c r="Z6" s="100">
        <v>22</v>
      </c>
      <c r="AA6" s="100">
        <v>500</v>
      </c>
      <c r="AB6" s="100">
        <v>33</v>
      </c>
      <c r="AC6" s="100">
        <v>265</v>
      </c>
      <c r="AD6" s="100">
        <v>187</v>
      </c>
      <c r="AE6" s="100">
        <v>20</v>
      </c>
      <c r="AF6" s="100">
        <v>11</v>
      </c>
      <c r="AG6" s="113">
        <f t="shared" ref="AG6:AG13" ca="1" si="6">Q6/AB6</f>
        <v>0.5757575757575758</v>
      </c>
      <c r="AH6" s="100">
        <f t="shared" ref="AH6:AH13" ca="1" si="7">ROUND(AA6*$AG6,0)</f>
        <v>288</v>
      </c>
      <c r="AI6" s="100">
        <f t="shared" ref="AI6:AI13" ca="1" si="8">ROUND(AB6*$AG6,0)</f>
        <v>19</v>
      </c>
      <c r="AJ6" s="100">
        <f t="shared" ref="AJ6:AJ13" ca="1" si="9">ROUND(AC6*$AG6,0)</f>
        <v>153</v>
      </c>
      <c r="AK6" s="100">
        <f t="shared" ref="AK6:AK13" ca="1" si="10">ROUND(AD6*$AG6,0)</f>
        <v>108</v>
      </c>
      <c r="AL6" s="100">
        <f t="shared" ref="AL6:AL13" ca="1" si="11">ROUND(AE6*$AG6,0)</f>
        <v>12</v>
      </c>
      <c r="AM6" s="100">
        <f t="shared" ref="AM6:AM13" ca="1" si="12">ROUND(AF6*$AG6,0)</f>
        <v>6</v>
      </c>
      <c r="AN6" s="71">
        <f t="shared" ref="AN6:AN12" ca="1" si="13">AH6/N6</f>
        <v>7.7336197636949516E-2</v>
      </c>
      <c r="AO6" s="71">
        <f t="shared" ref="AO6:AO13" ca="1" si="14">AL6/AK6</f>
        <v>0.1111111111111111</v>
      </c>
      <c r="AP6" s="71">
        <f t="shared" ref="AP6:AP13" ca="1" si="15">AM6/AK6</f>
        <v>5.5555555555555552E-2</v>
      </c>
    </row>
    <row r="7" spans="2:42">
      <c r="B7" s="99">
        <v>44041</v>
      </c>
      <c r="C7" s="118" t="s">
        <v>1589</v>
      </c>
      <c r="D7" s="118">
        <v>5355</v>
      </c>
      <c r="E7" s="118">
        <v>563</v>
      </c>
      <c r="F7" s="118">
        <v>3253</v>
      </c>
      <c r="G7" s="118">
        <v>1521</v>
      </c>
      <c r="H7" s="118">
        <v>299</v>
      </c>
      <c r="I7" s="118">
        <v>173</v>
      </c>
      <c r="L7" s="100" t="s">
        <v>111</v>
      </c>
      <c r="M7" s="100" t="s">
        <v>2411</v>
      </c>
      <c r="N7" s="118">
        <f ca="1">OFFSET('National statistics'!$A$6,MATCH($L$2,'National statistics'!$A$7:$A$2000,0),MATCH($L7 &amp; "_Confirmed Cases",'National statistics'!$B$1:$DG$1,0))</f>
        <v>81546</v>
      </c>
      <c r="O7" s="118">
        <f ca="1">OFFSET('National statistics'!$A$6,MATCH($L$2,'National statistics'!$A$7:$A$2000,0),MATCH($L7 &amp; "_Active Cases",'National statistics'!$B$1:$DG$1,0))</f>
        <v>57227</v>
      </c>
      <c r="P7" s="118">
        <f ca="1">OFFSET('National statistics'!$A$6,MATCH($L$2,'National statistics'!$A$7:$A$2000,0),MATCH($L7 &amp; "_Recoveries",'National statistics'!$B$1:$DG$1,0))</f>
        <v>23804</v>
      </c>
      <c r="Q7" s="118">
        <f ca="1">OFFSET('National statistics'!$A$6,MATCH($L$2,'National statistics'!$A$7:$A$2000,0),MATCH($L7 &amp; "_Deaths",'National statistics'!$B$1:$DG$1,0))</f>
        <v>515</v>
      </c>
      <c r="R7" s="73">
        <f t="shared" ca="1" si="0"/>
        <v>6.3154538542663039E-3</v>
      </c>
      <c r="S7" s="73">
        <f t="shared" ca="1" si="3"/>
        <v>6.3154538542663035E-4</v>
      </c>
      <c r="T7" s="73">
        <f t="shared" ca="1" si="1"/>
        <v>2.1176857601052673E-2</v>
      </c>
      <c r="U7" s="100">
        <f>Hospitals!S7</f>
        <v>110</v>
      </c>
      <c r="V7" s="100">
        <f>Hospitals!S20</f>
        <v>30552</v>
      </c>
      <c r="W7" s="100">
        <f>Hospitals!S33</f>
        <v>1999</v>
      </c>
      <c r="X7" s="107">
        <f t="shared" si="4"/>
        <v>277.74545454545455</v>
      </c>
      <c r="Y7" s="107">
        <f t="shared" si="5"/>
        <v>18.172727272727272</v>
      </c>
      <c r="Z7" s="100">
        <v>83</v>
      </c>
      <c r="AA7" s="100">
        <v>4250</v>
      </c>
      <c r="AB7" s="100">
        <v>372</v>
      </c>
      <c r="AC7" s="100">
        <v>1713</v>
      </c>
      <c r="AD7" s="100">
        <v>2121</v>
      </c>
      <c r="AE7" s="100">
        <v>361</v>
      </c>
      <c r="AF7" s="100">
        <v>166</v>
      </c>
      <c r="AG7" s="113">
        <f t="shared" ca="1" si="6"/>
        <v>1.3844086021505377</v>
      </c>
      <c r="AH7" s="100">
        <f t="shared" ca="1" si="7"/>
        <v>5884</v>
      </c>
      <c r="AI7" s="100">
        <f t="shared" ca="1" si="8"/>
        <v>515</v>
      </c>
      <c r="AJ7" s="100">
        <f t="shared" ca="1" si="9"/>
        <v>2371</v>
      </c>
      <c r="AK7" s="100">
        <f t="shared" ca="1" si="10"/>
        <v>2936</v>
      </c>
      <c r="AL7" s="100">
        <f t="shared" ca="1" si="11"/>
        <v>500</v>
      </c>
      <c r="AM7" s="100">
        <f t="shared" ca="1" si="12"/>
        <v>230</v>
      </c>
      <c r="AN7" s="71">
        <f t="shared" ca="1" si="13"/>
        <v>7.215559316214161E-2</v>
      </c>
      <c r="AO7" s="71">
        <f t="shared" ca="1" si="14"/>
        <v>0.17029972752043596</v>
      </c>
      <c r="AP7" s="71">
        <f t="shared" ca="1" si="15"/>
        <v>7.833787465940055E-2</v>
      </c>
    </row>
    <row r="8" spans="2:42">
      <c r="B8" s="99">
        <v>44041</v>
      </c>
      <c r="C8" s="118" t="s">
        <v>119</v>
      </c>
      <c r="D8" s="118">
        <v>13818</v>
      </c>
      <c r="E8" s="118">
        <v>2549</v>
      </c>
      <c r="F8" s="118">
        <v>9722</v>
      </c>
      <c r="G8" s="118">
        <v>1500</v>
      </c>
      <c r="H8" s="118">
        <v>206</v>
      </c>
      <c r="I8" s="118">
        <v>87</v>
      </c>
      <c r="L8" s="100" t="s">
        <v>1589</v>
      </c>
      <c r="M8" s="100" t="s">
        <v>2411</v>
      </c>
      <c r="N8" s="118">
        <f ca="1">OFFSET('National statistics'!$A$6,MATCH($L$2,'National statistics'!$A$7:$A$2000,0),MATCH($L8 &amp; "_Confirmed Cases",'National statistics'!$B$1:$DG$1,0))</f>
        <v>19630</v>
      </c>
      <c r="O8" s="118">
        <f ca="1">OFFSET('National statistics'!$A$6,MATCH($L$2,'National statistics'!$A$7:$A$2000,0),MATCH($L8 &amp; "_Active Cases",'National statistics'!$B$1:$DG$1,0))</f>
        <v>13876</v>
      </c>
      <c r="P8" s="118">
        <f ca="1">OFFSET('National statistics'!$A$6,MATCH($L$2,'National statistics'!$A$7:$A$2000,0),MATCH($L8 &amp; "_Recoveries",'National statistics'!$B$1:$DG$1,0))</f>
        <v>5505</v>
      </c>
      <c r="Q8" s="118">
        <f ca="1">OFFSET('National statistics'!$A$6,MATCH($L$2,'National statistics'!$A$7:$A$2000,0),MATCH($L8 &amp; "_Deaths",'National statistics'!$B$1:$DG$1,0))</f>
        <v>249</v>
      </c>
      <c r="R8" s="73">
        <f t="shared" ca="1" si="0"/>
        <v>1.2684666327050433E-2</v>
      </c>
      <c r="S8" s="73">
        <f t="shared" ca="1" si="3"/>
        <v>1.2684666327050433E-3</v>
      </c>
      <c r="T8" s="73">
        <f t="shared" ca="1" si="1"/>
        <v>4.3274244004171014E-2</v>
      </c>
      <c r="U8" s="100">
        <f>Hospitals!S8</f>
        <v>98</v>
      </c>
      <c r="V8" s="100">
        <f>Hospitals!S21</f>
        <v>24805</v>
      </c>
      <c r="W8" s="100">
        <f>Hospitals!S34</f>
        <v>887</v>
      </c>
      <c r="X8" s="107">
        <f t="shared" si="4"/>
        <v>253.11224489795919</v>
      </c>
      <c r="Y8" s="107">
        <f t="shared" si="5"/>
        <v>9.0510204081632661</v>
      </c>
      <c r="Z8" s="100">
        <v>44</v>
      </c>
      <c r="AA8" s="100">
        <v>1732</v>
      </c>
      <c r="AB8" s="100">
        <v>128</v>
      </c>
      <c r="AC8" s="100">
        <v>706</v>
      </c>
      <c r="AD8" s="100">
        <v>889</v>
      </c>
      <c r="AE8" s="100">
        <v>119</v>
      </c>
      <c r="AF8" s="100">
        <v>53</v>
      </c>
      <c r="AG8" s="113">
        <f t="shared" ca="1" si="6"/>
        <v>1.9453125</v>
      </c>
      <c r="AH8" s="100">
        <f t="shared" ca="1" si="7"/>
        <v>3369</v>
      </c>
      <c r="AI8" s="100">
        <f t="shared" ca="1" si="8"/>
        <v>249</v>
      </c>
      <c r="AJ8" s="100">
        <f t="shared" ca="1" si="9"/>
        <v>1373</v>
      </c>
      <c r="AK8" s="100">
        <f t="shared" ca="1" si="10"/>
        <v>1729</v>
      </c>
      <c r="AL8" s="100">
        <f t="shared" ca="1" si="11"/>
        <v>231</v>
      </c>
      <c r="AM8" s="100">
        <f t="shared" ca="1" si="12"/>
        <v>103</v>
      </c>
      <c r="AN8" s="71">
        <f t="shared" ca="1" si="13"/>
        <v>0.17162506367804381</v>
      </c>
      <c r="AO8" s="71">
        <f t="shared" ca="1" si="14"/>
        <v>0.13360323886639677</v>
      </c>
      <c r="AP8" s="71">
        <f t="shared" ca="1" si="15"/>
        <v>5.9572006940427996E-2</v>
      </c>
    </row>
    <row r="9" spans="2:42">
      <c r="B9" s="99">
        <v>44041</v>
      </c>
      <c r="C9" s="118" t="s">
        <v>107</v>
      </c>
      <c r="D9" s="118">
        <v>1805</v>
      </c>
      <c r="E9" s="118">
        <v>239</v>
      </c>
      <c r="F9" s="118">
        <v>980</v>
      </c>
      <c r="G9" s="118">
        <v>482</v>
      </c>
      <c r="H9" s="118">
        <v>61</v>
      </c>
      <c r="I9" s="118">
        <v>30</v>
      </c>
      <c r="L9" s="100" t="s">
        <v>114</v>
      </c>
      <c r="M9" s="100" t="s">
        <v>2411</v>
      </c>
      <c r="N9" s="118">
        <f ca="1">OFFSET('National statistics'!$A$6,MATCH($L$2,'National statistics'!$A$7:$A$2000,0),MATCH($L9 &amp; "_Confirmed Cases",'National statistics'!$B$1:$DG$1,0))</f>
        <v>2381</v>
      </c>
      <c r="O9" s="118">
        <f ca="1">OFFSET('National statistics'!$A$6,MATCH($L$2,'National statistics'!$A$7:$A$2000,0),MATCH($L9 &amp; "_Active Cases",'National statistics'!$B$1:$DG$1,0))</f>
        <v>1672</v>
      </c>
      <c r="P9" s="118">
        <f ca="1">OFFSET('National statistics'!$A$6,MATCH($L$2,'National statistics'!$A$7:$A$2000,0),MATCH($L9 &amp; "_Recoveries",'National statistics'!$B$1:$DG$1,0))</f>
        <v>665</v>
      </c>
      <c r="Q9" s="118">
        <f ca="1">OFFSET('National statistics'!$A$6,MATCH($L$2,'National statistics'!$A$7:$A$2000,0),MATCH($L9 &amp; "_Deaths",'National statistics'!$B$1:$DG$1,0))</f>
        <v>44</v>
      </c>
      <c r="R9" s="73">
        <f t="shared" ca="1" si="0"/>
        <v>1.8479630407391853E-2</v>
      </c>
      <c r="S9" s="73">
        <f t="shared" ca="1" si="3"/>
        <v>1.8479630407391852E-3</v>
      </c>
      <c r="T9" s="73">
        <f t="shared" ca="1" si="1"/>
        <v>6.2059238363892807E-2</v>
      </c>
      <c r="U9" s="100">
        <f>Hospitals!S9</f>
        <v>46</v>
      </c>
      <c r="V9" s="100">
        <f>Hospitals!S22</f>
        <v>7554</v>
      </c>
      <c r="W9" s="100">
        <f>Hospitals!S35</f>
        <v>136</v>
      </c>
      <c r="X9" s="107">
        <f t="shared" si="4"/>
        <v>164.21739130434781</v>
      </c>
      <c r="Y9" s="107">
        <f t="shared" si="5"/>
        <v>2.9565217391304346</v>
      </c>
      <c r="Z9" s="100">
        <v>7</v>
      </c>
      <c r="AA9" s="100">
        <v>172</v>
      </c>
      <c r="AB9" s="100">
        <v>9</v>
      </c>
      <c r="AC9" s="100">
        <v>104</v>
      </c>
      <c r="AD9" s="100">
        <v>59</v>
      </c>
      <c r="AE9" s="100">
        <v>9</v>
      </c>
      <c r="AF9" s="100">
        <v>8</v>
      </c>
      <c r="AG9" s="113">
        <f t="shared" ca="1" si="6"/>
        <v>4.8888888888888893</v>
      </c>
      <c r="AH9" s="100">
        <f t="shared" ca="1" si="7"/>
        <v>841</v>
      </c>
      <c r="AI9" s="100">
        <f t="shared" ca="1" si="8"/>
        <v>44</v>
      </c>
      <c r="AJ9" s="100">
        <f t="shared" ca="1" si="9"/>
        <v>508</v>
      </c>
      <c r="AK9" s="100">
        <f t="shared" ca="1" si="10"/>
        <v>288</v>
      </c>
      <c r="AL9" s="100">
        <f t="shared" ca="1" si="11"/>
        <v>44</v>
      </c>
      <c r="AM9" s="100">
        <f t="shared" ca="1" si="12"/>
        <v>39</v>
      </c>
      <c r="AN9" s="71">
        <f t="shared" ca="1" si="13"/>
        <v>0.35321293574128515</v>
      </c>
      <c r="AO9" s="71">
        <f t="shared" ca="1" si="14"/>
        <v>0.15277777777777779</v>
      </c>
      <c r="AP9" s="71">
        <f t="shared" ca="1" si="15"/>
        <v>0.13541666666666666</v>
      </c>
    </row>
    <row r="10" spans="2:42">
      <c r="B10" s="99">
        <v>44041</v>
      </c>
      <c r="C10" s="118" t="s">
        <v>105</v>
      </c>
      <c r="D10" s="118">
        <v>2242</v>
      </c>
      <c r="E10" s="118">
        <v>520</v>
      </c>
      <c r="F10" s="118">
        <v>1171</v>
      </c>
      <c r="G10" s="118">
        <v>410</v>
      </c>
      <c r="H10" s="118">
        <v>57</v>
      </c>
      <c r="I10" s="118">
        <v>50</v>
      </c>
      <c r="L10" s="100" t="s">
        <v>115</v>
      </c>
      <c r="M10" s="100" t="s">
        <v>2411</v>
      </c>
      <c r="N10" s="118">
        <f ca="1">OFFSET('National statistics'!$A$6,MATCH($L$2,'National statistics'!$A$7:$A$2000,0),MATCH($L10 &amp; "_Confirmed Cases",'National statistics'!$B$1:$DG$1,0))</f>
        <v>2902</v>
      </c>
      <c r="O10" s="118">
        <f ca="1">OFFSET('National statistics'!$A$6,MATCH($L$2,'National statistics'!$A$7:$A$2000,0),MATCH($L10 &amp; "_Active Cases",'National statistics'!$B$1:$DG$1,0))</f>
        <v>2101</v>
      </c>
      <c r="P10" s="118">
        <f ca="1">OFFSET('National statistics'!$A$6,MATCH($L$2,'National statistics'!$A$7:$A$2000,0),MATCH($L10 &amp; "_Recoveries",'National statistics'!$B$1:$DG$1,0))</f>
        <v>779</v>
      </c>
      <c r="Q10" s="118">
        <f ca="1">OFFSET('National statistics'!$A$6,MATCH($L$2,'National statistics'!$A$7:$A$2000,0),MATCH($L10 &amp; "_Deaths",'National statistics'!$B$1:$DG$1,0))</f>
        <v>22</v>
      </c>
      <c r="R10" s="73">
        <f t="shared" ca="1" si="0"/>
        <v>7.5809786354238459E-3</v>
      </c>
      <c r="S10" s="73">
        <f t="shared" ca="1" si="3"/>
        <v>7.5809786354238463E-4</v>
      </c>
      <c r="T10" s="73">
        <f t="shared" ca="1" si="1"/>
        <v>2.7465667915106119E-2</v>
      </c>
      <c r="U10" s="100">
        <f>Hospitals!S10</f>
        <v>41</v>
      </c>
      <c r="V10" s="100">
        <f>Hospitals!S23</f>
        <v>6068</v>
      </c>
      <c r="W10" s="100">
        <f>Hospitals!S36</f>
        <v>177</v>
      </c>
      <c r="X10" s="107">
        <f t="shared" si="4"/>
        <v>148</v>
      </c>
      <c r="Y10" s="107">
        <f t="shared" si="5"/>
        <v>4.3170731707317076</v>
      </c>
      <c r="Z10" s="100">
        <v>8</v>
      </c>
      <c r="AA10" s="100">
        <v>124</v>
      </c>
      <c r="AB10" s="100">
        <v>3</v>
      </c>
      <c r="AC10" s="100">
        <v>77</v>
      </c>
      <c r="AD10" s="100">
        <v>42</v>
      </c>
      <c r="AE10" s="100">
        <v>4</v>
      </c>
      <c r="AF10" s="100">
        <v>1</v>
      </c>
      <c r="AG10" s="113">
        <f t="shared" ca="1" si="6"/>
        <v>7.333333333333333</v>
      </c>
      <c r="AH10" s="100">
        <f t="shared" ca="1" si="7"/>
        <v>909</v>
      </c>
      <c r="AI10" s="100">
        <f t="shared" ca="1" si="8"/>
        <v>22</v>
      </c>
      <c r="AJ10" s="100">
        <f t="shared" ca="1" si="9"/>
        <v>565</v>
      </c>
      <c r="AK10" s="100">
        <f t="shared" ca="1" si="10"/>
        <v>308</v>
      </c>
      <c r="AL10" s="100">
        <f t="shared" ca="1" si="11"/>
        <v>29</v>
      </c>
      <c r="AM10" s="100">
        <f t="shared" ca="1" si="12"/>
        <v>7</v>
      </c>
      <c r="AN10" s="71">
        <f t="shared" ca="1" si="13"/>
        <v>0.31323225361819435</v>
      </c>
      <c r="AO10" s="71">
        <f t="shared" ca="1" si="14"/>
        <v>9.4155844155844159E-2</v>
      </c>
      <c r="AP10" s="71">
        <f t="shared" ca="1" si="15"/>
        <v>2.2727272727272728E-2</v>
      </c>
    </row>
    <row r="11" spans="2:42">
      <c r="B11" s="99">
        <v>44041</v>
      </c>
      <c r="C11" s="118" t="s">
        <v>116</v>
      </c>
      <c r="D11" s="118">
        <v>1285</v>
      </c>
      <c r="E11" s="118">
        <v>134</v>
      </c>
      <c r="F11" s="118">
        <v>795</v>
      </c>
      <c r="G11" s="118">
        <v>287</v>
      </c>
      <c r="H11" s="118">
        <v>45</v>
      </c>
      <c r="I11" s="118">
        <v>29</v>
      </c>
      <c r="L11" s="100" t="s">
        <v>116</v>
      </c>
      <c r="M11" s="100" t="s">
        <v>2411</v>
      </c>
      <c r="N11" s="118">
        <f ca="1">OFFSET('National statistics'!$A$6,MATCH($L$2,'National statistics'!$A$7:$A$2000,0),MATCH($L11 &amp; "_Confirmed Cases",'National statistics'!$B$1:$DG$1,0))</f>
        <v>7870</v>
      </c>
      <c r="O11" s="118">
        <f ca="1">OFFSET('National statistics'!$A$6,MATCH($L$2,'National statistics'!$A$7:$A$2000,0),MATCH($L11 &amp; "_Active Cases",'National statistics'!$B$1:$DG$1,0))</f>
        <v>6260</v>
      </c>
      <c r="P11" s="118">
        <f ca="1">OFFSET('National statistics'!$A$6,MATCH($L$2,'National statistics'!$A$7:$A$2000,0),MATCH($L11 &amp; "_Recoveries",'National statistics'!$B$1:$DG$1,0))</f>
        <v>1574</v>
      </c>
      <c r="Q11" s="118">
        <f ca="1">OFFSET('National statistics'!$A$6,MATCH($L$2,'National statistics'!$A$7:$A$2000,0),MATCH($L11 &amp; "_Deaths",'National statistics'!$B$1:$DG$1,0))</f>
        <v>36</v>
      </c>
      <c r="R11" s="73">
        <f t="shared" ca="1" si="0"/>
        <v>4.5743329097839899E-3</v>
      </c>
      <c r="S11" s="73">
        <f t="shared" ca="1" si="3"/>
        <v>4.5743329097839896E-4</v>
      </c>
      <c r="T11" s="73">
        <f t="shared" ca="1" si="1"/>
        <v>2.236024844720497E-2</v>
      </c>
      <c r="U11" s="100">
        <f>Hospitals!S11</f>
        <v>29</v>
      </c>
      <c r="V11" s="100">
        <f>Hospitals!S24</f>
        <v>4944</v>
      </c>
      <c r="W11" s="100">
        <f>Hospitals!S37</f>
        <v>219</v>
      </c>
      <c r="X11" s="107">
        <f t="shared" si="4"/>
        <v>170.48275862068965</v>
      </c>
      <c r="Y11" s="107">
        <f t="shared" si="5"/>
        <v>7.5517241379310347</v>
      </c>
      <c r="Z11" s="100">
        <v>14</v>
      </c>
      <c r="AA11" s="100">
        <v>623</v>
      </c>
      <c r="AB11" s="100">
        <v>51</v>
      </c>
      <c r="AC11" s="100">
        <v>297</v>
      </c>
      <c r="AD11" s="100">
        <v>247</v>
      </c>
      <c r="AE11" s="100">
        <v>33</v>
      </c>
      <c r="AF11" s="100">
        <v>12</v>
      </c>
      <c r="AG11" s="113">
        <f t="shared" ca="1" si="6"/>
        <v>0.70588235294117652</v>
      </c>
      <c r="AH11" s="100">
        <f t="shared" ca="1" si="7"/>
        <v>440</v>
      </c>
      <c r="AI11" s="100">
        <f t="shared" ca="1" si="8"/>
        <v>36</v>
      </c>
      <c r="AJ11" s="100">
        <f t="shared" ca="1" si="9"/>
        <v>210</v>
      </c>
      <c r="AK11" s="100">
        <f t="shared" ca="1" si="10"/>
        <v>174</v>
      </c>
      <c r="AL11" s="100">
        <f t="shared" ca="1" si="11"/>
        <v>23</v>
      </c>
      <c r="AM11" s="100">
        <f t="shared" ca="1" si="12"/>
        <v>8</v>
      </c>
      <c r="AN11" s="71">
        <f t="shared" ca="1" si="13"/>
        <v>5.5908513341804321E-2</v>
      </c>
      <c r="AO11" s="71">
        <f t="shared" ca="1" si="14"/>
        <v>0.13218390804597702</v>
      </c>
      <c r="AP11" s="71">
        <f t="shared" ca="1" si="15"/>
        <v>4.5977011494252873E-2</v>
      </c>
    </row>
    <row r="12" spans="2:42">
      <c r="B12" s="99">
        <v>44041</v>
      </c>
      <c r="C12" s="118" t="s">
        <v>115</v>
      </c>
      <c r="D12" s="118">
        <v>491</v>
      </c>
      <c r="E12" s="118">
        <v>27</v>
      </c>
      <c r="F12" s="118">
        <v>340</v>
      </c>
      <c r="G12" s="118">
        <v>122</v>
      </c>
      <c r="H12" s="118">
        <v>19</v>
      </c>
      <c r="I12" s="118">
        <v>13</v>
      </c>
      <c r="L12" s="100" t="s">
        <v>117</v>
      </c>
      <c r="M12" s="100" t="s">
        <v>2411</v>
      </c>
      <c r="N12" s="118">
        <f ca="1">OFFSET('National statistics'!$A$6,MATCH($L$2,'National statistics'!$A$7:$A$2000,0),MATCH($L12 &amp; "_Confirmed Cases",'National statistics'!$B$1:$DG$1,0))</f>
        <v>1039</v>
      </c>
      <c r="O12" s="118">
        <f ca="1">OFFSET('National statistics'!$A$6,MATCH($L$2,'National statistics'!$A$7:$A$2000,0),MATCH($L12 &amp; "_Active Cases",'National statistics'!$B$1:$DG$1,0))</f>
        <v>765</v>
      </c>
      <c r="P12" s="118">
        <f ca="1">OFFSET('National statistics'!$A$6,MATCH($L$2,'National statistics'!$A$7:$A$2000,0),MATCH($L12 &amp; "_Recoveries",'National statistics'!$B$1:$DG$1,0))</f>
        <v>267</v>
      </c>
      <c r="Q12" s="118">
        <f ca="1">OFFSET('National statistics'!$A$6,MATCH($L$2,'National statistics'!$A$7:$A$2000,0),MATCH($L12 &amp; "_Deaths",'National statistics'!$B$1:$DG$1,0))</f>
        <v>7</v>
      </c>
      <c r="R12" s="73">
        <f t="shared" ca="1" si="0"/>
        <v>6.7372473532242537E-3</v>
      </c>
      <c r="S12" s="73">
        <f t="shared" ca="1" si="3"/>
        <v>6.7372473532242535E-4</v>
      </c>
      <c r="T12" s="73">
        <f t="shared" ca="1" si="1"/>
        <v>2.5547445255474453E-2</v>
      </c>
      <c r="U12" s="100">
        <f>Hospitals!S12</f>
        <v>20</v>
      </c>
      <c r="V12" s="100">
        <f>Hospitals!S25</f>
        <v>2133</v>
      </c>
      <c r="W12" s="100">
        <f>Hospitals!S38</f>
        <v>88</v>
      </c>
      <c r="X12" s="107">
        <f t="shared" si="4"/>
        <v>106.65</v>
      </c>
      <c r="Y12" s="107">
        <f t="shared" si="5"/>
        <v>4.4000000000000004</v>
      </c>
      <c r="Z12" s="100">
        <v>7</v>
      </c>
      <c r="AA12" s="100">
        <v>86</v>
      </c>
      <c r="AB12" s="100">
        <v>5</v>
      </c>
      <c r="AC12" s="100">
        <v>45</v>
      </c>
      <c r="AD12" s="100">
        <v>33</v>
      </c>
      <c r="AE12" s="100">
        <v>2</v>
      </c>
      <c r="AF12" s="100">
        <v>0</v>
      </c>
      <c r="AG12" s="113">
        <f t="shared" ca="1" si="6"/>
        <v>1.4</v>
      </c>
      <c r="AH12" s="100">
        <f t="shared" ca="1" si="7"/>
        <v>120</v>
      </c>
      <c r="AI12" s="100">
        <f t="shared" ca="1" si="8"/>
        <v>7</v>
      </c>
      <c r="AJ12" s="100">
        <f t="shared" ca="1" si="9"/>
        <v>63</v>
      </c>
      <c r="AK12" s="100">
        <f t="shared" ca="1" si="10"/>
        <v>46</v>
      </c>
      <c r="AL12" s="100">
        <f t="shared" ca="1" si="11"/>
        <v>3</v>
      </c>
      <c r="AM12" s="100">
        <f t="shared" ca="1" si="12"/>
        <v>0</v>
      </c>
      <c r="AN12" s="71">
        <f t="shared" ca="1" si="13"/>
        <v>0.11549566891241578</v>
      </c>
      <c r="AO12" s="71">
        <f t="shared" ca="1" si="14"/>
        <v>6.5217391304347824E-2</v>
      </c>
      <c r="AP12" s="71">
        <f t="shared" ca="1" si="15"/>
        <v>0</v>
      </c>
    </row>
    <row r="13" spans="2:42">
      <c r="B13" s="99">
        <v>44041</v>
      </c>
      <c r="C13" s="118" t="s">
        <v>117</v>
      </c>
      <c r="D13" s="118">
        <v>363</v>
      </c>
      <c r="E13" s="118">
        <v>34</v>
      </c>
      <c r="F13" s="118">
        <v>226</v>
      </c>
      <c r="G13" s="118">
        <v>98</v>
      </c>
      <c r="H13" s="118">
        <v>15</v>
      </c>
      <c r="I13" s="118">
        <v>11</v>
      </c>
      <c r="L13" s="100" t="s">
        <v>119</v>
      </c>
      <c r="M13" s="100" t="s">
        <v>2411</v>
      </c>
      <c r="N13" s="118">
        <f ca="1">OFFSET('National statistics'!$A$6,MATCH($L$2,'National statistics'!$A$7:$A$2000,0),MATCH($L13 &amp; "_Confirmed Cases",'National statistics'!$B$1:$DG$1,0))</f>
        <v>74815</v>
      </c>
      <c r="O13" s="118">
        <f ca="1">OFFSET('National statistics'!$A$6,MATCH($L$2,'National statistics'!$A$7:$A$2000,0),MATCH($L13 &amp; "_Active Cases",'National statistics'!$B$1:$DG$1,0))</f>
        <v>17052</v>
      </c>
      <c r="P13" s="118">
        <f ca="1">OFFSET('National statistics'!$A$6,MATCH($L$2,'National statistics'!$A$7:$A$2000,0),MATCH($L13 &amp; "_Recoveries",'National statistics'!$B$1:$DG$1,0))</f>
        <v>55534</v>
      </c>
      <c r="Q13" s="118">
        <f ca="1">OFFSET('National statistics'!$A$6,MATCH($L$2,'National statistics'!$A$7:$A$2000,0),MATCH($L13 &amp; "_Deaths",'National statistics'!$B$1:$DG$1,0))</f>
        <v>2229</v>
      </c>
      <c r="R13" s="73">
        <f t="shared" ca="1" si="0"/>
        <v>2.9793490610171756E-2</v>
      </c>
      <c r="S13" s="73">
        <f t="shared" ca="1" si="3"/>
        <v>2.9793490610171757E-3</v>
      </c>
      <c r="T13" s="73">
        <f t="shared" ca="1" si="1"/>
        <v>3.8588715960043624E-2</v>
      </c>
      <c r="U13" s="100">
        <f>Hospitals!S13</f>
        <v>78</v>
      </c>
      <c r="V13" s="100">
        <f>Hospitals!S26</f>
        <v>12201</v>
      </c>
      <c r="W13" s="100">
        <f>Hospitals!S39</f>
        <v>679</v>
      </c>
      <c r="X13" s="107">
        <f t="shared" si="4"/>
        <v>156.42307692307693</v>
      </c>
      <c r="Y13" s="107">
        <f t="shared" si="5"/>
        <v>8.7051282051282044</v>
      </c>
      <c r="Z13" s="100">
        <v>85</v>
      </c>
      <c r="AA13" s="100">
        <v>10537</v>
      </c>
      <c r="AB13" s="100">
        <v>1891</v>
      </c>
      <c r="AC13" s="100">
        <v>6896</v>
      </c>
      <c r="AD13" s="100">
        <v>1704</v>
      </c>
      <c r="AE13" s="100">
        <v>256</v>
      </c>
      <c r="AF13" s="100">
        <v>87</v>
      </c>
      <c r="AG13" s="113">
        <f t="shared" ca="1" si="6"/>
        <v>1.1787414066631412</v>
      </c>
      <c r="AH13" s="100">
        <f t="shared" ca="1" si="7"/>
        <v>12420</v>
      </c>
      <c r="AI13" s="100">
        <f t="shared" ca="1" si="8"/>
        <v>2229</v>
      </c>
      <c r="AJ13" s="100">
        <f t="shared" ca="1" si="9"/>
        <v>8129</v>
      </c>
      <c r="AK13" s="100">
        <f t="shared" ca="1" si="10"/>
        <v>2009</v>
      </c>
      <c r="AL13" s="100">
        <f t="shared" ca="1" si="11"/>
        <v>302</v>
      </c>
      <c r="AM13" s="100">
        <f t="shared" ca="1" si="12"/>
        <v>103</v>
      </c>
      <c r="AN13" s="71">
        <f ca="1">AH13/N13</f>
        <v>0.16600949007551963</v>
      </c>
      <c r="AO13" s="71">
        <f t="shared" ca="1" si="14"/>
        <v>0.15032354405176704</v>
      </c>
      <c r="AP13" s="71">
        <f t="shared" ca="1" si="15"/>
        <v>5.1269288203086114E-2</v>
      </c>
    </row>
    <row r="14" spans="2:42">
      <c r="B14" s="99">
        <v>44041</v>
      </c>
      <c r="C14" s="118" t="s">
        <v>114</v>
      </c>
      <c r="D14" s="118">
        <v>456</v>
      </c>
      <c r="E14" s="118">
        <v>46</v>
      </c>
      <c r="F14" s="118">
        <v>328</v>
      </c>
      <c r="G14" s="118">
        <v>77</v>
      </c>
      <c r="H14" s="118">
        <v>9</v>
      </c>
      <c r="I14" s="118">
        <v>9</v>
      </c>
    </row>
    <row r="15" spans="2:42">
      <c r="B15" s="217">
        <f>B14+7</f>
        <v>44048</v>
      </c>
      <c r="C15" s="218" t="s">
        <v>111</v>
      </c>
      <c r="D15" s="218">
        <v>12977</v>
      </c>
      <c r="E15" s="218">
        <v>1603</v>
      </c>
      <c r="F15" s="218">
        <v>8591</v>
      </c>
      <c r="G15" s="218">
        <v>2716</v>
      </c>
      <c r="H15" s="218">
        <v>599</v>
      </c>
      <c r="I15" s="218">
        <v>323</v>
      </c>
    </row>
    <row r="16" spans="2:42">
      <c r="B16" s="217">
        <f>B15</f>
        <v>44048</v>
      </c>
      <c r="C16" s="218" t="s">
        <v>1589</v>
      </c>
      <c r="D16" s="218">
        <v>7165</v>
      </c>
      <c r="E16" s="218">
        <v>800</v>
      </c>
      <c r="F16" s="218">
        <v>4814</v>
      </c>
      <c r="G16" s="218">
        <v>1528</v>
      </c>
      <c r="H16" s="218">
        <v>323</v>
      </c>
      <c r="I16" s="218">
        <v>173</v>
      </c>
    </row>
    <row r="17" spans="2:39">
      <c r="B17" s="217">
        <f t="shared" ref="B17:B23" si="16">B16</f>
        <v>44048</v>
      </c>
      <c r="C17" s="218" t="s">
        <v>119</v>
      </c>
      <c r="D17" s="218">
        <v>15208</v>
      </c>
      <c r="E17" s="218">
        <v>2826</v>
      </c>
      <c r="F17" s="218">
        <v>11003</v>
      </c>
      <c r="G17" s="218">
        <v>1280</v>
      </c>
      <c r="H17" s="218">
        <v>198</v>
      </c>
      <c r="I17" s="218">
        <v>88</v>
      </c>
    </row>
    <row r="18" spans="2:39">
      <c r="B18" s="217">
        <f t="shared" si="16"/>
        <v>44048</v>
      </c>
      <c r="C18" s="218" t="s">
        <v>105</v>
      </c>
      <c r="D18" s="218">
        <v>3758</v>
      </c>
      <c r="E18" s="218">
        <v>815</v>
      </c>
      <c r="F18" s="218">
        <v>2193</v>
      </c>
      <c r="G18" s="218">
        <v>588</v>
      </c>
      <c r="H18" s="218">
        <v>115</v>
      </c>
      <c r="I18" s="218">
        <v>56</v>
      </c>
    </row>
    <row r="19" spans="2:39">
      <c r="B19" s="217">
        <f t="shared" si="16"/>
        <v>44048</v>
      </c>
      <c r="C19" s="218" t="s">
        <v>107</v>
      </c>
      <c r="D19" s="218">
        <v>2559</v>
      </c>
      <c r="E19" s="218">
        <v>379</v>
      </c>
      <c r="F19" s="218">
        <v>1490</v>
      </c>
      <c r="G19" s="218">
        <v>579</v>
      </c>
      <c r="H19" s="218">
        <v>65</v>
      </c>
      <c r="I19" s="218">
        <v>41</v>
      </c>
      <c r="L19" s="240" t="s">
        <v>2446</v>
      </c>
      <c r="M19" s="240"/>
      <c r="N19" s="240"/>
      <c r="O19" s="240"/>
      <c r="P19" s="240"/>
      <c r="Q19" s="240"/>
    </row>
    <row r="20" spans="2:39">
      <c r="B20" s="217">
        <f t="shared" si="16"/>
        <v>44048</v>
      </c>
      <c r="C20" s="218" t="s">
        <v>116</v>
      </c>
      <c r="D20" s="218">
        <v>1885</v>
      </c>
      <c r="E20" s="218">
        <v>207</v>
      </c>
      <c r="F20" s="218">
        <v>1272</v>
      </c>
      <c r="G20" s="218">
        <v>334</v>
      </c>
      <c r="H20" s="218">
        <v>59</v>
      </c>
      <c r="I20" s="218">
        <v>34</v>
      </c>
    </row>
    <row r="21" spans="2:39">
      <c r="B21" s="217">
        <f t="shared" si="16"/>
        <v>44048</v>
      </c>
      <c r="C21" s="218" t="s">
        <v>115</v>
      </c>
      <c r="D21" s="218">
        <v>817</v>
      </c>
      <c r="E21" s="218">
        <v>53</v>
      </c>
      <c r="F21" s="218">
        <v>582</v>
      </c>
      <c r="G21" s="218">
        <v>180</v>
      </c>
      <c r="H21" s="218">
        <v>44</v>
      </c>
      <c r="I21" s="218">
        <v>16</v>
      </c>
      <c r="M21" s="99">
        <v>43992</v>
      </c>
      <c r="N21" s="99">
        <v>43999</v>
      </c>
      <c r="O21" s="99">
        <v>44006</v>
      </c>
      <c r="P21" s="99">
        <v>44013</v>
      </c>
      <c r="Q21" s="99">
        <v>44020</v>
      </c>
      <c r="R21" s="99">
        <f>Q21+7</f>
        <v>44027</v>
      </c>
      <c r="S21" s="99">
        <f>R21+7</f>
        <v>44034</v>
      </c>
      <c r="T21" s="99">
        <v>44041</v>
      </c>
      <c r="U21" s="99">
        <f t="shared" ref="U21:V21" si="17">T21+7</f>
        <v>44048</v>
      </c>
      <c r="V21" s="99">
        <f t="shared" si="17"/>
        <v>44055</v>
      </c>
      <c r="W21" s="99">
        <v>44062</v>
      </c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</row>
    <row r="22" spans="2:39">
      <c r="B22" s="217">
        <f t="shared" si="16"/>
        <v>44048</v>
      </c>
      <c r="C22" s="218" t="s">
        <v>114</v>
      </c>
      <c r="D22" s="218">
        <v>581</v>
      </c>
      <c r="E22" s="218">
        <v>65</v>
      </c>
      <c r="F22" s="218">
        <v>410</v>
      </c>
      <c r="G22" s="218">
        <v>100</v>
      </c>
      <c r="H22" s="218">
        <v>13</v>
      </c>
      <c r="I22" s="218">
        <v>8</v>
      </c>
      <c r="L22" s="109" t="s">
        <v>2412</v>
      </c>
      <c r="M22" s="99"/>
      <c r="N22" s="99"/>
      <c r="O22" s="99"/>
      <c r="P22" s="99"/>
      <c r="Q22" s="99"/>
    </row>
    <row r="23" spans="2:39">
      <c r="B23" s="217">
        <f t="shared" si="16"/>
        <v>44048</v>
      </c>
      <c r="C23" s="218" t="s">
        <v>117</v>
      </c>
      <c r="D23" s="218">
        <v>453</v>
      </c>
      <c r="E23" s="218">
        <v>46</v>
      </c>
      <c r="F23" s="218">
        <v>288</v>
      </c>
      <c r="G23" s="218">
        <v>114</v>
      </c>
      <c r="H23" s="218">
        <v>12</v>
      </c>
      <c r="I23" s="218">
        <v>13</v>
      </c>
      <c r="L23" s="100" t="s">
        <v>105</v>
      </c>
      <c r="M23" s="118">
        <f ca="1">OFFSET('National statistics'!$A$6,MATCH(M$21,'National statistics'!$A$7:$A$2000,0),MATCH($L23 &amp; "_Confirmed Cases",'National statistics'!$B$1:$DG$1,0))</f>
        <v>7154</v>
      </c>
      <c r="N23" s="118">
        <f ca="1">OFFSET('National statistics'!$A$6,MATCH(N$21,'National statistics'!$A$7:$A$2000,0),MATCH($L23 &amp; "_Confirmed Cases",'National statistics'!$B$1:$DG$1,0))</f>
        <v>11919</v>
      </c>
      <c r="O23" s="118">
        <f ca="1">OFFSET('National statistics'!$A$6,MATCH(O$21,'National statistics'!$A$7:$A$2000,0),MATCH($L23 &amp; "_Confirmed Cases",'National statistics'!$B$1:$DG$1,0))</f>
        <v>19214</v>
      </c>
      <c r="P23" s="118">
        <f ca="1">OFFSET('National statistics'!$A$6,MATCH(P$21,'National statistics'!$A$7:$A$2000,0),MATCH($L23 &amp; "_Confirmed Cases",'National statistics'!$B$1:$DG$1,0))</f>
        <v>29340</v>
      </c>
      <c r="Q23" s="118">
        <f ca="1">OFFSET('National statistics'!$A$6,MATCH(Q$21,'National statistics'!$A$7:$A$2000,0),MATCH($L23 &amp; "_Confirmed Cases",'National statistics'!$B$1:$DG$1,0))</f>
        <v>42357</v>
      </c>
      <c r="R23" s="118">
        <f ca="1">OFFSET('National statistics'!$A$6,MATCH(R$21,'National statistics'!$A$7:$A$2000,0),MATCH($L23 &amp; "_Confirmed Cases",'National statistics'!$B$1:$DG$1,0))</f>
        <v>55584</v>
      </c>
      <c r="S23" s="118">
        <f ca="1">OFFSET('National statistics'!$A$6,MATCH(S$21,'National statistics'!$A$7:$A$2000,0),MATCH($L23 &amp; "_Confirmed Cases",'National statistics'!$B$1:$DG$1,0))</f>
        <v>67818</v>
      </c>
      <c r="T23" s="118">
        <f ca="1">OFFSET('National statistics'!$A$6,MATCH(T$21,'National statistics'!$A$7:$A$2000,0),MATCH($L23 &amp; "_Confirmed Cases",'National statistics'!$B$1:$DG$1,0))</f>
        <v>75872</v>
      </c>
      <c r="U23" s="118">
        <f ca="1">OFFSET('National statistics'!$A$6,MATCH(U$21,'National statistics'!$A$7:$A$2000,0),MATCH($L23 &amp; "_Confirmed Cases",'National statistics'!$B$1:$DG$1,0))</f>
        <v>80400</v>
      </c>
      <c r="V23" s="118">
        <f ca="1">OFFSET('National statistics'!$A$6,MATCH(V$21,'National statistics'!$A$7:$A$2000,0),MATCH($L23 &amp; "_Confirmed Cases",'National statistics'!$B$1:$DG$1,0))</f>
        <v>82779</v>
      </c>
      <c r="W23" s="118">
        <f ca="1">OFFSET('National statistics'!$A$6,MATCH(W$21,'National statistics'!$A$7:$A$2000,0),MATCH($L23 &amp; "_Confirmed Cases",'National statistics'!$B$1:$DG$1,0))</f>
        <v>84362</v>
      </c>
    </row>
    <row r="24" spans="2:39">
      <c r="B24" s="99">
        <f>B23+7</f>
        <v>44055</v>
      </c>
      <c r="C24" s="118" t="s">
        <v>111</v>
      </c>
      <c r="D24" s="118">
        <v>14560</v>
      </c>
      <c r="E24" s="118">
        <v>1923</v>
      </c>
      <c r="F24" s="118">
        <v>9993</v>
      </c>
      <c r="G24" s="118">
        <v>2567</v>
      </c>
      <c r="H24" s="118">
        <v>569</v>
      </c>
      <c r="I24" s="118">
        <v>314</v>
      </c>
      <c r="L24" s="100" t="s">
        <v>107</v>
      </c>
      <c r="M24" s="118">
        <f ca="1">OFFSET('National statistics'!$A$6,MATCH(M$21,'National statistics'!$A$7:$A$2000,0),MATCH($L24 &amp; "_Confirmed Cases",'National statistics'!$B$1:$DG$1,0))</f>
        <v>401</v>
      </c>
      <c r="N24" s="118">
        <f ca="1">OFFSET('National statistics'!$A$6,MATCH(N$21,'National statistics'!$A$7:$A$2000,0),MATCH($L24 &amp; "_Confirmed Cases",'National statistics'!$B$1:$DG$1,0))</f>
        <v>608</v>
      </c>
      <c r="O24" s="118">
        <f ca="1">OFFSET('National statistics'!$A$6,MATCH(O$21,'National statistics'!$A$7:$A$2000,0),MATCH($L24 &amp; "_Confirmed Cases",'National statistics'!$B$1:$DG$1,0))</f>
        <v>889</v>
      </c>
      <c r="P24" s="118">
        <f ca="1">OFFSET('National statistics'!$A$6,MATCH(P$21,'National statistics'!$A$7:$A$2000,0),MATCH($L24 &amp; "_Confirmed Cases",'National statistics'!$B$1:$DG$1,0))</f>
        <v>1672</v>
      </c>
      <c r="Q24" s="118">
        <f ca="1">OFFSET('National statistics'!$A$6,MATCH(Q$21,'National statistics'!$A$7:$A$2000,0),MATCH($L24 &amp; "_Confirmed Cases",'National statistics'!$B$1:$DG$1,0))</f>
        <v>3259</v>
      </c>
      <c r="R24" s="118">
        <f ca="1">OFFSET('National statistics'!$A$6,MATCH(R$21,'National statistics'!$A$7:$A$2000,0),MATCH($L24 &amp; "_Confirmed Cases",'National statistics'!$B$1:$DG$1,0))</f>
        <v>6561</v>
      </c>
      <c r="S24" s="118">
        <f ca="1">OFFSET('National statistics'!$A$6,MATCH(S$21,'National statistics'!$A$7:$A$2000,0),MATCH($L24 &amp; "_Confirmed Cases",'National statistics'!$B$1:$DG$1,0))</f>
        <v>12332</v>
      </c>
      <c r="T24" s="118">
        <f ca="1">OFFSET('National statistics'!$A$6,MATCH(T$21,'National statistics'!$A$7:$A$2000,0),MATCH($L24 &amp; "_Confirmed Cases",'National statistics'!$B$1:$DG$1,0))</f>
        <v>19207</v>
      </c>
      <c r="U24" s="118">
        <f ca="1">OFFSET('National statistics'!$A$6,MATCH(U$21,'National statistics'!$A$7:$A$2000,0),MATCH($L24 &amp; "_Confirmed Cases",'National statistics'!$B$1:$DG$1,0))</f>
        <v>25232</v>
      </c>
      <c r="V24" s="118">
        <f ca="1">OFFSET('National statistics'!$A$6,MATCH(V$21,'National statistics'!$A$7:$A$2000,0),MATCH($L24 &amp; "_Confirmed Cases",'National statistics'!$B$1:$DG$1,0))</f>
        <v>29578</v>
      </c>
      <c r="W24" s="118">
        <f ca="1">OFFSET('National statistics'!$A$6,MATCH(W$21,'National statistics'!$A$7:$A$2000,0),MATCH($L24 &amp; "_Confirmed Cases",'National statistics'!$B$1:$DG$1,0))</f>
        <v>33163</v>
      </c>
    </row>
    <row r="25" spans="2:39">
      <c r="B25" s="99">
        <f>B24</f>
        <v>44055</v>
      </c>
      <c r="C25" s="118" t="s">
        <v>1589</v>
      </c>
      <c r="D25" s="118">
        <v>8072</v>
      </c>
      <c r="E25" s="118">
        <v>971</v>
      </c>
      <c r="F25" s="118">
        <v>5726</v>
      </c>
      <c r="G25" s="118">
        <v>1346</v>
      </c>
      <c r="H25" s="118">
        <v>297</v>
      </c>
      <c r="I25" s="118">
        <v>175</v>
      </c>
      <c r="L25" s="100" t="s">
        <v>111</v>
      </c>
      <c r="M25" s="118">
        <f ca="1">OFFSET('National statistics'!$A$6,MATCH(M$21,'National statistics'!$A$7:$A$2000,0),MATCH($L25 &amp; "_Confirmed Cases",'National statistics'!$B$1:$DG$1,0))</f>
        <v>7195</v>
      </c>
      <c r="N25" s="118">
        <f ca="1">OFFSET('National statistics'!$A$6,MATCH(N$21,'National statistics'!$A$7:$A$2000,0),MATCH($L25 &amp; "_Confirmed Cases",'National statistics'!$B$1:$DG$1,0))</f>
        <v>14620</v>
      </c>
      <c r="O25" s="118">
        <f ca="1">OFFSET('National statistics'!$A$6,MATCH(O$21,'National statistics'!$A$7:$A$2000,0),MATCH($L25 &amp; "_Confirmed Cases",'National statistics'!$B$1:$DG$1,0))</f>
        <v>26156</v>
      </c>
      <c r="P25" s="118">
        <f ca="1">OFFSET('National statistics'!$A$6,MATCH(P$21,'National statistics'!$A$7:$A$2000,0),MATCH($L25 &amp; "_Confirmed Cases",'National statistics'!$B$1:$DG$1,0))</f>
        <v>45944</v>
      </c>
      <c r="Q25" s="118">
        <f ca="1">OFFSET('National statistics'!$A$6,MATCH(Q$21,'National statistics'!$A$7:$A$2000,0),MATCH($L25 &amp; "_Confirmed Cases",'National statistics'!$B$1:$DG$1,0))</f>
        <v>75015</v>
      </c>
      <c r="R25" s="118">
        <f ca="1">OFFSET('National statistics'!$A$6,MATCH(R$21,'National statistics'!$A$7:$A$2000,0),MATCH($L25 &amp; "_Confirmed Cases",'National statistics'!$B$1:$DG$1,0))</f>
        <v>112714</v>
      </c>
      <c r="S25" s="118">
        <f ca="1">OFFSET('National statistics'!$A$6,MATCH(S$21,'National statistics'!$A$7:$A$2000,0),MATCH($L25 &amp; "_Confirmed Cases",'National statistics'!$B$1:$DG$1,0))</f>
        <v>144582</v>
      </c>
      <c r="T25" s="118">
        <f ca="1">OFFSET('National statistics'!$A$6,MATCH(T$21,'National statistics'!$A$7:$A$2000,0),MATCH($L25 &amp; "_Confirmed Cases",'National statistics'!$B$1:$DG$1,0))</f>
        <v>168369</v>
      </c>
      <c r="U25" s="118">
        <f ca="1">OFFSET('National statistics'!$A$6,MATCH(U$21,'National statistics'!$A$7:$A$2000,0),MATCH($L25 &amp; "_Confirmed Cases",'National statistics'!$B$1:$DG$1,0))</f>
        <v>185282</v>
      </c>
      <c r="V25" s="118">
        <f ca="1">OFFSET('National statistics'!$A$6,MATCH(V$21,'National statistics'!$A$7:$A$2000,0),MATCH($L25 &amp; "_Confirmed Cases",'National statistics'!$B$1:$DG$1,0))</f>
        <v>194685</v>
      </c>
      <c r="W25" s="118">
        <f ca="1">OFFSET('National statistics'!$A$6,MATCH(W$21,'National statistics'!$A$7:$A$2000,0),MATCH($L25 &amp; "_Confirmed Cases",'National statistics'!$B$1:$DG$1,0))</f>
        <v>202011</v>
      </c>
    </row>
    <row r="26" spans="2:39">
      <c r="B26" s="99">
        <f t="shared" ref="B26:B32" si="18">B25</f>
        <v>44055</v>
      </c>
      <c r="C26" s="118" t="s">
        <v>119</v>
      </c>
      <c r="D26" s="118">
        <v>15981</v>
      </c>
      <c r="E26" s="118">
        <v>3013</v>
      </c>
      <c r="F26" s="118">
        <v>11658</v>
      </c>
      <c r="G26" s="118">
        <v>1203</v>
      </c>
      <c r="H26" s="118">
        <v>183</v>
      </c>
      <c r="I26" s="118">
        <v>74</v>
      </c>
      <c r="L26" s="100" t="s">
        <v>1589</v>
      </c>
      <c r="M26" s="118">
        <f ca="1">OFFSET('National statistics'!$A$6,MATCH(M$21,'National statistics'!$A$7:$A$2000,0),MATCH($L26 &amp; "_Confirmed Cases",'National statistics'!$B$1:$DG$1,0))</f>
        <v>3347</v>
      </c>
      <c r="N26" s="118">
        <f ca="1">OFFSET('National statistics'!$A$6,MATCH(N$21,'National statistics'!$A$7:$A$2000,0),MATCH($L26 &amp; "_Confirmed Cases",'National statistics'!$B$1:$DG$1,0))</f>
        <v>4238</v>
      </c>
      <c r="O26" s="118">
        <f ca="1">OFFSET('National statistics'!$A$6,MATCH(O$21,'National statistics'!$A$7:$A$2000,0),MATCH($L26 &amp; "_Confirmed Cases",'National statistics'!$B$1:$DG$1,0))</f>
        <v>6075</v>
      </c>
      <c r="P26" s="118">
        <f ca="1">OFFSET('National statistics'!$A$6,MATCH(P$21,'National statistics'!$A$7:$A$2000,0),MATCH($L26 &amp; "_Confirmed Cases",'National statistics'!$B$1:$DG$1,0))</f>
        <v>10632</v>
      </c>
      <c r="Q26" s="118">
        <f ca="1">OFFSET('National statistics'!$A$6,MATCH(Q$21,'National statistics'!$A$7:$A$2000,0),MATCH($L26 &amp; "_Confirmed Cases",'National statistics'!$B$1:$DG$1,0))</f>
        <v>17962</v>
      </c>
      <c r="R26" s="118">
        <f ca="1">OFFSET('National statistics'!$A$6,MATCH(R$21,'National statistics'!$A$7:$A$2000,0),MATCH($L26 &amp; "_Confirmed Cases",'National statistics'!$B$1:$DG$1,0))</f>
        <v>32939</v>
      </c>
      <c r="S26" s="118">
        <f ca="1">OFFSET('National statistics'!$A$6,MATCH(S$21,'National statistics'!$A$7:$A$2000,0),MATCH($L26 &amp; "_Confirmed Cases",'National statistics'!$B$1:$DG$1,0))</f>
        <v>50521</v>
      </c>
      <c r="T26" s="118">
        <f ca="1">OFFSET('National statistics'!$A$6,MATCH(T$21,'National statistics'!$A$7:$A$2000,0),MATCH($L26 &amp; "_Confirmed Cases",'National statistics'!$B$1:$DG$1,0))</f>
        <v>71240</v>
      </c>
      <c r="U26" s="118">
        <f ca="1">OFFSET('National statistics'!$A$6,MATCH(U$21,'National statistics'!$A$7:$A$2000,0),MATCH($L26 &amp; "_Confirmed Cases",'National statistics'!$B$1:$DG$1,0))</f>
        <v>87798</v>
      </c>
      <c r="V26" s="118">
        <f ca="1">OFFSET('National statistics'!$A$6,MATCH(V$21,'National statistics'!$A$7:$A$2000,0),MATCH($L26 &amp; "_Confirmed Cases",'National statistics'!$B$1:$DG$1,0))</f>
        <v>101499</v>
      </c>
      <c r="W26" s="118">
        <f ca="1">OFFSET('National statistics'!$A$6,MATCH(W$21,'National statistics'!$A$7:$A$2000,0),MATCH($L26 &amp; "_Confirmed Cases",'National statistics'!$B$1:$DG$1,0))</f>
        <v>107271</v>
      </c>
    </row>
    <row r="27" spans="2:39">
      <c r="B27" s="99">
        <f t="shared" si="18"/>
        <v>44055</v>
      </c>
      <c r="C27" s="118" t="s">
        <v>105</v>
      </c>
      <c r="D27" s="118">
        <v>4483</v>
      </c>
      <c r="E27" s="118">
        <v>1022</v>
      </c>
      <c r="F27" s="118">
        <v>2654</v>
      </c>
      <c r="G27" s="118">
        <v>641</v>
      </c>
      <c r="H27" s="118">
        <v>105</v>
      </c>
      <c r="I27" s="118">
        <v>56</v>
      </c>
      <c r="L27" s="100" t="s">
        <v>114</v>
      </c>
      <c r="M27" s="118">
        <f ca="1">OFFSET('National statistics'!$A$6,MATCH(M$21,'National statistics'!$A$7:$A$2000,0),MATCH($L27 &amp; "_Confirmed Cases",'National statistics'!$B$1:$DG$1,0))</f>
        <v>257</v>
      </c>
      <c r="N27" s="118">
        <f ca="1">OFFSET('National statistics'!$A$6,MATCH(N$21,'National statistics'!$A$7:$A$2000,0),MATCH($L27 &amp; "_Confirmed Cases",'National statistics'!$B$1:$DG$1,0))</f>
        <v>416</v>
      </c>
      <c r="O27" s="118">
        <f ca="1">OFFSET('National statistics'!$A$6,MATCH(O$21,'National statistics'!$A$7:$A$2000,0),MATCH($L27 &amp; "_Confirmed Cases",'National statistics'!$B$1:$DG$1,0))</f>
        <v>670</v>
      </c>
      <c r="P27" s="118">
        <f ca="1">OFFSET('National statistics'!$A$6,MATCH(P$21,'National statistics'!$A$7:$A$2000,0),MATCH($L27 &amp; "_Confirmed Cases",'National statistics'!$B$1:$DG$1,0))</f>
        <v>1175</v>
      </c>
      <c r="Q27" s="118">
        <f ca="1">OFFSET('National statistics'!$A$6,MATCH(Q$21,'National statistics'!$A$7:$A$2000,0),MATCH($L27 &amp; "_Confirmed Cases",'National statistics'!$B$1:$DG$1,0))</f>
        <v>2131</v>
      </c>
      <c r="R27" s="118">
        <f ca="1">OFFSET('National statistics'!$A$6,MATCH(R$21,'National statistics'!$A$7:$A$2000,0),MATCH($L27 &amp; "_Confirmed Cases",'National statistics'!$B$1:$DG$1,0))</f>
        <v>3645</v>
      </c>
      <c r="S27" s="118">
        <f ca="1">OFFSET('National statistics'!$A$6,MATCH(S$21,'National statistics'!$A$7:$A$2000,0),MATCH($L27 &amp; "_Confirmed Cases",'National statistics'!$B$1:$DG$1,0))</f>
        <v>5712</v>
      </c>
      <c r="T27" s="118">
        <f ca="1">OFFSET('National statistics'!$A$6,MATCH(T$21,'National statistics'!$A$7:$A$2000,0),MATCH($L27 &amp; "_Confirmed Cases",'National statistics'!$B$1:$DG$1,0))</f>
        <v>7840</v>
      </c>
      <c r="U27" s="118">
        <f ca="1">OFFSET('National statistics'!$A$6,MATCH(U$21,'National statistics'!$A$7:$A$2000,0),MATCH($L27 &amp; "_Confirmed Cases",'National statistics'!$B$1:$DG$1,0))</f>
        <v>9625</v>
      </c>
      <c r="V27" s="118">
        <f ca="1">OFFSET('National statistics'!$A$6,MATCH(V$21,'National statistics'!$A$7:$A$2000,0),MATCH($L27 &amp; "_Confirmed Cases",'National statistics'!$B$1:$DG$1,0))</f>
        <v>10875</v>
      </c>
      <c r="W27" s="118">
        <f ca="1">OFFSET('National statistics'!$A$6,MATCH(W$21,'National statistics'!$A$7:$A$2000,0),MATCH($L27 &amp; "_Confirmed Cases",'National statistics'!$B$1:$DG$1,0))</f>
        <v>11944</v>
      </c>
    </row>
    <row r="28" spans="2:39">
      <c r="B28" s="99">
        <f t="shared" si="18"/>
        <v>44055</v>
      </c>
      <c r="C28" s="118" t="s">
        <v>107</v>
      </c>
      <c r="D28" s="118">
        <v>3092</v>
      </c>
      <c r="E28" s="118">
        <v>495</v>
      </c>
      <c r="F28" s="118">
        <v>1884</v>
      </c>
      <c r="G28" s="118">
        <v>598</v>
      </c>
      <c r="H28" s="118">
        <v>68</v>
      </c>
      <c r="I28" s="118">
        <v>46</v>
      </c>
      <c r="L28" s="100" t="s">
        <v>115</v>
      </c>
      <c r="M28" s="118">
        <f ca="1">OFFSET('National statistics'!$A$6,MATCH(M$21,'National statistics'!$A$7:$A$2000,0),MATCH($L28 &amp; "_Confirmed Cases",'National statistics'!$B$1:$DG$1,0))</f>
        <v>207</v>
      </c>
      <c r="N28" s="118">
        <f ca="1">OFFSET('National statistics'!$A$6,MATCH(N$21,'National statistics'!$A$7:$A$2000,0),MATCH($L28 &amp; "_Confirmed Cases",'National statistics'!$B$1:$DG$1,0))</f>
        <v>391</v>
      </c>
      <c r="O28" s="118">
        <f ca="1">OFFSET('National statistics'!$A$6,MATCH(O$21,'National statistics'!$A$7:$A$2000,0),MATCH($L28 &amp; "_Confirmed Cases",'National statistics'!$B$1:$DG$1,0))</f>
        <v>713</v>
      </c>
      <c r="P28" s="118">
        <f ca="1">OFFSET('National statistics'!$A$6,MATCH(P$21,'National statistics'!$A$7:$A$2000,0),MATCH($L28 &amp; "_Confirmed Cases",'National statistics'!$B$1:$DG$1,0))</f>
        <v>1306</v>
      </c>
      <c r="Q28" s="118">
        <f ca="1">OFFSET('National statistics'!$A$6,MATCH(Q$21,'National statistics'!$A$7:$A$2000,0),MATCH($L28 &amp; "_Confirmed Cases",'National statistics'!$B$1:$DG$1,0))</f>
        <v>2528</v>
      </c>
      <c r="R28" s="118">
        <f ca="1">OFFSET('National statistics'!$A$6,MATCH(R$21,'National statistics'!$A$7:$A$2000,0),MATCH($L28 &amp; "_Confirmed Cases",'National statistics'!$B$1:$DG$1,0))</f>
        <v>5051</v>
      </c>
      <c r="S28" s="118">
        <f ca="1">OFFSET('National statistics'!$A$6,MATCH(S$21,'National statistics'!$A$7:$A$2000,0),MATCH($L28 &amp; "_Confirmed Cases",'National statistics'!$B$1:$DG$1,0))</f>
        <v>8286</v>
      </c>
      <c r="T28" s="118">
        <f ca="1">OFFSET('National statistics'!$A$6,MATCH(T$21,'National statistics'!$A$7:$A$2000,0),MATCH($L28 &amp; "_Confirmed Cases",'National statistics'!$B$1:$DG$1,0))</f>
        <v>12442</v>
      </c>
      <c r="U28" s="118">
        <f ca="1">OFFSET('National statistics'!$A$6,MATCH(U$21,'National statistics'!$A$7:$A$2000,0),MATCH($L28 &amp; "_Confirmed Cases",'National statistics'!$B$1:$DG$1,0))</f>
        <v>17135</v>
      </c>
      <c r="V28" s="118">
        <f ca="1">OFFSET('National statistics'!$A$6,MATCH(V$21,'National statistics'!$A$7:$A$2000,0),MATCH($L28 &amp; "_Confirmed Cases",'National statistics'!$B$1:$DG$1,0))</f>
        <v>19755</v>
      </c>
      <c r="W28" s="118">
        <f ca="1">OFFSET('National statistics'!$A$6,MATCH(W$21,'National statistics'!$A$7:$A$2000,0),MATCH($L28 &amp; "_Confirmed Cases",'National statistics'!$B$1:$DG$1,0))</f>
        <v>22067</v>
      </c>
    </row>
    <row r="29" spans="2:39">
      <c r="B29" s="99">
        <f t="shared" si="18"/>
        <v>44055</v>
      </c>
      <c r="C29" s="118" t="s">
        <v>116</v>
      </c>
      <c r="D29" s="118">
        <v>2060</v>
      </c>
      <c r="E29" s="118">
        <v>245</v>
      </c>
      <c r="F29" s="118">
        <v>1451</v>
      </c>
      <c r="G29" s="118">
        <v>280</v>
      </c>
      <c r="H29" s="118">
        <v>55</v>
      </c>
      <c r="I29" s="118">
        <v>30</v>
      </c>
      <c r="L29" s="100" t="s">
        <v>116</v>
      </c>
      <c r="M29" s="118">
        <f ca="1">OFFSET('National statistics'!$A$6,MATCH(M$21,'National statistics'!$A$7:$A$2000,0),MATCH($L29 &amp; "_Confirmed Cases",'National statistics'!$B$1:$DG$1,0))</f>
        <v>657</v>
      </c>
      <c r="N29" s="118">
        <f ca="1">OFFSET('National statistics'!$A$6,MATCH(N$21,'National statistics'!$A$7:$A$2000,0),MATCH($L29 &amp; "_Confirmed Cases",'National statistics'!$B$1:$DG$1,0))</f>
        <v>1402</v>
      </c>
      <c r="O29" s="118">
        <f ca="1">OFFSET('National statistics'!$A$6,MATCH(O$21,'National statistics'!$A$7:$A$2000,0),MATCH($L29 &amp; "_Confirmed Cases",'National statistics'!$B$1:$DG$1,0))</f>
        <v>2618</v>
      </c>
      <c r="P29" s="118">
        <f ca="1">OFFSET('National statistics'!$A$6,MATCH(P$21,'National statistics'!$A$7:$A$2000,0),MATCH($L29 &amp; "_Confirmed Cases",'National statistics'!$B$1:$DG$1,0))</f>
        <v>4393</v>
      </c>
      <c r="Q29" s="118">
        <f ca="1">OFFSET('National statistics'!$A$6,MATCH(Q$21,'National statistics'!$A$7:$A$2000,0),MATCH($L29 &amp; "_Confirmed Cases",'National statistics'!$B$1:$DG$1,0))</f>
        <v>7147</v>
      </c>
      <c r="R29" s="118">
        <f ca="1">OFFSET('National statistics'!$A$6,MATCH(R$21,'National statistics'!$A$7:$A$2000,0),MATCH($L29 &amp; "_Confirmed Cases",'National statistics'!$B$1:$DG$1,0))</f>
        <v>11225</v>
      </c>
      <c r="S29" s="118">
        <f ca="1">OFFSET('National statistics'!$A$6,MATCH(S$21,'National statistics'!$A$7:$A$2000,0),MATCH($L29 &amp; "_Confirmed Cases",'National statistics'!$B$1:$DG$1,0))</f>
        <v>15073</v>
      </c>
      <c r="T29" s="118">
        <f ca="1">OFFSET('National statistics'!$A$6,MATCH(T$21,'National statistics'!$A$7:$A$2000,0),MATCH($L29 &amp; "_Confirmed Cases",'National statistics'!$B$1:$DG$1,0))</f>
        <v>18231</v>
      </c>
      <c r="U29" s="118">
        <f ca="1">OFFSET('National statistics'!$A$6,MATCH(U$21,'National statistics'!$A$7:$A$2000,0),MATCH($L29 &amp; "_Confirmed Cases",'National statistics'!$B$1:$DG$1,0))</f>
        <v>20686</v>
      </c>
      <c r="V29" s="118">
        <f ca="1">OFFSET('National statistics'!$A$6,MATCH(V$21,'National statistics'!$A$7:$A$2000,0),MATCH($L29 &amp; "_Confirmed Cases",'National statistics'!$B$1:$DG$1,0))</f>
        <v>22205</v>
      </c>
      <c r="W29" s="118">
        <f ca="1">OFFSET('National statistics'!$A$6,MATCH(W$21,'National statistics'!$A$7:$A$2000,0),MATCH($L29 &amp; "_Confirmed Cases",'National statistics'!$B$1:$DG$1,0))</f>
        <v>23641</v>
      </c>
    </row>
    <row r="30" spans="2:39">
      <c r="B30" s="99">
        <f t="shared" si="18"/>
        <v>44055</v>
      </c>
      <c r="C30" s="118" t="s">
        <v>115</v>
      </c>
      <c r="D30" s="118">
        <v>1059</v>
      </c>
      <c r="E30" s="118">
        <v>80</v>
      </c>
      <c r="F30" s="118">
        <v>783</v>
      </c>
      <c r="G30" s="118">
        <v>194</v>
      </c>
      <c r="H30" s="118">
        <v>49</v>
      </c>
      <c r="I30" s="118">
        <v>23</v>
      </c>
      <c r="L30" s="100" t="s">
        <v>117</v>
      </c>
      <c r="M30" s="118">
        <f ca="1">OFFSET('National statistics'!$A$6,MATCH(M$21,'National statistics'!$A$7:$A$2000,0),MATCH($L30 &amp; "_Confirmed Cases",'National statistics'!$B$1:$DG$1,0))</f>
        <v>125</v>
      </c>
      <c r="N30" s="118">
        <f ca="1">OFFSET('National statistics'!$A$6,MATCH(N$21,'National statistics'!$A$7:$A$2000,0),MATCH($L30 &amp; "_Confirmed Cases",'National statistics'!$B$1:$DG$1,0))</f>
        <v>211</v>
      </c>
      <c r="O30" s="118">
        <f ca="1">OFFSET('National statistics'!$A$6,MATCH(O$21,'National statistics'!$A$7:$A$2000,0),MATCH($L30 &amp; "_Confirmed Cases",'National statistics'!$B$1:$DG$1,0))</f>
        <v>299</v>
      </c>
      <c r="P30" s="118">
        <f ca="1">OFFSET('National statistics'!$A$6,MATCH(P$21,'National statistics'!$A$7:$A$2000,0),MATCH($L30 &amp; "_Confirmed Cases",'National statistics'!$B$1:$DG$1,0))</f>
        <v>494</v>
      </c>
      <c r="Q30" s="118">
        <f ca="1">OFFSET('National statistics'!$A$6,MATCH(Q$21,'National statistics'!$A$7:$A$2000,0),MATCH($L30 &amp; "_Confirmed Cases",'National statistics'!$B$1:$DG$1,0))</f>
        <v>974</v>
      </c>
      <c r="R30" s="118">
        <f ca="1">OFFSET('National statistics'!$A$6,MATCH(R$21,'National statistics'!$A$7:$A$2000,0),MATCH($L30 &amp; "_Confirmed Cases",'National statistics'!$B$1:$DG$1,0))</f>
        <v>1667</v>
      </c>
      <c r="S30" s="118">
        <f ca="1">OFFSET('National statistics'!$A$6,MATCH(S$21,'National statistics'!$A$7:$A$2000,0),MATCH($L30 &amp; "_Confirmed Cases",'National statistics'!$B$1:$DG$1,0))</f>
        <v>2727</v>
      </c>
      <c r="T30" s="118">
        <f ca="1">OFFSET('National statistics'!$A$6,MATCH(T$21,'National statistics'!$A$7:$A$2000,0),MATCH($L30 &amp; "_Confirmed Cases",'National statistics'!$B$1:$DG$1,0))</f>
        <v>4135</v>
      </c>
      <c r="U30" s="118">
        <f ca="1">OFFSET('National statistics'!$A$6,MATCH(U$21,'National statistics'!$A$7:$A$2000,0),MATCH($L30 &amp; "_Confirmed Cases",'National statistics'!$B$1:$DG$1,0))</f>
        <v>5638</v>
      </c>
      <c r="V30" s="118">
        <f ca="1">OFFSET('National statistics'!$A$6,MATCH(V$21,'National statistics'!$A$7:$A$2000,0),MATCH($L30 &amp; "_Confirmed Cases",'National statistics'!$B$1:$DG$1,0))</f>
        <v>6957</v>
      </c>
      <c r="W30" s="118">
        <f ca="1">OFFSET('National statistics'!$A$6,MATCH(W$21,'National statistics'!$A$7:$A$2000,0),MATCH($L30 &amp; "_Confirmed Cases",'National statistics'!$B$1:$DG$1,0))</f>
        <v>8341</v>
      </c>
    </row>
    <row r="31" spans="2:39">
      <c r="B31" s="99">
        <f t="shared" si="18"/>
        <v>44055</v>
      </c>
      <c r="C31" s="118" t="s">
        <v>114</v>
      </c>
      <c r="D31" s="118">
        <v>656</v>
      </c>
      <c r="E31" s="118">
        <v>91</v>
      </c>
      <c r="F31" s="118">
        <v>468</v>
      </c>
      <c r="G31" s="118">
        <v>92</v>
      </c>
      <c r="H31" s="118">
        <v>11</v>
      </c>
      <c r="I31" s="118">
        <v>9</v>
      </c>
      <c r="L31" s="100" t="s">
        <v>119</v>
      </c>
      <c r="M31" s="118">
        <f ca="1">OFFSET('National statistics'!$A$6,MATCH(M$21,'National statistics'!$A$7:$A$2000,0),MATCH($L31 &amp; "_Confirmed Cases",'National statistics'!$B$1:$DG$1,0))</f>
        <v>36021</v>
      </c>
      <c r="N31" s="118">
        <f ca="1">OFFSET('National statistics'!$A$6,MATCH(N$21,'National statistics'!$A$7:$A$2000,0),MATCH($L31 &amp; "_Confirmed Cases",'National statistics'!$B$1:$DG$1,0))</f>
        <v>46555</v>
      </c>
      <c r="O31" s="118">
        <f ca="1">OFFSET('National statistics'!$A$6,MATCH(O$21,'National statistics'!$A$7:$A$2000,0),MATCH($L31 &amp; "_Confirmed Cases",'National statistics'!$B$1:$DG$1,0))</f>
        <v>55162</v>
      </c>
      <c r="P31" s="118">
        <f ca="1">OFFSET('National statistics'!$A$6,MATCH(P$21,'National statistics'!$A$7:$A$2000,0),MATCH($L31 &amp; "_Confirmed Cases",'National statistics'!$B$1:$DG$1,0))</f>
        <v>64377</v>
      </c>
      <c r="Q31" s="118">
        <f ca="1">OFFSET('National statistics'!$A$6,MATCH(Q$21,'National statistics'!$A$7:$A$2000,0),MATCH($L31 &amp; "_Confirmed Cases",'National statistics'!$B$1:$DG$1,0))</f>
        <v>73292</v>
      </c>
      <c r="R31" s="118">
        <f ca="1">OFFSET('National statistics'!$A$6,MATCH(R$21,'National statistics'!$A$7:$A$2000,0),MATCH($L31 &amp; "_Confirmed Cases",'National statistics'!$B$1:$DG$1,0))</f>
        <v>81556</v>
      </c>
      <c r="S31" s="118">
        <f ca="1">OFFSET('National statistics'!$A$6,MATCH(S$21,'National statistics'!$A$7:$A$2000,0),MATCH($L31 &amp; "_Confirmed Cases",'National statistics'!$B$1:$DG$1,0))</f>
        <v>87847</v>
      </c>
      <c r="T31" s="118">
        <f ca="1">OFFSET('National statistics'!$A$6,MATCH(T$21,'National statistics'!$A$7:$A$2000,0),MATCH($L31 &amp; "_Confirmed Cases",'National statistics'!$B$1:$DG$1,0))</f>
        <v>93737</v>
      </c>
      <c r="U31" s="118">
        <f ca="1">OFFSET('National statistics'!$A$6,MATCH(U$21,'National statistics'!$A$7:$A$2000,0),MATCH($L31 &amp; "_Confirmed Cases",'National statistics'!$B$1:$DG$1,0))</f>
        <v>98031</v>
      </c>
      <c r="V31" s="118">
        <f ca="1">OFFSET('National statistics'!$A$6,MATCH(V$21,'National statistics'!$A$7:$A$2000,0),MATCH($L31 &amp; "_Confirmed Cases",'National statistics'!$B$1:$DG$1,0))</f>
        <v>100536</v>
      </c>
      <c r="W31" s="118">
        <f ca="1">OFFSET('National statistics'!$A$6,MATCH(W$21,'National statistics'!$A$7:$A$2000,0),MATCH($L31 &amp; "_Confirmed Cases",'National statistics'!$B$1:$DG$1,0))</f>
        <v>103210</v>
      </c>
    </row>
    <row r="32" spans="2:39">
      <c r="B32" s="99">
        <f t="shared" si="18"/>
        <v>44055</v>
      </c>
      <c r="C32" s="118" t="s">
        <v>117</v>
      </c>
      <c r="D32" s="118">
        <v>538</v>
      </c>
      <c r="E32" s="118">
        <v>62</v>
      </c>
      <c r="F32" s="118">
        <v>364</v>
      </c>
      <c r="G32" s="118">
        <v>106</v>
      </c>
      <c r="H32" s="118">
        <v>11</v>
      </c>
      <c r="I32" s="118">
        <v>8</v>
      </c>
      <c r="L32" s="109" t="s">
        <v>2422</v>
      </c>
    </row>
    <row r="33" spans="2:24">
      <c r="B33" s="217">
        <v>44062</v>
      </c>
      <c r="C33" s="218" t="s">
        <v>111</v>
      </c>
      <c r="D33" s="218">
        <v>15693</v>
      </c>
      <c r="E33" s="218">
        <v>2147</v>
      </c>
      <c r="F33" s="218">
        <v>11375</v>
      </c>
      <c r="G33" s="218">
        <v>2152</v>
      </c>
      <c r="H33" s="218">
        <v>496</v>
      </c>
      <c r="I33" s="218">
        <v>252</v>
      </c>
      <c r="L33" s="100" t="s">
        <v>105</v>
      </c>
      <c r="M33" s="100">
        <v>605</v>
      </c>
      <c r="N33" s="100">
        <v>691</v>
      </c>
      <c r="O33" s="100">
        <v>943</v>
      </c>
      <c r="P33" s="100">
        <v>1156</v>
      </c>
      <c r="Q33" s="100">
        <v>1455</v>
      </c>
      <c r="R33" s="118">
        <v>1712</v>
      </c>
      <c r="S33" s="118">
        <v>1940</v>
      </c>
      <c r="T33" s="100">
        <f>SUMIFS($D$6:$D$41,$B$6:$B$41,T$21,$C$6:$C$41,$L33)</f>
        <v>2242</v>
      </c>
      <c r="U33" s="118">
        <f t="shared" ref="U33:W41" si="19">SUMIFS($D$6:$D$41,$B$6:$B$41,U$21,$C$6:$C$41,$L33)</f>
        <v>3758</v>
      </c>
      <c r="V33" s="118">
        <f t="shared" si="19"/>
        <v>4483</v>
      </c>
      <c r="W33" s="118">
        <f t="shared" si="19"/>
        <v>6490</v>
      </c>
      <c r="X33" s="102"/>
    </row>
    <row r="34" spans="2:24">
      <c r="B34" s="217">
        <v>44062</v>
      </c>
      <c r="C34" s="218" t="s">
        <v>1589</v>
      </c>
      <c r="D34" s="218">
        <v>8965</v>
      </c>
      <c r="E34" s="218">
        <v>1142</v>
      </c>
      <c r="F34" s="218">
        <v>6606</v>
      </c>
      <c r="G34" s="218">
        <v>1212</v>
      </c>
      <c r="H34" s="218">
        <v>316</v>
      </c>
      <c r="I34" s="218">
        <v>174</v>
      </c>
      <c r="L34" s="100" t="s">
        <v>107</v>
      </c>
      <c r="M34" s="100">
        <v>140</v>
      </c>
      <c r="N34" s="100">
        <v>178</v>
      </c>
      <c r="O34" s="100">
        <v>228</v>
      </c>
      <c r="P34" s="100">
        <v>317</v>
      </c>
      <c r="Q34" s="100">
        <v>500</v>
      </c>
      <c r="R34" s="118">
        <v>780</v>
      </c>
      <c r="S34" s="118">
        <v>1148</v>
      </c>
      <c r="T34" s="118">
        <f t="shared" ref="T34:T41" si="20">SUMIFS($D$6:$D$41,$B$6:$B$41,T$21,$C$6:$C$41,$L34)</f>
        <v>1805</v>
      </c>
      <c r="U34" s="118">
        <f t="shared" si="19"/>
        <v>2559</v>
      </c>
      <c r="V34" s="118">
        <f t="shared" si="19"/>
        <v>3092</v>
      </c>
      <c r="W34" s="118">
        <f t="shared" si="19"/>
        <v>3600</v>
      </c>
      <c r="X34" s="102"/>
    </row>
    <row r="35" spans="2:24">
      <c r="B35" s="217">
        <v>44062</v>
      </c>
      <c r="C35" s="218" t="s">
        <v>119</v>
      </c>
      <c r="D35" s="218">
        <v>16586</v>
      </c>
      <c r="E35" s="218">
        <v>3153</v>
      </c>
      <c r="F35" s="218">
        <v>12252</v>
      </c>
      <c r="G35" s="218">
        <v>1120</v>
      </c>
      <c r="H35" s="218">
        <v>161</v>
      </c>
      <c r="I35" s="218">
        <v>66</v>
      </c>
      <c r="L35" s="100" t="s">
        <v>111</v>
      </c>
      <c r="M35" s="100">
        <v>819</v>
      </c>
      <c r="N35" s="100">
        <v>1153</v>
      </c>
      <c r="O35" s="100">
        <v>1919</v>
      </c>
      <c r="P35" s="100">
        <v>2930</v>
      </c>
      <c r="Q35" s="100">
        <v>4250</v>
      </c>
      <c r="R35" s="118">
        <v>6211</v>
      </c>
      <c r="S35" s="118">
        <v>7906</v>
      </c>
      <c r="T35" s="118">
        <f t="shared" si="20"/>
        <v>9955</v>
      </c>
      <c r="U35" s="118">
        <f t="shared" si="19"/>
        <v>12977</v>
      </c>
      <c r="V35" s="118">
        <f t="shared" si="19"/>
        <v>14560</v>
      </c>
      <c r="W35" s="118">
        <f t="shared" si="19"/>
        <v>15693</v>
      </c>
      <c r="X35" s="102"/>
    </row>
    <row r="36" spans="2:24">
      <c r="B36" s="217">
        <v>44062</v>
      </c>
      <c r="C36" s="218" t="s">
        <v>105</v>
      </c>
      <c r="D36" s="218">
        <v>6490</v>
      </c>
      <c r="E36" s="218">
        <v>1541</v>
      </c>
      <c r="F36" s="218">
        <v>4326</v>
      </c>
      <c r="G36" s="218">
        <v>615</v>
      </c>
      <c r="H36" s="218">
        <v>88</v>
      </c>
      <c r="I36" s="218">
        <v>48</v>
      </c>
      <c r="L36" s="100" t="s">
        <v>1589</v>
      </c>
      <c r="M36" s="100">
        <v>511</v>
      </c>
      <c r="N36" s="100">
        <v>609</v>
      </c>
      <c r="O36" s="100">
        <v>773</v>
      </c>
      <c r="P36" s="100">
        <v>1140</v>
      </c>
      <c r="Q36" s="100">
        <v>1732</v>
      </c>
      <c r="R36" s="118">
        <v>2728</v>
      </c>
      <c r="S36" s="118">
        <v>3542</v>
      </c>
      <c r="T36" s="118">
        <f t="shared" si="20"/>
        <v>5355</v>
      </c>
      <c r="U36" s="118">
        <f t="shared" si="19"/>
        <v>7165</v>
      </c>
      <c r="V36" s="118">
        <f t="shared" si="19"/>
        <v>8072</v>
      </c>
      <c r="W36" s="118">
        <f t="shared" si="19"/>
        <v>8965</v>
      </c>
      <c r="X36" s="102"/>
    </row>
    <row r="37" spans="2:24">
      <c r="B37" s="217">
        <v>44062</v>
      </c>
      <c r="C37" s="218" t="s">
        <v>107</v>
      </c>
      <c r="D37" s="218">
        <v>3600</v>
      </c>
      <c r="E37" s="218">
        <v>600</v>
      </c>
      <c r="F37" s="218">
        <v>2429</v>
      </c>
      <c r="G37" s="218">
        <v>567</v>
      </c>
      <c r="H37" s="218">
        <v>73</v>
      </c>
      <c r="I37" s="218">
        <v>50</v>
      </c>
      <c r="L37" s="100" t="s">
        <v>114</v>
      </c>
      <c r="M37" s="100">
        <v>32</v>
      </c>
      <c r="N37" s="100">
        <v>45</v>
      </c>
      <c r="O37" s="100">
        <v>68</v>
      </c>
      <c r="P37" s="100">
        <v>111</v>
      </c>
      <c r="Q37" s="100">
        <v>172</v>
      </c>
      <c r="R37" s="118">
        <v>251</v>
      </c>
      <c r="S37" s="118">
        <v>325</v>
      </c>
      <c r="T37" s="118">
        <f t="shared" si="20"/>
        <v>456</v>
      </c>
      <c r="U37" s="118">
        <f t="shared" si="19"/>
        <v>581</v>
      </c>
      <c r="V37" s="118">
        <f t="shared" si="19"/>
        <v>656</v>
      </c>
      <c r="W37" s="118">
        <f t="shared" si="19"/>
        <v>761</v>
      </c>
      <c r="X37" s="102"/>
    </row>
    <row r="38" spans="2:24">
      <c r="B38" s="217">
        <v>44062</v>
      </c>
      <c r="C38" s="218" t="s">
        <v>115</v>
      </c>
      <c r="D38" s="218">
        <v>1254</v>
      </c>
      <c r="E38" s="218">
        <v>110</v>
      </c>
      <c r="F38" s="218">
        <v>961</v>
      </c>
      <c r="G38" s="218">
        <v>182</v>
      </c>
      <c r="H38" s="218">
        <v>51</v>
      </c>
      <c r="I38" s="218">
        <v>25</v>
      </c>
      <c r="L38" s="100" t="s">
        <v>115</v>
      </c>
      <c r="M38" s="100">
        <v>16</v>
      </c>
      <c r="N38" s="100">
        <v>27</v>
      </c>
      <c r="O38" s="100">
        <v>42</v>
      </c>
      <c r="P38" s="100">
        <v>76</v>
      </c>
      <c r="Q38" s="100">
        <v>124</v>
      </c>
      <c r="R38" s="118">
        <v>219</v>
      </c>
      <c r="S38" s="118">
        <v>280</v>
      </c>
      <c r="T38" s="118">
        <f t="shared" si="20"/>
        <v>491</v>
      </c>
      <c r="U38" s="118">
        <f t="shared" si="19"/>
        <v>817</v>
      </c>
      <c r="V38" s="118">
        <f t="shared" si="19"/>
        <v>1059</v>
      </c>
      <c r="W38" s="118">
        <f t="shared" si="19"/>
        <v>1254</v>
      </c>
      <c r="X38" s="102"/>
    </row>
    <row r="39" spans="2:24">
      <c r="B39" s="217">
        <v>44062</v>
      </c>
      <c r="C39" s="218" t="s">
        <v>116</v>
      </c>
      <c r="D39" s="218">
        <v>2260</v>
      </c>
      <c r="E39" s="218">
        <v>292</v>
      </c>
      <c r="F39" s="218">
        <v>1712</v>
      </c>
      <c r="G39" s="218">
        <v>250</v>
      </c>
      <c r="H39" s="218">
        <v>47</v>
      </c>
      <c r="I39" s="218">
        <v>25</v>
      </c>
      <c r="L39" s="100" t="s">
        <v>116</v>
      </c>
      <c r="M39" s="100">
        <v>163</v>
      </c>
      <c r="N39" s="100">
        <v>247</v>
      </c>
      <c r="O39" s="100">
        <v>322</v>
      </c>
      <c r="P39" s="100">
        <v>443</v>
      </c>
      <c r="Q39" s="100">
        <v>623</v>
      </c>
      <c r="R39" s="118">
        <v>820</v>
      </c>
      <c r="S39" s="118">
        <v>1009</v>
      </c>
      <c r="T39" s="118">
        <f t="shared" si="20"/>
        <v>1285</v>
      </c>
      <c r="U39" s="118">
        <f t="shared" si="19"/>
        <v>1885</v>
      </c>
      <c r="V39" s="118">
        <f t="shared" si="19"/>
        <v>2060</v>
      </c>
      <c r="W39" s="118">
        <f t="shared" si="19"/>
        <v>2260</v>
      </c>
      <c r="X39" s="102"/>
    </row>
    <row r="40" spans="2:24">
      <c r="B40" s="217">
        <v>44062</v>
      </c>
      <c r="C40" s="218" t="s">
        <v>114</v>
      </c>
      <c r="D40" s="218">
        <v>761</v>
      </c>
      <c r="E40" s="218">
        <v>103</v>
      </c>
      <c r="F40" s="218">
        <v>561</v>
      </c>
      <c r="G40" s="218">
        <v>97</v>
      </c>
      <c r="H40" s="218">
        <v>15</v>
      </c>
      <c r="I40" s="218">
        <v>9</v>
      </c>
      <c r="L40" s="100" t="s">
        <v>117</v>
      </c>
      <c r="M40" s="100">
        <v>18</v>
      </c>
      <c r="N40" s="100">
        <v>22</v>
      </c>
      <c r="O40" s="100">
        <v>29</v>
      </c>
      <c r="P40" s="100">
        <v>44</v>
      </c>
      <c r="Q40" s="100">
        <v>86</v>
      </c>
      <c r="R40" s="118">
        <v>148</v>
      </c>
      <c r="S40" s="118">
        <v>218</v>
      </c>
      <c r="T40" s="118">
        <f t="shared" si="20"/>
        <v>363</v>
      </c>
      <c r="U40" s="118">
        <f t="shared" si="19"/>
        <v>453</v>
      </c>
      <c r="V40" s="118">
        <f t="shared" si="19"/>
        <v>538</v>
      </c>
      <c r="W40" s="118">
        <f t="shared" si="19"/>
        <v>654</v>
      </c>
      <c r="X40" s="102"/>
    </row>
    <row r="41" spans="2:24">
      <c r="B41" s="217">
        <v>44062</v>
      </c>
      <c r="C41" s="218" t="s">
        <v>117</v>
      </c>
      <c r="D41" s="218">
        <v>654</v>
      </c>
      <c r="E41" s="218">
        <v>88</v>
      </c>
      <c r="F41" s="218">
        <v>431</v>
      </c>
      <c r="G41" s="218">
        <v>130</v>
      </c>
      <c r="H41" s="218">
        <v>10</v>
      </c>
      <c r="I41" s="218">
        <v>8</v>
      </c>
      <c r="L41" s="100" t="s">
        <v>119</v>
      </c>
      <c r="M41" s="100">
        <v>4688</v>
      </c>
      <c r="N41" s="100">
        <v>5930</v>
      </c>
      <c r="O41" s="100">
        <v>7521</v>
      </c>
      <c r="P41" s="100">
        <v>9150</v>
      </c>
      <c r="Q41" s="100">
        <v>10537</v>
      </c>
      <c r="R41" s="118">
        <v>11718</v>
      </c>
      <c r="S41" s="118">
        <v>12654</v>
      </c>
      <c r="T41" s="118">
        <f t="shared" si="20"/>
        <v>13818</v>
      </c>
      <c r="U41" s="118">
        <f t="shared" si="19"/>
        <v>15208</v>
      </c>
      <c r="V41" s="118">
        <f t="shared" si="19"/>
        <v>15981</v>
      </c>
      <c r="W41" s="118">
        <f t="shared" si="19"/>
        <v>16586</v>
      </c>
      <c r="X41" s="102"/>
    </row>
    <row r="42" spans="2:24">
      <c r="L42" s="109" t="s">
        <v>2425</v>
      </c>
    </row>
    <row r="43" spans="2:24">
      <c r="L43" s="100" t="s">
        <v>105</v>
      </c>
      <c r="M43" s="100">
        <v>232</v>
      </c>
      <c r="N43" s="100">
        <v>244</v>
      </c>
      <c r="O43" s="100">
        <v>329</v>
      </c>
      <c r="P43" s="100">
        <v>360</v>
      </c>
      <c r="Q43" s="100">
        <v>408</v>
      </c>
      <c r="R43" s="118">
        <v>364</v>
      </c>
      <c r="S43" s="118">
        <v>379</v>
      </c>
      <c r="T43" s="118">
        <f>SUMIFS($G$6:$G$41,$B$6:$B$41,T$21,$C$6:$C$41,$L43)</f>
        <v>410</v>
      </c>
      <c r="U43" s="118">
        <f t="shared" ref="U43:W51" si="21">SUMIFS($G$6:$G$41,$B$6:$B$41,U$21,$C$6:$C$41,$L43)</f>
        <v>588</v>
      </c>
      <c r="V43" s="118">
        <f t="shared" si="21"/>
        <v>641</v>
      </c>
      <c r="W43" s="118">
        <f t="shared" si="21"/>
        <v>615</v>
      </c>
    </row>
    <row r="44" spans="2:24">
      <c r="L44" s="100" t="s">
        <v>107</v>
      </c>
      <c r="M44" s="100">
        <v>19</v>
      </c>
      <c r="N44" s="100">
        <v>40</v>
      </c>
      <c r="O44" s="100">
        <v>66</v>
      </c>
      <c r="P44" s="100">
        <v>106</v>
      </c>
      <c r="Q44" s="100">
        <v>187</v>
      </c>
      <c r="R44" s="118">
        <v>294</v>
      </c>
      <c r="S44" s="118">
        <v>445</v>
      </c>
      <c r="T44" s="118">
        <f t="shared" ref="T44:T51" si="22">SUMIFS($G$6:$G$41,$B$6:$B$41,T$21,$C$6:$C$41,$L44)</f>
        <v>482</v>
      </c>
      <c r="U44" s="118">
        <f t="shared" si="21"/>
        <v>579</v>
      </c>
      <c r="V44" s="118">
        <f t="shared" si="21"/>
        <v>598</v>
      </c>
      <c r="W44" s="118">
        <f t="shared" si="21"/>
        <v>567</v>
      </c>
    </row>
    <row r="45" spans="2:24">
      <c r="L45" s="100" t="s">
        <v>111</v>
      </c>
      <c r="M45" s="100">
        <v>380</v>
      </c>
      <c r="N45" s="100">
        <v>552</v>
      </c>
      <c r="O45" s="100">
        <v>970</v>
      </c>
      <c r="P45" s="100">
        <v>1429</v>
      </c>
      <c r="Q45" s="100">
        <v>2121</v>
      </c>
      <c r="R45" s="118">
        <v>2402</v>
      </c>
      <c r="S45" s="118">
        <v>3018</v>
      </c>
      <c r="T45" s="118">
        <f t="shared" si="22"/>
        <v>2849</v>
      </c>
      <c r="U45" s="118">
        <f t="shared" si="21"/>
        <v>2716</v>
      </c>
      <c r="V45" s="118">
        <f t="shared" si="21"/>
        <v>2567</v>
      </c>
      <c r="W45" s="118">
        <f t="shared" si="21"/>
        <v>2152</v>
      </c>
    </row>
    <row r="46" spans="2:24">
      <c r="L46" s="100" t="s">
        <v>1589</v>
      </c>
      <c r="M46" s="100">
        <v>134</v>
      </c>
      <c r="N46" s="100">
        <v>190</v>
      </c>
      <c r="O46" s="100">
        <v>268</v>
      </c>
      <c r="P46" s="100">
        <v>525</v>
      </c>
      <c r="Q46" s="100">
        <v>889</v>
      </c>
      <c r="R46" s="118">
        <v>1176</v>
      </c>
      <c r="S46" s="118">
        <v>1380</v>
      </c>
      <c r="T46" s="118">
        <f t="shared" si="22"/>
        <v>1521</v>
      </c>
      <c r="U46" s="118">
        <f t="shared" si="21"/>
        <v>1528</v>
      </c>
      <c r="V46" s="118">
        <f t="shared" si="21"/>
        <v>1346</v>
      </c>
      <c r="W46" s="118">
        <f t="shared" si="21"/>
        <v>1212</v>
      </c>
    </row>
    <row r="47" spans="2:24">
      <c r="L47" s="100" t="s">
        <v>114</v>
      </c>
      <c r="M47" s="100">
        <v>8</v>
      </c>
      <c r="N47" s="100">
        <v>13</v>
      </c>
      <c r="O47" s="100">
        <v>15</v>
      </c>
      <c r="P47" s="100">
        <v>39</v>
      </c>
      <c r="Q47" s="100">
        <v>59</v>
      </c>
      <c r="R47" s="118">
        <v>61</v>
      </c>
      <c r="S47" s="118">
        <v>88</v>
      </c>
      <c r="T47" s="118">
        <f t="shared" si="22"/>
        <v>77</v>
      </c>
      <c r="U47" s="118">
        <f t="shared" si="21"/>
        <v>100</v>
      </c>
      <c r="V47" s="118">
        <f t="shared" si="21"/>
        <v>92</v>
      </c>
      <c r="W47" s="118">
        <f t="shared" si="21"/>
        <v>97</v>
      </c>
    </row>
    <row r="48" spans="2:24">
      <c r="L48" s="100" t="s">
        <v>115</v>
      </c>
      <c r="M48" s="100">
        <v>4</v>
      </c>
      <c r="N48" s="100">
        <v>10</v>
      </c>
      <c r="O48" s="100">
        <v>8</v>
      </c>
      <c r="P48" s="100">
        <v>26</v>
      </c>
      <c r="Q48" s="100">
        <v>42</v>
      </c>
      <c r="R48" s="118">
        <v>69</v>
      </c>
      <c r="S48" s="118">
        <v>85</v>
      </c>
      <c r="T48" s="118">
        <f t="shared" si="22"/>
        <v>122</v>
      </c>
      <c r="U48" s="118">
        <f t="shared" si="21"/>
        <v>180</v>
      </c>
      <c r="V48" s="118">
        <f t="shared" si="21"/>
        <v>194</v>
      </c>
      <c r="W48" s="118">
        <f t="shared" si="21"/>
        <v>182</v>
      </c>
    </row>
    <row r="49" spans="12:23">
      <c r="L49" s="100" t="s">
        <v>116</v>
      </c>
      <c r="M49" s="100">
        <v>91</v>
      </c>
      <c r="N49" s="100">
        <v>139</v>
      </c>
      <c r="O49" s="100">
        <v>164</v>
      </c>
      <c r="P49" s="100">
        <v>222</v>
      </c>
      <c r="Q49" s="100">
        <v>247</v>
      </c>
      <c r="R49" s="118">
        <v>248</v>
      </c>
      <c r="S49" s="118">
        <v>47</v>
      </c>
      <c r="T49" s="118">
        <f t="shared" si="22"/>
        <v>287</v>
      </c>
      <c r="U49" s="118">
        <f t="shared" si="21"/>
        <v>334</v>
      </c>
      <c r="V49" s="118">
        <f t="shared" si="21"/>
        <v>280</v>
      </c>
      <c r="W49" s="118">
        <f t="shared" si="21"/>
        <v>250</v>
      </c>
    </row>
    <row r="50" spans="12:23">
      <c r="L50" s="100" t="s">
        <v>117</v>
      </c>
      <c r="M50" s="100">
        <v>3</v>
      </c>
      <c r="N50" s="100">
        <v>3</v>
      </c>
      <c r="O50" s="100">
        <v>3</v>
      </c>
      <c r="P50" s="100">
        <v>8</v>
      </c>
      <c r="Q50" s="100">
        <v>33</v>
      </c>
      <c r="R50" s="118">
        <v>49</v>
      </c>
      <c r="S50" s="118">
        <v>76</v>
      </c>
      <c r="T50" s="118">
        <f t="shared" si="22"/>
        <v>98</v>
      </c>
      <c r="U50" s="118">
        <f t="shared" si="21"/>
        <v>114</v>
      </c>
      <c r="V50" s="118">
        <f t="shared" si="21"/>
        <v>106</v>
      </c>
      <c r="W50" s="118">
        <f t="shared" si="21"/>
        <v>130</v>
      </c>
    </row>
    <row r="51" spans="12:23">
      <c r="L51" s="100" t="s">
        <v>119</v>
      </c>
      <c r="M51" s="100">
        <v>1242</v>
      </c>
      <c r="N51" s="100">
        <v>1470</v>
      </c>
      <c r="O51" s="100">
        <v>1799</v>
      </c>
      <c r="P51" s="100">
        <v>1746</v>
      </c>
      <c r="Q51" s="100">
        <v>1704</v>
      </c>
      <c r="R51" s="118">
        <v>1634</v>
      </c>
      <c r="S51" s="118">
        <v>3018</v>
      </c>
      <c r="T51" s="118">
        <f t="shared" si="22"/>
        <v>1500</v>
      </c>
      <c r="U51" s="118">
        <f t="shared" si="21"/>
        <v>1280</v>
      </c>
      <c r="V51" s="118">
        <f t="shared" si="21"/>
        <v>1203</v>
      </c>
      <c r="W51" s="118">
        <f t="shared" si="21"/>
        <v>1120</v>
      </c>
    </row>
    <row r="52" spans="12:23">
      <c r="L52" s="109" t="s">
        <v>2434</v>
      </c>
      <c r="R52" s="119"/>
      <c r="S52" s="119"/>
    </row>
    <row r="53" spans="12:23">
      <c r="L53" s="100" t="s">
        <v>105</v>
      </c>
      <c r="M53" s="100">
        <v>48</v>
      </c>
      <c r="N53" s="100">
        <v>49</v>
      </c>
      <c r="O53" s="100">
        <v>68</v>
      </c>
      <c r="P53" s="100">
        <v>52</v>
      </c>
      <c r="Q53" s="100">
        <v>68</v>
      </c>
      <c r="R53" s="118">
        <v>59</v>
      </c>
      <c r="S53" s="118">
        <v>63</v>
      </c>
      <c r="T53" s="218">
        <f>SUMIFS($H$6:$H$41,$B$6:$B$41,T$21,$C$6:$C$41,$L53)</f>
        <v>57</v>
      </c>
      <c r="U53" s="118">
        <f t="shared" ref="U53:W61" si="23">SUMIFS($H$6:$H$41,$B$6:$B$41,U$21,$C$6:$C$41,$L53)</f>
        <v>115</v>
      </c>
      <c r="V53" s="118">
        <f t="shared" si="23"/>
        <v>105</v>
      </c>
      <c r="W53" s="218">
        <f>SUMIFS($H$6:$H$41,$B$6:$B$41,W$21,$C$6:$C$41,$L53)</f>
        <v>88</v>
      </c>
    </row>
    <row r="54" spans="12:23">
      <c r="L54" s="100" t="s">
        <v>107</v>
      </c>
      <c r="M54" s="100">
        <v>1</v>
      </c>
      <c r="N54" s="100">
        <v>6</v>
      </c>
      <c r="O54" s="100">
        <v>11</v>
      </c>
      <c r="P54" s="100">
        <v>16</v>
      </c>
      <c r="Q54" s="100">
        <v>20</v>
      </c>
      <c r="R54" s="118">
        <v>32</v>
      </c>
      <c r="S54" s="118">
        <v>45</v>
      </c>
      <c r="T54" s="218">
        <f t="shared" ref="T54:T61" si="24">SUMIFS($H$6:$H$41,$B$6:$B$41,T$21,$C$6:$C$41,$L54)</f>
        <v>61</v>
      </c>
      <c r="U54" s="118">
        <f t="shared" si="23"/>
        <v>65</v>
      </c>
      <c r="V54" s="118">
        <f t="shared" si="23"/>
        <v>68</v>
      </c>
      <c r="W54" s="218">
        <f t="shared" si="23"/>
        <v>73</v>
      </c>
    </row>
    <row r="55" spans="12:23">
      <c r="L55" s="100" t="s">
        <v>111</v>
      </c>
      <c r="M55" s="100">
        <v>55</v>
      </c>
      <c r="N55" s="100">
        <v>103</v>
      </c>
      <c r="O55" s="100">
        <v>176</v>
      </c>
      <c r="P55" s="100">
        <v>279</v>
      </c>
      <c r="Q55" s="100">
        <v>361</v>
      </c>
      <c r="R55" s="118">
        <v>475</v>
      </c>
      <c r="S55" s="118">
        <v>564</v>
      </c>
      <c r="T55" s="218">
        <f t="shared" si="24"/>
        <v>555</v>
      </c>
      <c r="U55" s="118">
        <f t="shared" si="23"/>
        <v>599</v>
      </c>
      <c r="V55" s="118">
        <f t="shared" si="23"/>
        <v>569</v>
      </c>
      <c r="W55" s="218">
        <f t="shared" si="23"/>
        <v>496</v>
      </c>
    </row>
    <row r="56" spans="12:23">
      <c r="L56" s="100" t="s">
        <v>1589</v>
      </c>
      <c r="M56" s="100">
        <v>19</v>
      </c>
      <c r="N56" s="100">
        <v>26</v>
      </c>
      <c r="O56" s="100">
        <v>42</v>
      </c>
      <c r="P56" s="100">
        <v>74</v>
      </c>
      <c r="Q56" s="100">
        <v>119</v>
      </c>
      <c r="R56" s="118">
        <v>204</v>
      </c>
      <c r="S56" s="118">
        <v>235</v>
      </c>
      <c r="T56" s="218">
        <f t="shared" si="24"/>
        <v>299</v>
      </c>
      <c r="U56" s="118">
        <f t="shared" si="23"/>
        <v>323</v>
      </c>
      <c r="V56" s="118">
        <f t="shared" si="23"/>
        <v>297</v>
      </c>
      <c r="W56" s="218">
        <f>SUMIFS($H$6:$H$41,$B$6:$B$41,W$21,$C$6:$C$41,$L56)</f>
        <v>316</v>
      </c>
    </row>
    <row r="57" spans="12:23">
      <c r="L57" s="100" t="s">
        <v>114</v>
      </c>
      <c r="M57" s="100">
        <v>1</v>
      </c>
      <c r="N57" s="100">
        <v>2</v>
      </c>
      <c r="O57" s="100">
        <v>2</v>
      </c>
      <c r="P57" s="100">
        <v>3</v>
      </c>
      <c r="Q57" s="100">
        <v>9</v>
      </c>
      <c r="R57" s="118">
        <v>7</v>
      </c>
      <c r="S57" s="118">
        <v>15</v>
      </c>
      <c r="T57" s="218">
        <f t="shared" si="24"/>
        <v>9</v>
      </c>
      <c r="U57" s="118">
        <f t="shared" si="23"/>
        <v>13</v>
      </c>
      <c r="V57" s="118">
        <f t="shared" si="23"/>
        <v>11</v>
      </c>
      <c r="W57" s="218">
        <f t="shared" si="23"/>
        <v>15</v>
      </c>
    </row>
    <row r="58" spans="12:23">
      <c r="L58" s="100" t="s">
        <v>115</v>
      </c>
      <c r="M58" s="100">
        <v>0</v>
      </c>
      <c r="N58" s="100">
        <v>0</v>
      </c>
      <c r="O58" s="100">
        <v>0</v>
      </c>
      <c r="P58" s="100">
        <v>2</v>
      </c>
      <c r="Q58" s="100">
        <v>4</v>
      </c>
      <c r="R58" s="118">
        <v>6</v>
      </c>
      <c r="S58" s="118">
        <v>11</v>
      </c>
      <c r="T58" s="218">
        <f t="shared" si="24"/>
        <v>19</v>
      </c>
      <c r="U58" s="118">
        <f t="shared" si="23"/>
        <v>44</v>
      </c>
      <c r="V58" s="118">
        <f t="shared" si="23"/>
        <v>49</v>
      </c>
      <c r="W58" s="218">
        <f t="shared" si="23"/>
        <v>51</v>
      </c>
    </row>
    <row r="59" spans="12:23">
      <c r="L59" s="100" t="s">
        <v>116</v>
      </c>
      <c r="M59" s="100">
        <v>4</v>
      </c>
      <c r="N59" s="100">
        <v>1</v>
      </c>
      <c r="O59" s="100">
        <v>12</v>
      </c>
      <c r="P59" s="100">
        <v>24</v>
      </c>
      <c r="Q59" s="100">
        <v>33</v>
      </c>
      <c r="R59" s="118">
        <v>49</v>
      </c>
      <c r="S59" s="118">
        <v>47</v>
      </c>
      <c r="T59" s="218">
        <f t="shared" si="24"/>
        <v>45</v>
      </c>
      <c r="U59" s="118">
        <f t="shared" si="23"/>
        <v>59</v>
      </c>
      <c r="V59" s="118">
        <f t="shared" si="23"/>
        <v>55</v>
      </c>
      <c r="W59" s="218">
        <f t="shared" si="23"/>
        <v>47</v>
      </c>
    </row>
    <row r="60" spans="12:23">
      <c r="L60" s="100" t="s">
        <v>117</v>
      </c>
      <c r="M60" s="100">
        <v>0</v>
      </c>
      <c r="N60" s="100">
        <v>0</v>
      </c>
      <c r="O60" s="100">
        <v>0</v>
      </c>
      <c r="P60" s="100">
        <v>0</v>
      </c>
      <c r="Q60" s="100">
        <v>2</v>
      </c>
      <c r="R60" s="118">
        <v>6</v>
      </c>
      <c r="S60" s="118">
        <v>16</v>
      </c>
      <c r="T60" s="218">
        <f t="shared" si="24"/>
        <v>15</v>
      </c>
      <c r="U60" s="118">
        <f t="shared" si="23"/>
        <v>12</v>
      </c>
      <c r="V60" s="118">
        <f t="shared" si="23"/>
        <v>11</v>
      </c>
      <c r="W60" s="218">
        <f t="shared" si="23"/>
        <v>10</v>
      </c>
    </row>
    <row r="61" spans="12:23">
      <c r="L61" s="100" t="s">
        <v>119</v>
      </c>
      <c r="M61" s="100">
        <v>173</v>
      </c>
      <c r="N61" s="100">
        <v>193</v>
      </c>
      <c r="O61" s="100">
        <v>234</v>
      </c>
      <c r="P61" s="100">
        <v>249</v>
      </c>
      <c r="Q61" s="100">
        <v>256</v>
      </c>
      <c r="R61" s="118">
        <v>238</v>
      </c>
      <c r="S61" s="118">
        <v>262</v>
      </c>
      <c r="T61" s="218">
        <f t="shared" si="24"/>
        <v>206</v>
      </c>
      <c r="U61" s="118">
        <f t="shared" si="23"/>
        <v>198</v>
      </c>
      <c r="V61" s="118">
        <f t="shared" si="23"/>
        <v>183</v>
      </c>
      <c r="W61" s="218">
        <f t="shared" si="23"/>
        <v>161</v>
      </c>
    </row>
    <row r="62" spans="12:23">
      <c r="L62" s="109" t="s">
        <v>2435</v>
      </c>
      <c r="R62" s="119"/>
      <c r="S62" s="119"/>
    </row>
    <row r="63" spans="12:23">
      <c r="L63" s="100" t="s">
        <v>105</v>
      </c>
      <c r="M63" s="100">
        <v>16</v>
      </c>
      <c r="N63" s="100">
        <v>17</v>
      </c>
      <c r="O63" s="100">
        <v>36</v>
      </c>
      <c r="P63" s="100">
        <v>27</v>
      </c>
      <c r="Q63" s="100">
        <v>29</v>
      </c>
      <c r="R63" s="118">
        <v>44</v>
      </c>
      <c r="S63" s="118">
        <v>55</v>
      </c>
      <c r="T63" s="118">
        <f>SUMIFS($I$6:$I$41,$B$6:$B$41,T$21,$C$6:$C$41,$L63)</f>
        <v>50</v>
      </c>
      <c r="U63" s="118">
        <f t="shared" ref="U63:W71" si="25">SUMIFS($I$6:$I$41,$B$6:$B$41,U$21,$C$6:$C$41,$L63)</f>
        <v>56</v>
      </c>
      <c r="V63" s="118">
        <f t="shared" si="25"/>
        <v>56</v>
      </c>
      <c r="W63" s="118">
        <f t="shared" si="25"/>
        <v>48</v>
      </c>
    </row>
    <row r="64" spans="12:23">
      <c r="L64" s="100" t="s">
        <v>107</v>
      </c>
      <c r="M64" s="100">
        <v>1</v>
      </c>
      <c r="N64" s="100">
        <v>4</v>
      </c>
      <c r="O64" s="100">
        <v>6</v>
      </c>
      <c r="P64" s="100">
        <v>10</v>
      </c>
      <c r="Q64" s="100">
        <v>11</v>
      </c>
      <c r="R64" s="118">
        <v>15</v>
      </c>
      <c r="S64" s="118">
        <v>18</v>
      </c>
      <c r="T64" s="118">
        <f t="shared" ref="T64:T71" si="26">SUMIFS($I$6:$I$41,$B$6:$B$41,T$21,$C$6:$C$41,$L64)</f>
        <v>30</v>
      </c>
      <c r="U64" s="118">
        <f t="shared" si="25"/>
        <v>41</v>
      </c>
      <c r="V64" s="118">
        <f t="shared" si="25"/>
        <v>46</v>
      </c>
      <c r="W64" s="118">
        <f t="shared" si="25"/>
        <v>50</v>
      </c>
    </row>
    <row r="65" spans="12:23">
      <c r="L65" s="100" t="s">
        <v>111</v>
      </c>
      <c r="M65" s="100">
        <v>11</v>
      </c>
      <c r="N65" s="100">
        <v>21</v>
      </c>
      <c r="O65" s="100">
        <v>60</v>
      </c>
      <c r="P65" s="100">
        <v>127</v>
      </c>
      <c r="Q65" s="100">
        <v>166</v>
      </c>
      <c r="R65" s="118">
        <v>224</v>
      </c>
      <c r="S65" s="118">
        <v>270</v>
      </c>
      <c r="T65" s="118">
        <f t="shared" si="26"/>
        <v>325</v>
      </c>
      <c r="U65" s="118">
        <f t="shared" si="25"/>
        <v>323</v>
      </c>
      <c r="V65" s="118">
        <f t="shared" si="25"/>
        <v>314</v>
      </c>
      <c r="W65" s="118">
        <f t="shared" si="25"/>
        <v>252</v>
      </c>
    </row>
    <row r="66" spans="12:23">
      <c r="L66" s="100" t="s">
        <v>1589</v>
      </c>
      <c r="M66" s="100">
        <v>6</v>
      </c>
      <c r="N66" s="100">
        <v>6</v>
      </c>
      <c r="O66" s="100">
        <v>16</v>
      </c>
      <c r="P66" s="100">
        <v>25</v>
      </c>
      <c r="Q66" s="100">
        <v>53</v>
      </c>
      <c r="R66" s="118">
        <v>101</v>
      </c>
      <c r="S66" s="118">
        <v>122</v>
      </c>
      <c r="T66" s="118">
        <f t="shared" si="26"/>
        <v>173</v>
      </c>
      <c r="U66" s="118">
        <f t="shared" si="25"/>
        <v>173</v>
      </c>
      <c r="V66" s="118">
        <f t="shared" si="25"/>
        <v>175</v>
      </c>
      <c r="W66" s="118">
        <f t="shared" si="25"/>
        <v>174</v>
      </c>
    </row>
    <row r="67" spans="12:23">
      <c r="L67" s="100" t="s">
        <v>114</v>
      </c>
      <c r="M67" s="100">
        <v>1</v>
      </c>
      <c r="N67" s="100">
        <v>1</v>
      </c>
      <c r="O67" s="100">
        <v>0</v>
      </c>
      <c r="P67" s="100">
        <v>1</v>
      </c>
      <c r="Q67" s="100">
        <v>8</v>
      </c>
      <c r="R67" s="118">
        <v>6</v>
      </c>
      <c r="S67" s="118">
        <v>7</v>
      </c>
      <c r="T67" s="118">
        <f t="shared" si="26"/>
        <v>9</v>
      </c>
      <c r="U67" s="118">
        <f t="shared" si="25"/>
        <v>8</v>
      </c>
      <c r="V67" s="118">
        <f t="shared" si="25"/>
        <v>9</v>
      </c>
      <c r="W67" s="118">
        <f t="shared" si="25"/>
        <v>9</v>
      </c>
    </row>
    <row r="68" spans="12:23">
      <c r="L68" s="100" t="s">
        <v>115</v>
      </c>
      <c r="M68" s="100">
        <v>0</v>
      </c>
      <c r="N68" s="100">
        <v>0</v>
      </c>
      <c r="O68" s="100">
        <v>0</v>
      </c>
      <c r="P68" s="100">
        <v>1</v>
      </c>
      <c r="Q68" s="100">
        <v>1</v>
      </c>
      <c r="R68" s="118">
        <v>4</v>
      </c>
      <c r="S68" s="118">
        <v>6</v>
      </c>
      <c r="T68" s="118">
        <f t="shared" si="26"/>
        <v>13</v>
      </c>
      <c r="U68" s="118">
        <f t="shared" si="25"/>
        <v>16</v>
      </c>
      <c r="V68" s="118">
        <f t="shared" si="25"/>
        <v>23</v>
      </c>
      <c r="W68" s="118">
        <f t="shared" si="25"/>
        <v>25</v>
      </c>
    </row>
    <row r="69" spans="12:23">
      <c r="L69" s="100" t="s">
        <v>116</v>
      </c>
      <c r="M69" s="100">
        <v>1</v>
      </c>
      <c r="N69" s="100">
        <v>3</v>
      </c>
      <c r="O69" s="100">
        <v>3</v>
      </c>
      <c r="P69" s="100">
        <v>4</v>
      </c>
      <c r="Q69" s="100">
        <v>12</v>
      </c>
      <c r="R69" s="118">
        <v>17</v>
      </c>
      <c r="S69" s="118">
        <v>21</v>
      </c>
      <c r="T69" s="118">
        <f t="shared" si="26"/>
        <v>29</v>
      </c>
      <c r="U69" s="118">
        <f t="shared" si="25"/>
        <v>34</v>
      </c>
      <c r="V69" s="118">
        <f t="shared" si="25"/>
        <v>30</v>
      </c>
      <c r="W69" s="118">
        <f t="shared" si="25"/>
        <v>25</v>
      </c>
    </row>
    <row r="70" spans="12:23">
      <c r="L70" s="100" t="s">
        <v>117</v>
      </c>
      <c r="M70" s="100">
        <v>0</v>
      </c>
      <c r="N70" s="100">
        <v>0</v>
      </c>
      <c r="O70" s="100">
        <v>0</v>
      </c>
      <c r="P70" s="100">
        <v>0</v>
      </c>
      <c r="Q70" s="100">
        <v>0</v>
      </c>
      <c r="R70" s="118">
        <v>3</v>
      </c>
      <c r="S70" s="118">
        <v>9</v>
      </c>
      <c r="T70" s="118">
        <f t="shared" si="26"/>
        <v>11</v>
      </c>
      <c r="U70" s="118">
        <f t="shared" si="25"/>
        <v>13</v>
      </c>
      <c r="V70" s="118">
        <f t="shared" si="25"/>
        <v>8</v>
      </c>
      <c r="W70" s="118">
        <f t="shared" si="25"/>
        <v>8</v>
      </c>
    </row>
    <row r="71" spans="12:23">
      <c r="L71" s="100" t="s">
        <v>119</v>
      </c>
      <c r="M71" s="100">
        <v>82</v>
      </c>
      <c r="N71" s="100">
        <v>89</v>
      </c>
      <c r="O71" s="100">
        <v>111</v>
      </c>
      <c r="P71" s="100">
        <v>85</v>
      </c>
      <c r="Q71" s="100">
        <v>87</v>
      </c>
      <c r="R71" s="118">
        <v>92</v>
      </c>
      <c r="S71" s="118">
        <v>107</v>
      </c>
      <c r="T71" s="118">
        <f t="shared" si="26"/>
        <v>87</v>
      </c>
      <c r="U71" s="118">
        <f t="shared" si="25"/>
        <v>88</v>
      </c>
      <c r="V71" s="118">
        <f t="shared" si="25"/>
        <v>74</v>
      </c>
      <c r="W71" s="118">
        <f t="shared" si="25"/>
        <v>66</v>
      </c>
    </row>
    <row r="72" spans="12:23">
      <c r="L72" s="109" t="s">
        <v>2436</v>
      </c>
      <c r="R72" s="119"/>
      <c r="S72" s="119"/>
    </row>
    <row r="73" spans="12:23">
      <c r="L73" s="100" t="s">
        <v>105</v>
      </c>
      <c r="M73" s="100">
        <v>254</v>
      </c>
      <c r="N73" s="100">
        <v>300</v>
      </c>
      <c r="O73" s="100">
        <v>368</v>
      </c>
      <c r="P73" s="100">
        <v>481</v>
      </c>
      <c r="Q73" s="100">
        <v>623</v>
      </c>
      <c r="R73" s="118">
        <v>845</v>
      </c>
      <c r="S73" s="118">
        <v>999</v>
      </c>
      <c r="T73" s="118">
        <f>SUMIFS($F$6:$F$41,$B$6:$B$41,T$21,$C$6:$C$41,$L73)</f>
        <v>1171</v>
      </c>
      <c r="U73" s="118">
        <f t="shared" ref="U73:W81" si="27">SUMIFS($F$6:$F$41,$B$6:$B$41,U$21,$C$6:$C$41,$L73)</f>
        <v>2193</v>
      </c>
      <c r="V73" s="118">
        <f t="shared" si="27"/>
        <v>2654</v>
      </c>
      <c r="W73" s="118">
        <f t="shared" si="27"/>
        <v>4326</v>
      </c>
    </row>
    <row r="74" spans="12:23">
      <c r="L74" s="100" t="s">
        <v>107</v>
      </c>
      <c r="M74" s="100">
        <v>109</v>
      </c>
      <c r="N74" s="100">
        <v>125</v>
      </c>
      <c r="O74" s="100">
        <v>148</v>
      </c>
      <c r="P74" s="100">
        <v>187</v>
      </c>
      <c r="Q74" s="100">
        <v>265</v>
      </c>
      <c r="R74" s="118">
        <v>398</v>
      </c>
      <c r="S74" s="118">
        <v>565</v>
      </c>
      <c r="T74" s="118">
        <f t="shared" ref="T74:T81" si="28">SUMIFS($F$6:$F$41,$B$6:$B$41,T$21,$C$6:$C$41,$L74)</f>
        <v>980</v>
      </c>
      <c r="U74" s="118">
        <f t="shared" si="27"/>
        <v>1490</v>
      </c>
      <c r="V74" s="118">
        <f t="shared" si="27"/>
        <v>1884</v>
      </c>
      <c r="W74" s="118">
        <f t="shared" si="27"/>
        <v>2429</v>
      </c>
    </row>
    <row r="75" spans="12:23">
      <c r="L75" s="100" t="s">
        <v>111</v>
      </c>
      <c r="M75" s="100">
        <v>390</v>
      </c>
      <c r="N75" s="100">
        <v>523</v>
      </c>
      <c r="O75" s="100">
        <v>800</v>
      </c>
      <c r="P75" s="100">
        <v>1244</v>
      </c>
      <c r="Q75" s="100">
        <v>1713</v>
      </c>
      <c r="R75" s="118">
        <v>3179</v>
      </c>
      <c r="S75" s="118">
        <v>4077</v>
      </c>
      <c r="T75" s="118">
        <f t="shared" si="28"/>
        <v>5888</v>
      </c>
      <c r="U75" s="118">
        <f t="shared" si="27"/>
        <v>8591</v>
      </c>
      <c r="V75" s="118">
        <f t="shared" si="27"/>
        <v>9993</v>
      </c>
      <c r="W75" s="118">
        <f t="shared" si="27"/>
        <v>11375</v>
      </c>
    </row>
    <row r="76" spans="12:23">
      <c r="L76" s="100" t="s">
        <v>1589</v>
      </c>
      <c r="M76" s="100">
        <v>325</v>
      </c>
      <c r="N76" s="100">
        <v>361</v>
      </c>
      <c r="O76" s="100">
        <v>434</v>
      </c>
      <c r="P76" s="100">
        <v>529</v>
      </c>
      <c r="Q76" s="100">
        <v>706</v>
      </c>
      <c r="R76" s="118">
        <v>1367</v>
      </c>
      <c r="S76" s="118">
        <v>1899</v>
      </c>
      <c r="T76" s="118">
        <f t="shared" si="28"/>
        <v>3253</v>
      </c>
      <c r="U76" s="118">
        <f t="shared" si="27"/>
        <v>4814</v>
      </c>
      <c r="V76" s="118">
        <f t="shared" si="27"/>
        <v>5726</v>
      </c>
      <c r="W76" s="118">
        <f t="shared" si="27"/>
        <v>6606</v>
      </c>
    </row>
    <row r="77" spans="12:23">
      <c r="L77" s="100" t="s">
        <v>114</v>
      </c>
      <c r="M77" s="100">
        <v>22</v>
      </c>
      <c r="N77" s="100">
        <v>30</v>
      </c>
      <c r="O77" s="100">
        <v>51</v>
      </c>
      <c r="P77" s="100">
        <v>69</v>
      </c>
      <c r="Q77" s="100">
        <v>104</v>
      </c>
      <c r="R77" s="118">
        <v>175</v>
      </c>
      <c r="S77" s="118">
        <v>214</v>
      </c>
      <c r="T77" s="118">
        <f t="shared" si="28"/>
        <v>328</v>
      </c>
      <c r="U77" s="118">
        <f t="shared" si="27"/>
        <v>410</v>
      </c>
      <c r="V77" s="118">
        <f t="shared" si="27"/>
        <v>468</v>
      </c>
      <c r="W77" s="118">
        <f t="shared" si="27"/>
        <v>561</v>
      </c>
    </row>
    <row r="78" spans="12:23">
      <c r="L78" s="100" t="s">
        <v>115</v>
      </c>
      <c r="M78" s="100">
        <v>11</v>
      </c>
      <c r="N78" s="100">
        <v>16</v>
      </c>
      <c r="O78" s="100">
        <v>32</v>
      </c>
      <c r="P78" s="100">
        <v>47</v>
      </c>
      <c r="Q78" s="100">
        <v>77</v>
      </c>
      <c r="R78" s="118">
        <v>145</v>
      </c>
      <c r="S78" s="118">
        <v>190</v>
      </c>
      <c r="T78" s="118">
        <f t="shared" si="28"/>
        <v>340</v>
      </c>
      <c r="U78" s="118">
        <f t="shared" si="27"/>
        <v>582</v>
      </c>
      <c r="V78" s="118">
        <f t="shared" si="27"/>
        <v>783</v>
      </c>
      <c r="W78" s="118">
        <f t="shared" si="27"/>
        <v>961</v>
      </c>
    </row>
    <row r="79" spans="12:23">
      <c r="L79" s="100" t="s">
        <v>116</v>
      </c>
      <c r="M79" s="100">
        <v>58</v>
      </c>
      <c r="N79" s="100">
        <v>89</v>
      </c>
      <c r="O79" s="100">
        <v>129</v>
      </c>
      <c r="P79" s="100">
        <v>182</v>
      </c>
      <c r="Q79" s="100">
        <v>297</v>
      </c>
      <c r="R79" s="118">
        <v>477</v>
      </c>
      <c r="S79" s="118">
        <v>570</v>
      </c>
      <c r="T79" s="118">
        <f t="shared" si="28"/>
        <v>795</v>
      </c>
      <c r="U79" s="118">
        <f t="shared" si="27"/>
        <v>1272</v>
      </c>
      <c r="V79" s="118">
        <f t="shared" si="27"/>
        <v>1451</v>
      </c>
      <c r="W79" s="118">
        <f t="shared" si="27"/>
        <v>1712</v>
      </c>
    </row>
    <row r="80" spans="12:23">
      <c r="L80" s="100" t="s">
        <v>117</v>
      </c>
      <c r="M80" s="100">
        <v>14</v>
      </c>
      <c r="N80" s="100">
        <v>17</v>
      </c>
      <c r="O80" s="100">
        <v>22</v>
      </c>
      <c r="P80" s="100">
        <v>31</v>
      </c>
      <c r="Q80" s="100">
        <v>45</v>
      </c>
      <c r="R80" s="118">
        <v>85</v>
      </c>
      <c r="S80" s="118">
        <v>124</v>
      </c>
      <c r="T80" s="118">
        <f t="shared" si="28"/>
        <v>226</v>
      </c>
      <c r="U80" s="118">
        <f t="shared" si="27"/>
        <v>288</v>
      </c>
      <c r="V80" s="118">
        <f t="shared" si="27"/>
        <v>364</v>
      </c>
      <c r="W80" s="118">
        <f t="shared" si="27"/>
        <v>431</v>
      </c>
    </row>
    <row r="81" spans="1:23">
      <c r="L81" s="100" t="s">
        <v>119</v>
      </c>
      <c r="M81" s="100">
        <v>2653</v>
      </c>
      <c r="N81" s="100">
        <v>3417</v>
      </c>
      <c r="O81" s="100">
        <v>4413</v>
      </c>
      <c r="P81" s="100">
        <v>5758</v>
      </c>
      <c r="Q81" s="100">
        <v>6896</v>
      </c>
      <c r="R81" s="118">
        <v>7950</v>
      </c>
      <c r="S81" s="118">
        <v>8726</v>
      </c>
      <c r="T81" s="118">
        <f t="shared" si="28"/>
        <v>9722</v>
      </c>
      <c r="U81" s="118">
        <f t="shared" si="27"/>
        <v>11003</v>
      </c>
      <c r="V81" s="118">
        <f t="shared" si="27"/>
        <v>11658</v>
      </c>
      <c r="W81" s="118">
        <f t="shared" si="27"/>
        <v>12252</v>
      </c>
    </row>
    <row r="82" spans="1:23">
      <c r="L82" s="109" t="s">
        <v>102</v>
      </c>
      <c r="R82" s="119"/>
      <c r="S82" s="119"/>
    </row>
    <row r="83" spans="1:23">
      <c r="L83" s="100" t="s">
        <v>105</v>
      </c>
      <c r="M83" s="100">
        <v>95</v>
      </c>
      <c r="N83" s="100">
        <v>119</v>
      </c>
      <c r="O83" s="100">
        <v>191</v>
      </c>
      <c r="P83" s="100">
        <v>259</v>
      </c>
      <c r="Q83" s="100">
        <v>343</v>
      </c>
      <c r="R83" s="118">
        <v>400</v>
      </c>
      <c r="S83" s="219">
        <v>443</v>
      </c>
      <c r="T83" s="219">
        <f>SUMIFS($E$6:$E$41,$B$6:$B$41,T$21,$C$6:$C$41,$L83)</f>
        <v>520</v>
      </c>
      <c r="U83" s="219">
        <f t="shared" ref="U83:W91" si="29">SUMIFS($E$6:$E$41,$B$6:$B$41,U$21,$C$6:$C$41,$L83)</f>
        <v>815</v>
      </c>
      <c r="V83" s="219">
        <f t="shared" si="29"/>
        <v>1022</v>
      </c>
      <c r="W83" s="219">
        <f t="shared" si="29"/>
        <v>1541</v>
      </c>
    </row>
    <row r="84" spans="1:23">
      <c r="L84" s="100" t="s">
        <v>107</v>
      </c>
      <c r="M84" s="100">
        <v>10</v>
      </c>
      <c r="N84" s="100">
        <v>10</v>
      </c>
      <c r="O84" s="100">
        <v>11</v>
      </c>
      <c r="P84" s="100">
        <v>15</v>
      </c>
      <c r="Q84" s="100">
        <v>33</v>
      </c>
      <c r="R84" s="118">
        <v>47</v>
      </c>
      <c r="S84" s="219">
        <v>84</v>
      </c>
      <c r="T84" s="219">
        <f t="shared" ref="T84:T91" si="30">SUMIFS($E$6:$E$41,$B$6:$B$41,T$21,$C$6:$C$41,$L84)</f>
        <v>239</v>
      </c>
      <c r="U84" s="219">
        <f t="shared" si="29"/>
        <v>379</v>
      </c>
      <c r="V84" s="219">
        <f t="shared" si="29"/>
        <v>495</v>
      </c>
      <c r="W84" s="219">
        <f t="shared" si="29"/>
        <v>600</v>
      </c>
    </row>
    <row r="85" spans="1:23">
      <c r="L85" s="100" t="s">
        <v>111</v>
      </c>
      <c r="M85" s="100">
        <v>38</v>
      </c>
      <c r="N85" s="100">
        <v>60</v>
      </c>
      <c r="O85" s="100">
        <v>118</v>
      </c>
      <c r="P85" s="100">
        <v>219</v>
      </c>
      <c r="Q85" s="100">
        <v>372</v>
      </c>
      <c r="R85" s="118">
        <v>582</v>
      </c>
      <c r="S85" s="219">
        <v>760</v>
      </c>
      <c r="T85" s="219">
        <f t="shared" si="30"/>
        <v>1162</v>
      </c>
      <c r="U85" s="219">
        <f t="shared" si="29"/>
        <v>1603</v>
      </c>
      <c r="V85" s="219">
        <f t="shared" si="29"/>
        <v>1923</v>
      </c>
      <c r="W85" s="219">
        <f t="shared" si="29"/>
        <v>2147</v>
      </c>
    </row>
    <row r="86" spans="1:23">
      <c r="A86" s="100">
        <v>1.7784256559766765</v>
      </c>
      <c r="L86" s="100" t="s">
        <v>1589</v>
      </c>
      <c r="M86" s="100">
        <v>45</v>
      </c>
      <c r="N86" s="100">
        <v>49</v>
      </c>
      <c r="O86" s="100">
        <v>62</v>
      </c>
      <c r="P86" s="100">
        <v>77</v>
      </c>
      <c r="Q86" s="100">
        <v>128</v>
      </c>
      <c r="R86" s="118">
        <v>174</v>
      </c>
      <c r="S86" s="219">
        <v>251</v>
      </c>
      <c r="T86" s="219">
        <f t="shared" si="30"/>
        <v>563</v>
      </c>
      <c r="U86" s="219">
        <f t="shared" si="29"/>
        <v>800</v>
      </c>
      <c r="V86" s="219">
        <f t="shared" si="29"/>
        <v>971</v>
      </c>
      <c r="W86" s="219">
        <f t="shared" si="29"/>
        <v>1142</v>
      </c>
    </row>
    <row r="87" spans="1:23">
      <c r="A87" s="100">
        <v>0.5757575757575758</v>
      </c>
      <c r="L87" s="100" t="s">
        <v>114</v>
      </c>
      <c r="M87" s="100">
        <v>2</v>
      </c>
      <c r="N87" s="100">
        <v>2</v>
      </c>
      <c r="O87" s="100">
        <v>2</v>
      </c>
      <c r="P87" s="100">
        <v>3</v>
      </c>
      <c r="Q87" s="100">
        <v>9</v>
      </c>
      <c r="R87" s="118">
        <v>11</v>
      </c>
      <c r="S87" s="219">
        <v>19</v>
      </c>
      <c r="T87" s="219">
        <f t="shared" si="30"/>
        <v>46</v>
      </c>
      <c r="U87" s="219">
        <f t="shared" si="29"/>
        <v>65</v>
      </c>
      <c r="V87" s="219">
        <f t="shared" si="29"/>
        <v>91</v>
      </c>
      <c r="W87" s="219">
        <f t="shared" si="29"/>
        <v>103</v>
      </c>
    </row>
    <row r="88" spans="1:23">
      <c r="A88" s="100">
        <v>1.3844086021505377</v>
      </c>
      <c r="L88" s="100" t="s">
        <v>115</v>
      </c>
      <c r="M88" s="100">
        <v>1</v>
      </c>
      <c r="N88" s="100">
        <v>1</v>
      </c>
      <c r="O88" s="100">
        <v>0</v>
      </c>
      <c r="P88" s="100">
        <v>1</v>
      </c>
      <c r="Q88" s="100">
        <v>3</v>
      </c>
      <c r="R88" s="118">
        <v>3</v>
      </c>
      <c r="S88" s="219">
        <v>3</v>
      </c>
      <c r="T88" s="219">
        <f t="shared" si="30"/>
        <v>27</v>
      </c>
      <c r="U88" s="219">
        <f t="shared" si="29"/>
        <v>53</v>
      </c>
      <c r="V88" s="219">
        <f t="shared" si="29"/>
        <v>80</v>
      </c>
      <c r="W88" s="219">
        <f t="shared" si="29"/>
        <v>110</v>
      </c>
    </row>
    <row r="89" spans="1:23">
      <c r="A89" s="100">
        <v>1.9453125</v>
      </c>
      <c r="L89" s="100" t="s">
        <v>116</v>
      </c>
      <c r="M89" s="100">
        <v>4</v>
      </c>
      <c r="N89" s="100">
        <v>6</v>
      </c>
      <c r="O89" s="100">
        <v>12</v>
      </c>
      <c r="P89" s="100">
        <v>21</v>
      </c>
      <c r="Q89" s="100">
        <v>51</v>
      </c>
      <c r="R89" s="118">
        <v>58</v>
      </c>
      <c r="S89" s="219">
        <v>70</v>
      </c>
      <c r="T89" s="219">
        <f t="shared" si="30"/>
        <v>134</v>
      </c>
      <c r="U89" s="219">
        <f t="shared" si="29"/>
        <v>207</v>
      </c>
      <c r="V89" s="219">
        <f t="shared" si="29"/>
        <v>245</v>
      </c>
      <c r="W89" s="219">
        <f t="shared" si="29"/>
        <v>292</v>
      </c>
    </row>
    <row r="90" spans="1:23">
      <c r="A90" s="100">
        <v>3.6666666666666665</v>
      </c>
      <c r="L90" s="100" t="s">
        <v>117</v>
      </c>
      <c r="M90" s="100">
        <v>0</v>
      </c>
      <c r="N90" s="100">
        <v>1</v>
      </c>
      <c r="O90" s="100">
        <v>1</v>
      </c>
      <c r="P90" s="100">
        <v>2</v>
      </c>
      <c r="Q90" s="100">
        <v>5</v>
      </c>
      <c r="R90" s="118">
        <v>11</v>
      </c>
      <c r="S90" s="219">
        <v>13</v>
      </c>
      <c r="T90" s="219">
        <f t="shared" si="30"/>
        <v>34</v>
      </c>
      <c r="U90" s="219">
        <f t="shared" si="29"/>
        <v>46</v>
      </c>
      <c r="V90" s="219">
        <f t="shared" si="29"/>
        <v>62</v>
      </c>
      <c r="W90" s="219">
        <f t="shared" si="29"/>
        <v>88</v>
      </c>
    </row>
    <row r="91" spans="1:23">
      <c r="A91" s="100">
        <v>7.333333333333333</v>
      </c>
      <c r="L91" s="100" t="s">
        <v>119</v>
      </c>
      <c r="M91" s="100">
        <v>765</v>
      </c>
      <c r="N91" s="100">
        <v>1017</v>
      </c>
      <c r="O91" s="100">
        <v>1281</v>
      </c>
      <c r="P91" s="100">
        <v>1620</v>
      </c>
      <c r="Q91" s="100">
        <v>1891</v>
      </c>
      <c r="R91" s="118">
        <v>2089</v>
      </c>
      <c r="S91" s="219">
        <v>2259</v>
      </c>
      <c r="T91" s="219">
        <f t="shared" si="30"/>
        <v>2549</v>
      </c>
      <c r="U91" s="219">
        <f t="shared" si="29"/>
        <v>2826</v>
      </c>
      <c r="V91" s="219">
        <f t="shared" si="29"/>
        <v>3013</v>
      </c>
      <c r="W91" s="219">
        <f>SUMIFS($E$6:$E$41,$B$6:$B$41,W$21,$C$6:$C$41,$L91)</f>
        <v>3153</v>
      </c>
    </row>
    <row r="92" spans="1:23">
      <c r="A92" s="100">
        <v>0.70588235294117652</v>
      </c>
      <c r="R92" s="119"/>
      <c r="S92" s="119"/>
    </row>
    <row r="93" spans="1:23">
      <c r="A93" s="100">
        <v>1.4</v>
      </c>
      <c r="R93" s="119"/>
      <c r="S93" s="119"/>
    </row>
    <row r="94" spans="1:23">
      <c r="A94" s="100">
        <v>1.1787414066631412</v>
      </c>
      <c r="R94" s="119"/>
      <c r="S94" s="119"/>
    </row>
    <row r="95" spans="1:23">
      <c r="L95" s="109" t="s">
        <v>2437</v>
      </c>
      <c r="N95" s="99">
        <f>N$21</f>
        <v>43999</v>
      </c>
      <c r="O95" s="99">
        <f t="shared" ref="O95:Q95" si="31">O$21</f>
        <v>44006</v>
      </c>
      <c r="P95" s="99">
        <f t="shared" si="31"/>
        <v>44013</v>
      </c>
      <c r="Q95" s="99">
        <f t="shared" si="31"/>
        <v>44020</v>
      </c>
      <c r="R95" s="99">
        <f>Q95+7</f>
        <v>44027</v>
      </c>
      <c r="S95" s="99">
        <f>R95+7</f>
        <v>44034</v>
      </c>
      <c r="T95" s="99">
        <f t="shared" ref="T95:W95" si="32">S95+7</f>
        <v>44041</v>
      </c>
      <c r="U95" s="99">
        <f t="shared" si="32"/>
        <v>44048</v>
      </c>
      <c r="V95" s="99">
        <f t="shared" si="32"/>
        <v>44055</v>
      </c>
      <c r="W95" s="99">
        <f t="shared" si="32"/>
        <v>44062</v>
      </c>
    </row>
    <row r="96" spans="1:23">
      <c r="L96" s="100" t="s">
        <v>105</v>
      </c>
      <c r="M96" s="100">
        <v>12472</v>
      </c>
      <c r="N96" s="100">
        <f t="shared" ref="N96:Q104" si="33">N43-M43</f>
        <v>12</v>
      </c>
      <c r="O96" s="100">
        <f t="shared" si="33"/>
        <v>85</v>
      </c>
      <c r="P96" s="100">
        <f t="shared" si="33"/>
        <v>31</v>
      </c>
      <c r="Q96" s="100">
        <f t="shared" si="33"/>
        <v>48</v>
      </c>
      <c r="R96" s="118">
        <f t="shared" ref="R96:R104" si="34">R43-Q43</f>
        <v>-44</v>
      </c>
      <c r="S96" s="118">
        <f t="shared" ref="S96:S104" si="35">S43-R43</f>
        <v>15</v>
      </c>
      <c r="T96" s="118">
        <f t="shared" ref="T96:T104" si="36">T43-S43</f>
        <v>31</v>
      </c>
      <c r="U96" s="118">
        <f t="shared" ref="U96:U104" si="37">U43-T43</f>
        <v>178</v>
      </c>
      <c r="V96" s="118">
        <f t="shared" ref="V96:V104" si="38">V43-U43</f>
        <v>53</v>
      </c>
      <c r="W96" s="118">
        <f t="shared" ref="W96:W104" si="39">W43-V43</f>
        <v>-26</v>
      </c>
    </row>
    <row r="97" spans="1:23">
      <c r="L97" s="100" t="s">
        <v>107</v>
      </c>
      <c r="M97" s="100">
        <v>6177</v>
      </c>
      <c r="N97" s="100">
        <f t="shared" si="33"/>
        <v>21</v>
      </c>
      <c r="O97" s="100">
        <f t="shared" si="33"/>
        <v>26</v>
      </c>
      <c r="P97" s="100">
        <f t="shared" si="33"/>
        <v>40</v>
      </c>
      <c r="Q97" s="100">
        <f t="shared" si="33"/>
        <v>81</v>
      </c>
      <c r="R97" s="118">
        <f t="shared" si="34"/>
        <v>107</v>
      </c>
      <c r="S97" s="118">
        <f t="shared" si="35"/>
        <v>151</v>
      </c>
      <c r="T97" s="118">
        <f t="shared" si="36"/>
        <v>37</v>
      </c>
      <c r="U97" s="118">
        <f t="shared" si="37"/>
        <v>97</v>
      </c>
      <c r="V97" s="118">
        <f t="shared" si="38"/>
        <v>19</v>
      </c>
      <c r="W97" s="118">
        <f t="shared" si="39"/>
        <v>-31</v>
      </c>
    </row>
    <row r="98" spans="1:23">
      <c r="L98" s="100" t="s">
        <v>111</v>
      </c>
      <c r="M98" s="100">
        <v>30552</v>
      </c>
      <c r="N98" s="100">
        <f t="shared" si="33"/>
        <v>172</v>
      </c>
      <c r="O98" s="100">
        <f t="shared" si="33"/>
        <v>418</v>
      </c>
      <c r="P98" s="100">
        <f t="shared" si="33"/>
        <v>459</v>
      </c>
      <c r="Q98" s="100">
        <f t="shared" si="33"/>
        <v>692</v>
      </c>
      <c r="R98" s="118">
        <f t="shared" si="34"/>
        <v>281</v>
      </c>
      <c r="S98" s="118">
        <f t="shared" si="35"/>
        <v>616</v>
      </c>
      <c r="T98" s="118">
        <f t="shared" si="36"/>
        <v>-169</v>
      </c>
      <c r="U98" s="118">
        <f t="shared" si="37"/>
        <v>-133</v>
      </c>
      <c r="V98" s="118">
        <f t="shared" si="38"/>
        <v>-149</v>
      </c>
      <c r="W98" s="118">
        <f t="shared" si="39"/>
        <v>-415</v>
      </c>
    </row>
    <row r="99" spans="1:23">
      <c r="L99" s="100" t="s">
        <v>1589</v>
      </c>
      <c r="M99" s="100">
        <v>24805</v>
      </c>
      <c r="N99" s="100">
        <f t="shared" si="33"/>
        <v>56</v>
      </c>
      <c r="O99" s="100">
        <f t="shared" si="33"/>
        <v>78</v>
      </c>
      <c r="P99" s="100">
        <f t="shared" si="33"/>
        <v>257</v>
      </c>
      <c r="Q99" s="100">
        <f t="shared" si="33"/>
        <v>364</v>
      </c>
      <c r="R99" s="118">
        <f t="shared" si="34"/>
        <v>287</v>
      </c>
      <c r="S99" s="118">
        <f t="shared" si="35"/>
        <v>204</v>
      </c>
      <c r="T99" s="118">
        <f t="shared" si="36"/>
        <v>141</v>
      </c>
      <c r="U99" s="118">
        <f t="shared" si="37"/>
        <v>7</v>
      </c>
      <c r="V99" s="118">
        <f t="shared" si="38"/>
        <v>-182</v>
      </c>
      <c r="W99" s="118">
        <f t="shared" si="39"/>
        <v>-134</v>
      </c>
    </row>
    <row r="100" spans="1:23">
      <c r="L100" s="100" t="s">
        <v>114</v>
      </c>
      <c r="M100" s="100">
        <v>7554</v>
      </c>
      <c r="N100" s="100">
        <f t="shared" si="33"/>
        <v>5</v>
      </c>
      <c r="O100" s="100">
        <f t="shared" si="33"/>
        <v>2</v>
      </c>
      <c r="P100" s="100">
        <f t="shared" si="33"/>
        <v>24</v>
      </c>
      <c r="Q100" s="100">
        <f t="shared" si="33"/>
        <v>20</v>
      </c>
      <c r="R100" s="118">
        <f t="shared" si="34"/>
        <v>2</v>
      </c>
      <c r="S100" s="118">
        <f t="shared" si="35"/>
        <v>27</v>
      </c>
      <c r="T100" s="118">
        <f t="shared" si="36"/>
        <v>-11</v>
      </c>
      <c r="U100" s="118">
        <f t="shared" si="37"/>
        <v>23</v>
      </c>
      <c r="V100" s="118">
        <f t="shared" si="38"/>
        <v>-8</v>
      </c>
      <c r="W100" s="118">
        <f t="shared" si="39"/>
        <v>5</v>
      </c>
    </row>
    <row r="101" spans="1:23">
      <c r="L101" s="100" t="s">
        <v>115</v>
      </c>
      <c r="M101" s="100">
        <v>6068</v>
      </c>
      <c r="N101" s="100">
        <f t="shared" si="33"/>
        <v>6</v>
      </c>
      <c r="O101" s="100">
        <f t="shared" si="33"/>
        <v>-2</v>
      </c>
      <c r="P101" s="100">
        <f t="shared" si="33"/>
        <v>18</v>
      </c>
      <c r="Q101" s="100">
        <f t="shared" si="33"/>
        <v>16</v>
      </c>
      <c r="R101" s="118">
        <f t="shared" si="34"/>
        <v>27</v>
      </c>
      <c r="S101" s="118">
        <f t="shared" si="35"/>
        <v>16</v>
      </c>
      <c r="T101" s="118">
        <f t="shared" si="36"/>
        <v>37</v>
      </c>
      <c r="U101" s="118">
        <f t="shared" si="37"/>
        <v>58</v>
      </c>
      <c r="V101" s="118">
        <f t="shared" si="38"/>
        <v>14</v>
      </c>
      <c r="W101" s="118">
        <f t="shared" si="39"/>
        <v>-12</v>
      </c>
    </row>
    <row r="102" spans="1:23">
      <c r="L102" s="100" t="s">
        <v>116</v>
      </c>
      <c r="M102" s="100">
        <v>4944</v>
      </c>
      <c r="N102" s="100">
        <f t="shared" si="33"/>
        <v>48</v>
      </c>
      <c r="O102" s="100">
        <f t="shared" si="33"/>
        <v>25</v>
      </c>
      <c r="P102" s="100">
        <f t="shared" si="33"/>
        <v>58</v>
      </c>
      <c r="Q102" s="100">
        <f t="shared" si="33"/>
        <v>25</v>
      </c>
      <c r="R102" s="118">
        <f t="shared" si="34"/>
        <v>1</v>
      </c>
      <c r="S102" s="118">
        <f t="shared" si="35"/>
        <v>-201</v>
      </c>
      <c r="T102" s="118">
        <f t="shared" si="36"/>
        <v>240</v>
      </c>
      <c r="U102" s="118">
        <f t="shared" si="37"/>
        <v>47</v>
      </c>
      <c r="V102" s="118">
        <f t="shared" si="38"/>
        <v>-54</v>
      </c>
      <c r="W102" s="118">
        <f t="shared" si="39"/>
        <v>-30</v>
      </c>
    </row>
    <row r="103" spans="1:23">
      <c r="L103" s="100" t="s">
        <v>117</v>
      </c>
      <c r="M103" s="100">
        <v>2133</v>
      </c>
      <c r="N103" s="100">
        <f t="shared" si="33"/>
        <v>0</v>
      </c>
      <c r="O103" s="100">
        <f t="shared" si="33"/>
        <v>0</v>
      </c>
      <c r="P103" s="100">
        <f t="shared" si="33"/>
        <v>5</v>
      </c>
      <c r="Q103" s="100">
        <f t="shared" si="33"/>
        <v>25</v>
      </c>
      <c r="R103" s="118">
        <f t="shared" si="34"/>
        <v>16</v>
      </c>
      <c r="S103" s="118">
        <f t="shared" si="35"/>
        <v>27</v>
      </c>
      <c r="T103" s="118">
        <f t="shared" si="36"/>
        <v>22</v>
      </c>
      <c r="U103" s="118">
        <f t="shared" si="37"/>
        <v>16</v>
      </c>
      <c r="V103" s="118">
        <f t="shared" si="38"/>
        <v>-8</v>
      </c>
      <c r="W103" s="118">
        <f t="shared" si="39"/>
        <v>24</v>
      </c>
    </row>
    <row r="104" spans="1:23">
      <c r="L104" s="100" t="s">
        <v>119</v>
      </c>
      <c r="M104" s="100">
        <v>12201</v>
      </c>
      <c r="N104" s="100">
        <f t="shared" si="33"/>
        <v>228</v>
      </c>
      <c r="O104" s="100">
        <f t="shared" si="33"/>
        <v>329</v>
      </c>
      <c r="P104" s="100">
        <f t="shared" si="33"/>
        <v>-53</v>
      </c>
      <c r="Q104" s="100">
        <f t="shared" si="33"/>
        <v>-42</v>
      </c>
      <c r="R104" s="118">
        <f t="shared" si="34"/>
        <v>-70</v>
      </c>
      <c r="S104" s="118">
        <f t="shared" si="35"/>
        <v>1384</v>
      </c>
      <c r="T104" s="118">
        <f t="shared" si="36"/>
        <v>-1518</v>
      </c>
      <c r="U104" s="118">
        <f t="shared" si="37"/>
        <v>-220</v>
      </c>
      <c r="V104" s="118">
        <f t="shared" si="38"/>
        <v>-77</v>
      </c>
      <c r="W104" s="118">
        <f t="shared" si="39"/>
        <v>-83</v>
      </c>
    </row>
    <row r="105" spans="1:23">
      <c r="R105" s="118"/>
      <c r="S105" s="118"/>
      <c r="T105" s="118"/>
      <c r="U105" s="118"/>
      <c r="V105" s="118"/>
      <c r="W105" s="118"/>
    </row>
    <row r="106" spans="1:23">
      <c r="L106" s="109" t="s">
        <v>2438</v>
      </c>
      <c r="N106" s="99">
        <f>N$21</f>
        <v>43999</v>
      </c>
      <c r="O106" s="99">
        <f t="shared" ref="O106:Q106" si="40">O$21</f>
        <v>44006</v>
      </c>
      <c r="P106" s="99">
        <f t="shared" si="40"/>
        <v>44013</v>
      </c>
      <c r="Q106" s="99">
        <f t="shared" si="40"/>
        <v>44020</v>
      </c>
      <c r="R106" s="99">
        <f>Q106+7</f>
        <v>44027</v>
      </c>
      <c r="S106" s="99">
        <f>R106+7</f>
        <v>44034</v>
      </c>
      <c r="T106" s="99">
        <f t="shared" ref="T106:W106" si="41">S106+7</f>
        <v>44041</v>
      </c>
      <c r="U106" s="99">
        <f t="shared" si="41"/>
        <v>44048</v>
      </c>
      <c r="V106" s="99">
        <f t="shared" si="41"/>
        <v>44055</v>
      </c>
      <c r="W106" s="99">
        <f t="shared" si="41"/>
        <v>44062</v>
      </c>
    </row>
    <row r="107" spans="1:23">
      <c r="L107" s="100" t="s">
        <v>105</v>
      </c>
      <c r="M107" s="100">
        <v>316</v>
      </c>
      <c r="N107" s="100">
        <f>N53-M53</f>
        <v>1</v>
      </c>
      <c r="O107" s="100">
        <f t="shared" ref="O107:Q107" si="42">O53-N53</f>
        <v>19</v>
      </c>
      <c r="P107" s="100">
        <f t="shared" si="42"/>
        <v>-16</v>
      </c>
      <c r="Q107" s="100">
        <f t="shared" si="42"/>
        <v>16</v>
      </c>
      <c r="R107" s="118">
        <f t="shared" ref="R107:R115" si="43">R53-Q53</f>
        <v>-9</v>
      </c>
      <c r="S107" s="118">
        <f t="shared" ref="S107:S115" si="44">S53-R53</f>
        <v>4</v>
      </c>
      <c r="T107" s="118">
        <f t="shared" ref="T107:T115" si="45">T53-S53</f>
        <v>-6</v>
      </c>
      <c r="U107" s="118">
        <f t="shared" ref="U107:U115" si="46">U53-T53</f>
        <v>58</v>
      </c>
      <c r="V107" s="118">
        <f t="shared" ref="V107:V115" si="47">V53-U53</f>
        <v>-10</v>
      </c>
      <c r="W107" s="118">
        <f t="shared" ref="W107:W115" si="48">W53-V53</f>
        <v>-17</v>
      </c>
    </row>
    <row r="108" spans="1:23">
      <c r="A108" s="106">
        <f ca="1">AG5</f>
        <v>1.7784256559766765</v>
      </c>
      <c r="B108" s="106"/>
      <c r="C108" s="106"/>
      <c r="D108" s="106"/>
      <c r="E108" s="106"/>
      <c r="F108" s="106"/>
      <c r="G108" s="106"/>
      <c r="H108" s="106"/>
      <c r="I108" s="106"/>
      <c r="J108" s="106"/>
      <c r="K108" s="106"/>
      <c r="L108" s="100" t="s">
        <v>107</v>
      </c>
      <c r="M108" s="100">
        <v>241</v>
      </c>
      <c r="N108" s="100">
        <f t="shared" ref="N108:Q108" si="49">N54-M54</f>
        <v>5</v>
      </c>
      <c r="O108" s="100">
        <f t="shared" si="49"/>
        <v>5</v>
      </c>
      <c r="P108" s="100">
        <f t="shared" si="49"/>
        <v>5</v>
      </c>
      <c r="Q108" s="100">
        <f t="shared" si="49"/>
        <v>4</v>
      </c>
      <c r="R108" s="118">
        <f t="shared" si="43"/>
        <v>12</v>
      </c>
      <c r="S108" s="118">
        <f t="shared" si="44"/>
        <v>13</v>
      </c>
      <c r="T108" s="118">
        <f t="shared" si="45"/>
        <v>16</v>
      </c>
      <c r="U108" s="118">
        <f t="shared" si="46"/>
        <v>4</v>
      </c>
      <c r="V108" s="118">
        <f t="shared" si="47"/>
        <v>3</v>
      </c>
      <c r="W108" s="118">
        <f t="shared" si="48"/>
        <v>5</v>
      </c>
    </row>
    <row r="109" spans="1:23">
      <c r="A109" s="106">
        <f t="shared" ref="A109:A116" ca="1" si="50">AG6</f>
        <v>0.5757575757575758</v>
      </c>
      <c r="B109" s="106"/>
      <c r="C109" s="106"/>
      <c r="D109" s="106"/>
      <c r="E109" s="106"/>
      <c r="F109" s="106"/>
      <c r="G109" s="106"/>
      <c r="H109" s="106"/>
      <c r="I109" s="106"/>
      <c r="J109" s="106"/>
      <c r="K109" s="106"/>
      <c r="L109" s="100" t="s">
        <v>111</v>
      </c>
      <c r="M109" s="100">
        <v>1999</v>
      </c>
      <c r="N109" s="100">
        <f t="shared" ref="N109:Q109" si="51">N55-M55</f>
        <v>48</v>
      </c>
      <c r="O109" s="100">
        <f t="shared" si="51"/>
        <v>73</v>
      </c>
      <c r="P109" s="100">
        <f t="shared" si="51"/>
        <v>103</v>
      </c>
      <c r="Q109" s="100">
        <f t="shared" si="51"/>
        <v>82</v>
      </c>
      <c r="R109" s="118">
        <f t="shared" si="43"/>
        <v>114</v>
      </c>
      <c r="S109" s="118">
        <f t="shared" si="44"/>
        <v>89</v>
      </c>
      <c r="T109" s="118">
        <f t="shared" si="45"/>
        <v>-9</v>
      </c>
      <c r="U109" s="118">
        <f t="shared" si="46"/>
        <v>44</v>
      </c>
      <c r="V109" s="118">
        <f t="shared" si="47"/>
        <v>-30</v>
      </c>
      <c r="W109" s="118">
        <f t="shared" si="48"/>
        <v>-73</v>
      </c>
    </row>
    <row r="110" spans="1:23">
      <c r="A110" s="106">
        <f t="shared" ca="1" si="50"/>
        <v>1.3844086021505377</v>
      </c>
      <c r="B110" s="106"/>
      <c r="C110" s="106"/>
      <c r="D110" s="106"/>
      <c r="E110" s="106"/>
      <c r="F110" s="106"/>
      <c r="G110" s="106"/>
      <c r="H110" s="106"/>
      <c r="I110" s="106"/>
      <c r="J110" s="106"/>
      <c r="K110" s="106"/>
      <c r="L110" s="100" t="s">
        <v>1589</v>
      </c>
      <c r="M110" s="100">
        <v>887</v>
      </c>
      <c r="N110" s="100">
        <f t="shared" ref="N110:Q110" si="52">N56-M56</f>
        <v>7</v>
      </c>
      <c r="O110" s="100">
        <f t="shared" si="52"/>
        <v>16</v>
      </c>
      <c r="P110" s="100">
        <f t="shared" si="52"/>
        <v>32</v>
      </c>
      <c r="Q110" s="100">
        <f t="shared" si="52"/>
        <v>45</v>
      </c>
      <c r="R110" s="118">
        <f t="shared" si="43"/>
        <v>85</v>
      </c>
      <c r="S110" s="118">
        <f t="shared" si="44"/>
        <v>31</v>
      </c>
      <c r="T110" s="118">
        <f t="shared" si="45"/>
        <v>64</v>
      </c>
      <c r="U110" s="118">
        <f t="shared" si="46"/>
        <v>24</v>
      </c>
      <c r="V110" s="118">
        <f t="shared" si="47"/>
        <v>-26</v>
      </c>
      <c r="W110" s="118">
        <f t="shared" si="48"/>
        <v>19</v>
      </c>
    </row>
    <row r="111" spans="1:23">
      <c r="A111" s="106">
        <f t="shared" ca="1" si="50"/>
        <v>1.9453125</v>
      </c>
      <c r="B111" s="106"/>
      <c r="C111" s="106"/>
      <c r="D111" s="106"/>
      <c r="E111" s="106"/>
      <c r="F111" s="106"/>
      <c r="G111" s="106"/>
      <c r="H111" s="106"/>
      <c r="I111" s="106"/>
      <c r="J111" s="106"/>
      <c r="K111" s="106"/>
      <c r="L111" s="100" t="s">
        <v>114</v>
      </c>
      <c r="M111" s="100">
        <v>136</v>
      </c>
      <c r="N111" s="100">
        <f t="shared" ref="N111:Q111" si="53">N57-M57</f>
        <v>1</v>
      </c>
      <c r="O111" s="100">
        <f t="shared" si="53"/>
        <v>0</v>
      </c>
      <c r="P111" s="100">
        <f t="shared" si="53"/>
        <v>1</v>
      </c>
      <c r="Q111" s="100">
        <f t="shared" si="53"/>
        <v>6</v>
      </c>
      <c r="R111" s="118">
        <f t="shared" si="43"/>
        <v>-2</v>
      </c>
      <c r="S111" s="118">
        <f t="shared" si="44"/>
        <v>8</v>
      </c>
      <c r="T111" s="118">
        <f t="shared" si="45"/>
        <v>-6</v>
      </c>
      <c r="U111" s="118">
        <f t="shared" si="46"/>
        <v>4</v>
      </c>
      <c r="V111" s="118">
        <f t="shared" si="47"/>
        <v>-2</v>
      </c>
      <c r="W111" s="118">
        <f t="shared" si="48"/>
        <v>4</v>
      </c>
    </row>
    <row r="112" spans="1:23">
      <c r="A112" s="106">
        <f t="shared" ca="1" si="50"/>
        <v>4.8888888888888893</v>
      </c>
      <c r="B112" s="106"/>
      <c r="C112" s="106"/>
      <c r="D112" s="106"/>
      <c r="E112" s="106"/>
      <c r="F112" s="106"/>
      <c r="G112" s="106"/>
      <c r="H112" s="106"/>
      <c r="I112" s="106"/>
      <c r="J112" s="106"/>
      <c r="K112" s="106"/>
      <c r="L112" s="100" t="s">
        <v>115</v>
      </c>
      <c r="M112" s="100">
        <v>177</v>
      </c>
      <c r="N112" s="100">
        <f t="shared" ref="N112:Q112" si="54">N58-M58</f>
        <v>0</v>
      </c>
      <c r="O112" s="100">
        <f t="shared" si="54"/>
        <v>0</v>
      </c>
      <c r="P112" s="100">
        <f t="shared" si="54"/>
        <v>2</v>
      </c>
      <c r="Q112" s="100">
        <f t="shared" si="54"/>
        <v>2</v>
      </c>
      <c r="R112" s="118">
        <f t="shared" si="43"/>
        <v>2</v>
      </c>
      <c r="S112" s="118">
        <f t="shared" si="44"/>
        <v>5</v>
      </c>
      <c r="T112" s="118">
        <f t="shared" si="45"/>
        <v>8</v>
      </c>
      <c r="U112" s="118">
        <f t="shared" si="46"/>
        <v>25</v>
      </c>
      <c r="V112" s="118">
        <f t="shared" si="47"/>
        <v>5</v>
      </c>
      <c r="W112" s="118">
        <f t="shared" si="48"/>
        <v>2</v>
      </c>
    </row>
    <row r="113" spans="1:23">
      <c r="A113" s="106">
        <f t="shared" ca="1" si="50"/>
        <v>7.333333333333333</v>
      </c>
      <c r="B113" s="106"/>
      <c r="C113" s="106"/>
      <c r="D113" s="106"/>
      <c r="E113" s="106"/>
      <c r="F113" s="106"/>
      <c r="G113" s="106"/>
      <c r="H113" s="106"/>
      <c r="I113" s="106"/>
      <c r="J113" s="106"/>
      <c r="K113" s="106"/>
      <c r="L113" s="100" t="s">
        <v>116</v>
      </c>
      <c r="M113" s="100">
        <v>219</v>
      </c>
      <c r="N113" s="100">
        <f t="shared" ref="N113:Q113" si="55">N59-M59</f>
        <v>-3</v>
      </c>
      <c r="O113" s="100">
        <f t="shared" si="55"/>
        <v>11</v>
      </c>
      <c r="P113" s="100">
        <f t="shared" si="55"/>
        <v>12</v>
      </c>
      <c r="Q113" s="100">
        <f t="shared" si="55"/>
        <v>9</v>
      </c>
      <c r="R113" s="118">
        <f t="shared" si="43"/>
        <v>16</v>
      </c>
      <c r="S113" s="118">
        <f t="shared" si="44"/>
        <v>-2</v>
      </c>
      <c r="T113" s="118">
        <f t="shared" si="45"/>
        <v>-2</v>
      </c>
      <c r="U113" s="118">
        <f t="shared" si="46"/>
        <v>14</v>
      </c>
      <c r="V113" s="118">
        <f t="shared" si="47"/>
        <v>-4</v>
      </c>
      <c r="W113" s="118">
        <f t="shared" si="48"/>
        <v>-8</v>
      </c>
    </row>
    <row r="114" spans="1:23">
      <c r="A114" s="106">
        <f t="shared" ca="1" si="50"/>
        <v>0.70588235294117652</v>
      </c>
      <c r="B114" s="106"/>
      <c r="C114" s="106"/>
      <c r="D114" s="106"/>
      <c r="E114" s="106"/>
      <c r="F114" s="106"/>
      <c r="G114" s="106"/>
      <c r="H114" s="106"/>
      <c r="I114" s="106"/>
      <c r="J114" s="106"/>
      <c r="K114" s="106"/>
      <c r="L114" s="100" t="s">
        <v>117</v>
      </c>
      <c r="M114" s="100">
        <v>88</v>
      </c>
      <c r="N114" s="100">
        <f t="shared" ref="N114:Q114" si="56">N60-M60</f>
        <v>0</v>
      </c>
      <c r="O114" s="100">
        <f t="shared" si="56"/>
        <v>0</v>
      </c>
      <c r="P114" s="100">
        <f t="shared" si="56"/>
        <v>0</v>
      </c>
      <c r="Q114" s="100">
        <f t="shared" si="56"/>
        <v>2</v>
      </c>
      <c r="R114" s="118">
        <f t="shared" si="43"/>
        <v>4</v>
      </c>
      <c r="S114" s="118">
        <f t="shared" si="44"/>
        <v>10</v>
      </c>
      <c r="T114" s="118">
        <f t="shared" si="45"/>
        <v>-1</v>
      </c>
      <c r="U114" s="118">
        <f t="shared" si="46"/>
        <v>-3</v>
      </c>
      <c r="V114" s="118">
        <f t="shared" si="47"/>
        <v>-1</v>
      </c>
      <c r="W114" s="118">
        <f t="shared" si="48"/>
        <v>-1</v>
      </c>
    </row>
    <row r="115" spans="1:23">
      <c r="A115" s="106">
        <f t="shared" ca="1" si="50"/>
        <v>1.4</v>
      </c>
      <c r="B115" s="106"/>
      <c r="C115" s="106"/>
      <c r="D115" s="106"/>
      <c r="E115" s="106"/>
      <c r="F115" s="106"/>
      <c r="G115" s="106"/>
      <c r="H115" s="106"/>
      <c r="I115" s="106"/>
      <c r="J115" s="106"/>
      <c r="K115" s="106"/>
      <c r="L115" s="100" t="s">
        <v>119</v>
      </c>
      <c r="M115" s="100">
        <v>679</v>
      </c>
      <c r="N115" s="100">
        <f t="shared" ref="N115:Q115" si="57">N61-M61</f>
        <v>20</v>
      </c>
      <c r="O115" s="100">
        <f t="shared" si="57"/>
        <v>41</v>
      </c>
      <c r="P115" s="100">
        <f t="shared" si="57"/>
        <v>15</v>
      </c>
      <c r="Q115" s="100">
        <f t="shared" si="57"/>
        <v>7</v>
      </c>
      <c r="R115" s="118">
        <f t="shared" si="43"/>
        <v>-18</v>
      </c>
      <c r="S115" s="118">
        <f t="shared" si="44"/>
        <v>24</v>
      </c>
      <c r="T115" s="118">
        <f t="shared" si="45"/>
        <v>-56</v>
      </c>
      <c r="U115" s="118">
        <f t="shared" si="46"/>
        <v>-8</v>
      </c>
      <c r="V115" s="118">
        <f t="shared" si="47"/>
        <v>-15</v>
      </c>
      <c r="W115" s="118">
        <f t="shared" si="48"/>
        <v>-22</v>
      </c>
    </row>
    <row r="116" spans="1:23">
      <c r="A116" s="106">
        <f t="shared" ca="1" si="50"/>
        <v>1.1787414066631412</v>
      </c>
      <c r="B116" s="106"/>
      <c r="C116" s="106"/>
      <c r="D116" s="106"/>
      <c r="E116" s="106"/>
      <c r="F116" s="106"/>
      <c r="G116" s="106"/>
      <c r="H116" s="106"/>
      <c r="I116" s="106"/>
      <c r="J116" s="106"/>
      <c r="K116" s="106"/>
      <c r="R116" s="118"/>
      <c r="S116" s="118"/>
      <c r="T116" s="118"/>
      <c r="U116" s="118"/>
      <c r="V116" s="118"/>
      <c r="W116" s="118"/>
    </row>
    <row r="117" spans="1:23">
      <c r="R117" s="118"/>
      <c r="S117" s="118"/>
    </row>
    <row r="118" spans="1:23">
      <c r="M118" s="109" t="s">
        <v>2439</v>
      </c>
      <c r="N118" s="99">
        <f>N$21</f>
        <v>43999</v>
      </c>
      <c r="O118" s="99">
        <f t="shared" ref="O118:Q118" si="58">O$21</f>
        <v>44006</v>
      </c>
      <c r="P118" s="99">
        <f t="shared" si="58"/>
        <v>44013</v>
      </c>
      <c r="Q118" s="99">
        <f t="shared" si="58"/>
        <v>44020</v>
      </c>
      <c r="R118" s="99">
        <f>Q118+7</f>
        <v>44027</v>
      </c>
      <c r="S118" s="99">
        <f>R118+7</f>
        <v>44034</v>
      </c>
      <c r="T118" s="99">
        <f t="shared" ref="T118:W118" si="59">S118+7</f>
        <v>44041</v>
      </c>
      <c r="U118" s="99">
        <f t="shared" si="59"/>
        <v>44048</v>
      </c>
      <c r="V118" s="99">
        <f t="shared" si="59"/>
        <v>44055</v>
      </c>
      <c r="W118" s="99">
        <f t="shared" si="59"/>
        <v>44062</v>
      </c>
    </row>
    <row r="119" spans="1:23">
      <c r="M119" s="100" t="s">
        <v>105</v>
      </c>
      <c r="N119" s="100">
        <f>N33-M33</f>
        <v>86</v>
      </c>
      <c r="O119" s="100">
        <f t="shared" ref="O119:Q119" si="60">O33-N33</f>
        <v>252</v>
      </c>
      <c r="P119" s="100">
        <f t="shared" si="60"/>
        <v>213</v>
      </c>
      <c r="Q119" s="100">
        <f t="shared" si="60"/>
        <v>299</v>
      </c>
      <c r="R119" s="118">
        <f t="shared" ref="R119:R127" si="61">R33-Q33</f>
        <v>257</v>
      </c>
      <c r="S119" s="118">
        <f>S33-R33</f>
        <v>228</v>
      </c>
      <c r="T119" s="118">
        <f t="shared" ref="T119:W127" si="62">T33-S33</f>
        <v>302</v>
      </c>
      <c r="U119" s="118">
        <f t="shared" si="62"/>
        <v>1516</v>
      </c>
      <c r="V119" s="118">
        <f t="shared" si="62"/>
        <v>725</v>
      </c>
      <c r="W119" s="118">
        <f t="shared" si="62"/>
        <v>2007</v>
      </c>
    </row>
    <row r="120" spans="1:23">
      <c r="M120" s="100" t="s">
        <v>107</v>
      </c>
      <c r="N120" s="100">
        <f t="shared" ref="N120:Q120" si="63">N34-M34</f>
        <v>38</v>
      </c>
      <c r="O120" s="100">
        <f t="shared" si="63"/>
        <v>50</v>
      </c>
      <c r="P120" s="100">
        <f t="shared" si="63"/>
        <v>89</v>
      </c>
      <c r="Q120" s="100">
        <f t="shared" si="63"/>
        <v>183</v>
      </c>
      <c r="R120" s="118">
        <f t="shared" si="61"/>
        <v>280</v>
      </c>
      <c r="S120" s="118">
        <f t="shared" ref="S120:S127" si="64">S34-R34</f>
        <v>368</v>
      </c>
      <c r="T120" s="118">
        <f t="shared" si="62"/>
        <v>657</v>
      </c>
      <c r="U120" s="118">
        <f t="shared" si="62"/>
        <v>754</v>
      </c>
      <c r="V120" s="118">
        <f t="shared" si="62"/>
        <v>533</v>
      </c>
      <c r="W120" s="118">
        <f t="shared" si="62"/>
        <v>508</v>
      </c>
    </row>
    <row r="121" spans="1:23">
      <c r="M121" s="100" t="s">
        <v>111</v>
      </c>
      <c r="N121" s="100">
        <f t="shared" ref="N121:Q121" si="65">N35-M35</f>
        <v>334</v>
      </c>
      <c r="O121" s="100">
        <f t="shared" si="65"/>
        <v>766</v>
      </c>
      <c r="P121" s="100">
        <f t="shared" si="65"/>
        <v>1011</v>
      </c>
      <c r="Q121" s="100">
        <f t="shared" si="65"/>
        <v>1320</v>
      </c>
      <c r="R121" s="118">
        <f t="shared" si="61"/>
        <v>1961</v>
      </c>
      <c r="S121" s="118">
        <f t="shared" si="64"/>
        <v>1695</v>
      </c>
      <c r="T121" s="118">
        <f t="shared" si="62"/>
        <v>2049</v>
      </c>
      <c r="U121" s="118">
        <f t="shared" si="62"/>
        <v>3022</v>
      </c>
      <c r="V121" s="118">
        <f t="shared" si="62"/>
        <v>1583</v>
      </c>
      <c r="W121" s="118">
        <f t="shared" si="62"/>
        <v>1133</v>
      </c>
    </row>
    <row r="122" spans="1:23">
      <c r="M122" s="100" t="s">
        <v>1589</v>
      </c>
      <c r="N122" s="100">
        <f t="shared" ref="N122:Q122" si="66">N36-M36</f>
        <v>98</v>
      </c>
      <c r="O122" s="100">
        <f t="shared" si="66"/>
        <v>164</v>
      </c>
      <c r="P122" s="100">
        <f t="shared" si="66"/>
        <v>367</v>
      </c>
      <c r="Q122" s="100">
        <f t="shared" si="66"/>
        <v>592</v>
      </c>
      <c r="R122" s="118">
        <f t="shared" si="61"/>
        <v>996</v>
      </c>
      <c r="S122" s="118">
        <f t="shared" si="64"/>
        <v>814</v>
      </c>
      <c r="T122" s="118">
        <f t="shared" si="62"/>
        <v>1813</v>
      </c>
      <c r="U122" s="118">
        <f t="shared" si="62"/>
        <v>1810</v>
      </c>
      <c r="V122" s="118">
        <f t="shared" si="62"/>
        <v>907</v>
      </c>
      <c r="W122" s="118">
        <f t="shared" si="62"/>
        <v>893</v>
      </c>
    </row>
    <row r="123" spans="1:23">
      <c r="M123" s="100" t="s">
        <v>114</v>
      </c>
      <c r="N123" s="100">
        <f t="shared" ref="N123:Q123" si="67">N37-M37</f>
        <v>13</v>
      </c>
      <c r="O123" s="100">
        <f t="shared" si="67"/>
        <v>23</v>
      </c>
      <c r="P123" s="100">
        <f t="shared" si="67"/>
        <v>43</v>
      </c>
      <c r="Q123" s="100">
        <f t="shared" si="67"/>
        <v>61</v>
      </c>
      <c r="R123" s="118">
        <f t="shared" si="61"/>
        <v>79</v>
      </c>
      <c r="S123" s="118">
        <f t="shared" si="64"/>
        <v>74</v>
      </c>
      <c r="T123" s="118">
        <f t="shared" si="62"/>
        <v>131</v>
      </c>
      <c r="U123" s="118">
        <f t="shared" si="62"/>
        <v>125</v>
      </c>
      <c r="V123" s="118">
        <f t="shared" si="62"/>
        <v>75</v>
      </c>
      <c r="W123" s="118">
        <f t="shared" si="62"/>
        <v>105</v>
      </c>
    </row>
    <row r="124" spans="1:23">
      <c r="M124" s="100" t="s">
        <v>115</v>
      </c>
      <c r="N124" s="100">
        <f t="shared" ref="N124:Q124" si="68">N38-M38</f>
        <v>11</v>
      </c>
      <c r="O124" s="100">
        <f t="shared" si="68"/>
        <v>15</v>
      </c>
      <c r="P124" s="100">
        <f t="shared" si="68"/>
        <v>34</v>
      </c>
      <c r="Q124" s="100">
        <f t="shared" si="68"/>
        <v>48</v>
      </c>
      <c r="R124" s="118">
        <f t="shared" si="61"/>
        <v>95</v>
      </c>
      <c r="S124" s="118">
        <f t="shared" si="64"/>
        <v>61</v>
      </c>
      <c r="T124" s="118">
        <f t="shared" si="62"/>
        <v>211</v>
      </c>
      <c r="U124" s="118">
        <f t="shared" si="62"/>
        <v>326</v>
      </c>
      <c r="V124" s="118">
        <f t="shared" si="62"/>
        <v>242</v>
      </c>
      <c r="W124" s="118">
        <f t="shared" si="62"/>
        <v>195</v>
      </c>
    </row>
    <row r="125" spans="1:23">
      <c r="M125" s="100" t="s">
        <v>116</v>
      </c>
      <c r="N125" s="100">
        <f t="shared" ref="N125:Q125" si="69">N39-M39</f>
        <v>84</v>
      </c>
      <c r="O125" s="100">
        <f t="shared" si="69"/>
        <v>75</v>
      </c>
      <c r="P125" s="100">
        <f t="shared" si="69"/>
        <v>121</v>
      </c>
      <c r="Q125" s="100">
        <f t="shared" si="69"/>
        <v>180</v>
      </c>
      <c r="R125" s="118">
        <f t="shared" si="61"/>
        <v>197</v>
      </c>
      <c r="S125" s="118">
        <f t="shared" si="64"/>
        <v>189</v>
      </c>
      <c r="T125" s="118">
        <f t="shared" si="62"/>
        <v>276</v>
      </c>
      <c r="U125" s="118">
        <f t="shared" si="62"/>
        <v>600</v>
      </c>
      <c r="V125" s="118">
        <f t="shared" si="62"/>
        <v>175</v>
      </c>
      <c r="W125" s="118">
        <f t="shared" si="62"/>
        <v>200</v>
      </c>
    </row>
    <row r="126" spans="1:23">
      <c r="M126" s="100" t="s">
        <v>117</v>
      </c>
      <c r="N126" s="100">
        <f t="shared" ref="N126:Q126" si="70">N40-M40</f>
        <v>4</v>
      </c>
      <c r="O126" s="100">
        <f t="shared" si="70"/>
        <v>7</v>
      </c>
      <c r="P126" s="100">
        <f t="shared" si="70"/>
        <v>15</v>
      </c>
      <c r="Q126" s="100">
        <f t="shared" si="70"/>
        <v>42</v>
      </c>
      <c r="R126" s="118">
        <f t="shared" si="61"/>
        <v>62</v>
      </c>
      <c r="S126" s="118">
        <f t="shared" si="64"/>
        <v>70</v>
      </c>
      <c r="T126" s="118">
        <f t="shared" si="62"/>
        <v>145</v>
      </c>
      <c r="U126" s="118">
        <f t="shared" si="62"/>
        <v>90</v>
      </c>
      <c r="V126" s="118">
        <f t="shared" si="62"/>
        <v>85</v>
      </c>
      <c r="W126" s="118">
        <f t="shared" si="62"/>
        <v>116</v>
      </c>
    </row>
    <row r="127" spans="1:23">
      <c r="M127" s="100" t="s">
        <v>119</v>
      </c>
      <c r="N127" s="100">
        <f t="shared" ref="N127:Q127" si="71">N41-M41</f>
        <v>1242</v>
      </c>
      <c r="O127" s="100">
        <f t="shared" si="71"/>
        <v>1591</v>
      </c>
      <c r="P127" s="100">
        <f t="shared" si="71"/>
        <v>1629</v>
      </c>
      <c r="Q127" s="100">
        <f t="shared" si="71"/>
        <v>1387</v>
      </c>
      <c r="R127" s="118">
        <f t="shared" si="61"/>
        <v>1181</v>
      </c>
      <c r="S127" s="118">
        <f t="shared" si="64"/>
        <v>936</v>
      </c>
      <c r="T127" s="118">
        <f t="shared" si="62"/>
        <v>1164</v>
      </c>
      <c r="U127" s="118">
        <f t="shared" si="62"/>
        <v>1390</v>
      </c>
      <c r="V127" s="118">
        <f t="shared" si="62"/>
        <v>773</v>
      </c>
      <c r="W127" s="118">
        <f>W41-V41</f>
        <v>605</v>
      </c>
    </row>
    <row r="128" spans="1:23">
      <c r="M128" s="100" t="s">
        <v>1498</v>
      </c>
      <c r="N128" s="100">
        <f>SUM(N119:N127)</f>
        <v>1910</v>
      </c>
      <c r="O128" s="118">
        <f t="shared" ref="O128:V128" si="72">SUM(O119:O127)</f>
        <v>2943</v>
      </c>
      <c r="P128" s="118">
        <f t="shared" si="72"/>
        <v>3522</v>
      </c>
      <c r="Q128" s="118">
        <f t="shared" si="72"/>
        <v>4112</v>
      </c>
      <c r="R128" s="118">
        <f t="shared" si="72"/>
        <v>5108</v>
      </c>
      <c r="S128" s="118">
        <f t="shared" si="72"/>
        <v>4435</v>
      </c>
      <c r="T128" s="118">
        <f t="shared" si="72"/>
        <v>6748</v>
      </c>
      <c r="U128" s="118">
        <f t="shared" si="72"/>
        <v>9633</v>
      </c>
      <c r="V128" s="118">
        <f t="shared" si="72"/>
        <v>5098</v>
      </c>
      <c r="W128" s="118">
        <f>SUM(W119:W127)</f>
        <v>5762</v>
      </c>
    </row>
    <row r="130" spans="13:23">
      <c r="M130" s="109" t="s">
        <v>2440</v>
      </c>
      <c r="N130" s="99">
        <f>N$21</f>
        <v>43999</v>
      </c>
      <c r="O130" s="99">
        <f t="shared" ref="O130:Q130" si="73">O$21</f>
        <v>44006</v>
      </c>
      <c r="P130" s="99">
        <f t="shared" si="73"/>
        <v>44013</v>
      </c>
      <c r="Q130" s="99">
        <f t="shared" si="73"/>
        <v>44020</v>
      </c>
      <c r="R130" s="99">
        <f>Q130+7</f>
        <v>44027</v>
      </c>
      <c r="S130" s="99">
        <f>R130+7</f>
        <v>44034</v>
      </c>
      <c r="T130" s="99">
        <f t="shared" ref="T130:W130" si="74">S130+7</f>
        <v>44041</v>
      </c>
      <c r="U130" s="99">
        <f t="shared" si="74"/>
        <v>44048</v>
      </c>
      <c r="V130" s="99">
        <f t="shared" si="74"/>
        <v>44055</v>
      </c>
      <c r="W130" s="99">
        <f t="shared" si="74"/>
        <v>44062</v>
      </c>
    </row>
    <row r="131" spans="13:23">
      <c r="M131" s="100" t="s">
        <v>105</v>
      </c>
      <c r="N131" s="100">
        <f t="shared" ref="N131:W131" si="75">-(N73-M73+N83-M83)</f>
        <v>-70</v>
      </c>
      <c r="O131" s="118">
        <f t="shared" si="75"/>
        <v>-140</v>
      </c>
      <c r="P131" s="118">
        <f t="shared" si="75"/>
        <v>-181</v>
      </c>
      <c r="Q131" s="118">
        <f t="shared" si="75"/>
        <v>-226</v>
      </c>
      <c r="R131" s="118">
        <f t="shared" si="75"/>
        <v>-279</v>
      </c>
      <c r="S131" s="118">
        <f t="shared" si="75"/>
        <v>-197</v>
      </c>
      <c r="T131" s="118">
        <f t="shared" si="75"/>
        <v>-249</v>
      </c>
      <c r="U131" s="118">
        <f t="shared" si="75"/>
        <v>-1317</v>
      </c>
      <c r="V131" s="118">
        <f t="shared" si="75"/>
        <v>-668</v>
      </c>
      <c r="W131" s="118">
        <f t="shared" si="75"/>
        <v>-2191</v>
      </c>
    </row>
    <row r="132" spans="13:23">
      <c r="M132" s="100" t="s">
        <v>107</v>
      </c>
      <c r="N132" s="118">
        <f t="shared" ref="N132:W132" si="76">-(N74-M74+N84-M84)</f>
        <v>-16</v>
      </c>
      <c r="O132" s="118">
        <f t="shared" si="76"/>
        <v>-24</v>
      </c>
      <c r="P132" s="118">
        <f t="shared" si="76"/>
        <v>-43</v>
      </c>
      <c r="Q132" s="118">
        <f t="shared" si="76"/>
        <v>-96</v>
      </c>
      <c r="R132" s="118">
        <f t="shared" si="76"/>
        <v>-147</v>
      </c>
      <c r="S132" s="118">
        <f t="shared" si="76"/>
        <v>-204</v>
      </c>
      <c r="T132" s="118">
        <f t="shared" si="76"/>
        <v>-570</v>
      </c>
      <c r="U132" s="118">
        <f t="shared" si="76"/>
        <v>-650</v>
      </c>
      <c r="V132" s="118">
        <f t="shared" si="76"/>
        <v>-510</v>
      </c>
      <c r="W132" s="118">
        <f t="shared" si="76"/>
        <v>-650</v>
      </c>
    </row>
    <row r="133" spans="13:23">
      <c r="M133" s="100" t="s">
        <v>111</v>
      </c>
      <c r="N133" s="118">
        <f t="shared" ref="N133:W133" si="77">-(N75-M75+N85-M85)</f>
        <v>-155</v>
      </c>
      <c r="O133" s="118">
        <f t="shared" si="77"/>
        <v>-335</v>
      </c>
      <c r="P133" s="118">
        <f t="shared" si="77"/>
        <v>-545</v>
      </c>
      <c r="Q133" s="118">
        <f t="shared" si="77"/>
        <v>-622</v>
      </c>
      <c r="R133" s="118">
        <f t="shared" si="77"/>
        <v>-1676</v>
      </c>
      <c r="S133" s="118">
        <f t="shared" si="77"/>
        <v>-1076</v>
      </c>
      <c r="T133" s="118">
        <f t="shared" si="77"/>
        <v>-2213</v>
      </c>
      <c r="U133" s="118">
        <f t="shared" si="77"/>
        <v>-3144</v>
      </c>
      <c r="V133" s="118">
        <f t="shared" si="77"/>
        <v>-1722</v>
      </c>
      <c r="W133" s="118">
        <f t="shared" si="77"/>
        <v>-1606</v>
      </c>
    </row>
    <row r="134" spans="13:23">
      <c r="M134" s="100" t="s">
        <v>1589</v>
      </c>
      <c r="N134" s="118">
        <f t="shared" ref="N134:W134" si="78">-(N76-M76+N86-M86)</f>
        <v>-40</v>
      </c>
      <c r="O134" s="118">
        <f t="shared" si="78"/>
        <v>-86</v>
      </c>
      <c r="P134" s="118">
        <f t="shared" si="78"/>
        <v>-110</v>
      </c>
      <c r="Q134" s="118">
        <f t="shared" si="78"/>
        <v>-228</v>
      </c>
      <c r="R134" s="118">
        <f t="shared" si="78"/>
        <v>-707</v>
      </c>
      <c r="S134" s="118">
        <f t="shared" si="78"/>
        <v>-609</v>
      </c>
      <c r="T134" s="118">
        <f t="shared" si="78"/>
        <v>-1666</v>
      </c>
      <c r="U134" s="118">
        <f t="shared" si="78"/>
        <v>-1798</v>
      </c>
      <c r="V134" s="118">
        <f t="shared" si="78"/>
        <v>-1083</v>
      </c>
      <c r="W134" s="118">
        <f t="shared" si="78"/>
        <v>-1051</v>
      </c>
    </row>
    <row r="135" spans="13:23">
      <c r="M135" s="100" t="s">
        <v>114</v>
      </c>
      <c r="N135" s="118">
        <f t="shared" ref="N135:W135" si="79">-(N77-M77+N87-M87)</f>
        <v>-8</v>
      </c>
      <c r="O135" s="118">
        <f t="shared" si="79"/>
        <v>-21</v>
      </c>
      <c r="P135" s="118">
        <f t="shared" si="79"/>
        <v>-19</v>
      </c>
      <c r="Q135" s="118">
        <f t="shared" si="79"/>
        <v>-41</v>
      </c>
      <c r="R135" s="118">
        <f t="shared" si="79"/>
        <v>-73</v>
      </c>
      <c r="S135" s="118">
        <f t="shared" si="79"/>
        <v>-47</v>
      </c>
      <c r="T135" s="118">
        <f t="shared" si="79"/>
        <v>-141</v>
      </c>
      <c r="U135" s="118">
        <f t="shared" si="79"/>
        <v>-101</v>
      </c>
      <c r="V135" s="118">
        <f t="shared" si="79"/>
        <v>-84</v>
      </c>
      <c r="W135" s="118">
        <f t="shared" si="79"/>
        <v>-105</v>
      </c>
    </row>
    <row r="136" spans="13:23">
      <c r="M136" s="100" t="s">
        <v>115</v>
      </c>
      <c r="N136" s="118">
        <f t="shared" ref="N136:W136" si="80">-(N78-M78+N88-M88)</f>
        <v>-5</v>
      </c>
      <c r="O136" s="118">
        <f t="shared" si="80"/>
        <v>-15</v>
      </c>
      <c r="P136" s="118">
        <f t="shared" si="80"/>
        <v>-16</v>
      </c>
      <c r="Q136" s="118">
        <f t="shared" si="80"/>
        <v>-32</v>
      </c>
      <c r="R136" s="118">
        <f t="shared" si="80"/>
        <v>-68</v>
      </c>
      <c r="S136" s="118">
        <f t="shared" si="80"/>
        <v>-45</v>
      </c>
      <c r="T136" s="118">
        <f t="shared" si="80"/>
        <v>-174</v>
      </c>
      <c r="U136" s="118">
        <f t="shared" si="80"/>
        <v>-268</v>
      </c>
      <c r="V136" s="118">
        <f t="shared" si="80"/>
        <v>-228</v>
      </c>
      <c r="W136" s="118">
        <f t="shared" si="80"/>
        <v>-208</v>
      </c>
    </row>
    <row r="137" spans="13:23">
      <c r="M137" s="100" t="s">
        <v>116</v>
      </c>
      <c r="N137" s="118">
        <f t="shared" ref="N137:W137" si="81">-(N79-M79+N89-M89)</f>
        <v>-33</v>
      </c>
      <c r="O137" s="118">
        <f t="shared" si="81"/>
        <v>-46</v>
      </c>
      <c r="P137" s="118">
        <f t="shared" si="81"/>
        <v>-62</v>
      </c>
      <c r="Q137" s="118">
        <f t="shared" si="81"/>
        <v>-145</v>
      </c>
      <c r="R137" s="118">
        <f t="shared" si="81"/>
        <v>-187</v>
      </c>
      <c r="S137" s="118">
        <f t="shared" si="81"/>
        <v>-105</v>
      </c>
      <c r="T137" s="118">
        <f t="shared" si="81"/>
        <v>-289</v>
      </c>
      <c r="U137" s="118">
        <f t="shared" si="81"/>
        <v>-550</v>
      </c>
      <c r="V137" s="118">
        <f t="shared" si="81"/>
        <v>-217</v>
      </c>
      <c r="W137" s="118">
        <f t="shared" si="81"/>
        <v>-308</v>
      </c>
    </row>
    <row r="138" spans="13:23">
      <c r="M138" s="100" t="s">
        <v>117</v>
      </c>
      <c r="N138" s="118">
        <f t="shared" ref="N138:W138" si="82">-(N80-M80+N90-M90)</f>
        <v>-4</v>
      </c>
      <c r="O138" s="118">
        <f t="shared" si="82"/>
        <v>-5</v>
      </c>
      <c r="P138" s="118">
        <f t="shared" si="82"/>
        <v>-10</v>
      </c>
      <c r="Q138" s="118">
        <f t="shared" si="82"/>
        <v>-17</v>
      </c>
      <c r="R138" s="118">
        <f t="shared" si="82"/>
        <v>-46</v>
      </c>
      <c r="S138" s="118">
        <f t="shared" si="82"/>
        <v>-41</v>
      </c>
      <c r="T138" s="118">
        <f t="shared" si="82"/>
        <v>-123</v>
      </c>
      <c r="U138" s="118">
        <f t="shared" si="82"/>
        <v>-74</v>
      </c>
      <c r="V138" s="118">
        <f t="shared" si="82"/>
        <v>-92</v>
      </c>
      <c r="W138" s="118">
        <f t="shared" si="82"/>
        <v>-93</v>
      </c>
    </row>
    <row r="139" spans="13:23">
      <c r="M139" s="100" t="s">
        <v>119</v>
      </c>
      <c r="N139" s="118">
        <f t="shared" ref="N139:W139" si="83">-(N81-M81+N91-M91)</f>
        <v>-1016</v>
      </c>
      <c r="O139" s="118">
        <f t="shared" si="83"/>
        <v>-1260</v>
      </c>
      <c r="P139" s="118">
        <f t="shared" si="83"/>
        <v>-1684</v>
      </c>
      <c r="Q139" s="118">
        <f t="shared" si="83"/>
        <v>-1409</v>
      </c>
      <c r="R139" s="118">
        <f t="shared" si="83"/>
        <v>-1252</v>
      </c>
      <c r="S139" s="118">
        <f t="shared" si="83"/>
        <v>-946</v>
      </c>
      <c r="T139" s="118">
        <f t="shared" si="83"/>
        <v>-1286</v>
      </c>
      <c r="U139" s="118">
        <f t="shared" si="83"/>
        <v>-1558</v>
      </c>
      <c r="V139" s="118">
        <f t="shared" si="83"/>
        <v>-842</v>
      </c>
      <c r="W139" s="118">
        <f t="shared" si="83"/>
        <v>-734</v>
      </c>
    </row>
    <row r="140" spans="13:23">
      <c r="M140" s="118" t="s">
        <v>1498</v>
      </c>
      <c r="N140" s="118">
        <f>SUM(N131:N139)</f>
        <v>-1347</v>
      </c>
      <c r="O140" s="118">
        <f t="shared" ref="O140" si="84">SUM(O131:O139)</f>
        <v>-1932</v>
      </c>
      <c r="P140" s="118">
        <f t="shared" ref="P140" si="85">SUM(P131:P139)</f>
        <v>-2670</v>
      </c>
      <c r="Q140" s="118">
        <f t="shared" ref="Q140" si="86">SUM(Q131:Q139)</f>
        <v>-2816</v>
      </c>
      <c r="R140" s="118">
        <f t="shared" ref="R140" si="87">SUM(R131:R139)</f>
        <v>-4435</v>
      </c>
      <c r="S140" s="118">
        <f t="shared" ref="S140" si="88">SUM(S131:S139)</f>
        <v>-3270</v>
      </c>
      <c r="T140" s="118">
        <f t="shared" ref="T140" si="89">SUM(T131:T139)</f>
        <v>-6711</v>
      </c>
      <c r="U140" s="118">
        <f t="shared" ref="U140" si="90">SUM(U131:U139)</f>
        <v>-9460</v>
      </c>
      <c r="V140" s="118">
        <f t="shared" ref="V140" si="91">SUM(V131:V139)</f>
        <v>-5446</v>
      </c>
      <c r="W140" s="118">
        <f t="shared" ref="W140" si="92">SUM(W131:W139)</f>
        <v>-6946</v>
      </c>
    </row>
  </sheetData>
  <mergeCells count="5">
    <mergeCell ref="N3:Q3"/>
    <mergeCell ref="U3:W3"/>
    <mergeCell ref="Z3:AF3"/>
    <mergeCell ref="AH3:AP3"/>
    <mergeCell ref="L19:Q19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703C7-7108-4AE7-8514-B9B5E9D6C8EF}">
  <sheetPr codeName="Sheet4"/>
  <dimension ref="A2:R22"/>
  <sheetViews>
    <sheetView workbookViewId="0">
      <selection activeCell="G18" sqref="G18"/>
    </sheetView>
  </sheetViews>
  <sheetFormatPr baseColWidth="10" defaultColWidth="8.83203125" defaultRowHeight="15"/>
  <cols>
    <col min="1" max="1" width="18" style="119" bestFit="1" customWidth="1"/>
    <col min="2" max="2" width="14.6640625" bestFit="1" customWidth="1"/>
    <col min="3" max="3" width="13.5" bestFit="1" customWidth="1"/>
    <col min="4" max="4" width="13.5" style="119" customWidth="1"/>
  </cols>
  <sheetData>
    <row r="2" spans="1:18">
      <c r="C2" s="221">
        <v>43967</v>
      </c>
      <c r="D2" s="221">
        <f>C2+7</f>
        <v>43974</v>
      </c>
      <c r="E2" s="221">
        <f t="shared" ref="E2:P2" si="0">D2+7</f>
        <v>43981</v>
      </c>
      <c r="F2" s="221">
        <f t="shared" si="0"/>
        <v>43988</v>
      </c>
      <c r="G2" s="221">
        <f t="shared" si="0"/>
        <v>43995</v>
      </c>
      <c r="H2" s="221">
        <f t="shared" si="0"/>
        <v>44002</v>
      </c>
      <c r="I2" s="221">
        <f t="shared" si="0"/>
        <v>44009</v>
      </c>
      <c r="J2" s="221">
        <f t="shared" si="0"/>
        <v>44016</v>
      </c>
      <c r="K2" s="221">
        <f t="shared" si="0"/>
        <v>44023</v>
      </c>
      <c r="L2" s="221">
        <f t="shared" si="0"/>
        <v>44030</v>
      </c>
      <c r="M2" s="221">
        <f t="shared" si="0"/>
        <v>44037</v>
      </c>
      <c r="N2" s="221">
        <f t="shared" si="0"/>
        <v>44044</v>
      </c>
      <c r="O2" s="221">
        <f t="shared" si="0"/>
        <v>44051</v>
      </c>
      <c r="P2" s="221">
        <f t="shared" si="0"/>
        <v>44058</v>
      </c>
      <c r="Q2" s="221">
        <v>44062</v>
      </c>
      <c r="R2" s="221"/>
    </row>
    <row r="3" spans="1:18">
      <c r="B3" t="s">
        <v>107</v>
      </c>
      <c r="C3">
        <v>1.2</v>
      </c>
      <c r="D3" s="119">
        <v>1</v>
      </c>
      <c r="E3">
        <v>1.3</v>
      </c>
      <c r="F3">
        <v>1.1000000000000001</v>
      </c>
      <c r="G3">
        <v>2.7</v>
      </c>
      <c r="H3">
        <v>4.9000000000000004</v>
      </c>
      <c r="I3">
        <v>8</v>
      </c>
      <c r="J3">
        <v>13.2</v>
      </c>
      <c r="K3">
        <v>20.8</v>
      </c>
      <c r="L3">
        <v>30.4</v>
      </c>
      <c r="M3">
        <v>32</v>
      </c>
      <c r="N3">
        <v>33.299999999999997</v>
      </c>
      <c r="O3">
        <v>31.5</v>
      </c>
    </row>
    <row r="4" spans="1:18">
      <c r="B4" s="119" t="s">
        <v>115</v>
      </c>
      <c r="C4">
        <v>2.1</v>
      </c>
      <c r="D4" s="119">
        <v>2</v>
      </c>
      <c r="E4">
        <v>2.7</v>
      </c>
      <c r="F4">
        <v>4.4000000000000004</v>
      </c>
      <c r="G4">
        <v>5.8</v>
      </c>
      <c r="H4">
        <v>8.5</v>
      </c>
      <c r="I4">
        <v>12.3</v>
      </c>
      <c r="J4">
        <v>17.2</v>
      </c>
      <c r="K4">
        <v>25.8</v>
      </c>
      <c r="L4">
        <v>33</v>
      </c>
      <c r="M4">
        <v>34.799999999999997</v>
      </c>
      <c r="N4">
        <v>34.700000000000003</v>
      </c>
      <c r="O4">
        <v>30.6</v>
      </c>
    </row>
    <row r="5" spans="1:18">
      <c r="B5" s="119" t="s">
        <v>117</v>
      </c>
      <c r="C5">
        <v>0.7</v>
      </c>
      <c r="D5" s="119">
        <v>0.7</v>
      </c>
      <c r="E5">
        <v>1.2</v>
      </c>
      <c r="F5">
        <v>2.1</v>
      </c>
      <c r="G5">
        <v>6.9</v>
      </c>
      <c r="H5">
        <v>4.7</v>
      </c>
      <c r="I5">
        <v>8</v>
      </c>
      <c r="J5">
        <v>11.8</v>
      </c>
      <c r="K5">
        <v>15.6</v>
      </c>
      <c r="L5">
        <v>25.9</v>
      </c>
      <c r="M5">
        <v>25.1</v>
      </c>
      <c r="N5">
        <v>23.2</v>
      </c>
      <c r="O5">
        <v>30</v>
      </c>
    </row>
    <row r="6" spans="1:18">
      <c r="B6" s="119" t="s">
        <v>116</v>
      </c>
      <c r="C6">
        <v>1.7</v>
      </c>
      <c r="D6" s="119">
        <v>1.7</v>
      </c>
      <c r="E6">
        <v>3.7</v>
      </c>
      <c r="F6">
        <v>7.2</v>
      </c>
      <c r="G6">
        <v>11.2</v>
      </c>
      <c r="H6">
        <v>15.5</v>
      </c>
      <c r="I6">
        <v>18.5</v>
      </c>
      <c r="J6">
        <v>27.6</v>
      </c>
      <c r="K6">
        <v>35.1</v>
      </c>
      <c r="L6">
        <v>37</v>
      </c>
      <c r="M6">
        <v>33.4</v>
      </c>
      <c r="N6">
        <v>34</v>
      </c>
      <c r="O6">
        <v>28.1</v>
      </c>
    </row>
    <row r="7" spans="1:18">
      <c r="B7" s="119" t="s">
        <v>1589</v>
      </c>
      <c r="C7">
        <v>1.9</v>
      </c>
      <c r="D7" s="119">
        <v>1.7</v>
      </c>
      <c r="E7">
        <v>4.0999999999999996</v>
      </c>
      <c r="F7">
        <v>3.2</v>
      </c>
      <c r="G7">
        <v>4.3</v>
      </c>
      <c r="H7">
        <v>9.1999999999999993</v>
      </c>
      <c r="I7">
        <v>14.6</v>
      </c>
      <c r="J7">
        <v>20.5</v>
      </c>
      <c r="K7">
        <v>26.7</v>
      </c>
      <c r="L7">
        <v>30.9</v>
      </c>
      <c r="M7">
        <v>33.4</v>
      </c>
      <c r="N7">
        <v>31.1</v>
      </c>
      <c r="O7">
        <v>27.2</v>
      </c>
    </row>
    <row r="8" spans="1:18">
      <c r="B8" s="119" t="s">
        <v>111</v>
      </c>
      <c r="C8">
        <v>1.9</v>
      </c>
      <c r="D8" s="119">
        <v>1.7</v>
      </c>
      <c r="E8">
        <v>3</v>
      </c>
      <c r="F8">
        <v>5.2</v>
      </c>
      <c r="G8">
        <v>11.2</v>
      </c>
      <c r="H8">
        <v>17.600000000000001</v>
      </c>
      <c r="I8">
        <v>24.4</v>
      </c>
      <c r="J8">
        <v>29.1</v>
      </c>
      <c r="K8">
        <v>32.799999999999997</v>
      </c>
      <c r="L8">
        <v>34.1</v>
      </c>
      <c r="M8">
        <v>30.9</v>
      </c>
      <c r="N8">
        <v>28.9</v>
      </c>
      <c r="O8">
        <v>23.7</v>
      </c>
    </row>
    <row r="9" spans="1:18">
      <c r="B9" s="119" t="s">
        <v>105</v>
      </c>
      <c r="C9">
        <v>8.4</v>
      </c>
      <c r="D9" s="119">
        <v>7.9</v>
      </c>
      <c r="E9">
        <v>10.8</v>
      </c>
      <c r="F9">
        <v>15.2</v>
      </c>
      <c r="G9">
        <v>19.100000000000001</v>
      </c>
      <c r="H9">
        <v>27</v>
      </c>
      <c r="I9">
        <v>32.299999999999997</v>
      </c>
      <c r="J9">
        <v>37</v>
      </c>
      <c r="K9">
        <v>37</v>
      </c>
      <c r="L9">
        <v>36.200000000000003</v>
      </c>
      <c r="M9">
        <v>33.9</v>
      </c>
      <c r="N9">
        <v>29.5</v>
      </c>
      <c r="O9">
        <v>23</v>
      </c>
    </row>
    <row r="10" spans="1:18">
      <c r="B10" s="119" t="s">
        <v>114</v>
      </c>
      <c r="C10">
        <v>0.4</v>
      </c>
      <c r="D10" s="119">
        <v>0.6</v>
      </c>
      <c r="E10">
        <v>0.6</v>
      </c>
      <c r="F10">
        <v>1.1000000000000001</v>
      </c>
      <c r="G10">
        <v>3.8</v>
      </c>
      <c r="H10">
        <v>5.5</v>
      </c>
      <c r="I10">
        <v>11.1</v>
      </c>
      <c r="J10">
        <v>15.6</v>
      </c>
      <c r="K10">
        <v>17.600000000000001</v>
      </c>
      <c r="L10">
        <v>20.6</v>
      </c>
      <c r="M10">
        <v>21.8</v>
      </c>
      <c r="N10">
        <v>21.9</v>
      </c>
      <c r="O10">
        <v>21</v>
      </c>
    </row>
    <row r="11" spans="1:18">
      <c r="B11" s="119" t="s">
        <v>119</v>
      </c>
      <c r="C11">
        <v>18.5</v>
      </c>
      <c r="D11" s="119">
        <v>20.2</v>
      </c>
      <c r="E11">
        <v>23.1</v>
      </c>
      <c r="F11">
        <v>24.5</v>
      </c>
      <c r="G11">
        <v>27</v>
      </c>
      <c r="H11">
        <v>28.2</v>
      </c>
      <c r="I11">
        <v>29</v>
      </c>
      <c r="J11">
        <v>29</v>
      </c>
      <c r="K11">
        <v>26.5</v>
      </c>
      <c r="L11">
        <v>24.4</v>
      </c>
      <c r="M11">
        <v>23.1</v>
      </c>
      <c r="N11">
        <v>20.3</v>
      </c>
      <c r="O11">
        <v>16.8</v>
      </c>
    </row>
    <row r="12" spans="1:18">
      <c r="A12" s="119" t="s">
        <v>2476</v>
      </c>
      <c r="B12" s="119" t="s">
        <v>1498</v>
      </c>
      <c r="C12">
        <v>439559</v>
      </c>
      <c r="D12" s="119">
        <v>564370</v>
      </c>
      <c r="E12">
        <v>701883</v>
      </c>
      <c r="F12">
        <v>891668</v>
      </c>
      <c r="G12">
        <v>1087887</v>
      </c>
      <c r="H12">
        <v>1293608</v>
      </c>
      <c r="I12">
        <v>1529009</v>
      </c>
      <c r="J12">
        <v>1792078</v>
      </c>
      <c r="K12">
        <v>2108570</v>
      </c>
      <c r="L12">
        <v>2422741</v>
      </c>
      <c r="M12">
        <v>2730812</v>
      </c>
      <c r="N12">
        <v>3001985</v>
      </c>
      <c r="O12">
        <v>3220265</v>
      </c>
      <c r="P12">
        <v>3378029</v>
      </c>
      <c r="Q12">
        <v>3455671</v>
      </c>
    </row>
    <row r="13" spans="1:18">
      <c r="A13" s="119" t="s">
        <v>2477</v>
      </c>
      <c r="B13" s="119" t="s">
        <v>1498</v>
      </c>
      <c r="C13" s="119">
        <v>14355</v>
      </c>
      <c r="D13" s="119">
        <v>21343</v>
      </c>
      <c r="E13">
        <v>30967</v>
      </c>
      <c r="F13">
        <v>45973</v>
      </c>
      <c r="G13">
        <v>65736</v>
      </c>
      <c r="H13">
        <v>92681</v>
      </c>
      <c r="I13">
        <v>131800</v>
      </c>
      <c r="J13">
        <v>187977</v>
      </c>
      <c r="K13">
        <v>264184</v>
      </c>
      <c r="L13">
        <v>350879</v>
      </c>
      <c r="M13">
        <v>434200</v>
      </c>
      <c r="N13">
        <v>503290</v>
      </c>
      <c r="O13">
        <v>553188</v>
      </c>
      <c r="P13">
        <v>583653</v>
      </c>
      <c r="Q13">
        <v>596060</v>
      </c>
    </row>
    <row r="14" spans="1:18">
      <c r="A14" s="119" t="s">
        <v>2475</v>
      </c>
      <c r="B14" s="119" t="s">
        <v>1498</v>
      </c>
      <c r="C14" s="88">
        <f>C13/C12</f>
        <v>3.265773195407215E-2</v>
      </c>
      <c r="D14" s="88">
        <f t="shared" ref="D14:Q14" si="1">D13/D12</f>
        <v>3.7817389301344866E-2</v>
      </c>
      <c r="E14" s="88">
        <f t="shared" si="1"/>
        <v>4.411988892735684E-2</v>
      </c>
      <c r="F14" s="88">
        <f t="shared" si="1"/>
        <v>5.1558427576183063E-2</v>
      </c>
      <c r="G14" s="88">
        <f t="shared" si="1"/>
        <v>6.0425393446194318E-2</v>
      </c>
      <c r="H14" s="88">
        <f t="shared" si="1"/>
        <v>7.1645351605741467E-2</v>
      </c>
      <c r="I14" s="88">
        <f t="shared" si="1"/>
        <v>8.619962341621272E-2</v>
      </c>
      <c r="J14" s="88">
        <f t="shared" si="1"/>
        <v>0.10489331379549327</v>
      </c>
      <c r="K14" s="88">
        <f t="shared" si="1"/>
        <v>0.12529059979037926</v>
      </c>
      <c r="L14" s="88">
        <f t="shared" si="1"/>
        <v>0.14482728446829438</v>
      </c>
      <c r="M14" s="88">
        <f t="shared" si="1"/>
        <v>0.15900032664277144</v>
      </c>
      <c r="N14" s="88">
        <f t="shared" si="1"/>
        <v>0.16765240332646567</v>
      </c>
      <c r="O14" s="88">
        <f t="shared" si="1"/>
        <v>0.17178337807602789</v>
      </c>
      <c r="P14" s="88">
        <f t="shared" si="1"/>
        <v>0.17277915612921027</v>
      </c>
      <c r="Q14" s="88">
        <f t="shared" si="1"/>
        <v>0.17248748506440573</v>
      </c>
    </row>
    <row r="15" spans="1:18">
      <c r="A15" s="119" t="s">
        <v>2478</v>
      </c>
      <c r="B15" s="119"/>
      <c r="C15" s="119">
        <f>C12-324079</f>
        <v>115480</v>
      </c>
      <c r="D15" s="119">
        <f>D12-C12</f>
        <v>124811</v>
      </c>
      <c r="E15" s="119">
        <f t="shared" ref="E15:Q15" si="2">E12-D12</f>
        <v>137513</v>
      </c>
      <c r="F15" s="119">
        <f t="shared" si="2"/>
        <v>189785</v>
      </c>
      <c r="G15" s="119">
        <f t="shared" si="2"/>
        <v>196219</v>
      </c>
      <c r="H15" s="119">
        <f t="shared" si="2"/>
        <v>205721</v>
      </c>
      <c r="I15" s="119">
        <f t="shared" si="2"/>
        <v>235401</v>
      </c>
      <c r="J15" s="119">
        <f t="shared" si="2"/>
        <v>263069</v>
      </c>
      <c r="K15" s="119">
        <f t="shared" si="2"/>
        <v>316492</v>
      </c>
      <c r="L15" s="119">
        <f t="shared" si="2"/>
        <v>314171</v>
      </c>
      <c r="M15" s="119">
        <f t="shared" si="2"/>
        <v>308071</v>
      </c>
      <c r="N15" s="119">
        <f t="shared" si="2"/>
        <v>271173</v>
      </c>
      <c r="O15" s="119">
        <f t="shared" si="2"/>
        <v>218280</v>
      </c>
      <c r="P15" s="119">
        <f t="shared" si="2"/>
        <v>157764</v>
      </c>
      <c r="Q15" s="119">
        <f t="shared" si="2"/>
        <v>77642</v>
      </c>
    </row>
    <row r="16" spans="1:18">
      <c r="A16" s="119" t="s">
        <v>2451</v>
      </c>
      <c r="B16" s="119"/>
      <c r="C16" s="119">
        <f>C13-9420</f>
        <v>4935</v>
      </c>
      <c r="D16" s="119">
        <f>D13-C13</f>
        <v>6988</v>
      </c>
      <c r="E16" s="119">
        <f t="shared" ref="E16:Q16" si="3">E13-D13</f>
        <v>9624</v>
      </c>
      <c r="F16" s="119">
        <f t="shared" si="3"/>
        <v>15006</v>
      </c>
      <c r="G16" s="119">
        <f t="shared" si="3"/>
        <v>19763</v>
      </c>
      <c r="H16" s="119">
        <f t="shared" si="3"/>
        <v>26945</v>
      </c>
      <c r="I16" s="119">
        <f t="shared" si="3"/>
        <v>39119</v>
      </c>
      <c r="J16" s="119">
        <f t="shared" si="3"/>
        <v>56177</v>
      </c>
      <c r="K16" s="119">
        <f t="shared" si="3"/>
        <v>76207</v>
      </c>
      <c r="L16" s="119">
        <f t="shared" si="3"/>
        <v>86695</v>
      </c>
      <c r="M16" s="119">
        <f t="shared" si="3"/>
        <v>83321</v>
      </c>
      <c r="N16" s="119">
        <f t="shared" si="3"/>
        <v>69090</v>
      </c>
      <c r="O16" s="119">
        <f t="shared" si="3"/>
        <v>49898</v>
      </c>
      <c r="P16" s="119">
        <f t="shared" si="3"/>
        <v>30465</v>
      </c>
      <c r="Q16" s="119">
        <f t="shared" si="3"/>
        <v>12407</v>
      </c>
    </row>
    <row r="17" spans="1:17">
      <c r="A17" s="119" t="s">
        <v>2479</v>
      </c>
      <c r="B17" s="119"/>
      <c r="C17" s="88">
        <f>C16/C15</f>
        <v>4.2734672670592312E-2</v>
      </c>
      <c r="D17" s="88">
        <f t="shared" ref="D17:Q17" si="4">D16/D15</f>
        <v>5.5988654846127348E-2</v>
      </c>
      <c r="E17" s="88">
        <f t="shared" si="4"/>
        <v>6.9986110404107252E-2</v>
      </c>
      <c r="F17" s="88">
        <f t="shared" si="4"/>
        <v>7.9068419527359907E-2</v>
      </c>
      <c r="G17" s="88">
        <f t="shared" si="4"/>
        <v>0.10071909448116645</v>
      </c>
      <c r="H17" s="88">
        <f t="shared" si="4"/>
        <v>0.1309783639006227</v>
      </c>
      <c r="I17" s="88">
        <f t="shared" si="4"/>
        <v>0.16618026261570681</v>
      </c>
      <c r="J17" s="88">
        <f t="shared" si="4"/>
        <v>0.21354473541162206</v>
      </c>
      <c r="K17" s="88">
        <f t="shared" si="4"/>
        <v>0.24078649697306725</v>
      </c>
      <c r="L17" s="88">
        <f t="shared" si="4"/>
        <v>0.27594844845641386</v>
      </c>
      <c r="M17" s="88">
        <f t="shared" si="4"/>
        <v>0.27046038088622426</v>
      </c>
      <c r="N17" s="88">
        <f t="shared" si="4"/>
        <v>0.25478200263300549</v>
      </c>
      <c r="O17" s="88">
        <f t="shared" si="4"/>
        <v>0.22859629833241707</v>
      </c>
      <c r="P17" s="88">
        <f t="shared" si="4"/>
        <v>0.19310489084962348</v>
      </c>
      <c r="Q17" s="88">
        <f t="shared" si="4"/>
        <v>0.15979753226346566</v>
      </c>
    </row>
    <row r="18" spans="1:17">
      <c r="B18" s="119"/>
      <c r="C18" s="119"/>
    </row>
    <row r="19" spans="1:17">
      <c r="B19" s="119"/>
      <c r="C19" s="119"/>
    </row>
    <row r="20" spans="1:17">
      <c r="B20" s="119"/>
      <c r="C20" s="119"/>
    </row>
    <row r="21" spans="1:17">
      <c r="B21" s="119"/>
      <c r="C21" s="119"/>
    </row>
    <row r="22" spans="1:17">
      <c r="B22" s="119"/>
      <c r="C22" s="1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R0matrix</vt:lpstr>
      <vt:lpstr>Equations_Province</vt:lpstr>
      <vt:lpstr>Census_SEIR_Province</vt:lpstr>
      <vt:lpstr>Assumptions</vt:lpstr>
      <vt:lpstr>R0_estimation</vt:lpstr>
      <vt:lpstr>Hospitals</vt:lpstr>
      <vt:lpstr>Census</vt:lpstr>
      <vt:lpstr>Map</vt:lpstr>
      <vt:lpstr>National statistics</vt:lpstr>
      <vt:lpstr>Admissions</vt:lpstr>
      <vt:lpstr>Tests</vt:lpstr>
      <vt:lpstr>GSA</vt:lpstr>
      <vt:lpstr>GSB</vt:lpstr>
      <vt:lpstr>GSC</vt:lpstr>
      <vt:lpstr>GSD</vt:lpstr>
      <vt:lpstr>GSE</vt:lpstr>
      <vt:lpstr>GSF</vt:lpstr>
      <vt:lpstr>GSG</vt:lpstr>
      <vt:lpstr>TA</vt:lpstr>
      <vt:lpstr>TB</vt:lpstr>
      <vt:lpstr>TC</vt:lpstr>
      <vt:lpstr>TD</vt:lpstr>
      <vt:lpstr>TE</vt:lpstr>
      <vt:lpstr>TF</vt:lpstr>
      <vt:lpstr>TG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Robyn King</cp:lastModifiedBy>
  <dcterms:created xsi:type="dcterms:W3CDTF">2020-03-28T13:54:50Z</dcterms:created>
  <dcterms:modified xsi:type="dcterms:W3CDTF">2021-12-20T06:10:19Z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16eec4e-c7b8-491d-b7d8-90a69632743d_Enabled">
    <vt:lpwstr>True</vt:lpwstr>
  </property>
  <property fmtid="{D5CDD505-2E9C-101B-9397-08002B2CF9AE}" pid="3" name="MSIP_Label_216eec4e-c7b8-491d-b7d8-90a69632743d_SiteId">
    <vt:lpwstr>4032514a-830a-4f20-9539-81bbc35b3cd9</vt:lpwstr>
  </property>
  <property fmtid="{D5CDD505-2E9C-101B-9397-08002B2CF9AE}" pid="4" name="MSIP_Label_216eec4e-c7b8-491d-b7d8-90a69632743d_Owner">
    <vt:lpwstr>RYK@rmb.co.za</vt:lpwstr>
  </property>
  <property fmtid="{D5CDD505-2E9C-101B-9397-08002B2CF9AE}" pid="5" name="MSIP_Label_216eec4e-c7b8-491d-b7d8-90a69632743d_SetDate">
    <vt:lpwstr>2020-06-14T11:31:18.4169117Z</vt:lpwstr>
  </property>
  <property fmtid="{D5CDD505-2E9C-101B-9397-08002B2CF9AE}" pid="6" name="MSIP_Label_216eec4e-c7b8-491d-b7d8-90a69632743d_Name">
    <vt:lpwstr>Confidential</vt:lpwstr>
  </property>
  <property fmtid="{D5CDD505-2E9C-101B-9397-08002B2CF9AE}" pid="7" name="MSIP_Label_216eec4e-c7b8-491d-b7d8-90a69632743d_Application">
    <vt:lpwstr>Microsoft Azure Information Protection</vt:lpwstr>
  </property>
  <property fmtid="{D5CDD505-2E9C-101B-9397-08002B2CF9AE}" pid="8" name="MSIP_Label_216eec4e-c7b8-491d-b7d8-90a69632743d_ActionId">
    <vt:lpwstr>b93e7038-6919-445e-819a-765934806ed6</vt:lpwstr>
  </property>
  <property fmtid="{D5CDD505-2E9C-101B-9397-08002B2CF9AE}" pid="9" name="MSIP_Label_216eec4e-c7b8-491d-b7d8-90a69632743d_Extended_MSFT_Method">
    <vt:lpwstr>Automatic</vt:lpwstr>
  </property>
  <property fmtid="{D5CDD505-2E9C-101B-9397-08002B2CF9AE}" pid="10" name="Sensitivity">
    <vt:lpwstr>Confidential</vt:lpwstr>
  </property>
</Properties>
</file>